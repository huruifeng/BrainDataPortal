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rh999/PycharmProjects/BrainDataPortal/backend/files/"/>
    </mc:Choice>
  </mc:AlternateContent>
  <xr:revisionPtr revIDLastSave="0" documentId="13_ncr:1_{CC97EA97-52B3-634E-A65B-8F839CC763F7}" xr6:coauthVersionLast="47" xr6:coauthVersionMax="47" xr10:uidLastSave="{00000000-0000-0000-0000-000000000000}"/>
  <bookViews>
    <workbookView xWindow="1240" yWindow="880" windowWidth="32960" windowHeight="21360" activeTab="7" xr2:uid="{FD4C2EA9-BF5D-1447-96E9-2AD104E9BEC6}"/>
  </bookViews>
  <sheets>
    <sheet name="Study" sheetId="1" r:id="rId1"/>
    <sheet name="Dataset" sheetId="2" r:id="rId2"/>
    <sheet name="Subject" sheetId="3" r:id="rId3"/>
    <sheet name="Clinpath" sheetId="4" r:id="rId4"/>
    <sheet name="Sample" sheetId="5" r:id="rId5"/>
    <sheet name="Data" sheetId="6" r:id="rId6"/>
    <sheet name="Protocol" sheetId="7" r:id="rId7"/>
    <sheet name="Sheet1"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53" i="6" l="1"/>
  <c r="I1553" i="6"/>
  <c r="J1552" i="6"/>
  <c r="I1552" i="6"/>
  <c r="J1551" i="6"/>
  <c r="I1551" i="6"/>
  <c r="J1550" i="6"/>
  <c r="I1550" i="6"/>
  <c r="J1549" i="6"/>
  <c r="I1549" i="6"/>
  <c r="J1548" i="6"/>
  <c r="I1548" i="6"/>
  <c r="J1547" i="6"/>
  <c r="I1547" i="6"/>
  <c r="J1546" i="6"/>
  <c r="I1546" i="6"/>
  <c r="J1545" i="6"/>
  <c r="I1545" i="6"/>
  <c r="J1544" i="6"/>
  <c r="I1544" i="6"/>
  <c r="J1543" i="6"/>
  <c r="I1543" i="6"/>
  <c r="J1542" i="6"/>
  <c r="I1542" i="6"/>
  <c r="J1541" i="6"/>
  <c r="I1541" i="6"/>
  <c r="J1540" i="6"/>
  <c r="I1540" i="6"/>
  <c r="J1539" i="6"/>
  <c r="I1539" i="6"/>
  <c r="J1538" i="6"/>
  <c r="I1538" i="6"/>
  <c r="J1537" i="6"/>
  <c r="I1537" i="6"/>
  <c r="J1536" i="6"/>
  <c r="I1536" i="6"/>
  <c r="J1535" i="6"/>
  <c r="I1535" i="6"/>
  <c r="J1534" i="6"/>
  <c r="I1534" i="6"/>
  <c r="J1533" i="6"/>
  <c r="I1533" i="6"/>
  <c r="J1532" i="6"/>
  <c r="I1532" i="6"/>
  <c r="J1531" i="6"/>
  <c r="I1531" i="6"/>
  <c r="J1530" i="6"/>
  <c r="I1530" i="6"/>
  <c r="J1529" i="6"/>
  <c r="I1529" i="6"/>
  <c r="J1528" i="6"/>
  <c r="I1528" i="6"/>
  <c r="J1527" i="6"/>
  <c r="I1527" i="6"/>
  <c r="J1526" i="6"/>
  <c r="I1526" i="6"/>
  <c r="J1525" i="6"/>
  <c r="I1525" i="6"/>
  <c r="J1524" i="6"/>
  <c r="I1524" i="6"/>
  <c r="J1523" i="6"/>
  <c r="I1523" i="6"/>
  <c r="J1522" i="6"/>
  <c r="I1522" i="6"/>
  <c r="J1521" i="6"/>
  <c r="I1521" i="6"/>
  <c r="J1520" i="6"/>
  <c r="I1520" i="6"/>
  <c r="J1519" i="6"/>
  <c r="I1519" i="6"/>
  <c r="J1518" i="6"/>
  <c r="I1518" i="6"/>
  <c r="J1517" i="6"/>
  <c r="I1517" i="6"/>
  <c r="J1516" i="6"/>
  <c r="I1516" i="6"/>
  <c r="J1515" i="6"/>
  <c r="I1515" i="6"/>
  <c r="J1514" i="6"/>
  <c r="I1514" i="6"/>
  <c r="J1513" i="6"/>
  <c r="I1513" i="6"/>
  <c r="J1512" i="6"/>
  <c r="I1512" i="6"/>
  <c r="J1511" i="6"/>
  <c r="I1511" i="6"/>
  <c r="J1510" i="6"/>
  <c r="I1510" i="6"/>
  <c r="J1509" i="6"/>
  <c r="I1509" i="6"/>
  <c r="J1508" i="6"/>
  <c r="I1508" i="6"/>
  <c r="J1507" i="6"/>
  <c r="I1507" i="6"/>
  <c r="J1506" i="6"/>
  <c r="I1506" i="6"/>
  <c r="J1505" i="6"/>
  <c r="I1505" i="6"/>
  <c r="J1504" i="6"/>
  <c r="I1504" i="6"/>
  <c r="J1503" i="6"/>
  <c r="I1503" i="6"/>
  <c r="J1502" i="6"/>
  <c r="I1502" i="6"/>
  <c r="J1501" i="6"/>
  <c r="I1501" i="6"/>
  <c r="J1500" i="6"/>
  <c r="I1500" i="6"/>
  <c r="J1499" i="6"/>
  <c r="I1499" i="6"/>
  <c r="J1498" i="6"/>
  <c r="I1498" i="6"/>
  <c r="J1497" i="6"/>
  <c r="I1497" i="6"/>
  <c r="J1496" i="6"/>
  <c r="I1496" i="6"/>
  <c r="J1495" i="6"/>
  <c r="I1495" i="6"/>
  <c r="J1494" i="6"/>
  <c r="I1494" i="6"/>
  <c r="J1493" i="6"/>
  <c r="I1493" i="6"/>
  <c r="J1492" i="6"/>
  <c r="I1492" i="6"/>
  <c r="J1491" i="6"/>
  <c r="I1491" i="6"/>
  <c r="J1490" i="6"/>
  <c r="I1490" i="6"/>
  <c r="J1489" i="6"/>
  <c r="I1489" i="6"/>
  <c r="J1488" i="6"/>
  <c r="I1488" i="6"/>
  <c r="J1487" i="6"/>
  <c r="I1487" i="6"/>
  <c r="J1486" i="6"/>
  <c r="I1486" i="6"/>
  <c r="J1485" i="6"/>
  <c r="I1485" i="6"/>
  <c r="J1484" i="6"/>
  <c r="I1484" i="6"/>
  <c r="J1483" i="6"/>
  <c r="I1483" i="6"/>
  <c r="J1482" i="6"/>
  <c r="I1482" i="6"/>
  <c r="J1481" i="6"/>
  <c r="I1481" i="6"/>
  <c r="J1480" i="6"/>
  <c r="I1480" i="6"/>
  <c r="J1479" i="6"/>
  <c r="I1479" i="6"/>
  <c r="J1478" i="6"/>
  <c r="I1478" i="6"/>
  <c r="J1477" i="6"/>
  <c r="I1477" i="6"/>
  <c r="J1476" i="6"/>
  <c r="I1476" i="6"/>
  <c r="J1475" i="6"/>
  <c r="I1475" i="6"/>
  <c r="J1474" i="6"/>
  <c r="I1474" i="6"/>
  <c r="J1473" i="6"/>
  <c r="I1473" i="6"/>
  <c r="J1472" i="6"/>
  <c r="I1472" i="6"/>
  <c r="J1471" i="6"/>
  <c r="I1471" i="6"/>
  <c r="J1470" i="6"/>
  <c r="I1470" i="6"/>
  <c r="J1469" i="6"/>
  <c r="I1469" i="6"/>
  <c r="J1468" i="6"/>
  <c r="I1468" i="6"/>
  <c r="J1467" i="6"/>
  <c r="I1467" i="6"/>
  <c r="J1466" i="6"/>
  <c r="I1466" i="6"/>
  <c r="J1465" i="6"/>
  <c r="I1465" i="6"/>
  <c r="J1464" i="6"/>
  <c r="I1464" i="6"/>
  <c r="J1463" i="6"/>
  <c r="I1463" i="6"/>
  <c r="J1462" i="6"/>
  <c r="I1462" i="6"/>
  <c r="J1461" i="6"/>
  <c r="I1461" i="6"/>
  <c r="J1460" i="6"/>
  <c r="I1460" i="6"/>
  <c r="J1459" i="6"/>
  <c r="I1459" i="6"/>
  <c r="J1458" i="6"/>
  <c r="I1458" i="6"/>
  <c r="J1457" i="6"/>
  <c r="I1457" i="6"/>
  <c r="J1456" i="6"/>
  <c r="I1456" i="6"/>
  <c r="J1455" i="6"/>
  <c r="I1455" i="6"/>
  <c r="J1454" i="6"/>
  <c r="I1454" i="6"/>
  <c r="J1453" i="6"/>
  <c r="I1453" i="6"/>
  <c r="J1452" i="6"/>
  <c r="I1452" i="6"/>
  <c r="J1451" i="6"/>
  <c r="I1451" i="6"/>
  <c r="J1450" i="6"/>
  <c r="I1450" i="6"/>
  <c r="J1449" i="6"/>
  <c r="I1449" i="6"/>
  <c r="J1448" i="6"/>
  <c r="I1448" i="6"/>
  <c r="J1447" i="6"/>
  <c r="I1447" i="6"/>
  <c r="J1446" i="6"/>
  <c r="I1446" i="6"/>
  <c r="J1445" i="6"/>
  <c r="I1445" i="6"/>
  <c r="J1444" i="6"/>
  <c r="I1444" i="6"/>
  <c r="J1443" i="6"/>
  <c r="I1443" i="6"/>
  <c r="J1442" i="6"/>
  <c r="I1442" i="6"/>
  <c r="J1441" i="6"/>
  <c r="I1441" i="6"/>
  <c r="J1440" i="6"/>
  <c r="I1440" i="6"/>
  <c r="J1439" i="6"/>
  <c r="I1439" i="6"/>
  <c r="J1438" i="6"/>
  <c r="I1438" i="6"/>
  <c r="J1437" i="6"/>
  <c r="I1437" i="6"/>
  <c r="J1436" i="6"/>
  <c r="I1436" i="6"/>
  <c r="J1435" i="6"/>
  <c r="I1435" i="6"/>
  <c r="J1434" i="6"/>
  <c r="I1434" i="6"/>
  <c r="J1433" i="6"/>
  <c r="I1433" i="6"/>
  <c r="J1432" i="6"/>
  <c r="I1432" i="6"/>
  <c r="J1431" i="6"/>
  <c r="I1431" i="6"/>
  <c r="J1430" i="6"/>
  <c r="I1430" i="6"/>
  <c r="J1429" i="6"/>
  <c r="I1429" i="6"/>
  <c r="J1428" i="6"/>
  <c r="I1428" i="6"/>
  <c r="J1427" i="6"/>
  <c r="I1427" i="6"/>
  <c r="J1426" i="6"/>
  <c r="I1426" i="6"/>
  <c r="J1425" i="6"/>
  <c r="I1425" i="6"/>
  <c r="J1424" i="6"/>
  <c r="I1424" i="6"/>
  <c r="J1423" i="6"/>
  <c r="I1423" i="6"/>
  <c r="J1422" i="6"/>
  <c r="I1422" i="6"/>
  <c r="J1421" i="6"/>
  <c r="I1421" i="6"/>
  <c r="J1420" i="6"/>
  <c r="I1420" i="6"/>
  <c r="J1419" i="6"/>
  <c r="I1419" i="6"/>
  <c r="J1418" i="6"/>
  <c r="I1418" i="6"/>
  <c r="J1417" i="6"/>
  <c r="I1417" i="6"/>
  <c r="J1416" i="6"/>
  <c r="I1416" i="6"/>
  <c r="J1415" i="6"/>
  <c r="I1415" i="6"/>
  <c r="J1414" i="6"/>
  <c r="I1414" i="6"/>
  <c r="J1413" i="6"/>
  <c r="I1413" i="6"/>
  <c r="J1412" i="6"/>
  <c r="I1412" i="6"/>
  <c r="J1411" i="6"/>
  <c r="I1411" i="6"/>
  <c r="J1410" i="6"/>
  <c r="I1410" i="6"/>
  <c r="J1409" i="6"/>
  <c r="I1409" i="6"/>
  <c r="J1408" i="6"/>
  <c r="I1408" i="6"/>
  <c r="J1407" i="6"/>
  <c r="I1407" i="6"/>
  <c r="J1406" i="6"/>
  <c r="I1406" i="6"/>
  <c r="J1405" i="6"/>
  <c r="I1405" i="6"/>
  <c r="J1404" i="6"/>
  <c r="I1404" i="6"/>
  <c r="J1403" i="6"/>
  <c r="I1403" i="6"/>
  <c r="J1402" i="6"/>
  <c r="I1402" i="6"/>
  <c r="J1401" i="6"/>
  <c r="I1401" i="6"/>
  <c r="J1400" i="6"/>
  <c r="I1400" i="6"/>
  <c r="J1399" i="6"/>
  <c r="I1399" i="6"/>
  <c r="J1398" i="6"/>
  <c r="I1398" i="6"/>
  <c r="J1397" i="6"/>
  <c r="I1397" i="6"/>
  <c r="J1396" i="6"/>
  <c r="I1396" i="6"/>
  <c r="J1395" i="6"/>
  <c r="I1395" i="6"/>
  <c r="J1394" i="6"/>
  <c r="I1394" i="6"/>
  <c r="J1393" i="6"/>
  <c r="I1393" i="6"/>
  <c r="J1392" i="6"/>
  <c r="I1392" i="6"/>
  <c r="J1391" i="6"/>
  <c r="I1391" i="6"/>
  <c r="J1390" i="6"/>
  <c r="I1390" i="6"/>
  <c r="J1389" i="6"/>
  <c r="I1389" i="6"/>
  <c r="J1388" i="6"/>
  <c r="I1388" i="6"/>
  <c r="J1387" i="6"/>
  <c r="I1387" i="6"/>
  <c r="J1386" i="6"/>
  <c r="I1386" i="6"/>
  <c r="J1385" i="6"/>
  <c r="I1385" i="6"/>
  <c r="J1384" i="6"/>
  <c r="I1384" i="6"/>
  <c r="J1383" i="6"/>
  <c r="I1383" i="6"/>
  <c r="J1382" i="6"/>
  <c r="I1382" i="6"/>
  <c r="J1381" i="6"/>
  <c r="I1381" i="6"/>
  <c r="J1380" i="6"/>
  <c r="I1380" i="6"/>
  <c r="J1379" i="6"/>
  <c r="I1379" i="6"/>
  <c r="J1378" i="6"/>
  <c r="I1378" i="6"/>
  <c r="J1377" i="6"/>
  <c r="I1377" i="6"/>
  <c r="J1376" i="6"/>
  <c r="I1376" i="6"/>
  <c r="J1375" i="6"/>
  <c r="I1375" i="6"/>
  <c r="J1374" i="6"/>
  <c r="I1374" i="6"/>
  <c r="J1373" i="6"/>
  <c r="I1373" i="6"/>
  <c r="J1372" i="6"/>
  <c r="I1372" i="6"/>
  <c r="J1371" i="6"/>
  <c r="I1371" i="6"/>
  <c r="J1370" i="6"/>
  <c r="I1370" i="6"/>
  <c r="J1369" i="6"/>
  <c r="I1369" i="6"/>
  <c r="J1368" i="6"/>
  <c r="I1368" i="6"/>
  <c r="J1367" i="6"/>
  <c r="I1367" i="6"/>
  <c r="J1366" i="6"/>
  <c r="I1366" i="6"/>
  <c r="J1365" i="6"/>
  <c r="I1365" i="6"/>
  <c r="J1364" i="6"/>
  <c r="I1364" i="6"/>
  <c r="J1363" i="6"/>
  <c r="I1363" i="6"/>
  <c r="J1362" i="6"/>
  <c r="I1362" i="6"/>
  <c r="J1361" i="6"/>
  <c r="I1361" i="6"/>
  <c r="J1360" i="6"/>
  <c r="I1360" i="6"/>
  <c r="J1359" i="6"/>
  <c r="I1359" i="6"/>
  <c r="J1358" i="6"/>
  <c r="I1358" i="6"/>
  <c r="J1357" i="6"/>
  <c r="I1357" i="6"/>
  <c r="J1356" i="6"/>
  <c r="I1356" i="6"/>
  <c r="J1355" i="6"/>
  <c r="I1355" i="6"/>
  <c r="J1354" i="6"/>
  <c r="I1354" i="6"/>
  <c r="J1353" i="6"/>
  <c r="I1353" i="6"/>
  <c r="J1352" i="6"/>
  <c r="I1352" i="6"/>
  <c r="J1351" i="6"/>
  <c r="I1351" i="6"/>
  <c r="J1350" i="6"/>
  <c r="I1350" i="6"/>
  <c r="J1349" i="6"/>
  <c r="I1349" i="6"/>
  <c r="J1348" i="6"/>
  <c r="I1348" i="6"/>
  <c r="J1347" i="6"/>
  <c r="I1347" i="6"/>
  <c r="J1346" i="6"/>
  <c r="I1346" i="6"/>
  <c r="J1345" i="6"/>
  <c r="I1345" i="6"/>
  <c r="J1344" i="6"/>
  <c r="I1344" i="6"/>
  <c r="J1343" i="6"/>
  <c r="I1343" i="6"/>
  <c r="J1342" i="6"/>
  <c r="I1342" i="6"/>
  <c r="J1341" i="6"/>
  <c r="I1341" i="6"/>
  <c r="J1340" i="6"/>
  <c r="I1340" i="6"/>
  <c r="J1339" i="6"/>
  <c r="I1339" i="6"/>
  <c r="J1338" i="6"/>
  <c r="I1338" i="6"/>
  <c r="J1337" i="6"/>
  <c r="I1337" i="6"/>
  <c r="J1336" i="6"/>
  <c r="I1336" i="6"/>
  <c r="J1335" i="6"/>
  <c r="I1335" i="6"/>
  <c r="J1334" i="6"/>
  <c r="I1334" i="6"/>
  <c r="J1333" i="6"/>
  <c r="I1333" i="6"/>
  <c r="J1332" i="6"/>
  <c r="I1332" i="6"/>
  <c r="J1331" i="6"/>
  <c r="I1331" i="6"/>
  <c r="J1330" i="6"/>
  <c r="I1330" i="6"/>
  <c r="J1329" i="6"/>
  <c r="I1329" i="6"/>
  <c r="J1328" i="6"/>
  <c r="I1328" i="6"/>
  <c r="J1327" i="6"/>
  <c r="I1327" i="6"/>
  <c r="J1326" i="6"/>
  <c r="I1326" i="6"/>
  <c r="J1325" i="6"/>
  <c r="I1325" i="6"/>
  <c r="J1324" i="6"/>
  <c r="I1324" i="6"/>
  <c r="J1323" i="6"/>
  <c r="I1323" i="6"/>
  <c r="J1322" i="6"/>
  <c r="I1322" i="6"/>
  <c r="J1321" i="6"/>
  <c r="I1321" i="6"/>
  <c r="J1320" i="6"/>
  <c r="I1320" i="6"/>
  <c r="J1319" i="6"/>
  <c r="I1319" i="6"/>
  <c r="J1318" i="6"/>
  <c r="I1318" i="6"/>
  <c r="J1317" i="6"/>
  <c r="I1317" i="6"/>
  <c r="J1316" i="6"/>
  <c r="I1316" i="6"/>
  <c r="J1315" i="6"/>
  <c r="I1315" i="6"/>
  <c r="J1314" i="6"/>
  <c r="I1314" i="6"/>
  <c r="J1313" i="6"/>
  <c r="I1313" i="6"/>
  <c r="J1312" i="6"/>
  <c r="I1312" i="6"/>
  <c r="J1311" i="6"/>
  <c r="I1311" i="6"/>
  <c r="J1310" i="6"/>
  <c r="I1310" i="6"/>
  <c r="J1309" i="6"/>
  <c r="I1309" i="6"/>
  <c r="J1308" i="6"/>
  <c r="I1308" i="6"/>
  <c r="J1307" i="6"/>
  <c r="I1307" i="6"/>
  <c r="J1306" i="6"/>
  <c r="I1306" i="6"/>
  <c r="J1305" i="6"/>
  <c r="I1305" i="6"/>
  <c r="J1304" i="6"/>
  <c r="I1304" i="6"/>
  <c r="J1303" i="6"/>
  <c r="I1303" i="6"/>
  <c r="J1302" i="6"/>
  <c r="I1302" i="6"/>
  <c r="J1301" i="6"/>
  <c r="I1301" i="6"/>
  <c r="J1300" i="6"/>
  <c r="I1300" i="6"/>
  <c r="J1299" i="6"/>
  <c r="I1299" i="6"/>
  <c r="J1298" i="6"/>
  <c r="I1298" i="6"/>
  <c r="J1297" i="6"/>
  <c r="I1297" i="6"/>
  <c r="J1296" i="6"/>
  <c r="I1296" i="6"/>
  <c r="J1295" i="6"/>
  <c r="I1295" i="6"/>
  <c r="J1294" i="6"/>
  <c r="I1294" i="6"/>
  <c r="J1293" i="6"/>
  <c r="I1293" i="6"/>
  <c r="J1292" i="6"/>
  <c r="I1292" i="6"/>
  <c r="J1291" i="6"/>
  <c r="I1291" i="6"/>
  <c r="J1290" i="6"/>
  <c r="I1290" i="6"/>
  <c r="J1289" i="6"/>
  <c r="I1289" i="6"/>
  <c r="J1288" i="6"/>
  <c r="I1288" i="6"/>
  <c r="J1287" i="6"/>
  <c r="I1287" i="6"/>
  <c r="J1286" i="6"/>
  <c r="I1286" i="6"/>
  <c r="J1285" i="6"/>
  <c r="I1285" i="6"/>
  <c r="J1284" i="6"/>
  <c r="I1284" i="6"/>
  <c r="J1283" i="6"/>
  <c r="I1283" i="6"/>
  <c r="J1282" i="6"/>
  <c r="I1282" i="6"/>
  <c r="J1281" i="6"/>
  <c r="I1281" i="6"/>
  <c r="J1280" i="6"/>
  <c r="I1280" i="6"/>
  <c r="J1279" i="6"/>
  <c r="I1279" i="6"/>
  <c r="J1278" i="6"/>
  <c r="I1278" i="6"/>
  <c r="J1277" i="6"/>
  <c r="I1277" i="6"/>
  <c r="J1276" i="6"/>
  <c r="I1276" i="6"/>
  <c r="J1275" i="6"/>
  <c r="I1275" i="6"/>
  <c r="J1274" i="6"/>
  <c r="I1274" i="6"/>
  <c r="J1273" i="6"/>
  <c r="I1273" i="6"/>
  <c r="J1272" i="6"/>
  <c r="I1272" i="6"/>
  <c r="J1271" i="6"/>
  <c r="I1271" i="6"/>
  <c r="J1270" i="6"/>
  <c r="I1270" i="6"/>
  <c r="J1269" i="6"/>
  <c r="I1269" i="6"/>
  <c r="J1268" i="6"/>
  <c r="I1268" i="6"/>
  <c r="J1267" i="6"/>
  <c r="I1267" i="6"/>
  <c r="J1266" i="6"/>
  <c r="I1266" i="6"/>
  <c r="J1265" i="6"/>
  <c r="I1265" i="6"/>
  <c r="J1264" i="6"/>
  <c r="I1264" i="6"/>
  <c r="J1263" i="6"/>
  <c r="I1263" i="6"/>
  <c r="J1262" i="6"/>
  <c r="I1262" i="6"/>
  <c r="J1261" i="6"/>
  <c r="I1261" i="6"/>
  <c r="J1260" i="6"/>
  <c r="I1260" i="6"/>
  <c r="J1259" i="6"/>
  <c r="I1259" i="6"/>
  <c r="J1258" i="6"/>
  <c r="I1258" i="6"/>
  <c r="J1257" i="6"/>
  <c r="I1257" i="6"/>
  <c r="J1256" i="6"/>
  <c r="I1256" i="6"/>
  <c r="J1255" i="6"/>
  <c r="I1255" i="6"/>
  <c r="J1254" i="6"/>
  <c r="I1254" i="6"/>
  <c r="J1253" i="6"/>
  <c r="I1253" i="6"/>
  <c r="J1252" i="6"/>
  <c r="I1252" i="6"/>
  <c r="J1251" i="6"/>
  <c r="I1251" i="6"/>
  <c r="J1250" i="6"/>
  <c r="I1250" i="6"/>
  <c r="J1249" i="6"/>
  <c r="I1249" i="6"/>
  <c r="J1248" i="6"/>
  <c r="I1248" i="6"/>
  <c r="J1247" i="6"/>
  <c r="I1247" i="6"/>
  <c r="J1246" i="6"/>
  <c r="I1246" i="6"/>
  <c r="J1245" i="6"/>
  <c r="I1245" i="6"/>
  <c r="J1244" i="6"/>
  <c r="I1244" i="6"/>
  <c r="J1243" i="6"/>
  <c r="I1243" i="6"/>
  <c r="J1242" i="6"/>
  <c r="I1242" i="6"/>
  <c r="J1241" i="6"/>
  <c r="I1241" i="6"/>
  <c r="J1240" i="6"/>
  <c r="I1240" i="6"/>
  <c r="J1239" i="6"/>
  <c r="I1239" i="6"/>
  <c r="J1238" i="6"/>
  <c r="I1238" i="6"/>
  <c r="J1237" i="6"/>
  <c r="I1237" i="6"/>
  <c r="J1236" i="6"/>
  <c r="I1236" i="6"/>
  <c r="J1235" i="6"/>
  <c r="I1235" i="6"/>
  <c r="J1234" i="6"/>
  <c r="I1234" i="6"/>
  <c r="J1233" i="6"/>
  <c r="I1233" i="6"/>
  <c r="J1232" i="6"/>
  <c r="I1232" i="6"/>
  <c r="J1231" i="6"/>
  <c r="I1231" i="6"/>
  <c r="J1230" i="6"/>
  <c r="I1230" i="6"/>
  <c r="J1229" i="6"/>
  <c r="I1229" i="6"/>
  <c r="J1228" i="6"/>
  <c r="I1228" i="6"/>
  <c r="J1227" i="6"/>
  <c r="I1227" i="6"/>
  <c r="J1226" i="6"/>
  <c r="I1226" i="6"/>
  <c r="J1225" i="6"/>
  <c r="I1225" i="6"/>
  <c r="J1224" i="6"/>
  <c r="I1224" i="6"/>
  <c r="J1223" i="6"/>
  <c r="I1223" i="6"/>
  <c r="J1222" i="6"/>
  <c r="I1222" i="6"/>
  <c r="J1221" i="6"/>
  <c r="I1221" i="6"/>
  <c r="J1220" i="6"/>
  <c r="I1220" i="6"/>
  <c r="J1219" i="6"/>
  <c r="I1219" i="6"/>
  <c r="J1218" i="6"/>
  <c r="I1218" i="6"/>
  <c r="J1217" i="6"/>
  <c r="I1217" i="6"/>
  <c r="J1216" i="6"/>
  <c r="I1216" i="6"/>
  <c r="J1215" i="6"/>
  <c r="I1215" i="6"/>
  <c r="J1214" i="6"/>
  <c r="I1214" i="6"/>
  <c r="J1213" i="6"/>
  <c r="I1213" i="6"/>
  <c r="J1212" i="6"/>
  <c r="I1212" i="6"/>
  <c r="J1211" i="6"/>
  <c r="I1211" i="6"/>
  <c r="J1210" i="6"/>
  <c r="I1210" i="6"/>
  <c r="J1209" i="6"/>
  <c r="I1209" i="6"/>
  <c r="J1208" i="6"/>
  <c r="I1208" i="6"/>
  <c r="J1207" i="6"/>
  <c r="I1207" i="6"/>
  <c r="J1206" i="6"/>
  <c r="I1206" i="6"/>
  <c r="J1205" i="6"/>
  <c r="I1205" i="6"/>
  <c r="J1204" i="6"/>
  <c r="I1204" i="6"/>
  <c r="J1203" i="6"/>
  <c r="I1203" i="6"/>
  <c r="J1202" i="6"/>
  <c r="I1202" i="6"/>
  <c r="J1201" i="6"/>
  <c r="I1201" i="6"/>
  <c r="J1200" i="6"/>
  <c r="I1200" i="6"/>
  <c r="J1199" i="6"/>
  <c r="I1199" i="6"/>
  <c r="J1198" i="6"/>
  <c r="I1198" i="6"/>
  <c r="J1197" i="6"/>
  <c r="I1197" i="6"/>
  <c r="J1196" i="6"/>
  <c r="I1196" i="6"/>
  <c r="J1195" i="6"/>
  <c r="I1195" i="6"/>
  <c r="J1194" i="6"/>
  <c r="I1194" i="6"/>
  <c r="J1193" i="6"/>
  <c r="I1193" i="6"/>
  <c r="J1192" i="6"/>
  <c r="I1192" i="6"/>
  <c r="J1191" i="6"/>
  <c r="I1191" i="6"/>
  <c r="J1190" i="6"/>
  <c r="I1190" i="6"/>
  <c r="J1189" i="6"/>
  <c r="I1189" i="6"/>
  <c r="J1188" i="6"/>
  <c r="I1188" i="6"/>
  <c r="J1187" i="6"/>
  <c r="I1187" i="6"/>
  <c r="J1186" i="6"/>
  <c r="I1186" i="6"/>
  <c r="J1185" i="6"/>
  <c r="I1185" i="6"/>
  <c r="J1184" i="6"/>
  <c r="I1184" i="6"/>
  <c r="J1183" i="6"/>
  <c r="I1183" i="6"/>
  <c r="J1182" i="6"/>
  <c r="I1182" i="6"/>
  <c r="J1181" i="6"/>
  <c r="I1181" i="6"/>
  <c r="J1180" i="6"/>
  <c r="I1180" i="6"/>
  <c r="J1179" i="6"/>
  <c r="I1179" i="6"/>
  <c r="J1178" i="6"/>
  <c r="I1178" i="6"/>
  <c r="J1177" i="6"/>
  <c r="I1177" i="6"/>
  <c r="J1176" i="6"/>
  <c r="I1176" i="6"/>
  <c r="J1175" i="6"/>
  <c r="I1175" i="6"/>
  <c r="J1174" i="6"/>
  <c r="I1174" i="6"/>
  <c r="J1173" i="6"/>
  <c r="I1173" i="6"/>
  <c r="J1172" i="6"/>
  <c r="I1172" i="6"/>
  <c r="J1171" i="6"/>
  <c r="I1171" i="6"/>
  <c r="J1170" i="6"/>
  <c r="I1170" i="6"/>
  <c r="J1169" i="6"/>
  <c r="I1169" i="6"/>
  <c r="J1168" i="6"/>
  <c r="I1168" i="6"/>
  <c r="J1167" i="6"/>
  <c r="I1167" i="6"/>
  <c r="J1166" i="6"/>
  <c r="I1166" i="6"/>
  <c r="J1165" i="6"/>
  <c r="I1165" i="6"/>
  <c r="J1164" i="6"/>
  <c r="I1164" i="6"/>
  <c r="J1163" i="6"/>
  <c r="I1163" i="6"/>
  <c r="J1162" i="6"/>
  <c r="I1162" i="6"/>
  <c r="J1161" i="6"/>
  <c r="I1161" i="6"/>
  <c r="J1160" i="6"/>
  <c r="I1160" i="6"/>
  <c r="J1159" i="6"/>
  <c r="I1159" i="6"/>
  <c r="J1158" i="6"/>
  <c r="I1158" i="6"/>
  <c r="J1157" i="6"/>
  <c r="I1157" i="6"/>
  <c r="J1156" i="6"/>
  <c r="I1156" i="6"/>
  <c r="J1155" i="6"/>
  <c r="I1155" i="6"/>
  <c r="J1154" i="6"/>
  <c r="I1154" i="6"/>
  <c r="J1153" i="6"/>
  <c r="I1153" i="6"/>
  <c r="J1152" i="6"/>
  <c r="I1152" i="6"/>
  <c r="J1151" i="6"/>
  <c r="I1151" i="6"/>
  <c r="J1150" i="6"/>
  <c r="I1150" i="6"/>
  <c r="J1149" i="6"/>
  <c r="I1149" i="6"/>
  <c r="J1148" i="6"/>
  <c r="I1148" i="6"/>
  <c r="J1147" i="6"/>
  <c r="I1147" i="6"/>
  <c r="J1146" i="6"/>
  <c r="I1146" i="6"/>
  <c r="J1145" i="6"/>
  <c r="I1145" i="6"/>
  <c r="J1144" i="6"/>
  <c r="I1144" i="6"/>
  <c r="J1143" i="6"/>
  <c r="I1143" i="6"/>
  <c r="J1142" i="6"/>
  <c r="I1142" i="6"/>
  <c r="J1141" i="6"/>
  <c r="I1141" i="6"/>
  <c r="J1140" i="6"/>
  <c r="I1140" i="6"/>
  <c r="J1139" i="6"/>
  <c r="I1139" i="6"/>
  <c r="J1138" i="6"/>
  <c r="I1138" i="6"/>
  <c r="J1137" i="6"/>
  <c r="I1137" i="6"/>
  <c r="J1136" i="6"/>
  <c r="I1136" i="6"/>
  <c r="J1135" i="6"/>
  <c r="I1135" i="6"/>
  <c r="J1134" i="6"/>
  <c r="I1134" i="6"/>
  <c r="J1133" i="6"/>
  <c r="I1133" i="6"/>
  <c r="J1132" i="6"/>
  <c r="I1132" i="6"/>
  <c r="J1131" i="6"/>
  <c r="I1131" i="6"/>
  <c r="J1130" i="6"/>
  <c r="I1130" i="6"/>
  <c r="J1129" i="6"/>
  <c r="I1129" i="6"/>
  <c r="J1128" i="6"/>
  <c r="I1128" i="6"/>
  <c r="J1127" i="6"/>
  <c r="I1127" i="6"/>
  <c r="J1126" i="6"/>
  <c r="I1126" i="6"/>
  <c r="J1125" i="6"/>
  <c r="I1125" i="6"/>
  <c r="J1124" i="6"/>
  <c r="I1124" i="6"/>
  <c r="J1123" i="6"/>
  <c r="I1123" i="6"/>
  <c r="J1122" i="6"/>
  <c r="I1122" i="6"/>
  <c r="J1121" i="6"/>
  <c r="I1121" i="6"/>
  <c r="J1120" i="6"/>
  <c r="I1120" i="6"/>
  <c r="J1119" i="6"/>
  <c r="I1119" i="6"/>
  <c r="J1118" i="6"/>
  <c r="I1118" i="6"/>
  <c r="J1117" i="6"/>
  <c r="I1117" i="6"/>
  <c r="J1116" i="6"/>
  <c r="I1116" i="6"/>
  <c r="J1115" i="6"/>
  <c r="I1115" i="6"/>
  <c r="J1114" i="6"/>
  <c r="I1114" i="6"/>
  <c r="J1113" i="6"/>
  <c r="I1113" i="6"/>
  <c r="J1112" i="6"/>
  <c r="I1112" i="6"/>
  <c r="J1111" i="6"/>
  <c r="I1111" i="6"/>
  <c r="J1110" i="6"/>
  <c r="I1110" i="6"/>
  <c r="J1109" i="6"/>
  <c r="I1109" i="6"/>
  <c r="J1108" i="6"/>
  <c r="I1108" i="6"/>
  <c r="J1107" i="6"/>
  <c r="I1107" i="6"/>
  <c r="J1106" i="6"/>
  <c r="I1106" i="6"/>
  <c r="J1105" i="6"/>
  <c r="I1105" i="6"/>
  <c r="J1104" i="6"/>
  <c r="I1104" i="6"/>
  <c r="J1103" i="6"/>
  <c r="I1103" i="6"/>
  <c r="J1102" i="6"/>
  <c r="I1102" i="6"/>
  <c r="J1101" i="6"/>
  <c r="I1101" i="6"/>
  <c r="J1100" i="6"/>
  <c r="I1100" i="6"/>
  <c r="J1099" i="6"/>
  <c r="I1099" i="6"/>
  <c r="J1098" i="6"/>
  <c r="I1098" i="6"/>
  <c r="J1097" i="6"/>
  <c r="I1097" i="6"/>
  <c r="J1096" i="6"/>
  <c r="I1096" i="6"/>
  <c r="J1095" i="6"/>
  <c r="I1095" i="6"/>
  <c r="J1094" i="6"/>
  <c r="I1094" i="6"/>
  <c r="J1093" i="6"/>
  <c r="I1093" i="6"/>
  <c r="J1092" i="6"/>
  <c r="I1092" i="6"/>
  <c r="J1091" i="6"/>
  <c r="I1091" i="6"/>
  <c r="J1090" i="6"/>
  <c r="I1090" i="6"/>
  <c r="J1089" i="6"/>
  <c r="I1089" i="6"/>
  <c r="J1088" i="6"/>
  <c r="I1088" i="6"/>
  <c r="J1087" i="6"/>
  <c r="I1087" i="6"/>
  <c r="J1086" i="6"/>
  <c r="I1086" i="6"/>
  <c r="J1085" i="6"/>
  <c r="I1085" i="6"/>
  <c r="J1084" i="6"/>
  <c r="I1084" i="6"/>
  <c r="J1083" i="6"/>
  <c r="I1083" i="6"/>
  <c r="J1082" i="6"/>
  <c r="I1082" i="6"/>
  <c r="J1081" i="6"/>
  <c r="I1081" i="6"/>
  <c r="J1080" i="6"/>
  <c r="I1080" i="6"/>
  <c r="J1079" i="6"/>
  <c r="I1079" i="6"/>
  <c r="J1078" i="6"/>
  <c r="I1078" i="6"/>
  <c r="J1077" i="6"/>
  <c r="I1077" i="6"/>
  <c r="J1076" i="6"/>
  <c r="I1076" i="6"/>
  <c r="J1075" i="6"/>
  <c r="I1075" i="6"/>
  <c r="J1074" i="6"/>
  <c r="I1074" i="6"/>
  <c r="J1073" i="6"/>
  <c r="I1073" i="6"/>
  <c r="J1072" i="6"/>
  <c r="I1072" i="6"/>
  <c r="J1071" i="6"/>
  <c r="I1071" i="6"/>
  <c r="J1070" i="6"/>
  <c r="I1070" i="6"/>
  <c r="J1069" i="6"/>
  <c r="I1069" i="6"/>
  <c r="J1068" i="6"/>
  <c r="I1068" i="6"/>
  <c r="J1067" i="6"/>
  <c r="I1067" i="6"/>
  <c r="J1066" i="6"/>
  <c r="I1066" i="6"/>
  <c r="J1065" i="6"/>
  <c r="I1065" i="6"/>
  <c r="J1064" i="6"/>
  <c r="I1064" i="6"/>
  <c r="J1063" i="6"/>
  <c r="I1063" i="6"/>
  <c r="J1062" i="6"/>
  <c r="I1062" i="6"/>
  <c r="J1061" i="6"/>
  <c r="I1061" i="6"/>
  <c r="J1060" i="6"/>
  <c r="I1060" i="6"/>
  <c r="J1059" i="6"/>
  <c r="I1059" i="6"/>
  <c r="J1058" i="6"/>
  <c r="I1058" i="6"/>
  <c r="J1057" i="6"/>
  <c r="I1057" i="6"/>
  <c r="J1056" i="6"/>
  <c r="I1056" i="6"/>
  <c r="J1055" i="6"/>
  <c r="I1055" i="6"/>
  <c r="J1054" i="6"/>
  <c r="I1054" i="6"/>
  <c r="J1053" i="6"/>
  <c r="I1053" i="6"/>
  <c r="J1052" i="6"/>
  <c r="I1052" i="6"/>
  <c r="J1051" i="6"/>
  <c r="I1051" i="6"/>
  <c r="J1050" i="6"/>
  <c r="I1050" i="6"/>
  <c r="J1049" i="6"/>
  <c r="I1049" i="6"/>
  <c r="J1048" i="6"/>
  <c r="I1048" i="6"/>
  <c r="J1047" i="6"/>
  <c r="I1047" i="6"/>
  <c r="J1046" i="6"/>
  <c r="I1046" i="6"/>
  <c r="J1045" i="6"/>
  <c r="I1045" i="6"/>
  <c r="J1044" i="6"/>
  <c r="I1044" i="6"/>
  <c r="J1043" i="6"/>
  <c r="I1043" i="6"/>
  <c r="J1042" i="6"/>
  <c r="I1042" i="6"/>
  <c r="J1041" i="6"/>
  <c r="I1041" i="6"/>
  <c r="J1040" i="6"/>
  <c r="I1040" i="6"/>
  <c r="J1039" i="6"/>
  <c r="I1039" i="6"/>
  <c r="J1038" i="6"/>
  <c r="I1038" i="6"/>
  <c r="J1037" i="6"/>
  <c r="I1037" i="6"/>
  <c r="J1036" i="6"/>
  <c r="I1036" i="6"/>
  <c r="J1035" i="6"/>
  <c r="I1035" i="6"/>
  <c r="J1034" i="6"/>
  <c r="I1034" i="6"/>
  <c r="J1033" i="6"/>
  <c r="I1033" i="6"/>
  <c r="J1032" i="6"/>
  <c r="I1032" i="6"/>
  <c r="J1031" i="6"/>
  <c r="I1031" i="6"/>
  <c r="J1030" i="6"/>
  <c r="I1030" i="6"/>
  <c r="J1029" i="6"/>
  <c r="I1029" i="6"/>
  <c r="J1028" i="6"/>
  <c r="I1028" i="6"/>
  <c r="J1027" i="6"/>
  <c r="I1027" i="6"/>
  <c r="J1026" i="6"/>
  <c r="I1026" i="6"/>
  <c r="J1025" i="6"/>
  <c r="I1025" i="6"/>
  <c r="J1024" i="6"/>
  <c r="I1024" i="6"/>
  <c r="J1023" i="6"/>
  <c r="I1023" i="6"/>
  <c r="J1022" i="6"/>
  <c r="I1022" i="6"/>
  <c r="J1021" i="6"/>
  <c r="I1021" i="6"/>
  <c r="J1020" i="6"/>
  <c r="I1020" i="6"/>
  <c r="J1019" i="6"/>
  <c r="I1019" i="6"/>
  <c r="J1018" i="6"/>
  <c r="I1018" i="6"/>
  <c r="J1017" i="6"/>
  <c r="I1017" i="6"/>
  <c r="J1016" i="6"/>
  <c r="I1016" i="6"/>
  <c r="J1015" i="6"/>
  <c r="I1015" i="6"/>
  <c r="J1014" i="6"/>
  <c r="I1014" i="6"/>
  <c r="J1013" i="6"/>
  <c r="I1013" i="6"/>
  <c r="J1012" i="6"/>
  <c r="I1012" i="6"/>
  <c r="J1011" i="6"/>
  <c r="I1011" i="6"/>
  <c r="J1010" i="6"/>
  <c r="I1010" i="6"/>
  <c r="J1009" i="6"/>
  <c r="I1009" i="6"/>
  <c r="J1008" i="6"/>
  <c r="I1008" i="6"/>
  <c r="J1007" i="6"/>
  <c r="I1007" i="6"/>
  <c r="J1006" i="6"/>
  <c r="I1006" i="6"/>
  <c r="J1005" i="6"/>
  <c r="I1005" i="6"/>
  <c r="J1004" i="6"/>
  <c r="I1004" i="6"/>
  <c r="J1003" i="6"/>
  <c r="I1003" i="6"/>
  <c r="J1002" i="6"/>
  <c r="I1002" i="6"/>
  <c r="J1001" i="6"/>
  <c r="I1001" i="6"/>
  <c r="J1000" i="6"/>
  <c r="I1000" i="6"/>
  <c r="J999" i="6"/>
  <c r="I999" i="6"/>
  <c r="J998" i="6"/>
  <c r="I998" i="6"/>
  <c r="J997" i="6"/>
  <c r="I997" i="6"/>
  <c r="J996" i="6"/>
  <c r="I996" i="6"/>
  <c r="J995" i="6"/>
  <c r="I995" i="6"/>
  <c r="J994" i="6"/>
  <c r="I994" i="6"/>
  <c r="J993" i="6"/>
  <c r="I993" i="6"/>
  <c r="J992" i="6"/>
  <c r="I992" i="6"/>
  <c r="J991" i="6"/>
  <c r="I991" i="6"/>
  <c r="J990" i="6"/>
  <c r="I990" i="6"/>
  <c r="J989" i="6"/>
  <c r="I989" i="6"/>
  <c r="J988" i="6"/>
  <c r="I988" i="6"/>
  <c r="J987" i="6"/>
  <c r="I987" i="6"/>
  <c r="J986" i="6"/>
  <c r="I986" i="6"/>
  <c r="J985" i="6"/>
  <c r="I985" i="6"/>
  <c r="J984" i="6"/>
  <c r="I984" i="6"/>
  <c r="J983" i="6"/>
  <c r="I983" i="6"/>
  <c r="J982" i="6"/>
  <c r="I982" i="6"/>
  <c r="J981" i="6"/>
  <c r="I981" i="6"/>
  <c r="J980" i="6"/>
  <c r="I980" i="6"/>
  <c r="J979" i="6"/>
  <c r="I979" i="6"/>
  <c r="J978" i="6"/>
  <c r="I978" i="6"/>
  <c r="J977" i="6"/>
  <c r="I977" i="6"/>
  <c r="J976" i="6"/>
  <c r="I976" i="6"/>
  <c r="J975" i="6"/>
  <c r="I975" i="6"/>
  <c r="J974" i="6"/>
  <c r="I974" i="6"/>
  <c r="J973" i="6"/>
  <c r="I973" i="6"/>
  <c r="J972" i="6"/>
  <c r="I972" i="6"/>
  <c r="J971" i="6"/>
  <c r="I971" i="6"/>
  <c r="J970" i="6"/>
  <c r="I970" i="6"/>
  <c r="J969" i="6"/>
  <c r="I969" i="6"/>
  <c r="J968" i="6"/>
  <c r="I968" i="6"/>
  <c r="J967" i="6"/>
  <c r="I967" i="6"/>
  <c r="J966" i="6"/>
  <c r="I966" i="6"/>
  <c r="J965" i="6"/>
  <c r="I965" i="6"/>
  <c r="J964" i="6"/>
  <c r="I964" i="6"/>
  <c r="J963" i="6"/>
  <c r="I963" i="6"/>
  <c r="J962" i="6"/>
  <c r="I962" i="6"/>
  <c r="J961" i="6"/>
  <c r="I961" i="6"/>
  <c r="J960" i="6"/>
  <c r="I960" i="6"/>
  <c r="J959" i="6"/>
  <c r="I959" i="6"/>
  <c r="J958" i="6"/>
  <c r="I958" i="6"/>
  <c r="J957" i="6"/>
  <c r="I957" i="6"/>
  <c r="J956" i="6"/>
  <c r="I956" i="6"/>
  <c r="J955" i="6"/>
  <c r="I955" i="6"/>
  <c r="J954" i="6"/>
  <c r="I954" i="6"/>
  <c r="J953" i="6"/>
  <c r="I953" i="6"/>
  <c r="J952" i="6"/>
  <c r="I952" i="6"/>
  <c r="J951" i="6"/>
  <c r="I951" i="6"/>
  <c r="J950" i="6"/>
  <c r="I950" i="6"/>
  <c r="J949" i="6"/>
  <c r="I949" i="6"/>
  <c r="J948" i="6"/>
  <c r="I948" i="6"/>
  <c r="J947" i="6"/>
  <c r="I947" i="6"/>
  <c r="J946" i="6"/>
  <c r="I946" i="6"/>
  <c r="J945" i="6"/>
  <c r="I945" i="6"/>
  <c r="J944" i="6"/>
  <c r="I944" i="6"/>
  <c r="J943" i="6"/>
  <c r="I943" i="6"/>
  <c r="J942" i="6"/>
  <c r="I942" i="6"/>
  <c r="J941" i="6"/>
  <c r="I941" i="6"/>
  <c r="J940" i="6"/>
  <c r="I940" i="6"/>
  <c r="J939" i="6"/>
  <c r="I939" i="6"/>
  <c r="J938" i="6"/>
  <c r="I938" i="6"/>
  <c r="J937" i="6"/>
  <c r="I937" i="6"/>
  <c r="J936" i="6"/>
  <c r="I936" i="6"/>
  <c r="J935" i="6"/>
  <c r="I935" i="6"/>
  <c r="J934" i="6"/>
  <c r="I934" i="6"/>
  <c r="J933" i="6"/>
  <c r="I933" i="6"/>
  <c r="J932" i="6"/>
  <c r="I932" i="6"/>
  <c r="J931" i="6"/>
  <c r="I931" i="6"/>
  <c r="J930" i="6"/>
  <c r="I930" i="6"/>
  <c r="J929" i="6"/>
  <c r="I929" i="6"/>
  <c r="J928" i="6"/>
  <c r="I928" i="6"/>
  <c r="J927" i="6"/>
  <c r="I927" i="6"/>
  <c r="J926" i="6"/>
  <c r="I926" i="6"/>
  <c r="J925" i="6"/>
  <c r="I925" i="6"/>
  <c r="J924" i="6"/>
  <c r="I924" i="6"/>
  <c r="J923" i="6"/>
  <c r="I923" i="6"/>
  <c r="J922" i="6"/>
  <c r="I922" i="6"/>
  <c r="J921" i="6"/>
  <c r="I921" i="6"/>
  <c r="J920" i="6"/>
  <c r="I920" i="6"/>
  <c r="J919" i="6"/>
  <c r="I919" i="6"/>
  <c r="J918" i="6"/>
  <c r="I918" i="6"/>
  <c r="J917" i="6"/>
  <c r="I917" i="6"/>
  <c r="J916" i="6"/>
  <c r="I916" i="6"/>
  <c r="J915" i="6"/>
  <c r="I915" i="6"/>
  <c r="J914" i="6"/>
  <c r="I914" i="6"/>
  <c r="J913" i="6"/>
  <c r="I913" i="6"/>
  <c r="J912" i="6"/>
  <c r="I912" i="6"/>
  <c r="J911" i="6"/>
  <c r="I911" i="6"/>
  <c r="J910" i="6"/>
  <c r="I910" i="6"/>
  <c r="J909" i="6"/>
  <c r="I909" i="6"/>
  <c r="J908" i="6"/>
  <c r="I908" i="6"/>
  <c r="J907" i="6"/>
  <c r="I907" i="6"/>
  <c r="J906" i="6"/>
  <c r="I906" i="6"/>
  <c r="J905" i="6"/>
  <c r="I905" i="6"/>
  <c r="J904" i="6"/>
  <c r="I904" i="6"/>
  <c r="J903" i="6"/>
  <c r="I903" i="6"/>
  <c r="J902" i="6"/>
  <c r="I902" i="6"/>
  <c r="J901" i="6"/>
  <c r="I901" i="6"/>
  <c r="J900" i="6"/>
  <c r="I900" i="6"/>
  <c r="J899" i="6"/>
  <c r="I899" i="6"/>
  <c r="J898" i="6"/>
  <c r="I898" i="6"/>
  <c r="J897" i="6"/>
  <c r="I897" i="6"/>
  <c r="J896" i="6"/>
  <c r="I896" i="6"/>
  <c r="J895" i="6"/>
  <c r="I895" i="6"/>
  <c r="J894" i="6"/>
  <c r="I894" i="6"/>
  <c r="J893" i="6"/>
  <c r="I893" i="6"/>
  <c r="J892" i="6"/>
  <c r="I892" i="6"/>
  <c r="J891" i="6"/>
  <c r="I891" i="6"/>
  <c r="J890" i="6"/>
  <c r="I890" i="6"/>
  <c r="J889" i="6"/>
  <c r="I889" i="6"/>
  <c r="J888" i="6"/>
  <c r="I888" i="6"/>
  <c r="J887" i="6"/>
  <c r="I887" i="6"/>
  <c r="J886" i="6"/>
  <c r="I886" i="6"/>
  <c r="J885" i="6"/>
  <c r="I885" i="6"/>
  <c r="J884" i="6"/>
  <c r="I884" i="6"/>
  <c r="J883" i="6"/>
  <c r="I883" i="6"/>
  <c r="J882" i="6"/>
  <c r="I882" i="6"/>
  <c r="J881" i="6"/>
  <c r="I881" i="6"/>
  <c r="J880" i="6"/>
  <c r="I880" i="6"/>
  <c r="J879" i="6"/>
  <c r="I879" i="6"/>
  <c r="J878" i="6"/>
  <c r="I878" i="6"/>
  <c r="J877" i="6"/>
  <c r="I877" i="6"/>
  <c r="J876" i="6"/>
  <c r="I876" i="6"/>
  <c r="J875" i="6"/>
  <c r="I875" i="6"/>
  <c r="J874" i="6"/>
  <c r="I874" i="6"/>
  <c r="J873" i="6"/>
  <c r="I873" i="6"/>
  <c r="J872" i="6"/>
  <c r="I872" i="6"/>
  <c r="J871" i="6"/>
  <c r="I871" i="6"/>
  <c r="J870" i="6"/>
  <c r="I870" i="6"/>
  <c r="J869" i="6"/>
  <c r="I869" i="6"/>
  <c r="J868" i="6"/>
  <c r="I868" i="6"/>
  <c r="J867" i="6"/>
  <c r="I867" i="6"/>
  <c r="J866" i="6"/>
  <c r="I866" i="6"/>
  <c r="J865" i="6"/>
  <c r="I865" i="6"/>
  <c r="J864" i="6"/>
  <c r="I864" i="6"/>
  <c r="J863" i="6"/>
  <c r="I863" i="6"/>
  <c r="J862" i="6"/>
  <c r="I862" i="6"/>
  <c r="J861" i="6"/>
  <c r="I861" i="6"/>
  <c r="J860" i="6"/>
  <c r="I860" i="6"/>
  <c r="J859" i="6"/>
  <c r="I859" i="6"/>
  <c r="J858" i="6"/>
  <c r="I858" i="6"/>
  <c r="J857" i="6"/>
  <c r="I857" i="6"/>
  <c r="J856" i="6"/>
  <c r="I856" i="6"/>
  <c r="J855" i="6"/>
  <c r="I855" i="6"/>
  <c r="J854" i="6"/>
  <c r="I854" i="6"/>
  <c r="J853" i="6"/>
  <c r="I853" i="6"/>
  <c r="J852" i="6"/>
  <c r="I852" i="6"/>
  <c r="J851" i="6"/>
  <c r="I851" i="6"/>
  <c r="J850" i="6"/>
  <c r="I850" i="6"/>
  <c r="J849" i="6"/>
  <c r="I849" i="6"/>
  <c r="J848" i="6"/>
  <c r="I848" i="6"/>
  <c r="J847" i="6"/>
  <c r="I847" i="6"/>
  <c r="J846" i="6"/>
  <c r="I846" i="6"/>
  <c r="J845" i="6"/>
  <c r="I845" i="6"/>
  <c r="J844" i="6"/>
  <c r="I844" i="6"/>
  <c r="J843" i="6"/>
  <c r="I843" i="6"/>
  <c r="J842" i="6"/>
  <c r="I842" i="6"/>
  <c r="J841" i="6"/>
  <c r="I841" i="6"/>
  <c r="J840" i="6"/>
  <c r="I840" i="6"/>
  <c r="J839" i="6"/>
  <c r="I839" i="6"/>
  <c r="J838" i="6"/>
  <c r="I838" i="6"/>
  <c r="J837" i="6"/>
  <c r="I837" i="6"/>
  <c r="J836" i="6"/>
  <c r="I836" i="6"/>
  <c r="J835" i="6"/>
  <c r="I835" i="6"/>
  <c r="J834" i="6"/>
  <c r="I834" i="6"/>
  <c r="J833" i="6"/>
  <c r="I833" i="6"/>
  <c r="J832" i="6"/>
  <c r="I832" i="6"/>
  <c r="J831" i="6"/>
  <c r="I831" i="6"/>
  <c r="J830" i="6"/>
  <c r="I830" i="6"/>
  <c r="J829" i="6"/>
  <c r="I829" i="6"/>
  <c r="J828" i="6"/>
  <c r="I828" i="6"/>
  <c r="J827" i="6"/>
  <c r="I827" i="6"/>
  <c r="J826" i="6"/>
  <c r="I826" i="6"/>
  <c r="J825" i="6"/>
  <c r="I825" i="6"/>
  <c r="J824" i="6"/>
  <c r="I824" i="6"/>
  <c r="J823" i="6"/>
  <c r="I823" i="6"/>
  <c r="J822" i="6"/>
  <c r="I822" i="6"/>
  <c r="J821" i="6"/>
  <c r="I821" i="6"/>
  <c r="J820" i="6"/>
  <c r="I820" i="6"/>
  <c r="J819" i="6"/>
  <c r="I819" i="6"/>
  <c r="J818" i="6"/>
  <c r="I818" i="6"/>
  <c r="J817" i="6"/>
  <c r="I817" i="6"/>
  <c r="J816" i="6"/>
  <c r="I816" i="6"/>
  <c r="J815" i="6"/>
  <c r="I815" i="6"/>
  <c r="J814" i="6"/>
  <c r="I814" i="6"/>
  <c r="J813" i="6"/>
  <c r="I813" i="6"/>
  <c r="J812" i="6"/>
  <c r="I812" i="6"/>
  <c r="J811" i="6"/>
  <c r="I811" i="6"/>
  <c r="J810" i="6"/>
  <c r="I810" i="6"/>
  <c r="J809" i="6"/>
  <c r="I809" i="6"/>
  <c r="J808" i="6"/>
  <c r="I808" i="6"/>
  <c r="J807" i="6"/>
  <c r="I807" i="6"/>
  <c r="J806" i="6"/>
  <c r="I806" i="6"/>
  <c r="J805" i="6"/>
  <c r="I805" i="6"/>
  <c r="J804" i="6"/>
  <c r="I804" i="6"/>
  <c r="J803" i="6"/>
  <c r="I803" i="6"/>
  <c r="J802" i="6"/>
  <c r="I802" i="6"/>
  <c r="J801" i="6"/>
  <c r="I801" i="6"/>
  <c r="J800" i="6"/>
  <c r="I800" i="6"/>
  <c r="J799" i="6"/>
  <c r="I799" i="6"/>
  <c r="J798" i="6"/>
  <c r="I798" i="6"/>
  <c r="J797" i="6"/>
  <c r="I797" i="6"/>
  <c r="J796" i="6"/>
  <c r="I796" i="6"/>
  <c r="J795" i="6"/>
  <c r="I795" i="6"/>
  <c r="J794" i="6"/>
  <c r="I794" i="6"/>
  <c r="J793" i="6"/>
  <c r="I793" i="6"/>
  <c r="J792" i="6"/>
  <c r="I792" i="6"/>
  <c r="J791" i="6"/>
  <c r="I791" i="6"/>
  <c r="J790" i="6"/>
  <c r="I790" i="6"/>
  <c r="J789" i="6"/>
  <c r="I789" i="6"/>
  <c r="J788" i="6"/>
  <c r="I788" i="6"/>
  <c r="J787" i="6"/>
  <c r="I787" i="6"/>
  <c r="J786" i="6"/>
  <c r="I786" i="6"/>
  <c r="J785" i="6"/>
  <c r="I785" i="6"/>
  <c r="J784" i="6"/>
  <c r="I784" i="6"/>
  <c r="J783" i="6"/>
  <c r="I783" i="6"/>
  <c r="J782" i="6"/>
  <c r="I782" i="6"/>
  <c r="J781" i="6"/>
  <c r="I781" i="6"/>
  <c r="J780" i="6"/>
  <c r="I780" i="6"/>
  <c r="J779" i="6"/>
  <c r="I779" i="6"/>
  <c r="J778" i="6"/>
  <c r="I778" i="6"/>
  <c r="J777" i="6"/>
  <c r="I777" i="6"/>
  <c r="J776" i="6"/>
  <c r="I776" i="6"/>
  <c r="J775" i="6"/>
  <c r="I775" i="6"/>
  <c r="J774" i="6"/>
  <c r="I774" i="6"/>
  <c r="J773" i="6"/>
  <c r="I773" i="6"/>
  <c r="J772" i="6"/>
  <c r="I772" i="6"/>
  <c r="J771" i="6"/>
  <c r="I771" i="6"/>
  <c r="J770" i="6"/>
  <c r="I770" i="6"/>
  <c r="J769" i="6"/>
  <c r="I769" i="6"/>
  <c r="J768" i="6"/>
  <c r="I768" i="6"/>
  <c r="J767" i="6"/>
  <c r="I767" i="6"/>
  <c r="J766" i="6"/>
  <c r="I766" i="6"/>
  <c r="J765" i="6"/>
  <c r="I765" i="6"/>
  <c r="J764" i="6"/>
  <c r="I764" i="6"/>
  <c r="J763" i="6"/>
  <c r="I763" i="6"/>
  <c r="J762" i="6"/>
  <c r="I762" i="6"/>
  <c r="J761" i="6"/>
  <c r="I761" i="6"/>
  <c r="J760" i="6"/>
  <c r="I760" i="6"/>
  <c r="J759" i="6"/>
  <c r="I759" i="6"/>
  <c r="J758" i="6"/>
  <c r="I758" i="6"/>
  <c r="J757" i="6"/>
  <c r="I757" i="6"/>
  <c r="J756" i="6"/>
  <c r="I756" i="6"/>
  <c r="J755" i="6"/>
  <c r="I755" i="6"/>
  <c r="J754" i="6"/>
  <c r="I754" i="6"/>
  <c r="J753" i="6"/>
  <c r="I753" i="6"/>
  <c r="J752" i="6"/>
  <c r="I752" i="6"/>
  <c r="J751" i="6"/>
  <c r="I751" i="6"/>
  <c r="J750" i="6"/>
  <c r="I750" i="6"/>
  <c r="J749" i="6"/>
  <c r="I749" i="6"/>
  <c r="J748" i="6"/>
  <c r="I748" i="6"/>
  <c r="J747" i="6"/>
  <c r="I747" i="6"/>
  <c r="J746" i="6"/>
  <c r="I746" i="6"/>
  <c r="J745" i="6"/>
  <c r="I745" i="6"/>
  <c r="J744" i="6"/>
  <c r="I744" i="6"/>
  <c r="J743" i="6"/>
  <c r="I743" i="6"/>
  <c r="J742" i="6"/>
  <c r="I742" i="6"/>
  <c r="J741" i="6"/>
  <c r="I741" i="6"/>
  <c r="J740" i="6"/>
  <c r="I740" i="6"/>
  <c r="J739" i="6"/>
  <c r="I739" i="6"/>
  <c r="J738" i="6"/>
  <c r="I738" i="6"/>
  <c r="J737" i="6"/>
  <c r="I737" i="6"/>
  <c r="J736" i="6"/>
  <c r="I736" i="6"/>
  <c r="J735" i="6"/>
  <c r="I735" i="6"/>
  <c r="J734" i="6"/>
  <c r="I734" i="6"/>
  <c r="J733" i="6"/>
  <c r="I733" i="6"/>
  <c r="J732" i="6"/>
  <c r="I732" i="6"/>
  <c r="J731" i="6"/>
  <c r="I731" i="6"/>
  <c r="J730" i="6"/>
  <c r="I730" i="6"/>
  <c r="J729" i="6"/>
  <c r="I729" i="6"/>
  <c r="J728" i="6"/>
  <c r="I728" i="6"/>
  <c r="J727" i="6"/>
  <c r="I727" i="6"/>
  <c r="J726" i="6"/>
  <c r="I726" i="6"/>
  <c r="J725" i="6"/>
  <c r="I725" i="6"/>
  <c r="J724" i="6"/>
  <c r="I724" i="6"/>
  <c r="J723" i="6"/>
  <c r="I723" i="6"/>
  <c r="J722" i="6"/>
  <c r="I722" i="6"/>
  <c r="J721" i="6"/>
  <c r="I721" i="6"/>
  <c r="J720" i="6"/>
  <c r="I720" i="6"/>
  <c r="J719" i="6"/>
  <c r="I719" i="6"/>
  <c r="J718" i="6"/>
  <c r="I718" i="6"/>
  <c r="J717" i="6"/>
  <c r="I717" i="6"/>
  <c r="J716" i="6"/>
  <c r="I716" i="6"/>
  <c r="J715" i="6"/>
  <c r="I715" i="6"/>
  <c r="J714" i="6"/>
  <c r="I714" i="6"/>
  <c r="J713" i="6"/>
  <c r="I713" i="6"/>
  <c r="J712" i="6"/>
  <c r="I712" i="6"/>
  <c r="J711" i="6"/>
  <c r="I711" i="6"/>
  <c r="J710" i="6"/>
  <c r="I710" i="6"/>
  <c r="J709" i="6"/>
  <c r="I709" i="6"/>
  <c r="J708" i="6"/>
  <c r="I708" i="6"/>
  <c r="J707" i="6"/>
  <c r="I707" i="6"/>
  <c r="J706" i="6"/>
  <c r="I706" i="6"/>
  <c r="J705" i="6"/>
  <c r="I705" i="6"/>
  <c r="J704" i="6"/>
  <c r="I704" i="6"/>
  <c r="J703" i="6"/>
  <c r="I703" i="6"/>
  <c r="J702" i="6"/>
  <c r="I702" i="6"/>
  <c r="J701" i="6"/>
  <c r="I701" i="6"/>
  <c r="J700" i="6"/>
  <c r="I700" i="6"/>
  <c r="J699" i="6"/>
  <c r="I699" i="6"/>
  <c r="J698" i="6"/>
  <c r="I698" i="6"/>
  <c r="J697" i="6"/>
  <c r="I697" i="6"/>
  <c r="J696" i="6"/>
  <c r="I696" i="6"/>
  <c r="J695" i="6"/>
  <c r="I695" i="6"/>
  <c r="J694" i="6"/>
  <c r="I694" i="6"/>
  <c r="J693" i="6"/>
  <c r="I693" i="6"/>
  <c r="J692" i="6"/>
  <c r="I692" i="6"/>
  <c r="J691" i="6"/>
  <c r="I691" i="6"/>
  <c r="J690" i="6"/>
  <c r="I690" i="6"/>
  <c r="J689" i="6"/>
  <c r="I689" i="6"/>
  <c r="J688" i="6"/>
  <c r="I688" i="6"/>
  <c r="J687" i="6"/>
  <c r="I687" i="6"/>
  <c r="J686" i="6"/>
  <c r="I686" i="6"/>
  <c r="J685" i="6"/>
  <c r="I685" i="6"/>
  <c r="J684" i="6"/>
  <c r="I684" i="6"/>
  <c r="J683" i="6"/>
  <c r="I683" i="6"/>
  <c r="J682" i="6"/>
  <c r="I682" i="6"/>
  <c r="J681" i="6"/>
  <c r="I681" i="6"/>
  <c r="J680" i="6"/>
  <c r="I680" i="6"/>
  <c r="J679" i="6"/>
  <c r="I679" i="6"/>
  <c r="J678" i="6"/>
  <c r="I678" i="6"/>
  <c r="J677" i="6"/>
  <c r="I677" i="6"/>
  <c r="J676" i="6"/>
  <c r="I676" i="6"/>
  <c r="J675" i="6"/>
  <c r="I675" i="6"/>
  <c r="J674" i="6"/>
  <c r="I674" i="6"/>
  <c r="J673" i="6"/>
  <c r="I673" i="6"/>
  <c r="J672" i="6"/>
  <c r="I672" i="6"/>
  <c r="J671" i="6"/>
  <c r="I671" i="6"/>
  <c r="J670" i="6"/>
  <c r="I670" i="6"/>
  <c r="J669" i="6"/>
  <c r="I669" i="6"/>
  <c r="J668" i="6"/>
  <c r="I668" i="6"/>
  <c r="J667" i="6"/>
  <c r="I667" i="6"/>
  <c r="J666" i="6"/>
  <c r="I666" i="6"/>
  <c r="J665" i="6"/>
  <c r="I665" i="6"/>
  <c r="J664" i="6"/>
  <c r="I664" i="6"/>
  <c r="J663" i="6"/>
  <c r="I663" i="6"/>
  <c r="J662" i="6"/>
  <c r="I662" i="6"/>
  <c r="J661" i="6"/>
  <c r="I661" i="6"/>
  <c r="J660" i="6"/>
  <c r="I660" i="6"/>
  <c r="J659" i="6"/>
  <c r="I659" i="6"/>
  <c r="J658" i="6"/>
  <c r="I658" i="6"/>
  <c r="J657" i="6"/>
  <c r="I657" i="6"/>
  <c r="J656" i="6"/>
  <c r="I656" i="6"/>
  <c r="J655" i="6"/>
  <c r="I655" i="6"/>
  <c r="J654" i="6"/>
  <c r="I654" i="6"/>
  <c r="J653" i="6"/>
  <c r="I653" i="6"/>
  <c r="J652" i="6"/>
  <c r="I652" i="6"/>
  <c r="J651" i="6"/>
  <c r="I651" i="6"/>
  <c r="J650" i="6"/>
  <c r="I650" i="6"/>
  <c r="J649" i="6"/>
  <c r="I649" i="6"/>
  <c r="J648" i="6"/>
  <c r="I648" i="6"/>
  <c r="J647" i="6"/>
  <c r="I647" i="6"/>
  <c r="J646" i="6"/>
  <c r="I646" i="6"/>
  <c r="J645" i="6"/>
  <c r="I645" i="6"/>
  <c r="J644" i="6"/>
  <c r="I644" i="6"/>
  <c r="J643" i="6"/>
  <c r="I643" i="6"/>
  <c r="J642" i="6"/>
  <c r="I642" i="6"/>
  <c r="J641" i="6"/>
  <c r="I641" i="6"/>
  <c r="J640" i="6"/>
  <c r="I640" i="6"/>
  <c r="J639" i="6"/>
  <c r="I639" i="6"/>
  <c r="J638" i="6"/>
  <c r="I638" i="6"/>
  <c r="J637" i="6"/>
  <c r="I637" i="6"/>
  <c r="J636" i="6"/>
  <c r="I636" i="6"/>
  <c r="J635" i="6"/>
  <c r="I635" i="6"/>
  <c r="J634" i="6"/>
  <c r="I634" i="6"/>
  <c r="J633" i="6"/>
  <c r="I633" i="6"/>
  <c r="J632" i="6"/>
  <c r="I632" i="6"/>
  <c r="J631" i="6"/>
  <c r="I631" i="6"/>
  <c r="J630" i="6"/>
  <c r="I630" i="6"/>
  <c r="J629" i="6"/>
  <c r="I629" i="6"/>
  <c r="J628" i="6"/>
  <c r="I628" i="6"/>
  <c r="J627" i="6"/>
  <c r="I627" i="6"/>
  <c r="J626" i="6"/>
  <c r="I626" i="6"/>
  <c r="J625" i="6"/>
  <c r="I625" i="6"/>
  <c r="J624" i="6"/>
  <c r="I624" i="6"/>
  <c r="J623" i="6"/>
  <c r="I623" i="6"/>
  <c r="J622" i="6"/>
  <c r="I622" i="6"/>
  <c r="J621" i="6"/>
  <c r="I621" i="6"/>
  <c r="J620" i="6"/>
  <c r="I620" i="6"/>
  <c r="J619" i="6"/>
  <c r="I619" i="6"/>
  <c r="J618" i="6"/>
  <c r="I618" i="6"/>
  <c r="J617" i="6"/>
  <c r="I617" i="6"/>
  <c r="J616" i="6"/>
  <c r="I616" i="6"/>
  <c r="J615" i="6"/>
  <c r="I615" i="6"/>
  <c r="J614" i="6"/>
  <c r="I614" i="6"/>
  <c r="J613" i="6"/>
  <c r="I613" i="6"/>
  <c r="J612" i="6"/>
  <c r="I612" i="6"/>
  <c r="J611" i="6"/>
  <c r="I611" i="6"/>
  <c r="J610" i="6"/>
  <c r="I610" i="6"/>
  <c r="J609" i="6"/>
  <c r="I609" i="6"/>
  <c r="J608" i="6"/>
  <c r="I608" i="6"/>
  <c r="J607" i="6"/>
  <c r="I607" i="6"/>
  <c r="J606" i="6"/>
  <c r="I606" i="6"/>
  <c r="J605" i="6"/>
  <c r="I605" i="6"/>
  <c r="J604" i="6"/>
  <c r="I604" i="6"/>
  <c r="J603" i="6"/>
  <c r="I603" i="6"/>
  <c r="J602" i="6"/>
  <c r="I602" i="6"/>
  <c r="J601" i="6"/>
  <c r="I601" i="6"/>
  <c r="J600" i="6"/>
  <c r="I600" i="6"/>
  <c r="J599" i="6"/>
  <c r="I599" i="6"/>
  <c r="J598" i="6"/>
  <c r="I598" i="6"/>
  <c r="J597" i="6"/>
  <c r="I597" i="6"/>
  <c r="J596" i="6"/>
  <c r="I596" i="6"/>
  <c r="J595" i="6"/>
  <c r="I595" i="6"/>
  <c r="J594" i="6"/>
  <c r="I594" i="6"/>
  <c r="J593" i="6"/>
  <c r="I593" i="6"/>
  <c r="J592" i="6"/>
  <c r="I592" i="6"/>
  <c r="J591" i="6"/>
  <c r="I591" i="6"/>
  <c r="J590" i="6"/>
  <c r="I590" i="6"/>
  <c r="J589" i="6"/>
  <c r="I589" i="6"/>
  <c r="J588" i="6"/>
  <c r="I588" i="6"/>
  <c r="J587" i="6"/>
  <c r="I587" i="6"/>
  <c r="J586" i="6"/>
  <c r="I586" i="6"/>
  <c r="J585" i="6"/>
  <c r="I585" i="6"/>
  <c r="J584" i="6"/>
  <c r="I584" i="6"/>
  <c r="J583" i="6"/>
  <c r="I583" i="6"/>
  <c r="J582" i="6"/>
  <c r="I582" i="6"/>
  <c r="J581" i="6"/>
  <c r="I581" i="6"/>
  <c r="J580" i="6"/>
  <c r="I580" i="6"/>
  <c r="J579" i="6"/>
  <c r="I579" i="6"/>
  <c r="J578" i="6"/>
  <c r="I578" i="6"/>
  <c r="J577" i="6"/>
  <c r="I577" i="6"/>
  <c r="J576" i="6"/>
  <c r="I576" i="6"/>
  <c r="J575" i="6"/>
  <c r="I575" i="6"/>
  <c r="J574" i="6"/>
  <c r="I574" i="6"/>
  <c r="J573" i="6"/>
  <c r="I573" i="6"/>
  <c r="J572" i="6"/>
  <c r="I572" i="6"/>
  <c r="J571" i="6"/>
  <c r="I571" i="6"/>
  <c r="J570" i="6"/>
  <c r="I570" i="6"/>
  <c r="J569" i="6"/>
  <c r="I569" i="6"/>
  <c r="J568" i="6"/>
  <c r="I568" i="6"/>
  <c r="J567" i="6"/>
  <c r="I567" i="6"/>
  <c r="J566" i="6"/>
  <c r="I566" i="6"/>
  <c r="J565" i="6"/>
  <c r="I565" i="6"/>
  <c r="J564" i="6"/>
  <c r="I564" i="6"/>
  <c r="J563" i="6"/>
  <c r="I563" i="6"/>
  <c r="J562" i="6"/>
  <c r="I562" i="6"/>
  <c r="J561" i="6"/>
  <c r="I561" i="6"/>
  <c r="J560" i="6"/>
  <c r="I560" i="6"/>
  <c r="J559" i="6"/>
  <c r="I559" i="6"/>
  <c r="J558" i="6"/>
  <c r="I558" i="6"/>
  <c r="J557" i="6"/>
  <c r="I557" i="6"/>
  <c r="J556" i="6"/>
  <c r="I556" i="6"/>
  <c r="J555" i="6"/>
  <c r="I555" i="6"/>
  <c r="J554" i="6"/>
  <c r="I554" i="6"/>
  <c r="J553" i="6"/>
  <c r="I553" i="6"/>
  <c r="J552" i="6"/>
  <c r="I552" i="6"/>
  <c r="J551" i="6"/>
  <c r="I551" i="6"/>
  <c r="J550" i="6"/>
  <c r="I550" i="6"/>
  <c r="J549" i="6"/>
  <c r="I549" i="6"/>
  <c r="J548" i="6"/>
  <c r="I548" i="6"/>
  <c r="J547" i="6"/>
  <c r="I547" i="6"/>
  <c r="J546" i="6"/>
  <c r="I546" i="6"/>
  <c r="J545" i="6"/>
  <c r="I545" i="6"/>
  <c r="J544" i="6"/>
  <c r="I544" i="6"/>
  <c r="J543" i="6"/>
  <c r="I543" i="6"/>
  <c r="J542" i="6"/>
  <c r="I542" i="6"/>
  <c r="J541" i="6"/>
  <c r="I541" i="6"/>
  <c r="J540" i="6"/>
  <c r="I540" i="6"/>
  <c r="J539" i="6"/>
  <c r="I539" i="6"/>
  <c r="J538" i="6"/>
  <c r="I538" i="6"/>
  <c r="J537" i="6"/>
  <c r="I537" i="6"/>
  <c r="J536" i="6"/>
  <c r="I536" i="6"/>
  <c r="J535" i="6"/>
  <c r="I535" i="6"/>
  <c r="J534" i="6"/>
  <c r="I534" i="6"/>
  <c r="J533" i="6"/>
  <c r="I533" i="6"/>
  <c r="J532" i="6"/>
  <c r="I532" i="6"/>
  <c r="J531" i="6"/>
  <c r="I531" i="6"/>
  <c r="J530" i="6"/>
  <c r="I530" i="6"/>
  <c r="J529" i="6"/>
  <c r="I529" i="6"/>
  <c r="J528" i="6"/>
  <c r="I528" i="6"/>
  <c r="J527" i="6"/>
  <c r="I527" i="6"/>
  <c r="J526" i="6"/>
  <c r="I526" i="6"/>
  <c r="J525" i="6"/>
  <c r="I525" i="6"/>
  <c r="J524" i="6"/>
  <c r="I524" i="6"/>
  <c r="J523" i="6"/>
  <c r="I523" i="6"/>
  <c r="J522" i="6"/>
  <c r="I522" i="6"/>
  <c r="J521" i="6"/>
  <c r="I521" i="6"/>
  <c r="J520" i="6"/>
  <c r="I520" i="6"/>
  <c r="J519" i="6"/>
  <c r="I519" i="6"/>
  <c r="J518" i="6"/>
  <c r="I518" i="6"/>
  <c r="J517" i="6"/>
  <c r="I517" i="6"/>
  <c r="J516" i="6"/>
  <c r="I516" i="6"/>
  <c r="J515" i="6"/>
  <c r="I515" i="6"/>
  <c r="J514" i="6"/>
  <c r="I514" i="6"/>
  <c r="J513" i="6"/>
  <c r="I513" i="6"/>
  <c r="J512" i="6"/>
  <c r="I512" i="6"/>
  <c r="J511" i="6"/>
  <c r="I511" i="6"/>
  <c r="J510" i="6"/>
  <c r="I510" i="6"/>
  <c r="J509" i="6"/>
  <c r="I509" i="6"/>
  <c r="J508" i="6"/>
  <c r="I508" i="6"/>
  <c r="J507" i="6"/>
  <c r="I507" i="6"/>
  <c r="J506" i="6"/>
  <c r="I506" i="6"/>
  <c r="J505" i="6"/>
  <c r="I505" i="6"/>
  <c r="J504" i="6"/>
  <c r="I504" i="6"/>
  <c r="J503" i="6"/>
  <c r="I503" i="6"/>
  <c r="J502" i="6"/>
  <c r="I502" i="6"/>
  <c r="J501" i="6"/>
  <c r="I501" i="6"/>
  <c r="J500" i="6"/>
  <c r="I500" i="6"/>
  <c r="J499" i="6"/>
  <c r="I499" i="6"/>
  <c r="J498" i="6"/>
  <c r="I498" i="6"/>
  <c r="J497" i="6"/>
  <c r="I497" i="6"/>
  <c r="J496" i="6"/>
  <c r="I496" i="6"/>
  <c r="J495" i="6"/>
  <c r="I495" i="6"/>
  <c r="J494" i="6"/>
  <c r="I494" i="6"/>
  <c r="J493" i="6"/>
  <c r="I493" i="6"/>
  <c r="J492" i="6"/>
  <c r="I492" i="6"/>
  <c r="J491" i="6"/>
  <c r="I491" i="6"/>
  <c r="J490" i="6"/>
  <c r="I490" i="6"/>
  <c r="J489" i="6"/>
  <c r="I489" i="6"/>
  <c r="J488" i="6"/>
  <c r="I488" i="6"/>
  <c r="J487" i="6"/>
  <c r="I487" i="6"/>
  <c r="J486" i="6"/>
  <c r="I486" i="6"/>
  <c r="J485" i="6"/>
  <c r="I485" i="6"/>
  <c r="J484" i="6"/>
  <c r="I484" i="6"/>
  <c r="J483" i="6"/>
  <c r="I483" i="6"/>
  <c r="J482" i="6"/>
  <c r="I482" i="6"/>
  <c r="J481" i="6"/>
  <c r="I481" i="6"/>
  <c r="J480" i="6"/>
  <c r="I480" i="6"/>
  <c r="J479" i="6"/>
  <c r="I479" i="6"/>
  <c r="J478" i="6"/>
  <c r="I478" i="6"/>
  <c r="J477" i="6"/>
  <c r="I477" i="6"/>
  <c r="J476" i="6"/>
  <c r="I476" i="6"/>
  <c r="J475" i="6"/>
  <c r="I475" i="6"/>
  <c r="J474" i="6"/>
  <c r="I474" i="6"/>
  <c r="J473" i="6"/>
  <c r="I473" i="6"/>
  <c r="J472" i="6"/>
  <c r="I472" i="6"/>
  <c r="J471" i="6"/>
  <c r="I471" i="6"/>
  <c r="J470" i="6"/>
  <c r="I470" i="6"/>
  <c r="J469" i="6"/>
  <c r="I469" i="6"/>
  <c r="J468" i="6"/>
  <c r="I468" i="6"/>
  <c r="J467" i="6"/>
  <c r="I467" i="6"/>
  <c r="J466" i="6"/>
  <c r="I466" i="6"/>
  <c r="J465" i="6"/>
  <c r="I465" i="6"/>
  <c r="J464" i="6"/>
  <c r="I464" i="6"/>
  <c r="J463" i="6"/>
  <c r="I463" i="6"/>
  <c r="J462" i="6"/>
  <c r="I462" i="6"/>
  <c r="J461" i="6"/>
  <c r="I461" i="6"/>
  <c r="J460" i="6"/>
  <c r="I460" i="6"/>
  <c r="J459" i="6"/>
  <c r="I459" i="6"/>
  <c r="J458" i="6"/>
  <c r="I458" i="6"/>
  <c r="J457" i="6"/>
  <c r="I457" i="6"/>
  <c r="J456" i="6"/>
  <c r="I456" i="6"/>
  <c r="J455" i="6"/>
  <c r="I455" i="6"/>
  <c r="J454" i="6"/>
  <c r="I454" i="6"/>
  <c r="J453" i="6"/>
  <c r="I453" i="6"/>
  <c r="J452" i="6"/>
  <c r="I452" i="6"/>
  <c r="J451" i="6"/>
  <c r="I451" i="6"/>
  <c r="J450" i="6"/>
  <c r="I450" i="6"/>
  <c r="J449" i="6"/>
  <c r="I449" i="6"/>
  <c r="J448" i="6"/>
  <c r="I448" i="6"/>
  <c r="J447" i="6"/>
  <c r="I447" i="6"/>
  <c r="J446" i="6"/>
  <c r="I446" i="6"/>
  <c r="J445" i="6"/>
  <c r="I445" i="6"/>
  <c r="J444" i="6"/>
  <c r="I444" i="6"/>
  <c r="J443" i="6"/>
  <c r="I443" i="6"/>
  <c r="J442" i="6"/>
  <c r="I442" i="6"/>
  <c r="J441" i="6"/>
  <c r="I441" i="6"/>
  <c r="J440" i="6"/>
  <c r="I440" i="6"/>
  <c r="J439" i="6"/>
  <c r="I439" i="6"/>
  <c r="J438" i="6"/>
  <c r="I438" i="6"/>
  <c r="J437" i="6"/>
  <c r="I437" i="6"/>
  <c r="J436" i="6"/>
  <c r="I436" i="6"/>
  <c r="J435" i="6"/>
  <c r="I435" i="6"/>
  <c r="J434" i="6"/>
  <c r="I434" i="6"/>
  <c r="J433" i="6"/>
  <c r="I433" i="6"/>
  <c r="J432" i="6"/>
  <c r="I432" i="6"/>
  <c r="J431" i="6"/>
  <c r="I431" i="6"/>
  <c r="J430" i="6"/>
  <c r="I430" i="6"/>
  <c r="J429" i="6"/>
  <c r="I429" i="6"/>
  <c r="J428" i="6"/>
  <c r="I428" i="6"/>
  <c r="J427" i="6"/>
  <c r="I427" i="6"/>
  <c r="J426" i="6"/>
  <c r="I426" i="6"/>
  <c r="J425" i="6"/>
  <c r="I425" i="6"/>
  <c r="J424" i="6"/>
  <c r="I424" i="6"/>
  <c r="J423" i="6"/>
  <c r="I423" i="6"/>
  <c r="J422" i="6"/>
  <c r="I422" i="6"/>
  <c r="J421" i="6"/>
  <c r="I421" i="6"/>
  <c r="J420" i="6"/>
  <c r="I420" i="6"/>
  <c r="J419" i="6"/>
  <c r="I419" i="6"/>
  <c r="J418" i="6"/>
  <c r="I418" i="6"/>
  <c r="J417" i="6"/>
  <c r="I417" i="6"/>
  <c r="J416" i="6"/>
  <c r="I416" i="6"/>
  <c r="J415" i="6"/>
  <c r="I415" i="6"/>
  <c r="J414" i="6"/>
  <c r="I414" i="6"/>
  <c r="J413" i="6"/>
  <c r="I413" i="6"/>
  <c r="J412" i="6"/>
  <c r="I412" i="6"/>
  <c r="J411" i="6"/>
  <c r="I411" i="6"/>
  <c r="J410" i="6"/>
  <c r="I410" i="6"/>
  <c r="J409" i="6"/>
  <c r="I409" i="6"/>
  <c r="J408" i="6"/>
  <c r="I408" i="6"/>
  <c r="J407" i="6"/>
  <c r="I407" i="6"/>
  <c r="J406" i="6"/>
  <c r="I406" i="6"/>
  <c r="J405" i="6"/>
  <c r="I405" i="6"/>
  <c r="J404" i="6"/>
  <c r="I404" i="6"/>
  <c r="J403" i="6"/>
  <c r="I403" i="6"/>
  <c r="J402" i="6"/>
  <c r="I402" i="6"/>
  <c r="J401" i="6"/>
  <c r="I401" i="6"/>
  <c r="J400" i="6"/>
  <c r="I400" i="6"/>
  <c r="J399" i="6"/>
  <c r="I399" i="6"/>
  <c r="J398" i="6"/>
  <c r="I398" i="6"/>
  <c r="J397" i="6"/>
  <c r="I397" i="6"/>
  <c r="J396" i="6"/>
  <c r="I396" i="6"/>
  <c r="J395" i="6"/>
  <c r="I395" i="6"/>
  <c r="J394" i="6"/>
  <c r="I394" i="6"/>
  <c r="J393" i="6"/>
  <c r="I393" i="6"/>
  <c r="J392" i="6"/>
  <c r="I392" i="6"/>
  <c r="J391" i="6"/>
  <c r="I391" i="6"/>
  <c r="J390" i="6"/>
  <c r="I390" i="6"/>
  <c r="J389" i="6"/>
  <c r="I389" i="6"/>
  <c r="J388" i="6"/>
  <c r="I388" i="6"/>
  <c r="J387" i="6"/>
  <c r="I387" i="6"/>
  <c r="J386" i="6"/>
  <c r="I386" i="6"/>
  <c r="J385" i="6"/>
  <c r="I385" i="6"/>
  <c r="J384" i="6"/>
  <c r="I384" i="6"/>
  <c r="J383" i="6"/>
  <c r="I383" i="6"/>
  <c r="J382" i="6"/>
  <c r="I382" i="6"/>
  <c r="J381" i="6"/>
  <c r="I381" i="6"/>
  <c r="J380" i="6"/>
  <c r="I380" i="6"/>
  <c r="J379" i="6"/>
  <c r="I379" i="6"/>
  <c r="J378" i="6"/>
  <c r="I378" i="6"/>
  <c r="J377" i="6"/>
  <c r="I377" i="6"/>
  <c r="J376" i="6"/>
  <c r="I376" i="6"/>
  <c r="J375" i="6"/>
  <c r="I375" i="6"/>
  <c r="J374" i="6"/>
  <c r="I374" i="6"/>
  <c r="J373" i="6"/>
  <c r="I373" i="6"/>
  <c r="J372" i="6"/>
  <c r="I372" i="6"/>
  <c r="J371" i="6"/>
  <c r="I371" i="6"/>
  <c r="J370" i="6"/>
  <c r="I370" i="6"/>
  <c r="J369" i="6"/>
  <c r="I369" i="6"/>
  <c r="J368" i="6"/>
  <c r="I368" i="6"/>
  <c r="J367" i="6"/>
  <c r="I367" i="6"/>
  <c r="J366" i="6"/>
  <c r="I366" i="6"/>
  <c r="J365" i="6"/>
  <c r="I365" i="6"/>
  <c r="J364" i="6"/>
  <c r="I364" i="6"/>
  <c r="J363" i="6"/>
  <c r="I363" i="6"/>
  <c r="J362" i="6"/>
  <c r="I362" i="6"/>
  <c r="J361" i="6"/>
  <c r="I361" i="6"/>
  <c r="J360" i="6"/>
  <c r="I360" i="6"/>
  <c r="J359" i="6"/>
  <c r="I359" i="6"/>
  <c r="J358" i="6"/>
  <c r="I358" i="6"/>
  <c r="J357" i="6"/>
  <c r="I357" i="6"/>
  <c r="J356" i="6"/>
  <c r="I356" i="6"/>
  <c r="J355" i="6"/>
  <c r="I355" i="6"/>
  <c r="J354" i="6"/>
  <c r="I354" i="6"/>
  <c r="J353" i="6"/>
  <c r="I353" i="6"/>
  <c r="J352" i="6"/>
  <c r="I352" i="6"/>
  <c r="J351" i="6"/>
  <c r="I351" i="6"/>
  <c r="J350" i="6"/>
  <c r="I350" i="6"/>
  <c r="J349" i="6"/>
  <c r="I349" i="6"/>
  <c r="J348" i="6"/>
  <c r="I348" i="6"/>
  <c r="J347" i="6"/>
  <c r="I347" i="6"/>
  <c r="J346" i="6"/>
  <c r="I346" i="6"/>
  <c r="J345" i="6"/>
  <c r="I345" i="6"/>
  <c r="J344" i="6"/>
  <c r="I344" i="6"/>
  <c r="J343" i="6"/>
  <c r="I343" i="6"/>
  <c r="J342" i="6"/>
  <c r="I342" i="6"/>
  <c r="J341" i="6"/>
  <c r="I341" i="6"/>
  <c r="J340" i="6"/>
  <c r="I340" i="6"/>
  <c r="J339" i="6"/>
  <c r="I339" i="6"/>
  <c r="J338" i="6"/>
  <c r="I338" i="6"/>
  <c r="J337" i="6"/>
  <c r="I337" i="6"/>
  <c r="J336" i="6"/>
  <c r="I336" i="6"/>
  <c r="J335" i="6"/>
  <c r="I335" i="6"/>
  <c r="J334" i="6"/>
  <c r="I334" i="6"/>
  <c r="J333" i="6"/>
  <c r="I333" i="6"/>
  <c r="J332" i="6"/>
  <c r="I332" i="6"/>
  <c r="J331" i="6"/>
  <c r="I331" i="6"/>
  <c r="J330" i="6"/>
  <c r="I330" i="6"/>
  <c r="J329" i="6"/>
  <c r="I329" i="6"/>
  <c r="J328" i="6"/>
  <c r="I328" i="6"/>
  <c r="J327" i="6"/>
  <c r="I327" i="6"/>
  <c r="J326" i="6"/>
  <c r="I326" i="6"/>
  <c r="J325" i="6"/>
  <c r="I325" i="6"/>
  <c r="J324" i="6"/>
  <c r="I324" i="6"/>
  <c r="J323" i="6"/>
  <c r="I323" i="6"/>
  <c r="J322" i="6"/>
  <c r="I322" i="6"/>
  <c r="J321" i="6"/>
  <c r="I321" i="6"/>
  <c r="J320" i="6"/>
  <c r="I320" i="6"/>
  <c r="J319" i="6"/>
  <c r="I319" i="6"/>
  <c r="J318" i="6"/>
  <c r="I318" i="6"/>
  <c r="J317" i="6"/>
  <c r="I317" i="6"/>
  <c r="J316" i="6"/>
  <c r="I316" i="6"/>
  <c r="J315" i="6"/>
  <c r="I315" i="6"/>
  <c r="J314" i="6"/>
  <c r="I314" i="6"/>
  <c r="J313" i="6"/>
  <c r="I313" i="6"/>
  <c r="J312" i="6"/>
  <c r="I312" i="6"/>
  <c r="J311" i="6"/>
  <c r="I311" i="6"/>
  <c r="J310" i="6"/>
  <c r="I310" i="6"/>
  <c r="J309" i="6"/>
  <c r="I309" i="6"/>
  <c r="J308" i="6"/>
  <c r="I308" i="6"/>
  <c r="J307" i="6"/>
  <c r="I307" i="6"/>
  <c r="J306" i="6"/>
  <c r="I306" i="6"/>
  <c r="J305" i="6"/>
  <c r="I305" i="6"/>
  <c r="J304" i="6"/>
  <c r="I304" i="6"/>
  <c r="J303" i="6"/>
  <c r="I303" i="6"/>
  <c r="J302" i="6"/>
  <c r="I302" i="6"/>
  <c r="J301" i="6"/>
  <c r="I301" i="6"/>
  <c r="J300" i="6"/>
  <c r="I300" i="6"/>
  <c r="J299" i="6"/>
  <c r="I299" i="6"/>
  <c r="J298" i="6"/>
  <c r="I298" i="6"/>
  <c r="J297" i="6"/>
  <c r="I297" i="6"/>
  <c r="J296" i="6"/>
  <c r="I296" i="6"/>
  <c r="J295" i="6"/>
  <c r="I295" i="6"/>
  <c r="J294" i="6"/>
  <c r="I294" i="6"/>
  <c r="J293" i="6"/>
  <c r="I293" i="6"/>
  <c r="J292" i="6"/>
  <c r="I292" i="6"/>
  <c r="J291" i="6"/>
  <c r="I291" i="6"/>
  <c r="J290" i="6"/>
  <c r="I290" i="6"/>
  <c r="J289" i="6"/>
  <c r="I289" i="6"/>
  <c r="J288" i="6"/>
  <c r="I288" i="6"/>
  <c r="J287" i="6"/>
  <c r="I287" i="6"/>
  <c r="J286" i="6"/>
  <c r="I286" i="6"/>
  <c r="J285" i="6"/>
  <c r="I285" i="6"/>
  <c r="J284" i="6"/>
  <c r="I284" i="6"/>
  <c r="J283" i="6"/>
  <c r="I283" i="6"/>
  <c r="J282" i="6"/>
  <c r="I282" i="6"/>
  <c r="J281" i="6"/>
  <c r="I281" i="6"/>
  <c r="J280" i="6"/>
  <c r="I280" i="6"/>
  <c r="J279" i="6"/>
  <c r="I279" i="6"/>
  <c r="J278" i="6"/>
  <c r="I278" i="6"/>
  <c r="J277" i="6"/>
  <c r="I277" i="6"/>
  <c r="J276" i="6"/>
  <c r="I276" i="6"/>
  <c r="J275" i="6"/>
  <c r="I275" i="6"/>
  <c r="J274" i="6"/>
  <c r="I274" i="6"/>
  <c r="J273" i="6"/>
  <c r="I273" i="6"/>
  <c r="J272" i="6"/>
  <c r="I272" i="6"/>
  <c r="J271" i="6"/>
  <c r="I271" i="6"/>
  <c r="J270" i="6"/>
  <c r="I270" i="6"/>
  <c r="J269" i="6"/>
  <c r="I269" i="6"/>
  <c r="J268" i="6"/>
  <c r="I268" i="6"/>
  <c r="J267" i="6"/>
  <c r="I267" i="6"/>
  <c r="J266" i="6"/>
  <c r="I266" i="6"/>
  <c r="J265" i="6"/>
  <c r="I265" i="6"/>
  <c r="J264" i="6"/>
  <c r="I264" i="6"/>
  <c r="J263" i="6"/>
  <c r="I263" i="6"/>
  <c r="J262" i="6"/>
  <c r="I262" i="6"/>
  <c r="J261" i="6"/>
  <c r="I261" i="6"/>
  <c r="J260" i="6"/>
  <c r="I260" i="6"/>
  <c r="J259" i="6"/>
  <c r="I259" i="6"/>
  <c r="J258" i="6"/>
  <c r="I258" i="6"/>
  <c r="J257" i="6"/>
  <c r="I257" i="6"/>
  <c r="J256" i="6"/>
  <c r="I256" i="6"/>
  <c r="J255" i="6"/>
  <c r="I255" i="6"/>
  <c r="J254" i="6"/>
  <c r="I254" i="6"/>
  <c r="J253" i="6"/>
  <c r="I253" i="6"/>
  <c r="J252" i="6"/>
  <c r="I252" i="6"/>
  <c r="J251" i="6"/>
  <c r="I251" i="6"/>
  <c r="J250" i="6"/>
  <c r="I250" i="6"/>
  <c r="J249" i="6"/>
  <c r="I249" i="6"/>
  <c r="J248" i="6"/>
  <c r="I248" i="6"/>
  <c r="J247" i="6"/>
  <c r="I247" i="6"/>
  <c r="J246" i="6"/>
  <c r="I246" i="6"/>
  <c r="J245" i="6"/>
  <c r="I245" i="6"/>
  <c r="J244" i="6"/>
  <c r="I244" i="6"/>
  <c r="J243" i="6"/>
  <c r="I243" i="6"/>
  <c r="J242" i="6"/>
  <c r="I242" i="6"/>
  <c r="J241" i="6"/>
  <c r="I241" i="6"/>
  <c r="J240" i="6"/>
  <c r="I240" i="6"/>
  <c r="J239" i="6"/>
  <c r="I239" i="6"/>
  <c r="J238" i="6"/>
  <c r="I238" i="6"/>
  <c r="J237" i="6"/>
  <c r="I237" i="6"/>
  <c r="J236" i="6"/>
  <c r="I236" i="6"/>
  <c r="J235" i="6"/>
  <c r="I235" i="6"/>
  <c r="J234" i="6"/>
  <c r="I234" i="6"/>
  <c r="J233" i="6"/>
  <c r="I233" i="6"/>
  <c r="J232" i="6"/>
  <c r="I232" i="6"/>
  <c r="J231" i="6"/>
  <c r="I231" i="6"/>
  <c r="J230" i="6"/>
  <c r="I230" i="6"/>
  <c r="J229" i="6"/>
  <c r="I229" i="6"/>
  <c r="J228" i="6"/>
  <c r="I228" i="6"/>
  <c r="J227" i="6"/>
  <c r="I227" i="6"/>
  <c r="J226" i="6"/>
  <c r="I226" i="6"/>
  <c r="J225" i="6"/>
  <c r="I225" i="6"/>
  <c r="J224" i="6"/>
  <c r="I224" i="6"/>
  <c r="J223" i="6"/>
  <c r="I223" i="6"/>
  <c r="J222" i="6"/>
  <c r="I222" i="6"/>
  <c r="J221" i="6"/>
  <c r="I221" i="6"/>
  <c r="J220" i="6"/>
  <c r="I220" i="6"/>
  <c r="J219" i="6"/>
  <c r="I219" i="6"/>
  <c r="J218" i="6"/>
  <c r="I218" i="6"/>
  <c r="J217" i="6"/>
  <c r="I217" i="6"/>
  <c r="J216" i="6"/>
  <c r="I216" i="6"/>
  <c r="J215" i="6"/>
  <c r="I215" i="6"/>
  <c r="J214" i="6"/>
  <c r="I214" i="6"/>
  <c r="J213" i="6"/>
  <c r="I213" i="6"/>
  <c r="J212" i="6"/>
  <c r="I212" i="6"/>
  <c r="J211" i="6"/>
  <c r="I211" i="6"/>
  <c r="J210" i="6"/>
  <c r="I210" i="6"/>
  <c r="J209" i="6"/>
  <c r="I209" i="6"/>
  <c r="J208" i="6"/>
  <c r="I208" i="6"/>
  <c r="J207" i="6"/>
  <c r="I207" i="6"/>
  <c r="J206" i="6"/>
  <c r="I206" i="6"/>
  <c r="J205" i="6"/>
  <c r="I205" i="6"/>
  <c r="J204" i="6"/>
  <c r="I204" i="6"/>
  <c r="J203" i="6"/>
  <c r="I203" i="6"/>
  <c r="J202" i="6"/>
  <c r="I202" i="6"/>
  <c r="J201" i="6"/>
  <c r="I201" i="6"/>
  <c r="J200" i="6"/>
  <c r="I200" i="6"/>
  <c r="J199" i="6"/>
  <c r="I199" i="6"/>
  <c r="J198" i="6"/>
  <c r="I198" i="6"/>
  <c r="J197" i="6"/>
  <c r="I197" i="6"/>
  <c r="J196" i="6"/>
  <c r="I196" i="6"/>
  <c r="J195" i="6"/>
  <c r="I195" i="6"/>
  <c r="J194" i="6"/>
  <c r="I194" i="6"/>
  <c r="J193" i="6"/>
  <c r="I193" i="6"/>
  <c r="J192" i="6"/>
  <c r="I192" i="6"/>
  <c r="J191" i="6"/>
  <c r="I191" i="6"/>
  <c r="J190" i="6"/>
  <c r="I190" i="6"/>
  <c r="J189" i="6"/>
  <c r="I189" i="6"/>
  <c r="J188" i="6"/>
  <c r="I188" i="6"/>
  <c r="J187" i="6"/>
  <c r="I187" i="6"/>
  <c r="J186" i="6"/>
  <c r="I186" i="6"/>
  <c r="J185" i="6"/>
  <c r="I185" i="6"/>
  <c r="J184" i="6"/>
  <c r="I184" i="6"/>
  <c r="J183" i="6"/>
  <c r="I183" i="6"/>
  <c r="J182" i="6"/>
  <c r="I182" i="6"/>
  <c r="J181" i="6"/>
  <c r="I181" i="6"/>
  <c r="J180" i="6"/>
  <c r="I180" i="6"/>
  <c r="J179" i="6"/>
  <c r="I179" i="6"/>
  <c r="J178" i="6"/>
  <c r="I178" i="6"/>
  <c r="J177" i="6"/>
  <c r="I177" i="6"/>
  <c r="J176" i="6"/>
  <c r="I176" i="6"/>
  <c r="J175" i="6"/>
  <c r="I175" i="6"/>
  <c r="J174" i="6"/>
  <c r="I174" i="6"/>
  <c r="J173" i="6"/>
  <c r="I173" i="6"/>
  <c r="J172" i="6"/>
  <c r="I172" i="6"/>
  <c r="J171" i="6"/>
  <c r="I171" i="6"/>
  <c r="J170" i="6"/>
  <c r="I170" i="6"/>
  <c r="J169" i="6"/>
  <c r="I169" i="6"/>
  <c r="J168" i="6"/>
  <c r="I168" i="6"/>
  <c r="J167" i="6"/>
  <c r="I167" i="6"/>
  <c r="J166" i="6"/>
  <c r="I166" i="6"/>
  <c r="J165" i="6"/>
  <c r="I165" i="6"/>
  <c r="J164" i="6"/>
  <c r="I164" i="6"/>
  <c r="J163" i="6"/>
  <c r="I163" i="6"/>
  <c r="J162" i="6"/>
  <c r="I162" i="6"/>
  <c r="J161" i="6"/>
  <c r="I161" i="6"/>
  <c r="J160" i="6"/>
  <c r="I160" i="6"/>
  <c r="J159" i="6"/>
  <c r="I159" i="6"/>
  <c r="J158" i="6"/>
  <c r="I158" i="6"/>
  <c r="J157" i="6"/>
  <c r="I157" i="6"/>
  <c r="J156" i="6"/>
  <c r="I156" i="6"/>
  <c r="J155" i="6"/>
  <c r="I155" i="6"/>
  <c r="J154" i="6"/>
  <c r="I154" i="6"/>
  <c r="J153" i="6"/>
  <c r="I153" i="6"/>
  <c r="J152" i="6"/>
  <c r="I152" i="6"/>
  <c r="J151" i="6"/>
  <c r="I151" i="6"/>
  <c r="J150" i="6"/>
  <c r="I150" i="6"/>
  <c r="J149" i="6"/>
  <c r="I149" i="6"/>
  <c r="J148" i="6"/>
  <c r="I148" i="6"/>
  <c r="J147" i="6"/>
  <c r="I147" i="6"/>
  <c r="J146" i="6"/>
  <c r="I146" i="6"/>
  <c r="J145" i="6"/>
  <c r="I145" i="6"/>
  <c r="J144" i="6"/>
  <c r="I144" i="6"/>
  <c r="J143" i="6"/>
  <c r="I143" i="6"/>
  <c r="J142" i="6"/>
  <c r="I142" i="6"/>
  <c r="J141" i="6"/>
  <c r="I141" i="6"/>
  <c r="J140" i="6"/>
  <c r="I140" i="6"/>
  <c r="J139" i="6"/>
  <c r="I139" i="6"/>
  <c r="J138" i="6"/>
  <c r="I138" i="6"/>
  <c r="J137" i="6"/>
  <c r="I137" i="6"/>
  <c r="J136" i="6"/>
  <c r="I136" i="6"/>
  <c r="J135" i="6"/>
  <c r="I135" i="6"/>
  <c r="J134" i="6"/>
  <c r="I134" i="6"/>
  <c r="J133" i="6"/>
  <c r="I133" i="6"/>
  <c r="J132" i="6"/>
  <c r="I132" i="6"/>
  <c r="J131" i="6"/>
  <c r="I131" i="6"/>
  <c r="J130" i="6"/>
  <c r="I130" i="6"/>
  <c r="J129" i="6"/>
  <c r="I129" i="6"/>
  <c r="J128" i="6"/>
  <c r="I128" i="6"/>
  <c r="J127" i="6"/>
  <c r="I127" i="6"/>
  <c r="J126" i="6"/>
  <c r="I126" i="6"/>
  <c r="J125" i="6"/>
  <c r="I125" i="6"/>
  <c r="J124" i="6"/>
  <c r="I124" i="6"/>
  <c r="J123" i="6"/>
  <c r="I123" i="6"/>
  <c r="J122" i="6"/>
  <c r="I122" i="6"/>
  <c r="J121" i="6"/>
  <c r="I121" i="6"/>
  <c r="J120" i="6"/>
  <c r="I120" i="6"/>
  <c r="J119" i="6"/>
  <c r="I119" i="6"/>
  <c r="J118" i="6"/>
  <c r="I118" i="6"/>
  <c r="J117" i="6"/>
  <c r="I117" i="6"/>
  <c r="J116" i="6"/>
  <c r="I116" i="6"/>
  <c r="J115" i="6"/>
  <c r="I115" i="6"/>
  <c r="J114" i="6"/>
  <c r="I114" i="6"/>
  <c r="J113" i="6"/>
  <c r="I113" i="6"/>
  <c r="J112" i="6"/>
  <c r="I112" i="6"/>
  <c r="J111" i="6"/>
  <c r="I111" i="6"/>
  <c r="J110" i="6"/>
  <c r="I110" i="6"/>
  <c r="J109" i="6"/>
  <c r="I109" i="6"/>
  <c r="J108" i="6"/>
  <c r="I108" i="6"/>
  <c r="J107" i="6"/>
  <c r="I107" i="6"/>
  <c r="J106" i="6"/>
  <c r="I106" i="6"/>
  <c r="J105" i="6"/>
  <c r="I105" i="6"/>
  <c r="J104" i="6"/>
  <c r="I104" i="6"/>
  <c r="J103" i="6"/>
  <c r="I103" i="6"/>
  <c r="J102" i="6"/>
  <c r="I102" i="6"/>
  <c r="J101" i="6"/>
  <c r="I101" i="6"/>
  <c r="J100" i="6"/>
  <c r="I100" i="6"/>
  <c r="J99" i="6"/>
  <c r="I99" i="6"/>
  <c r="J98" i="6"/>
  <c r="I98" i="6"/>
  <c r="J97" i="6"/>
  <c r="I97" i="6"/>
  <c r="J96" i="6"/>
  <c r="I96" i="6"/>
  <c r="J95" i="6"/>
  <c r="I95" i="6"/>
  <c r="J94" i="6"/>
  <c r="I94" i="6"/>
  <c r="J93" i="6"/>
  <c r="I93" i="6"/>
  <c r="J92" i="6"/>
  <c r="I92" i="6"/>
  <c r="J91" i="6"/>
  <c r="I91" i="6"/>
  <c r="J90" i="6"/>
  <c r="I90" i="6"/>
  <c r="J89" i="6"/>
  <c r="I89" i="6"/>
  <c r="J88" i="6"/>
  <c r="I88" i="6"/>
  <c r="J87" i="6"/>
  <c r="I87" i="6"/>
  <c r="J86" i="6"/>
  <c r="I86" i="6"/>
  <c r="J85" i="6"/>
  <c r="I85" i="6"/>
  <c r="J84" i="6"/>
  <c r="I84" i="6"/>
  <c r="J83" i="6"/>
  <c r="I83" i="6"/>
  <c r="J82" i="6"/>
  <c r="I82" i="6"/>
  <c r="J81" i="6"/>
  <c r="I81" i="6"/>
  <c r="J80" i="6"/>
  <c r="I80" i="6"/>
  <c r="J79" i="6"/>
  <c r="I79" i="6"/>
  <c r="J78" i="6"/>
  <c r="I78" i="6"/>
  <c r="J77" i="6"/>
  <c r="I77" i="6"/>
  <c r="J76" i="6"/>
  <c r="I76" i="6"/>
  <c r="J75" i="6"/>
  <c r="I75" i="6"/>
  <c r="J74" i="6"/>
  <c r="I74" i="6"/>
  <c r="J73" i="6"/>
  <c r="I73" i="6"/>
  <c r="J72" i="6"/>
  <c r="I72" i="6"/>
  <c r="J71" i="6"/>
  <c r="I71" i="6"/>
  <c r="J70" i="6"/>
  <c r="I70" i="6"/>
  <c r="J69" i="6"/>
  <c r="I69" i="6"/>
  <c r="J68" i="6"/>
  <c r="I68" i="6"/>
  <c r="J67" i="6"/>
  <c r="I67" i="6"/>
  <c r="J66" i="6"/>
  <c r="I66" i="6"/>
  <c r="J65" i="6"/>
  <c r="I65" i="6"/>
  <c r="J64" i="6"/>
  <c r="I64" i="6"/>
  <c r="J63" i="6"/>
  <c r="I63" i="6"/>
  <c r="J62" i="6"/>
  <c r="I62" i="6"/>
  <c r="J61" i="6"/>
  <c r="I61" i="6"/>
  <c r="J60" i="6"/>
  <c r="I60" i="6"/>
  <c r="J59" i="6"/>
  <c r="I59" i="6"/>
  <c r="J58" i="6"/>
  <c r="I58" i="6"/>
  <c r="J57" i="6"/>
  <c r="I57" i="6"/>
  <c r="J56" i="6"/>
  <c r="I56" i="6"/>
  <c r="J55" i="6"/>
  <c r="I55" i="6"/>
  <c r="J54" i="6"/>
  <c r="I54" i="6"/>
  <c r="J53" i="6"/>
  <c r="I53" i="6"/>
  <c r="J52" i="6"/>
  <c r="I52" i="6"/>
  <c r="J51" i="6"/>
  <c r="I51" i="6"/>
  <c r="J50" i="6"/>
  <c r="I50" i="6"/>
  <c r="J49" i="6"/>
  <c r="I49" i="6"/>
  <c r="J48" i="6"/>
  <c r="I48" i="6"/>
  <c r="J47" i="6"/>
  <c r="I47" i="6"/>
  <c r="J46" i="6"/>
  <c r="I46" i="6"/>
  <c r="J45" i="6"/>
  <c r="I45" i="6"/>
  <c r="J44" i="6"/>
  <c r="I44" i="6"/>
  <c r="J43" i="6"/>
  <c r="I43" i="6"/>
  <c r="J42" i="6"/>
  <c r="I42" i="6"/>
  <c r="J41" i="6"/>
  <c r="I41" i="6"/>
  <c r="J40" i="6"/>
  <c r="I40" i="6"/>
  <c r="J39" i="6"/>
  <c r="I39" i="6"/>
  <c r="J38" i="6"/>
  <c r="I38" i="6"/>
  <c r="J37" i="6"/>
  <c r="I37" i="6"/>
  <c r="J36" i="6"/>
  <c r="I36" i="6"/>
  <c r="J35" i="6"/>
  <c r="I35" i="6"/>
  <c r="J34" i="6"/>
  <c r="I34" i="6"/>
  <c r="J33" i="6"/>
  <c r="I33" i="6"/>
  <c r="J32" i="6"/>
  <c r="I32" i="6"/>
  <c r="J31" i="6"/>
  <c r="I31" i="6"/>
  <c r="J30" i="6"/>
  <c r="I30" i="6"/>
  <c r="J29" i="6"/>
  <c r="I29" i="6"/>
  <c r="J28" i="6"/>
  <c r="I28" i="6"/>
  <c r="J27" i="6"/>
  <c r="I27" i="6"/>
  <c r="J26" i="6"/>
  <c r="I26" i="6"/>
  <c r="J25" i="6"/>
  <c r="I25" i="6"/>
  <c r="J24" i="6"/>
  <c r="I24" i="6"/>
  <c r="J23" i="6"/>
  <c r="I23" i="6"/>
  <c r="J22" i="6"/>
  <c r="I22" i="6"/>
  <c r="J21" i="6"/>
  <c r="I21" i="6"/>
  <c r="J20" i="6"/>
  <c r="I20" i="6"/>
  <c r="J19" i="6"/>
  <c r="I19" i="6"/>
  <c r="J18" i="6"/>
  <c r="I18" i="6"/>
  <c r="J17" i="6"/>
  <c r="I17" i="6"/>
  <c r="J16" i="6"/>
  <c r="I16" i="6"/>
  <c r="J15" i="6"/>
  <c r="I15" i="6"/>
  <c r="J14" i="6"/>
  <c r="I14" i="6"/>
  <c r="J13" i="6"/>
  <c r="I13" i="6"/>
  <c r="J12" i="6"/>
  <c r="I12" i="6"/>
  <c r="J11" i="6"/>
  <c r="I11" i="6"/>
  <c r="J10" i="6"/>
  <c r="I10" i="6"/>
  <c r="J9" i="6"/>
  <c r="I9" i="6"/>
  <c r="J8" i="6"/>
  <c r="I8" i="6"/>
  <c r="J7" i="6"/>
  <c r="I7" i="6"/>
  <c r="J6" i="6"/>
  <c r="I6" i="6"/>
  <c r="J5" i="6"/>
  <c r="I5" i="6"/>
  <c r="J4" i="6"/>
  <c r="I4" i="6"/>
  <c r="J3" i="6"/>
  <c r="I3" i="6"/>
  <c r="J2" i="6"/>
  <c r="I2" i="6"/>
  <c r="AJ4" i="5"/>
  <c r="AJ5" i="5"/>
  <c r="AJ6" i="5"/>
  <c r="AJ7" i="5"/>
  <c r="AJ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AJ39" i="5"/>
  <c r="AJ40" i="5"/>
  <c r="AJ41" i="5"/>
  <c r="AJ42" i="5"/>
  <c r="AJ43" i="5"/>
  <c r="AJ44" i="5"/>
  <c r="AJ45" i="5"/>
  <c r="AJ46" i="5"/>
  <c r="AJ47" i="5"/>
  <c r="AJ48" i="5"/>
  <c r="AJ49" i="5"/>
  <c r="AJ50" i="5"/>
  <c r="AJ51" i="5"/>
  <c r="AJ52" i="5"/>
  <c r="AJ53" i="5"/>
  <c r="AJ54" i="5"/>
  <c r="AJ55" i="5"/>
  <c r="AJ56" i="5"/>
  <c r="AJ57" i="5"/>
  <c r="AJ58" i="5"/>
  <c r="AJ59" i="5"/>
  <c r="AJ60" i="5"/>
  <c r="AJ61" i="5"/>
  <c r="AJ62" i="5"/>
  <c r="AJ63" i="5"/>
  <c r="AJ64" i="5"/>
  <c r="AJ65" i="5"/>
  <c r="AJ66" i="5"/>
  <c r="AJ67" i="5"/>
  <c r="AJ68" i="5"/>
  <c r="AJ69" i="5"/>
  <c r="AJ70" i="5"/>
  <c r="AJ71" i="5"/>
  <c r="AJ72" i="5"/>
  <c r="AJ73" i="5"/>
  <c r="AJ74" i="5"/>
  <c r="AJ75" i="5"/>
  <c r="AJ76" i="5"/>
  <c r="AJ77" i="5"/>
  <c r="AJ78" i="5"/>
  <c r="AJ79" i="5"/>
  <c r="AJ80" i="5"/>
  <c r="AJ81" i="5"/>
  <c r="AJ82" i="5"/>
  <c r="AJ83" i="5"/>
  <c r="AJ84" i="5"/>
  <c r="AJ85" i="5"/>
  <c r="AJ86" i="5"/>
  <c r="AJ87" i="5"/>
  <c r="AJ88" i="5"/>
  <c r="AJ89" i="5"/>
  <c r="AJ90" i="5"/>
  <c r="AJ91" i="5"/>
  <c r="AJ92" i="5"/>
  <c r="AJ93" i="5"/>
  <c r="AJ94" i="5"/>
  <c r="AJ95" i="5"/>
  <c r="AJ96" i="5"/>
  <c r="AJ97" i="5"/>
  <c r="AJ98" i="5"/>
  <c r="AJ99" i="5"/>
  <c r="AJ100" i="5"/>
  <c r="AJ101" i="5"/>
  <c r="AJ102" i="5"/>
  <c r="AJ103" i="5"/>
  <c r="AJ104" i="5"/>
  <c r="AJ105" i="5"/>
  <c r="AJ106" i="5"/>
  <c r="AJ107" i="5"/>
  <c r="AJ108" i="5"/>
  <c r="AJ109" i="5"/>
  <c r="AJ110" i="5"/>
  <c r="AJ111" i="5"/>
  <c r="AJ112" i="5"/>
  <c r="AJ113" i="5"/>
  <c r="AJ114" i="5"/>
  <c r="AJ115" i="5"/>
  <c r="AJ116" i="5"/>
  <c r="AJ117" i="5"/>
  <c r="AJ118" i="5"/>
  <c r="AJ119" i="5"/>
  <c r="AJ120" i="5"/>
  <c r="AJ121" i="5"/>
  <c r="AJ122" i="5"/>
  <c r="AJ123" i="5"/>
  <c r="AJ124" i="5"/>
  <c r="AJ125" i="5"/>
  <c r="AJ126" i="5"/>
  <c r="AJ127" i="5"/>
  <c r="AJ128" i="5"/>
  <c r="AJ129" i="5"/>
  <c r="AJ130" i="5"/>
  <c r="AJ131" i="5"/>
  <c r="AJ132" i="5"/>
  <c r="AJ133" i="5"/>
  <c r="AJ134" i="5"/>
  <c r="AJ135" i="5"/>
  <c r="AJ136" i="5"/>
  <c r="AJ137" i="5"/>
  <c r="AJ138" i="5"/>
  <c r="AJ139" i="5"/>
  <c r="AJ140" i="5"/>
  <c r="AJ141" i="5"/>
  <c r="AJ142" i="5"/>
  <c r="AJ143" i="5"/>
  <c r="AJ144" i="5"/>
  <c r="AJ145" i="5"/>
  <c r="AJ146" i="5"/>
  <c r="AJ147" i="5"/>
  <c r="AJ148" i="5"/>
  <c r="AJ149" i="5"/>
  <c r="AJ150" i="5"/>
  <c r="AJ151" i="5"/>
  <c r="AJ152" i="5"/>
  <c r="AJ153" i="5"/>
  <c r="AJ154" i="5"/>
  <c r="AJ155" i="5"/>
  <c r="AJ156" i="5"/>
  <c r="AJ157" i="5"/>
  <c r="AJ158" i="5"/>
  <c r="AJ159" i="5"/>
  <c r="AJ160" i="5"/>
  <c r="AJ161" i="5"/>
  <c r="AJ162" i="5"/>
  <c r="AJ163" i="5"/>
  <c r="AJ164" i="5"/>
  <c r="AJ165" i="5"/>
  <c r="AJ166" i="5"/>
  <c r="AJ167" i="5"/>
  <c r="AJ168" i="5"/>
  <c r="AJ169" i="5"/>
  <c r="AJ170" i="5"/>
  <c r="AJ171" i="5"/>
  <c r="AJ172" i="5"/>
  <c r="AJ173" i="5"/>
  <c r="AJ174" i="5"/>
  <c r="AJ175" i="5"/>
  <c r="AJ176" i="5"/>
  <c r="AJ177" i="5"/>
  <c r="AJ178" i="5"/>
  <c r="AJ179" i="5"/>
  <c r="AJ180" i="5"/>
  <c r="AJ181" i="5"/>
  <c r="AJ182" i="5"/>
  <c r="AJ183" i="5"/>
  <c r="AJ184" i="5"/>
  <c r="AJ185" i="5"/>
  <c r="AJ186" i="5"/>
  <c r="AJ187" i="5"/>
  <c r="AJ188" i="5"/>
  <c r="AJ189" i="5"/>
  <c r="AJ190" i="5"/>
  <c r="AJ191" i="5"/>
  <c r="AJ192" i="5"/>
  <c r="AJ193" i="5"/>
  <c r="AJ194" i="5"/>
  <c r="AJ195" i="5"/>
  <c r="AJ196" i="5"/>
  <c r="AJ197" i="5"/>
  <c r="AJ198" i="5"/>
  <c r="AJ199" i="5"/>
  <c r="AJ200" i="5"/>
  <c r="AJ201" i="5"/>
  <c r="AJ202" i="5"/>
  <c r="AJ203" i="5"/>
  <c r="AJ204" i="5"/>
  <c r="AJ205" i="5"/>
  <c r="AJ206" i="5"/>
  <c r="AJ207" i="5"/>
  <c r="AJ208" i="5"/>
  <c r="AJ209" i="5"/>
  <c r="AJ210" i="5"/>
  <c r="AJ211" i="5"/>
  <c r="AJ212" i="5"/>
  <c r="AJ213" i="5"/>
  <c r="AJ214" i="5"/>
  <c r="AJ215" i="5"/>
  <c r="AJ216" i="5"/>
  <c r="AJ217" i="5"/>
  <c r="AJ218" i="5"/>
  <c r="AJ219" i="5"/>
  <c r="AJ220" i="5"/>
  <c r="AJ221" i="5"/>
  <c r="AJ222" i="5"/>
  <c r="AJ223" i="5"/>
  <c r="AJ224" i="5"/>
  <c r="AJ225" i="5"/>
  <c r="AJ226" i="5"/>
  <c r="AJ227" i="5"/>
  <c r="AJ228" i="5"/>
  <c r="AJ229" i="5"/>
  <c r="AJ230" i="5"/>
  <c r="AJ231" i="5"/>
  <c r="AJ232" i="5"/>
  <c r="AJ233" i="5"/>
  <c r="AJ234" i="5"/>
  <c r="AJ235" i="5"/>
  <c r="AJ236" i="5"/>
  <c r="AJ237" i="5"/>
  <c r="AJ238" i="5"/>
  <c r="AJ239" i="5"/>
  <c r="AJ240" i="5"/>
  <c r="AJ241" i="5"/>
  <c r="AJ242" i="5"/>
  <c r="AJ243" i="5"/>
  <c r="AJ244" i="5"/>
  <c r="AJ245" i="5"/>
  <c r="AJ246" i="5"/>
  <c r="AJ247" i="5"/>
  <c r="AJ248" i="5"/>
  <c r="AJ249" i="5"/>
  <c r="AJ250" i="5"/>
  <c r="AJ251" i="5"/>
  <c r="AJ252" i="5"/>
  <c r="AJ253" i="5"/>
  <c r="AJ254" i="5"/>
  <c r="AJ255" i="5"/>
  <c r="AJ256" i="5"/>
  <c r="AJ257" i="5"/>
  <c r="AJ258" i="5"/>
  <c r="AJ259" i="5"/>
  <c r="AJ260" i="5"/>
  <c r="AJ261" i="5"/>
  <c r="AJ262" i="5"/>
  <c r="AJ263" i="5"/>
  <c r="AJ264" i="5"/>
  <c r="AJ265" i="5"/>
  <c r="AJ266" i="5"/>
  <c r="AJ267" i="5"/>
  <c r="AJ268" i="5"/>
  <c r="AJ269" i="5"/>
  <c r="AJ270" i="5"/>
  <c r="AJ271" i="5"/>
  <c r="AJ272" i="5"/>
  <c r="AJ273" i="5"/>
  <c r="AJ274" i="5"/>
  <c r="AJ275" i="5"/>
  <c r="AJ276" i="5"/>
  <c r="AJ277" i="5"/>
  <c r="AJ278" i="5"/>
  <c r="AJ279" i="5"/>
  <c r="AJ280" i="5"/>
  <c r="AJ281" i="5"/>
  <c r="AJ282" i="5"/>
  <c r="AJ283" i="5"/>
  <c r="AJ284" i="5"/>
  <c r="AJ285" i="5"/>
  <c r="AJ286" i="5"/>
  <c r="AJ287" i="5"/>
  <c r="AJ288" i="5"/>
  <c r="AJ289" i="5"/>
  <c r="AJ290" i="5"/>
  <c r="AJ291" i="5"/>
  <c r="AJ292" i="5"/>
  <c r="AJ293" i="5"/>
  <c r="AJ294" i="5"/>
  <c r="AJ295" i="5"/>
  <c r="AJ296" i="5"/>
  <c r="AJ297" i="5"/>
  <c r="AJ298" i="5"/>
  <c r="AJ299" i="5"/>
  <c r="AJ300" i="5"/>
  <c r="AJ301" i="5"/>
  <c r="AJ302" i="5"/>
  <c r="AJ303" i="5"/>
  <c r="AJ304" i="5"/>
  <c r="AJ305" i="5"/>
  <c r="AJ306" i="5"/>
  <c r="AJ307" i="5"/>
  <c r="AJ308" i="5"/>
  <c r="AJ309" i="5"/>
  <c r="AJ310" i="5"/>
  <c r="AJ311" i="5"/>
  <c r="AJ312" i="5"/>
  <c r="AJ313" i="5"/>
  <c r="AJ314" i="5"/>
  <c r="AJ315" i="5"/>
  <c r="AJ316" i="5"/>
  <c r="AJ317" i="5"/>
  <c r="AJ318" i="5"/>
  <c r="AJ319" i="5"/>
  <c r="AJ320" i="5"/>
  <c r="AJ321" i="5"/>
  <c r="AJ322" i="5"/>
  <c r="AJ323" i="5"/>
  <c r="AJ324" i="5"/>
  <c r="AJ325" i="5"/>
  <c r="AJ326" i="5"/>
  <c r="AJ327" i="5"/>
  <c r="AJ328" i="5"/>
  <c r="AJ329" i="5"/>
  <c r="AJ330" i="5"/>
  <c r="AJ331" i="5"/>
  <c r="AJ332" i="5"/>
  <c r="AJ333" i="5"/>
  <c r="AJ334" i="5"/>
  <c r="AJ335" i="5"/>
  <c r="AJ336" i="5"/>
  <c r="AJ337" i="5"/>
  <c r="AJ338" i="5"/>
  <c r="AJ339" i="5"/>
  <c r="AJ340" i="5"/>
  <c r="AJ341" i="5"/>
  <c r="AJ342" i="5"/>
  <c r="AJ343" i="5"/>
  <c r="AJ344" i="5"/>
  <c r="AJ345" i="5"/>
  <c r="AJ346" i="5"/>
  <c r="AJ347" i="5"/>
  <c r="AJ348" i="5"/>
  <c r="AJ349" i="5"/>
  <c r="AJ350" i="5"/>
  <c r="AJ351" i="5"/>
  <c r="AJ352" i="5"/>
  <c r="AJ353" i="5"/>
  <c r="AJ354" i="5"/>
  <c r="AJ355" i="5"/>
  <c r="AJ356" i="5"/>
  <c r="AJ357" i="5"/>
  <c r="AJ358" i="5"/>
  <c r="AJ359" i="5"/>
  <c r="AJ360" i="5"/>
  <c r="AJ361" i="5"/>
  <c r="AJ362" i="5"/>
  <c r="AJ363" i="5"/>
  <c r="AJ364" i="5"/>
  <c r="AJ365" i="5"/>
  <c r="AJ366" i="5"/>
  <c r="AJ367" i="5"/>
  <c r="AJ368" i="5"/>
  <c r="AJ369" i="5"/>
  <c r="AJ370" i="5"/>
  <c r="AJ371" i="5"/>
  <c r="AJ372" i="5"/>
  <c r="AJ373" i="5"/>
  <c r="AJ374" i="5"/>
  <c r="AJ375" i="5"/>
  <c r="AJ376" i="5"/>
  <c r="AJ377" i="5"/>
  <c r="AJ378" i="5"/>
  <c r="AJ379" i="5"/>
  <c r="AJ380" i="5"/>
  <c r="AJ381" i="5"/>
  <c r="AJ382" i="5"/>
  <c r="AJ383" i="5"/>
  <c r="AJ384" i="5"/>
  <c r="AJ385" i="5"/>
  <c r="AJ386" i="5"/>
  <c r="AJ387" i="5"/>
  <c r="AJ388" i="5"/>
  <c r="AJ389" i="5"/>
  <c r="AJ390" i="5"/>
  <c r="AJ391" i="5"/>
  <c r="AJ392" i="5"/>
  <c r="AJ393" i="5"/>
  <c r="AJ394" i="5"/>
  <c r="AJ395" i="5"/>
  <c r="AJ396" i="5"/>
  <c r="AJ397" i="5"/>
  <c r="AJ398" i="5"/>
  <c r="AJ399" i="5"/>
  <c r="AJ400" i="5"/>
  <c r="AJ401" i="5"/>
  <c r="AJ402" i="5"/>
  <c r="AJ403" i="5"/>
  <c r="AJ404" i="5"/>
  <c r="AJ405" i="5"/>
  <c r="AJ406" i="5"/>
  <c r="AJ407" i="5"/>
  <c r="AJ408" i="5"/>
  <c r="AJ409" i="5"/>
  <c r="AJ410" i="5"/>
  <c r="AJ411" i="5"/>
  <c r="AJ412" i="5"/>
  <c r="AJ413" i="5"/>
  <c r="AJ414" i="5"/>
  <c r="AJ415" i="5"/>
  <c r="AJ416" i="5"/>
  <c r="AJ417" i="5"/>
  <c r="AJ418" i="5"/>
  <c r="AJ419" i="5"/>
  <c r="AJ420" i="5"/>
  <c r="AJ421" i="5"/>
  <c r="AJ422" i="5"/>
  <c r="AJ423" i="5"/>
  <c r="AJ424" i="5"/>
  <c r="AJ425" i="5"/>
  <c r="AJ426" i="5"/>
  <c r="AJ427" i="5"/>
  <c r="AJ428" i="5"/>
  <c r="AJ429" i="5"/>
  <c r="AJ430" i="5"/>
  <c r="AJ431" i="5"/>
  <c r="AJ432" i="5"/>
  <c r="AJ433" i="5"/>
  <c r="AJ434" i="5"/>
  <c r="AJ435" i="5"/>
  <c r="AJ436" i="5"/>
  <c r="AJ437" i="5"/>
  <c r="AJ438" i="5"/>
  <c r="AJ439" i="5"/>
  <c r="AJ440" i="5"/>
  <c r="AJ441" i="5"/>
  <c r="AJ442" i="5"/>
  <c r="AJ443" i="5"/>
  <c r="AJ444" i="5"/>
  <c r="AJ445" i="5"/>
  <c r="AJ446" i="5"/>
  <c r="AJ447" i="5"/>
  <c r="AJ448" i="5"/>
  <c r="AJ449" i="5"/>
  <c r="AJ450" i="5"/>
  <c r="AJ451" i="5"/>
  <c r="AJ452" i="5"/>
  <c r="AJ453" i="5"/>
  <c r="AJ454" i="5"/>
  <c r="AJ455" i="5"/>
  <c r="AJ456" i="5"/>
  <c r="AJ457" i="5"/>
  <c r="AJ458" i="5"/>
  <c r="AJ459" i="5"/>
  <c r="AJ460" i="5"/>
  <c r="AJ461" i="5"/>
  <c r="AJ462" i="5"/>
  <c r="AJ463" i="5"/>
  <c r="AJ464" i="5"/>
  <c r="AJ465" i="5"/>
  <c r="AJ466" i="5"/>
  <c r="AJ467" i="5"/>
  <c r="AJ468" i="5"/>
  <c r="AJ469" i="5"/>
  <c r="AJ470" i="5"/>
  <c r="AJ471" i="5"/>
  <c r="AJ472" i="5"/>
  <c r="AJ473" i="5"/>
  <c r="AJ474" i="5"/>
  <c r="AJ475" i="5"/>
  <c r="AJ476" i="5"/>
  <c r="AJ477" i="5"/>
  <c r="AJ478" i="5"/>
  <c r="AJ479" i="5"/>
  <c r="AJ480" i="5"/>
  <c r="AJ481" i="5"/>
  <c r="AJ482" i="5"/>
  <c r="AJ483" i="5"/>
  <c r="AJ484" i="5"/>
  <c r="AJ485" i="5"/>
  <c r="AJ486" i="5"/>
  <c r="AJ487" i="5"/>
  <c r="AJ488" i="5"/>
  <c r="AJ489" i="5"/>
  <c r="AJ490" i="5"/>
  <c r="AJ491" i="5"/>
  <c r="AJ492" i="5"/>
  <c r="AJ493" i="5"/>
  <c r="AJ494" i="5"/>
  <c r="AJ495" i="5"/>
  <c r="AJ496" i="5"/>
  <c r="AJ497" i="5"/>
  <c r="AJ498" i="5"/>
  <c r="AJ499" i="5"/>
  <c r="AJ500" i="5"/>
  <c r="AJ501" i="5"/>
  <c r="AJ502" i="5"/>
  <c r="AJ503" i="5"/>
  <c r="AJ504" i="5"/>
  <c r="AJ505" i="5"/>
  <c r="AJ506" i="5"/>
  <c r="AJ507" i="5"/>
  <c r="AJ508" i="5"/>
  <c r="AJ509" i="5"/>
  <c r="AJ510" i="5"/>
  <c r="AJ511" i="5"/>
  <c r="AJ512" i="5"/>
  <c r="AJ513" i="5"/>
  <c r="AJ514" i="5"/>
  <c r="AJ515" i="5"/>
  <c r="AJ516" i="5"/>
  <c r="AJ517" i="5"/>
  <c r="AJ518" i="5"/>
  <c r="AJ519" i="5"/>
  <c r="AJ520" i="5"/>
  <c r="AJ521" i="5"/>
  <c r="AJ522" i="5"/>
  <c r="AJ523" i="5"/>
  <c r="AJ524" i="5"/>
  <c r="AJ525" i="5"/>
  <c r="AJ526" i="5"/>
  <c r="AJ527" i="5"/>
  <c r="AJ528" i="5"/>
  <c r="AJ529" i="5"/>
  <c r="AJ530" i="5"/>
  <c r="AJ531" i="5"/>
  <c r="AJ532" i="5"/>
  <c r="AJ533" i="5"/>
  <c r="AJ534" i="5"/>
  <c r="AJ535" i="5"/>
  <c r="AJ536" i="5"/>
  <c r="AJ3" i="5"/>
  <c r="AJ2" i="5"/>
</calcChain>
</file>

<file path=xl/sharedStrings.xml><?xml version="1.0" encoding="utf-8"?>
<sst xmlns="http://schemas.openxmlformats.org/spreadsheetml/2006/main" count="57576" uniqueCount="6733">
  <si>
    <t>ASAP_team_name</t>
  </si>
  <si>
    <t>ASAP_lab_name</t>
  </si>
  <si>
    <t>team_dataset_id</t>
  </si>
  <si>
    <t>PI_full_name</t>
  </si>
  <si>
    <t>PI_email</t>
  </si>
  <si>
    <t>contributor_names</t>
  </si>
  <si>
    <t>submitter_name</t>
  </si>
  <si>
    <t>submitter_email</t>
  </si>
  <si>
    <t>ASAP_grant_id</t>
  </si>
  <si>
    <t>other_funding_source</t>
  </si>
  <si>
    <t>publication_DOI</t>
  </si>
  <si>
    <t>publication_PMID</t>
  </si>
  <si>
    <t>brain_regions</t>
  </si>
  <si>
    <t>types_of_samples</t>
  </si>
  <si>
    <t>PI_ORCHID</t>
  </si>
  <si>
    <t>PI_google_scholar_id</t>
  </si>
  <si>
    <t>DUA_version</t>
  </si>
  <si>
    <t>preprocessing_references</t>
  </si>
  <si>
    <t>metadata_version_date</t>
  </si>
  <si>
    <t>TEAM-SCHERZER</t>
  </si>
  <si>
    <t>Scherzer, Dong, and Levin</t>
  </si>
  <si>
    <t>Parkinson5D: deconstructing proximal disease mechanisms across cells, space, and progression</t>
  </si>
  <si>
    <t>Scherzer_MTG_snRNAseq</t>
  </si>
  <si>
    <t>PD5D_MTG_snRNAseq</t>
  </si>
  <si>
    <t>Here we will develop a molecular atlas of Parkinson's disease (PD) useful for mapping GWAS/familial genetics to proximal mechanisms in five dimensions: brain cells (1D), brain space (3D), and disease stage (1D). We will reveal how genetic variants modulate transcription in specific cells in specific topographic locations of midbrain and cortex during the progression of neuropathology from healthy brains to prodromal to symptomatic disease. This research will for the first time integrate whole genome sequencing, single-nucleus transcriptomics, and high-resolution spatial transcriptomics of 100 human brains with cell-specific mechanistic analyses in model systems.</t>
  </si>
  <si>
    <t>Dr.Clemens Scherzer</t>
  </si>
  <si>
    <t>clemens.scherzer@yale.edu</t>
  </si>
  <si>
    <t>Clemens, Scherzer; Xianjun, Dong; Joshua, Levin; Geidy, Serrano, Thomas, Beach; Madison, Cline; Zhixiang, Liao; Idil, Tuncali; Monika, Sharma; Jacob, Parker; Zechuan, Lin; Jie, Yuan; Nathan, Haywood; Sean Simmons; Maoxuan, Lin; Kwanho, Kim; Xufei, Teng; Daniel, El Kodsi</t>
  </si>
  <si>
    <t>Dr.Xianjun Dong</t>
  </si>
  <si>
    <t>xdong1@bwh.harvard.edu</t>
  </si>
  <si>
    <t>ASAP-000301</t>
  </si>
  <si>
    <t>NA</t>
  </si>
  <si>
    <t>MTG</t>
  </si>
  <si>
    <t>PD and control postmortem brains</t>
  </si>
  <si>
    <t>ASAP Access &amp; Use Policy</t>
  </si>
  <si>
    <t>study_id</t>
  </si>
  <si>
    <t>name</t>
  </si>
  <si>
    <t>description</t>
  </si>
  <si>
    <t>PD5D</t>
  </si>
  <si>
    <t>dataset_name</t>
  </si>
  <si>
    <t>number_of_samples</t>
  </si>
  <si>
    <t>single nucleus RNA sequencing,</t>
  </si>
  <si>
    <t>first_contributor</t>
  </si>
  <si>
    <t>Jacob Parker</t>
  </si>
  <si>
    <t>other_contributors</t>
  </si>
  <si>
    <t>support_grants</t>
  </si>
  <si>
    <t>n_samples</t>
  </si>
  <si>
    <t>sample_type</t>
  </si>
  <si>
    <t>assay</t>
  </si>
  <si>
    <t>snRNAseq</t>
  </si>
  <si>
    <t>first_contributor_email</t>
  </si>
  <si>
    <t>jacob.parker@yale.edu</t>
  </si>
  <si>
    <t>BN0009</t>
  </si>
  <si>
    <t>00-09</t>
  </si>
  <si>
    <t>BSHRI</t>
  </si>
  <si>
    <t>Human</t>
  </si>
  <si>
    <t>Male</t>
  </si>
  <si>
    <t>White</t>
  </si>
  <si>
    <t>Unknown</t>
  </si>
  <si>
    <t>Parkinson's disease</t>
  </si>
  <si>
    <t>yes</t>
  </si>
  <si>
    <t>unknown</t>
  </si>
  <si>
    <t>Former smoker</t>
  </si>
  <si>
    <t>Dementia</t>
  </si>
  <si>
    <t>Idiopathic PD</t>
  </si>
  <si>
    <t>BN0329</t>
  </si>
  <si>
    <t>BN0339</t>
  </si>
  <si>
    <t>03-39</t>
  </si>
  <si>
    <t>Healthy Control</t>
  </si>
  <si>
    <t>no</t>
  </si>
  <si>
    <t>Normal</t>
  </si>
  <si>
    <t>BN0341</t>
  </si>
  <si>
    <t>03-41</t>
  </si>
  <si>
    <t>Never</t>
  </si>
  <si>
    <t>BN0347</t>
  </si>
  <si>
    <t>03-47</t>
  </si>
  <si>
    <t>Female</t>
  </si>
  <si>
    <t>MCI</t>
  </si>
  <si>
    <t>BN0348</t>
  </si>
  <si>
    <t>03-48</t>
  </si>
  <si>
    <t>BN0415</t>
  </si>
  <si>
    <t>Incidental Lewy body disease</t>
  </si>
  <si>
    <t>Prodromal motor PD</t>
  </si>
  <si>
    <t>BN0452</t>
  </si>
  <si>
    <t>04-52</t>
  </si>
  <si>
    <t>BN0464</t>
  </si>
  <si>
    <t>04-64</t>
  </si>
  <si>
    <t>BN0536</t>
  </si>
  <si>
    <t>05-36</t>
  </si>
  <si>
    <t>BN0602</t>
  </si>
  <si>
    <t>BN0615</t>
  </si>
  <si>
    <t>BN0635</t>
  </si>
  <si>
    <t>06-35</t>
  </si>
  <si>
    <t>BN0644</t>
  </si>
  <si>
    <t>06-44</t>
  </si>
  <si>
    <t>BN0651</t>
  </si>
  <si>
    <t>06-51</t>
  </si>
  <si>
    <t>BN0655</t>
  </si>
  <si>
    <t>06-55</t>
  </si>
  <si>
    <t>BN0662</t>
  </si>
  <si>
    <t>06-62</t>
  </si>
  <si>
    <t>BN0704</t>
  </si>
  <si>
    <t>BN0737</t>
  </si>
  <si>
    <t>07-37</t>
  </si>
  <si>
    <t>BN0746</t>
  </si>
  <si>
    <t>07-46</t>
  </si>
  <si>
    <t>BN0855</t>
  </si>
  <si>
    <t>08-55</t>
  </si>
  <si>
    <t>BN0934</t>
  </si>
  <si>
    <t>09-34</t>
  </si>
  <si>
    <t>BN0952</t>
  </si>
  <si>
    <t>09-52</t>
  </si>
  <si>
    <t>BN1022</t>
  </si>
  <si>
    <t>BN1076</t>
  </si>
  <si>
    <t>10-76</t>
  </si>
  <si>
    <t>BN1128</t>
  </si>
  <si>
    <t>BN1144</t>
  </si>
  <si>
    <t>11-44</t>
  </si>
  <si>
    <t>Yes</t>
  </si>
  <si>
    <t>BN1160</t>
  </si>
  <si>
    <t>11-60</t>
  </si>
  <si>
    <t>BN1204</t>
  </si>
  <si>
    <t>BN1206</t>
  </si>
  <si>
    <t>12-06</t>
  </si>
  <si>
    <t>BN1221</t>
  </si>
  <si>
    <t>BN1266</t>
  </si>
  <si>
    <t>12-66</t>
  </si>
  <si>
    <t>BN1305</t>
  </si>
  <si>
    <t>13-05</t>
  </si>
  <si>
    <t>BN1308</t>
  </si>
  <si>
    <t>13-08</t>
  </si>
  <si>
    <t>BN1317</t>
  </si>
  <si>
    <t>13-17</t>
  </si>
  <si>
    <t>BN1339</t>
  </si>
  <si>
    <t>13-39</t>
  </si>
  <si>
    <t>BN1340</t>
  </si>
  <si>
    <t>13-40</t>
  </si>
  <si>
    <t>BN1351</t>
  </si>
  <si>
    <t>13-51</t>
  </si>
  <si>
    <t>BN1361</t>
  </si>
  <si>
    <t>13-61</t>
  </si>
  <si>
    <t>BN1412</t>
  </si>
  <si>
    <t>14-12</t>
  </si>
  <si>
    <t>BN1424</t>
  </si>
  <si>
    <t>14-24</t>
  </si>
  <si>
    <t>BN1430</t>
  </si>
  <si>
    <t>14-30</t>
  </si>
  <si>
    <t>BN1504</t>
  </si>
  <si>
    <t>15-04</t>
  </si>
  <si>
    <t>BN1506</t>
  </si>
  <si>
    <t>15-06</t>
  </si>
  <si>
    <t>BN1518</t>
  </si>
  <si>
    <t>15-18</t>
  </si>
  <si>
    <t>BN1535</t>
  </si>
  <si>
    <t>15-35</t>
  </si>
  <si>
    <t>BN1546</t>
  </si>
  <si>
    <t>15-46</t>
  </si>
  <si>
    <t>BN1554</t>
  </si>
  <si>
    <t>15-54</t>
  </si>
  <si>
    <t>BN1567</t>
  </si>
  <si>
    <t>15-67</t>
  </si>
  <si>
    <t>BN1578</t>
  </si>
  <si>
    <t>15-78</t>
  </si>
  <si>
    <t>BN1585</t>
  </si>
  <si>
    <t>15-85</t>
  </si>
  <si>
    <t>BN1614</t>
  </si>
  <si>
    <t>16-14</t>
  </si>
  <si>
    <t>BN1644</t>
  </si>
  <si>
    <t>16-44</t>
  </si>
  <si>
    <t>BN1719</t>
  </si>
  <si>
    <t>17-19</t>
  </si>
  <si>
    <t>BN1722</t>
  </si>
  <si>
    <t>17-22</t>
  </si>
  <si>
    <t>BN1726</t>
  </si>
  <si>
    <t>17-26</t>
  </si>
  <si>
    <t>BN1730</t>
  </si>
  <si>
    <t>17-30</t>
  </si>
  <si>
    <t>BN1737</t>
  </si>
  <si>
    <t>17-37</t>
  </si>
  <si>
    <t>BN1741</t>
  </si>
  <si>
    <t>17-41</t>
  </si>
  <si>
    <t>BN1747</t>
  </si>
  <si>
    <t>17-47</t>
  </si>
  <si>
    <t>BN1749</t>
  </si>
  <si>
    <t>17-49</t>
  </si>
  <si>
    <t>BN1752</t>
  </si>
  <si>
    <t>17-52</t>
  </si>
  <si>
    <t>BN1756</t>
  </si>
  <si>
    <t>17-56</t>
  </si>
  <si>
    <t>BN1762</t>
  </si>
  <si>
    <t>17-62</t>
  </si>
  <si>
    <t>BN1809</t>
  </si>
  <si>
    <t>18-09</t>
  </si>
  <si>
    <t>BN1812</t>
  </si>
  <si>
    <t>18-12</t>
  </si>
  <si>
    <t>BN1814</t>
  </si>
  <si>
    <t>18-14</t>
  </si>
  <si>
    <t>BN1805</t>
  </si>
  <si>
    <t>18-05</t>
  </si>
  <si>
    <t>BN1817</t>
  </si>
  <si>
    <t>18-17</t>
  </si>
  <si>
    <t>BN1822</t>
  </si>
  <si>
    <t>18-22</t>
  </si>
  <si>
    <t>BN1827</t>
  </si>
  <si>
    <t>18-27</t>
  </si>
  <si>
    <t>BN1836</t>
  </si>
  <si>
    <t>18-36</t>
  </si>
  <si>
    <t>BN1839</t>
  </si>
  <si>
    <t>18-39</t>
  </si>
  <si>
    <t>BN1842</t>
  </si>
  <si>
    <t>18-42</t>
  </si>
  <si>
    <t>BN1848</t>
  </si>
  <si>
    <t>18-48</t>
  </si>
  <si>
    <t>BN1849</t>
  </si>
  <si>
    <t>18-49</t>
  </si>
  <si>
    <t>BN1855</t>
  </si>
  <si>
    <t>18-55</t>
  </si>
  <si>
    <t>BN1862</t>
  </si>
  <si>
    <t>18-62</t>
  </si>
  <si>
    <t>BN1865</t>
  </si>
  <si>
    <t>18-65</t>
  </si>
  <si>
    <t>BN1872</t>
  </si>
  <si>
    <t>18-72</t>
  </si>
  <si>
    <t>BN1878</t>
  </si>
  <si>
    <t>18-78</t>
  </si>
  <si>
    <t>BN1902</t>
  </si>
  <si>
    <t>19-02</t>
  </si>
  <si>
    <t>BN1910</t>
  </si>
  <si>
    <t>19-10</t>
  </si>
  <si>
    <t>BN1934</t>
  </si>
  <si>
    <t>19-34</t>
  </si>
  <si>
    <t>BN1939</t>
  </si>
  <si>
    <t>19-39</t>
  </si>
  <si>
    <t>BN1957</t>
  </si>
  <si>
    <t>19-57</t>
  </si>
  <si>
    <t>BN1959</t>
  </si>
  <si>
    <t>19-59</t>
  </si>
  <si>
    <t>BN1960</t>
  </si>
  <si>
    <t>19-60</t>
  </si>
  <si>
    <t>BN1974</t>
  </si>
  <si>
    <t>19-74</t>
  </si>
  <si>
    <t>BN2003</t>
  </si>
  <si>
    <t>20-03</t>
  </si>
  <si>
    <t>BN2015</t>
  </si>
  <si>
    <t>20-15</t>
  </si>
  <si>
    <t>BN9944</t>
  </si>
  <si>
    <t>99-44</t>
  </si>
  <si>
    <t>BN9947</t>
  </si>
  <si>
    <t>99-47</t>
  </si>
  <si>
    <t>BN9966</t>
  </si>
  <si>
    <t>99-66</t>
  </si>
  <si>
    <t>subject_id</t>
  </si>
  <si>
    <t>source_subject_id</t>
  </si>
  <si>
    <t>AMPPD_id</t>
  </si>
  <si>
    <t>GP2_id</t>
  </si>
  <si>
    <t>biobank_name</t>
  </si>
  <si>
    <t>organism</t>
  </si>
  <si>
    <t>sex</t>
  </si>
  <si>
    <t>age_at_collection</t>
  </si>
  <si>
    <t>race</t>
  </si>
  <si>
    <t>ethnicity</t>
  </si>
  <si>
    <t>family_history</t>
  </si>
  <si>
    <t>last_diagnosis</t>
  </si>
  <si>
    <t>age_at_onset</t>
  </si>
  <si>
    <t>age_at_diagnosis</t>
  </si>
  <si>
    <t>first_motor_symptom</t>
  </si>
  <si>
    <t>hx_dementia_mci</t>
  </si>
  <si>
    <t>hx_melanoma</t>
  </si>
  <si>
    <t>education_level</t>
  </si>
  <si>
    <t>smoking_status</t>
  </si>
  <si>
    <t>smoking_years</t>
  </si>
  <si>
    <t>APOE_e4_status</t>
  </si>
  <si>
    <t>cognitive_status</t>
  </si>
  <si>
    <t>time_from_baseline</t>
  </si>
  <si>
    <t>primary_diagnosis</t>
  </si>
  <si>
    <t>primary_diagnosis_text</t>
  </si>
  <si>
    <t>duration_pmi</t>
  </si>
  <si>
    <t>path_autopsy_dx_main</t>
  </si>
  <si>
    <t>path_autopsy_second_dx</t>
  </si>
  <si>
    <t>path_autopsy_third_dx</t>
  </si>
  <si>
    <t>path_autopsy_fourth_dx</t>
  </si>
  <si>
    <t>path_autopsy_fifth_dx</t>
  </si>
  <si>
    <t>path_autopsy_sixth_dx</t>
  </si>
  <si>
    <t>path_autopsy_seventh_dx</t>
  </si>
  <si>
    <t>path_autopsy_eight_dx</t>
  </si>
  <si>
    <t>path_year_death</t>
  </si>
  <si>
    <t>age_at_death</t>
  </si>
  <si>
    <t>cause_death</t>
  </si>
  <si>
    <t>other_cause_death_1</t>
  </si>
  <si>
    <t>other_cause_death_2</t>
  </si>
  <si>
    <t>brain_weight</t>
  </si>
  <si>
    <t>path_braak_nft</t>
  </si>
  <si>
    <t>path_braak_asyn</t>
  </si>
  <si>
    <t>path_cerad</t>
  </si>
  <si>
    <t>path_thal</t>
  </si>
  <si>
    <t>known_pathogenic_mutation</t>
  </si>
  <si>
    <t>PD_pathogenic_mutation</t>
  </si>
  <si>
    <t>path_mckeith</t>
  </si>
  <si>
    <t>sn_neuronal_loss</t>
  </si>
  <si>
    <t>path_infarcs</t>
  </si>
  <si>
    <t>path_nia_ri</t>
  </si>
  <si>
    <t>path_nia_aa_a</t>
  </si>
  <si>
    <t>path_nia_aa_b</t>
  </si>
  <si>
    <t>path_nia_aa_c</t>
  </si>
  <si>
    <t>TDP43</t>
  </si>
  <si>
    <t>arteriolosclerosis_severity_scale</t>
  </si>
  <si>
    <t>amyloid_angiopathy_severity_scale</t>
  </si>
  <si>
    <t>path_ad_level</t>
  </si>
  <si>
    <t>dig_slide_avail</t>
  </si>
  <si>
    <t>quant_path_avail</t>
  </si>
  <si>
    <t>PD/Dem</t>
  </si>
  <si>
    <t>Charcot-Marie-Tooth disease (history)</t>
  </si>
  <si>
    <t>GBA L444P/WT, L444P mutation</t>
  </si>
  <si>
    <t>none</t>
  </si>
  <si>
    <t>2000</t>
  </si>
  <si>
    <t>failure to thrive secondary to Parkinson's disease, dementia, coronary artery disease</t>
  </si>
  <si>
    <t>II</t>
  </si>
  <si>
    <t>Phase 0 (A0)</t>
  </si>
  <si>
    <t>Present</t>
  </si>
  <si>
    <t>LRRK2, GBA N370S, GBA L444P/WT, GBA L444P</t>
  </si>
  <si>
    <t>llb. Limbic Predominant</t>
  </si>
  <si>
    <t>No</t>
  </si>
  <si>
    <t>None</t>
  </si>
  <si>
    <t>03-29</t>
  </si>
  <si>
    <t>Seizure disorder (history)</t>
  </si>
  <si>
    <t>2003</t>
  </si>
  <si>
    <t>aspiration pneumonia due to seizure disorder</t>
  </si>
  <si>
    <t>Phase 1 (A1)</t>
  </si>
  <si>
    <t>GBA L444P, GBA N370S, LRRK2, GBA</t>
  </si>
  <si>
    <t>lll. Brainstem/Limbic</t>
  </si>
  <si>
    <t>Control</t>
  </si>
  <si>
    <t>non-diagnostic Alzheimer's changes</t>
  </si>
  <si>
    <t>CAA</t>
  </si>
  <si>
    <t>lung cancer, morphine overdose</t>
  </si>
  <si>
    <t>moderate</t>
  </si>
  <si>
    <t>Phase 5 (A3)</t>
  </si>
  <si>
    <t>GBA, LRRK2</t>
  </si>
  <si>
    <t>0. No Lewy bodies</t>
  </si>
  <si>
    <t>Mild</t>
  </si>
  <si>
    <t>Moderate</t>
  </si>
  <si>
    <t>CWMR</t>
  </si>
  <si>
    <t>lung cancer</t>
  </si>
  <si>
    <t>Phase 3 (A2)</t>
  </si>
  <si>
    <t>LRRK2, GBA</t>
  </si>
  <si>
    <t>Control (MCI)</t>
  </si>
  <si>
    <t>Argyrophilic grains, mesial temporal lobe</t>
  </si>
  <si>
    <t>infarct(s)</t>
  </si>
  <si>
    <t>Several microscopic foci of cerebellar cortical sclerosis</t>
  </si>
  <si>
    <t>Etat crible, putamen and caudate nucleus</t>
  </si>
  <si>
    <t>congestive heart failure</t>
  </si>
  <si>
    <t>III</t>
  </si>
  <si>
    <t>sparse</t>
  </si>
  <si>
    <t>Phase 2 (A1)</t>
  </si>
  <si>
    <t>PD/ND</t>
  </si>
  <si>
    <t>respiratory arrest due to bacterial pneumonia; Parkinson's disease</t>
  </si>
  <si>
    <t>LRRK2, GBA N370S, GBA L444P, GBA</t>
  </si>
  <si>
    <t>lla. Brainstem Predominant</t>
  </si>
  <si>
    <t>04-15</t>
  </si>
  <si>
    <t/>
  </si>
  <si>
    <t>non-diagnostic changes of Alzheimer's disease</t>
  </si>
  <si>
    <t>Purkinje cell loss, superior vermis of cerebellum</t>
  </si>
  <si>
    <t>2004</t>
  </si>
  <si>
    <t>prostate cancer</t>
  </si>
  <si>
    <t>LRRK2, GBA L444P, GBA N370S, GBA</t>
  </si>
  <si>
    <t>undx</t>
  </si>
  <si>
    <t>non-diagnostic AD changes</t>
  </si>
  <si>
    <t>Old microscopic hemorrhagic infarctions, left superior temporal gyrus and superior parietal lobule</t>
  </si>
  <si>
    <t>Several microscopic foci (8) of cerebellar cortical sclerosis</t>
  </si>
  <si>
    <t>metastatic pancreatic cancer</t>
  </si>
  <si>
    <t>Severe</t>
  </si>
  <si>
    <t>Control, Non-motoric</t>
  </si>
  <si>
    <t>incidental Lewy bodies in multiple brain regions</t>
  </si>
  <si>
    <t>Microscopic changes of TDP-43 proteinopathy, mesial temporal lobe</t>
  </si>
  <si>
    <t>perforated peptic ulcer; inflammatory bowel disease</t>
  </si>
  <si>
    <t>IV</t>
  </si>
  <si>
    <t>CAA, mild</t>
  </si>
  <si>
    <t>Small old left parieto-occipital lobe infarct, 2 x 0.4 x 0.4 cm</t>
  </si>
  <si>
    <t>Old microinfarcts (3), left superior frontal sulcus and left superior parietal lobule</t>
  </si>
  <si>
    <t>2005</t>
  </si>
  <si>
    <t>cardiorespiratory arrest</t>
  </si>
  <si>
    <t>Low ADNC</t>
  </si>
  <si>
    <t>06-02</t>
  </si>
  <si>
    <t>Incidental Lewy bodies, limbic regions and brainstem</t>
  </si>
  <si>
    <t>Status post excision of left temporal lobe meningioma</t>
  </si>
  <si>
    <t>Old left middle temporal gyrus traumatic contusion</t>
  </si>
  <si>
    <t>Old lacunar infarct, left globus pallidus</t>
  </si>
  <si>
    <t>2006</t>
  </si>
  <si>
    <t>renal failure; respiratory failure; COPD</t>
  </si>
  <si>
    <t>I</t>
  </si>
  <si>
    <t>06-15</t>
  </si>
  <si>
    <t>Non-diagnostic AD changes</t>
  </si>
  <si>
    <t>congestive heart failure, aortic stenosis</t>
  </si>
  <si>
    <t>Old cystic infarct (1 x 0.8 x 0.6 cm), left lateral occipital lobe</t>
  </si>
  <si>
    <t>failure to thrive due to metastatic pancreatic cancer</t>
  </si>
  <si>
    <t>Microscopic lesions of Alzheimer’s disease, insufficient for diagnosis</t>
  </si>
  <si>
    <t>GBA T369M mutation</t>
  </si>
  <si>
    <t>Missing/unknown</t>
  </si>
  <si>
    <t>GBA N370S, LRRK2, GBA T369M, GBA L444P</t>
  </si>
  <si>
    <t>lV. Neocortical</t>
  </si>
  <si>
    <t>Old microscopic infarcts, left pulvinar (1), left claustrum (1) and left cerebellar cortex (2)</t>
  </si>
  <si>
    <t>Two microscopic foci of cerebellar cortical sclerosis</t>
  </si>
  <si>
    <t>pulmonary distress, cardiprespiratory arrest</t>
  </si>
  <si>
    <t>GBA N370S, GBA, LRRK2, GBA L444P</t>
  </si>
  <si>
    <t>PSP</t>
  </si>
  <si>
    <t>Old lacunar infarcts, right putamen (1) and left caudate nucleus (1)</t>
  </si>
  <si>
    <t>Old microscopic infarct, left thalamus</t>
  </si>
  <si>
    <t>dementia (clinically)</t>
  </si>
  <si>
    <t>capillary telangiectasia of dentate nucleus, cerebellum</t>
  </si>
  <si>
    <t>hemodialysis renal failure, polycystic kidney disease, Parkinson's disease</t>
  </si>
  <si>
    <t>0</t>
  </si>
  <si>
    <t>GBA L444P, GBA N370S</t>
  </si>
  <si>
    <t>Acute ischemic changes, left temporal lobe and hypothalamus</t>
  </si>
  <si>
    <t>Old microscopic cortical infarct, left middle temporal gyrus</t>
  </si>
  <si>
    <t>Status post bilateral subthalamic nucleus implantation of deep brain stimulating electrodes</t>
  </si>
  <si>
    <t>GBA, GBA L444P, GBA N370S, LRRK2</t>
  </si>
  <si>
    <t>07-04</t>
  </si>
  <si>
    <t>Neurofibrillary tangles, inferomesial temporal lobe</t>
  </si>
  <si>
    <t>Mineralized blood vessels, globus pallidus</t>
  </si>
  <si>
    <t>2007</t>
  </si>
  <si>
    <t>metastatic colon cancer</t>
  </si>
  <si>
    <t>COPD, respiratory distress</t>
  </si>
  <si>
    <t>Old microscopic infarct, left fusiform gyrus</t>
  </si>
  <si>
    <t>2008</t>
  </si>
  <si>
    <t>chronic renal failure due to hypertension</t>
  </si>
  <si>
    <t>GBA</t>
  </si>
  <si>
    <t>Old microscopic infarcts, left middle frontal gyrus cortex (1), superior parietal lobule cortex (3) and left putamen (2)</t>
  </si>
  <si>
    <t>2009</t>
  </si>
  <si>
    <t>chronic obstructive pulmonary disease</t>
  </si>
  <si>
    <t>LRRK2, G2019S</t>
  </si>
  <si>
    <t>Microscopic changes of Alzheimer's disease, insufficient for diagnosis</t>
  </si>
  <si>
    <t>Old microscopic infarcts, putamen (2) and globus pallidus (2)</t>
  </si>
  <si>
    <t>Hyperostosis frontalis interna</t>
  </si>
  <si>
    <t>frequent</t>
  </si>
  <si>
    <t>LRRK2, GBA L444P, GBA, GBA N370S</t>
  </si>
  <si>
    <t>10-22</t>
  </si>
  <si>
    <t>Sparse diffuse amyloid plaques, temporal and occipital lobes</t>
  </si>
  <si>
    <t>2010</t>
  </si>
  <si>
    <t>adrenocortical carcinoma</t>
  </si>
  <si>
    <t>Amyloid angiopathy, cerebral and cerebellar cortex</t>
  </si>
  <si>
    <t>Neurofibrillary tangles, mesial temporal lobe</t>
  </si>
  <si>
    <t>Widespread vascular inflammatory changes</t>
  </si>
  <si>
    <t>end stage Parkinson's disease</t>
  </si>
  <si>
    <t>11-28</t>
  </si>
  <si>
    <t>Amyloid angiopathy, moderate to severe, cerebral cortex and cerebellar leptomeninges</t>
  </si>
  <si>
    <t>Incidental Lewy bodies, olfactory bulb</t>
  </si>
  <si>
    <t>Alzheimer type II astrocytosis</t>
  </si>
  <si>
    <t>2011</t>
  </si>
  <si>
    <t>complications from non-Hodgkins lymphoma</t>
  </si>
  <si>
    <t>LRRK2 G2019S</t>
  </si>
  <si>
    <t>l. Olfactory Bulb-Only</t>
  </si>
  <si>
    <t>NFTs, non-specific glial tauopathy, mesial temporal lobe</t>
  </si>
  <si>
    <t>Metastatic melanoma, left occipital cortex</t>
  </si>
  <si>
    <t>malignant melanoma stage IV</t>
  </si>
  <si>
    <t>Microscopic changes of Alzheimer's disease, insufficient for diagnosis (ILBD)</t>
  </si>
  <si>
    <t>CWMR, parietal lobe</t>
  </si>
  <si>
    <t>Microscopic changes of Lewy body disease, insufficient for diagnosis</t>
  </si>
  <si>
    <t>Old microscopic cerebellar cortical infarct</t>
  </si>
  <si>
    <t>Old microscopic foci cerebellar cortical sclerosis (5)</t>
  </si>
  <si>
    <t>12-04</t>
  </si>
  <si>
    <t>Dementia (history)</t>
  </si>
  <si>
    <t>Argyrophilic grains and non-specific glial tauopathy, mesial temporal lobe</t>
  </si>
  <si>
    <t>2012</t>
  </si>
  <si>
    <t>myelodysplastic syndrome, renal failure and ureteral cancer</t>
  </si>
  <si>
    <t>CWMR, severe</t>
  </si>
  <si>
    <t>Multisystem failure</t>
  </si>
  <si>
    <t>12-21</t>
  </si>
  <si>
    <t>Metastatic cancer, left thalamus (history of primary lung cancer)</t>
  </si>
  <si>
    <t>CWMR, parietal lobes</t>
  </si>
  <si>
    <t>metastatic lung cancer</t>
  </si>
  <si>
    <t>NFTs, mesial temporal lobe</t>
  </si>
  <si>
    <t>Subacute subdural hematoma, right frontotemporoparietal region</t>
  </si>
  <si>
    <t>CWMR, frontal lobe</t>
  </si>
  <si>
    <t>AGs, hippocampus</t>
  </si>
  <si>
    <t>2013</t>
  </si>
  <si>
    <t>adult failure to thrive, COPD, Parkinson's disease</t>
  </si>
  <si>
    <t>Sepsis, unknown organism</t>
  </si>
  <si>
    <t>3 (Severe) sepsis, septic shock, respiratory failure due to UTI</t>
  </si>
  <si>
    <t>multiple myeloma</t>
  </si>
  <si>
    <t>NFTs, entorhinal cortex and hippocampus</t>
  </si>
  <si>
    <t>malignant neoplasm lung, type and stage unspecified</t>
  </si>
  <si>
    <t>Not AD</t>
  </si>
  <si>
    <t>Old microscopic infarct, left cerebellar cortex</t>
  </si>
  <si>
    <t>Moderate to marked Purkinje cell loss, cerebellum</t>
  </si>
  <si>
    <t>ILBD</t>
  </si>
  <si>
    <t>myelodysplasia, etiology unknown</t>
  </si>
  <si>
    <t>Old microscopic infarcts, middle frontal gyrus and putamen (2)</t>
  </si>
  <si>
    <t>Microscopic focus of cerebellar cortical sclerosis</t>
  </si>
  <si>
    <t>ruptured abdominal aortic aneurysm</t>
  </si>
  <si>
    <t>Arteriovenous malformation, left convexity leptomeninges and cortex, 2 x 2 x 1.5 cm</t>
  </si>
  <si>
    <t>Mineralization of blood vessels, globus pallidus, dentate gyrus and dentate nucleus of cerebellum</t>
  </si>
  <si>
    <t>2014</t>
  </si>
  <si>
    <t>Moderate to marked loss of  Purkinje cells, cerebellum</t>
  </si>
  <si>
    <t>pancreatic cancer stage IV</t>
  </si>
  <si>
    <t>Intermediate ADNC</t>
  </si>
  <si>
    <t>Small subacute cortical infarct, left lateral occipital lobe (1 cc)</t>
  </si>
  <si>
    <t>Microscopic subacute cortical infarcts, left superior parietal lobule and left middle frontal gyrus</t>
  </si>
  <si>
    <t>Neurofibrillary tangles and non-specific glial tauopathy, mesial temporal lobe</t>
  </si>
  <si>
    <t>Single microscopic focus of cerebellar cortical sclerosis</t>
  </si>
  <si>
    <t>Arachnoid cyst, right frontal convexity</t>
  </si>
  <si>
    <t>Lung cancer stage IV</t>
  </si>
  <si>
    <t>S/P bilateral placement of deep brain stimulating electrodes into globus pallidus</t>
  </si>
  <si>
    <t>2015</t>
  </si>
  <si>
    <t>wasting syndrome, Parkinson's disease</t>
  </si>
  <si>
    <t>PDD</t>
  </si>
  <si>
    <t>Non-specific glial tauopathy, mesial temporal lobe</t>
  </si>
  <si>
    <t>aspiration pneumonia, Parkinson's disease</t>
  </si>
  <si>
    <t>Old microscopic infarcts, left putamen (1), globus pallidus (1) and cerebellar cortex (1)</t>
  </si>
  <si>
    <t>Microscopic foci cerebellar cortical sclerosis (6)</t>
  </si>
  <si>
    <t>failure to thrive, dysphagia, unspecified natural causes</t>
  </si>
  <si>
    <t>Benign choroid plexus cysts</t>
  </si>
  <si>
    <t>lung cancer, unknown stage, unknown cell type</t>
  </si>
  <si>
    <t>Moderate to severe amyloid angiopathy, cerebral cortex</t>
  </si>
  <si>
    <t>Old microscopic infarct, frontal cortex</t>
  </si>
  <si>
    <t>Acute cortical microscopic infarct, precentral gyrus</t>
  </si>
  <si>
    <t>Moderate to marked Purkinje cell loss, superior vermis of cerebellum</t>
  </si>
  <si>
    <t>acute chronic respiratory failure, pulmonary fibrosis (idiopathic)</t>
  </si>
  <si>
    <t>Bilateral old traumatic hemorrhagic contusions of temporal lobes, orbital surfaces of frontal lobes and right frontal pole</t>
  </si>
  <si>
    <t>Old microscopic infarct, cerebellar cortex</t>
  </si>
  <si>
    <t>ventricular fibrillation, coronary artery disease, diabetes mellitus, obesity</t>
  </si>
  <si>
    <t>end stage congestive heart failure, end stage aortic stenosis</t>
  </si>
  <si>
    <t>Phase 4 (A3)</t>
  </si>
  <si>
    <t>Mild cognitive impairment (history)</t>
  </si>
  <si>
    <t>PD (MCI)</t>
  </si>
  <si>
    <t>2016</t>
  </si>
  <si>
    <t>Mantle cell lymphoma, unknown stage; Parkinson's disease; chronic kidney disease</t>
  </si>
  <si>
    <t>Old microscopic infarcts, left subiculum and putamen</t>
  </si>
  <si>
    <t>respiratory failure, pneumonitis due to food inhalation, bulbar dysfunction</t>
  </si>
  <si>
    <t>Control (history)</t>
  </si>
  <si>
    <t>2017</t>
  </si>
  <si>
    <t>failure to thrive; metastatic malignant neoplasm of bronchus/lung (stage and grade unknown)</t>
  </si>
  <si>
    <t>Old microscopic hemorrhages, dentate nucleus cerebellum</t>
  </si>
  <si>
    <t>Moderate Purkinje cell loss, cerebellar cortex</t>
  </si>
  <si>
    <t>Cardiorespiratory arrest</t>
  </si>
  <si>
    <t>Old cortical microscopic infarct, left middle frontal gyrus</t>
  </si>
  <si>
    <t>Microscopic foci cerebellar cortical sclerosis (5)</t>
  </si>
  <si>
    <t>Severe loss of Purkinje cells, cerebellar superior vermis</t>
  </si>
  <si>
    <t>cardiopulmonary failure, ischemic cardiomyopathy with systolic CHF, CAD</t>
  </si>
  <si>
    <t>acute respiratory failure, CHF, DM</t>
  </si>
  <si>
    <t>Metastatic adenocarcinoma, bilateral cerebellum and left superior temporal gyrus, with extensive leptomeningeal involvement of the brainstem, cerebellum and spinal cord</t>
  </si>
  <si>
    <t>pancreatic cancer</t>
  </si>
  <si>
    <t>Old microscopic infarct, cerebellar hemispheric cortex</t>
  </si>
  <si>
    <t>Non-specific glial tauopathy, mesial temporal lobe and focally in frontal cortex</t>
  </si>
  <si>
    <t>Ependymoma, left lateral ventricle</t>
  </si>
  <si>
    <t>cardiopulmonary arrest, hypertensive heart disease</t>
  </si>
  <si>
    <t>Old microscopic hemorrhage, left middle frontal gyrus white matter</t>
  </si>
  <si>
    <t>Old hemorrhagic microscopic infarct, left putamen</t>
  </si>
  <si>
    <t>Old microscopic non-hemorrhagic infarct, left putamen</t>
  </si>
  <si>
    <t>Subacute microscopic infarct, left globus pallidus</t>
  </si>
  <si>
    <t>Non-specific glial tauopathy, mesial temporal lobe and parietal lobe periventricular white matter</t>
  </si>
  <si>
    <t>CBD</t>
  </si>
  <si>
    <t>Non-specific glial tauopathy, mesial temporal lobe and parietal lobe</t>
  </si>
  <si>
    <t>Status post bilateral globus pallidus placement, deep brain stimulating electrodes, with associated old infarction cavities in middle frontal gyri, frontal lobe deep white matter and basal ganglia</t>
  </si>
  <si>
    <t>Old microscopic infarcts, left postcentral gyrus and left caudate nucleus</t>
  </si>
  <si>
    <t>Non-specific glial tauopathy, amygdala</t>
  </si>
  <si>
    <t>Argyrophilic grains, hippocampus</t>
  </si>
  <si>
    <t>Old microscopic infarct, left transentorhinal area</t>
  </si>
  <si>
    <t>Moderate to marked patchy loss of Purkinje cells, cerebellum</t>
  </si>
  <si>
    <t>Status post bilateral placement of deep brain stimulating electrodes, globus pallidus (history)</t>
  </si>
  <si>
    <t>Old hemorrhagic cystic cavities (0.2 x 0.2 x 0.2 cm) at site of electrode lead entry, frontal lobes</t>
  </si>
  <si>
    <t>Old lacunar-sized hemorrhagic cystic infarct (0.4 x 0.4 x 0.4), left globus pallidus</t>
  </si>
  <si>
    <t>Focal Wallerian degeneration, right hemisphere white matter, adjacent to tail of caudate</t>
  </si>
  <si>
    <t>Old microscopic infarct, head of left putamen nucleus</t>
  </si>
  <si>
    <t>Microscopic foci, cerebellar cortical sclerosis (2)</t>
  </si>
  <si>
    <t>Control (diseased)</t>
  </si>
  <si>
    <t>Neurofibrillary tangles, argyrophilic grains and non-specific glial tauopathy, mesial temporal lobe</t>
  </si>
  <si>
    <t>Enlarged perivascular spaces with vascular mineralization, caudate nucleus, putamen, thalamus and cerebellar white matter</t>
  </si>
  <si>
    <t>Old hemorrhagic necrotic area with radiation changes, left cerebellar hemisphere (history of gamma knife radiation therapy to left acoustic neuroma (2009)</t>
  </si>
  <si>
    <t>Persisting left acoustic neuroma (0.6 cm)</t>
  </si>
  <si>
    <t>Status post right parietal craniotomy (for subdural hematoma, 2013)</t>
  </si>
  <si>
    <t>cardiac arrest, cardiac arrhythmia, coronary artery disease</t>
  </si>
  <si>
    <t>Old microscopic infarct, left putamen</t>
  </si>
  <si>
    <t>2018</t>
  </si>
  <si>
    <t>unspecified natural cause, Parkinson's disease</t>
  </si>
  <si>
    <t>Status post bilateral placement of deep brain stimulating electrodes, subthalamic nuclei</t>
  </si>
  <si>
    <t>adult failure to thrive, senile degeneration of the brain, paralysis agitans</t>
  </si>
  <si>
    <t>Single microscopic focus of cortical sclerosis, cerebellum</t>
  </si>
  <si>
    <t>probable lung cancer, stage IV, cell type unknown</t>
  </si>
  <si>
    <t>Alzheimer type II astrocytosis, putamen</t>
  </si>
  <si>
    <t>kidney failure, toxic encephalopathy</t>
  </si>
  <si>
    <t>Moderate to focally marked Purkinje cell loss, superior vermis, cerebellum</t>
  </si>
  <si>
    <t>cardiorespiratory arrest, lung metastis, pancreas cancer, CLL</t>
  </si>
  <si>
    <t>Old lacunar-sized cortical infarct, left cerebellum</t>
  </si>
  <si>
    <t>Status post left frontoparietal  craniotomy for subdural hematoma</t>
  </si>
  <si>
    <t>Old microscopic infarcts, left cerebral cortex (2) and left cerebellar cortex (5)</t>
  </si>
  <si>
    <t>Microscopic foci left cerebellar cortical sclerosis (12)</t>
  </si>
  <si>
    <t>Alzheimer type II astrocytosis, striatum</t>
  </si>
  <si>
    <t>colon cancer</t>
  </si>
  <si>
    <t>Astrocytoma, hypothalamus, neurohypophysis and optic tract</t>
  </si>
  <si>
    <t>Non-specific parkinsonism (history)</t>
  </si>
  <si>
    <t>cardiorespiratory arrest; end stage renal disease</t>
  </si>
  <si>
    <t>Neurofibrillary tangles, temporal lobe</t>
  </si>
  <si>
    <t>Non-specific glial tauopathy, mesial temporal lobe and focally in frontal, insular and parietal cortex</t>
  </si>
  <si>
    <t>congestive heart failure, ischemic cardiomyopathy, coronary artery disease</t>
  </si>
  <si>
    <t>cardiac arrhymthia,CAD, HT, multiple myeloma</t>
  </si>
  <si>
    <t>Mild to moderate to focally marked Purkinje cell loss, cerebellum</t>
  </si>
  <si>
    <t>diffuse large B-cell lymphoma, stage 4</t>
  </si>
  <si>
    <t>End stage renal disease</t>
  </si>
  <si>
    <t>Dementia (clinical history)</t>
  </si>
  <si>
    <t>Subacute lacunar-sized infarct, occipital lobe white matter</t>
  </si>
  <si>
    <t>Moderate to marked loss of cerebellar Purkinje cells</t>
  </si>
  <si>
    <t>CWMR, occipital lobe</t>
  </si>
  <si>
    <t>inanition, dysphagia, Parkinson's disease</t>
  </si>
  <si>
    <t>Old cortical microscopic infarct, superior parietal lobule</t>
  </si>
  <si>
    <t>Non-specific glial tauopathy, putamen</t>
  </si>
  <si>
    <t>colon cancer, stage IV</t>
  </si>
  <si>
    <t>2019</t>
  </si>
  <si>
    <t>Lewy body dementia</t>
  </si>
  <si>
    <t>Microscopic focus of metastatic adenocarcinoma, cerebellar cortex (history of metastatic prostate adenocarcinoma)</t>
  </si>
  <si>
    <t>Old cystic microinfarct, cerebellar cortex</t>
  </si>
  <si>
    <t>Microscopic foci cerebellar cortical sclerosis (4)</t>
  </si>
  <si>
    <t>metastatic prostate cancer</t>
  </si>
  <si>
    <t>MCI (clinical history)</t>
  </si>
  <si>
    <t>non specific natural causes</t>
  </si>
  <si>
    <t>control (clinical history)</t>
  </si>
  <si>
    <t>Old microscopic infarct, globus pallidus</t>
  </si>
  <si>
    <t>Microscopic focus of cortical sclerosis, cerebellum</t>
  </si>
  <si>
    <t>Non-specific glial tauopathy, mesial temporal lobe and basal forebrain</t>
  </si>
  <si>
    <t>end stage renal disease</t>
  </si>
  <si>
    <t>Neurofibrillary tangles and microscopic changes of TDP-43 proteinopathy, mesial temporal lobe</t>
  </si>
  <si>
    <t>Status post deep brain stimulator placement, bilateral subthalamic nucleus</t>
  </si>
  <si>
    <t>Non-specific glial tauopathy, amygdala and substantia nigra</t>
  </si>
  <si>
    <t>cardiorespiratory arrest, Parkinson's disease</t>
  </si>
  <si>
    <t>Parkinson's disease, atrial fibrillation, hypertension</t>
  </si>
  <si>
    <t>Neurofibrillary tangles and argyrophilic grains, mesial temporal lobe</t>
  </si>
  <si>
    <t>Old microscopic infarct, putamen</t>
  </si>
  <si>
    <t>Focal non-specific glial tauopathy, cortex of middle frontal gyrus</t>
  </si>
  <si>
    <t>2020</t>
  </si>
  <si>
    <t>Alzheimer Type II astrocytosis consistent with terminal hepatic encephalopathy</t>
  </si>
  <si>
    <t>1999</t>
  </si>
  <si>
    <t>Hepatocellular cancer</t>
  </si>
  <si>
    <t>inc LBs</t>
  </si>
  <si>
    <t>Cardiac and/or respiratory failure</t>
  </si>
  <si>
    <t>incidental LBs</t>
  </si>
  <si>
    <t>Argyrophilic grains in mesial temporal lobe</t>
  </si>
  <si>
    <t>sample_id</t>
  </si>
  <si>
    <t>source_sample_id</t>
  </si>
  <si>
    <t>replicate</t>
  </si>
  <si>
    <t>replicate_count</t>
  </si>
  <si>
    <t>repeated_sample</t>
  </si>
  <si>
    <t>batch</t>
  </si>
  <si>
    <t>tissue</t>
  </si>
  <si>
    <t>brain_region</t>
  </si>
  <si>
    <t>hemisphere</t>
  </si>
  <si>
    <t>region_level_1</t>
  </si>
  <si>
    <t>region_level_2</t>
  </si>
  <si>
    <t>region_level_3</t>
  </si>
  <si>
    <t>RIN</t>
  </si>
  <si>
    <t>source_RIN</t>
  </si>
  <si>
    <t>molecular_source</t>
  </si>
  <si>
    <t>input_cell_count</t>
  </si>
  <si>
    <t>sequencing_end</t>
  </si>
  <si>
    <t>sequencing_length</t>
  </si>
  <si>
    <t>sequencing_instrument</t>
  </si>
  <si>
    <t>organism_ontology_term_id</t>
  </si>
  <si>
    <t>development_stage_ontology_term_id</t>
  </si>
  <si>
    <t>sex_ontology_term_id</t>
  </si>
  <si>
    <t>self_reported_ethnicity_ontology_term_id</t>
  </si>
  <si>
    <t>disease_ontology_term_id</t>
  </si>
  <si>
    <t>tissue_ontology_term_id</t>
  </si>
  <si>
    <t>cell_type_ontology_term_id</t>
  </si>
  <si>
    <t>assay_ontology_term_id</t>
  </si>
  <si>
    <t>suspension_type</t>
  </si>
  <si>
    <t>DV200</t>
  </si>
  <si>
    <t>pm_PH</t>
  </si>
  <si>
    <t>donor_id</t>
  </si>
  <si>
    <t>PD_BN0009_MTG_snRNAseq_batch1_rep1</t>
  </si>
  <si>
    <t>rep1</t>
  </si>
  <si>
    <t>batch1</t>
  </si>
  <si>
    <t>Brain</t>
  </si>
  <si>
    <t>Middle temporal gyrus</t>
  </si>
  <si>
    <t>Left</t>
  </si>
  <si>
    <t>Temporal lobe</t>
  </si>
  <si>
    <t>Grey and white matter</t>
  </si>
  <si>
    <t>PolyA RNA</t>
  </si>
  <si>
    <t>v3.1 - Dual Index</t>
  </si>
  <si>
    <t>Paired-end</t>
  </si>
  <si>
    <t>Illumina NextSeq 550</t>
  </si>
  <si>
    <t>EFO:0030003 '10x 3' v3 transcription profiling nucleus'</t>
  </si>
  <si>
    <t>PD_BN0329_MTG_snRNAseq_batch2_rep1</t>
  </si>
  <si>
    <t>batch2</t>
  </si>
  <si>
    <t>HC_BN0339_MTG_snRNAseq_batch1_rep1</t>
  </si>
  <si>
    <t>HC_BN0341_MTG_snRNAseq_batch1_rep1</t>
  </si>
  <si>
    <t>HC_BN0347_MTG_snRNAseq_batch2_rep1</t>
  </si>
  <si>
    <t>PD_BN0348_MTG_snRNAseq_batch2_rep1</t>
  </si>
  <si>
    <t>ILB_BN0415_MTG_snRNAseq_batch1_rep1</t>
  </si>
  <si>
    <t>HC_BN0452_MTG_snRNAseq_batch7_rep1</t>
  </si>
  <si>
    <t>batch7</t>
  </si>
  <si>
    <t>ILB_BN0464_MTG_snRNAseq_batch2_rep1</t>
  </si>
  <si>
    <t>ILB_BN0464_MTG_snRNAseq_batch26_rep2</t>
  </si>
  <si>
    <t>rep2</t>
  </si>
  <si>
    <t>batch26</t>
  </si>
  <si>
    <t>HC_BN0536_MTG_snRNAseq_batch4_rep1</t>
  </si>
  <si>
    <t>batch4</t>
  </si>
  <si>
    <t>ILB_BN0602_MTG_snRNAseq_batch3_rep1</t>
  </si>
  <si>
    <t>batch3</t>
  </si>
  <si>
    <t>HC_BN0615_MTG_snRNAseq_batch5_rep1</t>
  </si>
  <si>
    <t>batch5</t>
  </si>
  <si>
    <t>HC_BN0635_MTG_snRNAseq_batch6_rep1</t>
  </si>
  <si>
    <t>batch6</t>
  </si>
  <si>
    <t>PD_BN0644_MTG_snRNAseq_batch3_rep1</t>
  </si>
  <si>
    <t>PD_BN0651_MTG_snRNAseq_batch4_rep1</t>
  </si>
  <si>
    <t>PD_BN0655_MTG_snRNAseq_batch4_rep1</t>
  </si>
  <si>
    <t>PD_BN0662_MTG_snRNAseq_batch5_rep1</t>
  </si>
  <si>
    <t>HC_BN0704_MTG_snRNAseq_batch6_rep1</t>
  </si>
  <si>
    <t>HC_BN0737_MTG_snRNAseq_batch7_rep1</t>
  </si>
  <si>
    <t>HC_BN0746_MTG_snRNAseq_batch8_rep1</t>
  </si>
  <si>
    <t>batch8</t>
  </si>
  <si>
    <t>HC_BN0855_MTG_snRNAseq_batch27_rep1</t>
  </si>
  <si>
    <t>batch27</t>
  </si>
  <si>
    <t>ILB_BN0934_MTG_snRNAseq_batch5_rep1</t>
  </si>
  <si>
    <t>ILB_BN0934_MTG_snRNAseq_batch26_rep2</t>
  </si>
  <si>
    <t>PD_BN0952_MTG_snRNAseq_batch7_rep1</t>
  </si>
  <si>
    <t>HC_BN1022_MTG_snRNAseq_batch11_rep1</t>
  </si>
  <si>
    <t>batch11</t>
  </si>
  <si>
    <t>PD_BN1076_MTG_snRNAseq_batch7_rep1</t>
  </si>
  <si>
    <t>PD_BN1076_MTG_snRNAseq_batch26_rep2</t>
  </si>
  <si>
    <t>ILB_BN1128_MTG_snRNAseq_batch5_rep1</t>
  </si>
  <si>
    <t>HC_BN1144_MTG_snRNAseq_batch13_rep1</t>
  </si>
  <si>
    <t>batch13</t>
  </si>
  <si>
    <t>ILB_BN1160_MTG_snRNAseq_batch6_rep1</t>
  </si>
  <si>
    <t>PD_BN1204_MTG_snRNAseq_batch30_rep1</t>
  </si>
  <si>
    <t>batch30</t>
  </si>
  <si>
    <t>HC_BN1206_MTG_snRNAseq_batch16_rep1</t>
  </si>
  <si>
    <t>batch16</t>
  </si>
  <si>
    <t>HC_BN1221_MTG_snRNAseq_batch14_rep1</t>
  </si>
  <si>
    <t>batch14</t>
  </si>
  <si>
    <t>PD_BN1266_MTG_snRNAseq_batch31_rep1</t>
  </si>
  <si>
    <t>batch31</t>
  </si>
  <si>
    <t>PD_BN1305_MTG_snRNAseq_batch8_rep1</t>
  </si>
  <si>
    <t>ILB_BN1308_MTG_snRNAseq_batch8_rep1</t>
  </si>
  <si>
    <t>PD_BN1317_MTG_snRNAseq_batch31_rep1</t>
  </si>
  <si>
    <t>ILB_BN1339_MTG_snRNAseq_batch8_rep1</t>
  </si>
  <si>
    <t>HC_BN1340_MTG_snRNAseq_batch15_rep1</t>
  </si>
  <si>
    <t>batch15</t>
  </si>
  <si>
    <t>ILB_BN1351_MTG_snRNAseq_batch12_rep1</t>
  </si>
  <si>
    <t>batch12</t>
  </si>
  <si>
    <t>ILB_BN1361_MTG_snRNAseq_batch11_rep1</t>
  </si>
  <si>
    <t>PD_BN1412_MTG_snRNAseq_batch11_rep1</t>
  </si>
  <si>
    <t>ILB_BN1424_MTG_snRNAseq_batch13_rep1</t>
  </si>
  <si>
    <t>HC_BN1430_MTG_snRNAseq_batch17_rep1</t>
  </si>
  <si>
    <t>batch17</t>
  </si>
  <si>
    <t>PD_BN1504_MTG_snRNAseq_batch6_rep1</t>
  </si>
  <si>
    <t>PD_BN1506_MTG_snRNAseq_batch12_rep1</t>
  </si>
  <si>
    <t>ILB_BN1518_MTG_snRNAseq_batch27_rep1</t>
  </si>
  <si>
    <t>ILB_BN1535_MTG_snRNAseq_batch14_rep1</t>
  </si>
  <si>
    <t>HC_BN1546_MTG_snRNAseq_batch18_rep1</t>
  </si>
  <si>
    <t>batch18</t>
  </si>
  <si>
    <t>PD_BN1554_MTG_snRNAseq_batch13_rep1</t>
  </si>
  <si>
    <t>ILB_BN1567_MTG_snRNAseq_batch15_rep1</t>
  </si>
  <si>
    <t>HC_BN1578_MTG_snRNAseq_batch19_rep1</t>
  </si>
  <si>
    <t>batch19</t>
  </si>
  <si>
    <t>ILB_BN1585_MTG_snRNAseq_batch16_rep1</t>
  </si>
  <si>
    <t>PD_BN1614_MTG_snRNAseq_batch14_rep1</t>
  </si>
  <si>
    <t>PD_BN1644_MTG_snRNAseq_batch15_rep1</t>
  </si>
  <si>
    <t>HC_BN1719_MTG_snRNAseq_batch21_rep1</t>
  </si>
  <si>
    <t>batch21</t>
  </si>
  <si>
    <t>ILB_BN1722_MTG_snRNAseq_batch17_rep1</t>
  </si>
  <si>
    <t>ILB_BN1726_MTG_snRNAseq_batch18_rep1</t>
  </si>
  <si>
    <t>HC_BN1730_MTG_snRNAseq_batch30_rep1</t>
  </si>
  <si>
    <t>HC_BN1737_MTG_snRNAseq_batch12_rep1</t>
  </si>
  <si>
    <t>ILB_BN1741_MTG_snRNAseq_batch19_rep1</t>
  </si>
  <si>
    <t>PD_BN1747_MTG_snRNAseq_batch16_rep1</t>
  </si>
  <si>
    <t>PD_BN1749_MTG_snRNAseq_batch17_rep1</t>
  </si>
  <si>
    <t>ILB_BN1752_MTG_snRNAseq_batch20_rep1</t>
  </si>
  <si>
    <t>batch20</t>
  </si>
  <si>
    <t>PD_BN1756_MTG_snRNAseq_batch18_rep1</t>
  </si>
  <si>
    <t>HC_BN1762_MTG_snRNAseq_batch31_rep1</t>
  </si>
  <si>
    <t>PD_BN1805_MTG_snRNAseq_batch19_rep1</t>
  </si>
  <si>
    <t>PD_BN1809_MTG_snRNAseq_batch20_rep1</t>
  </si>
  <si>
    <t>PD_BN1812_MTG_snRNAseq_batch21_rep1</t>
  </si>
  <si>
    <t>PD_BN1814_MTG_snRNAseq_batch22_rep1</t>
  </si>
  <si>
    <t>batch22</t>
  </si>
  <si>
    <t>HC_BN1817_MTG_snRNAseq_batch9_rep1</t>
  </si>
  <si>
    <t>batch9</t>
  </si>
  <si>
    <t>HC_BN1822_MTG_snRNAseq_batch23_rep1</t>
  </si>
  <si>
    <t>batch23</t>
  </si>
  <si>
    <t>PD_BN1827_MTG_snRNAseq_batch10_rep1</t>
  </si>
  <si>
    <t>batch10</t>
  </si>
  <si>
    <t>ILB_BN1836_MTG_snRNAseq_batch21_rep1</t>
  </si>
  <si>
    <t>PD_BN1839_MTG_snRNAseq_batch10_rep1</t>
  </si>
  <si>
    <t>HC_BN1842_MTG_snRNAseq_batch24_rep1</t>
  </si>
  <si>
    <t>batch24</t>
  </si>
  <si>
    <t>ILB_BN1848_MTG_snRNAseq_batch22_rep1</t>
  </si>
  <si>
    <t>ILB_BN1849_MTG_snRNAseq_batch22_rep1</t>
  </si>
  <si>
    <t>HC_BN1855_MTG_snRNAseq_batch3_rep1</t>
  </si>
  <si>
    <t>ILB_BN1862_MTG_snRNAseq_batch10_rep1</t>
  </si>
  <si>
    <t>PD_BN1865_MTG_snRNAseq_batch9_rep1</t>
  </si>
  <si>
    <t>PD_BN1872_MTG_snRNAseq_batch23_rep1</t>
  </si>
  <si>
    <t>HC_BN1878_MTG_snRNAseq_batch28_rep1</t>
  </si>
  <si>
    <t>batch28</t>
  </si>
  <si>
    <t>PD_BN1902_MTG_snRNAseq_batch27_rep1</t>
  </si>
  <si>
    <t>ILB_BN1910_MTG_snRNAseq_batch9_rep1</t>
  </si>
  <si>
    <t>HC_BN1934_MTG_snRNAseq_batch29_rep1</t>
  </si>
  <si>
    <t>batch29</t>
  </si>
  <si>
    <t>ILB_BN1939_MTG_snRNAseq_batch23_rep1</t>
  </si>
  <si>
    <t>PD_BN1957_MTG_snRNAseq_batch24_rep1</t>
  </si>
  <si>
    <t>PD_BN1959_MTG_snRNAseq_batch28_rep1</t>
  </si>
  <si>
    <t>PD_BN1960_MTG_snRNAseq_batch28_rep1</t>
  </si>
  <si>
    <t>ILB_BN1974_MTG_snRNAseq_batch9_rep1</t>
  </si>
  <si>
    <t>PD_BN2003_MTG_snRNAseq_batch29_rep1</t>
  </si>
  <si>
    <t>ILB_BN2015_MTG_snRNAseq_batch4_rep1</t>
  </si>
  <si>
    <t>HC_BN9944_MTG_snRNAseq_batch30_rep1</t>
  </si>
  <si>
    <t>ILB_BN9947_MTG_snRNAseq_batch26_rep1</t>
  </si>
  <si>
    <t>ILB_BN9966_MTG_snRNAseq_batch25_rep1</t>
  </si>
  <si>
    <t>batch25</t>
  </si>
  <si>
    <t>HC_BN0339_MB_MOactcseq_batch10_rep1</t>
  </si>
  <si>
    <t>Midbrain</t>
  </si>
  <si>
    <t>-</t>
  </si>
  <si>
    <t>multiome</t>
  </si>
  <si>
    <t>Dual Index</t>
  </si>
  <si>
    <t>NovaSeq</t>
  </si>
  <si>
    <t>Multiome</t>
  </si>
  <si>
    <t>HC_BN0339_MB_MOactcseq_batch10_rep2</t>
  </si>
  <si>
    <t>HC_BN0339_MB_MOactcseq_batch10_rep3</t>
  </si>
  <si>
    <t>rep3</t>
  </si>
  <si>
    <t>HC_BN0341_MB_MOactcseq_batch14_rep1</t>
  </si>
  <si>
    <t>HC_BN0341_MB_MOactcseq_batch14_rep2</t>
  </si>
  <si>
    <t>HC_BN0341_MB_MOactcseq_batch14_rep3</t>
  </si>
  <si>
    <t>HC_BN0341_MB_MOactcseq_batch14_rep4</t>
  </si>
  <si>
    <t>rep4</t>
  </si>
  <si>
    <t>HC_BN0341_MB_MOactcseq_batch14_rep5</t>
  </si>
  <si>
    <t>rep5</t>
  </si>
  <si>
    <t>HC_BN0341_MB_MOactcseq_batch14_rep6</t>
  </si>
  <si>
    <t>rep6</t>
  </si>
  <si>
    <t>HC_BN0347_MB_MOactcseq_batch10_rep1</t>
  </si>
  <si>
    <t>HC_BN0347_MB_MOactcseq_batch10_rep2</t>
  </si>
  <si>
    <t>HC_BN0347_MB_MOactcseq_batch10_rep3</t>
  </si>
  <si>
    <t>HC_BN0347_MB_MOactcseq_batch10_rep4</t>
  </si>
  <si>
    <t>HC_BN0347_MB_MOactcseq_batch10_rep5</t>
  </si>
  <si>
    <t>HC_BN0347_MB_MOactcseq_batch10_rep6</t>
  </si>
  <si>
    <t>HC_BN0452_MB_MOactcseq_batch9_rep1</t>
  </si>
  <si>
    <t>HC_BN0452_MB_MOactcseq_batch9_rep2</t>
  </si>
  <si>
    <t>HC_BN0452_MB_MOactcseq_batch9_rep3</t>
  </si>
  <si>
    <t>HC_BN0536_MB_MOactcseq_batch9_rep1</t>
  </si>
  <si>
    <t>HC_BN0536_MB_MOactcseq_batch9_rep2</t>
  </si>
  <si>
    <t>HC_BN0536_MB_MOactcseq_batch9_rep3</t>
  </si>
  <si>
    <t>HC_BN0536_MB_MOactcseq_batch9_rep4</t>
  </si>
  <si>
    <t>HC_BN0536_MB_MOactcseq_batch9_rep5</t>
  </si>
  <si>
    <t>HC_BN0536_MB_MOactcseq_batch9_rep6</t>
  </si>
  <si>
    <t>HC_BN0615_MB_MOactcseq_batch9_rep1</t>
  </si>
  <si>
    <t>HC_BN0615_MB_MOactcseq_batch9_rep2</t>
  </si>
  <si>
    <t>HC_BN0615_MB_MOactcseq_batch9_rep3</t>
  </si>
  <si>
    <t>HC_BN0737_MB_MOactcseq_batch8_rep1</t>
  </si>
  <si>
    <t>HC_BN0737_MB_MOactcseq_batch8_rep2</t>
  </si>
  <si>
    <t>HC_BN0737_MB_MOactcseq_batch8_rep3</t>
  </si>
  <si>
    <t>HC_BN0737_MB_MOactcseq_batch8_rep4</t>
  </si>
  <si>
    <t>HC_BN0737_MB_MOactcseq_batch8_rep5</t>
  </si>
  <si>
    <t>HC_BN0737_MB_MOactcseq_batch8_rep6</t>
  </si>
  <si>
    <t>HC_BN0746_MB_MOactcseq_batch8_rep1</t>
  </si>
  <si>
    <t>HC_BN0746_MB_MOactcseq_batch8_rep2</t>
  </si>
  <si>
    <t>HC_BN0746_MB_MOactcseq_batch8_rep3</t>
  </si>
  <si>
    <t>HC_BN0855_MB_MOactcseq_batch8_rep1</t>
  </si>
  <si>
    <t>HC_BN0855_MB_MOactcseq_batch8_rep2</t>
  </si>
  <si>
    <t>HC_BN0855_MB_MOactcseq_batch8_rep3</t>
  </si>
  <si>
    <t>HC_BN1144_MB_MOactcseq_batch13_rep1</t>
  </si>
  <si>
    <t>HC_BN1144_MB_MOactcseq_batch13_rep2</t>
  </si>
  <si>
    <t>HC_BN1144_MB_MOactcseq_batch13_rep3</t>
  </si>
  <si>
    <t>HC_BN1144_MB_MOactcseq_batch13_rep4</t>
  </si>
  <si>
    <t>HC_BN1144_MB_MOactcseq_batch13_rep5</t>
  </si>
  <si>
    <t>HC_BN1206_MB_MOactcseq_batch13_rep1</t>
  </si>
  <si>
    <t>HC_BN1206_MB_MOactcseq_batch13_rep2</t>
  </si>
  <si>
    <t>HC_BN1206_MB_MOactcseq_batch13_rep3</t>
  </si>
  <si>
    <t>HC_BN1206_MB_MOactcseq_batch13_rep4</t>
  </si>
  <si>
    <t>HC_BN1206_MB_MOactcseq_batch13_rep5</t>
  </si>
  <si>
    <t>HC_BN1221_MB_MOactcseq_batch7_rep1</t>
  </si>
  <si>
    <t>HC_BN1221_MB_MOactcseq_batch7_rep2</t>
  </si>
  <si>
    <t>HC_BN1221_MB_MOactcseq_batch7_rep3</t>
  </si>
  <si>
    <t>HC_BN1340_MB_MOactcseq_batch7_rep1</t>
  </si>
  <si>
    <t>HC_BN1340_MB_MOactcseq_batch7_rep2</t>
  </si>
  <si>
    <t>HC_BN1340_MB_MOactcseq_batch7_rep3</t>
  </si>
  <si>
    <t>HC_BN1430_MB_MOactcseq_batch15_rep1</t>
  </si>
  <si>
    <t>HC_BN1430_MB_MOactcseq_batch15_rep2</t>
  </si>
  <si>
    <t>HC_BN1430_MB_MOactcseq_batch15_rep3</t>
  </si>
  <si>
    <t>HC_BN1430_MB_MOactcseq_batch15_rep4</t>
  </si>
  <si>
    <t>HC_BN1430_MB_MOactcseq_batch15_rep5</t>
  </si>
  <si>
    <t>HC_BN1430_MB_MOactcseq_batch15_rep6</t>
  </si>
  <si>
    <t>HC_BN1546_MB_MOactcseq_batch7_rep1</t>
  </si>
  <si>
    <t>HC_BN1546_MB_MOactcseq_batch7_rep2</t>
  </si>
  <si>
    <t>HC_BN1546_MB_MOactcseq_batch7_rep3</t>
  </si>
  <si>
    <t>HC_BN1578_MB_MOactcseq_batch6_rep1</t>
  </si>
  <si>
    <t>HC_BN1578_MB_MOactcseq_batch6_rep2</t>
  </si>
  <si>
    <t>HC_BN1578_MB_MOactcseq_batch6_rep3</t>
  </si>
  <si>
    <t>HC_BN1719_MB_MOactcseq_batch5_rep1</t>
  </si>
  <si>
    <t>HC_BN1719_MB_MOactcseq_batch5_rep2</t>
  </si>
  <si>
    <t>HC_BN1730_MB_MOactcseq_batch1_rep1</t>
  </si>
  <si>
    <t>HC_BN1737_MB_MOactcseq_batch8_rep1</t>
  </si>
  <si>
    <t>HC_BN1737_MB_MOactcseq_batch8_rep2</t>
  </si>
  <si>
    <t>HC_BN1737_MB_MOactcseq_batch8_rep3</t>
  </si>
  <si>
    <t>HC_BN1762_MB_MOactcseq_batch1_rep1</t>
  </si>
  <si>
    <t>HC_BN1817_MB_MOactcseq_batch11_rep1</t>
  </si>
  <si>
    <t>HC_BN1817_MB_MOactcseq_batch11_rep2</t>
  </si>
  <si>
    <t>HC_BN1817_MB_MOactcseq_batch11_rep3</t>
  </si>
  <si>
    <t>HC_BN1817_MB_MOactcseq_batch11_rep4</t>
  </si>
  <si>
    <t>HC_BN1817_MB_MOactcseq_batch11_rep5</t>
  </si>
  <si>
    <t>HC_BN1817_MB_MOactcseq_batch11_rep6</t>
  </si>
  <si>
    <t>HC_BN1822_MB_MOactcseq_batch5_rep1</t>
  </si>
  <si>
    <t>HC_BN1822_MB_MOactcseq_batch5_rep2</t>
  </si>
  <si>
    <t>HC_BN1842_MB_MOactcseq_batch11_rep1</t>
  </si>
  <si>
    <t>HC_BN1842_MB_MOactcseq_batch11_rep2</t>
  </si>
  <si>
    <t>HC_BN1842_MB_MOactcseq_batch11_rep3</t>
  </si>
  <si>
    <t>HC_BN1842_MB_MOactcseq_batch11_rep4</t>
  </si>
  <si>
    <t>HC_BN1842_MB_MOactcseq_batch11_rep5</t>
  </si>
  <si>
    <t>HC_BN1842_MB_MOactcseq_batch11_rep6</t>
  </si>
  <si>
    <t>HC_BN1855_MB_MOactcseq_batch11_rep1</t>
  </si>
  <si>
    <t>HC_BN1855_MB_MOactcseq_batch11_rep2</t>
  </si>
  <si>
    <t>HC_BN1855_MB_MOactcseq_batch11_rep3</t>
  </si>
  <si>
    <t>HC_BN1855_MB_MOactcseq_batch11_rep4</t>
  </si>
  <si>
    <t>HC_BN1855_MB_MOactcseq_batch11_rep5</t>
  </si>
  <si>
    <t>HC_BN1855_MB_MOactcseq_batch11_rep6</t>
  </si>
  <si>
    <t>HC_BN1878_MB_MOactcseq_batch12_rep1</t>
  </si>
  <si>
    <t>HC_BN1878_MB_MOactcseq_batch12_rep2</t>
  </si>
  <si>
    <t>HC_BN1878_MB_MOactcseq_batch12_rep3</t>
  </si>
  <si>
    <t>HC_BN1878_MB_MOactcseq_batch12_rep4</t>
  </si>
  <si>
    <t>HC_BN1878_MB_MOactcseq_batch12_rep5</t>
  </si>
  <si>
    <t>HC_BN1934_MB_MOactcseq_batch12_rep1</t>
  </si>
  <si>
    <t>HC_BN1934_MB_MOactcseq_batch12_rep2</t>
  </si>
  <si>
    <t>HC_BN1934_MB_MOactcseq_batch12_rep3</t>
  </si>
  <si>
    <t>HC_BN1934_MB_MOactcseq_batch12_rep4</t>
  </si>
  <si>
    <t>HC_BN1934_MB_MOactcseq_batch12_rep5</t>
  </si>
  <si>
    <t>HC_BN9944_MB_MOactcseq_batch10_rep1</t>
  </si>
  <si>
    <t>HC_BN9944_MB_MOactcseq_batch10_rep2</t>
  </si>
  <si>
    <t>HC_BN9944_MB_MOactcseq_batch10_rep3</t>
  </si>
  <si>
    <t>HC_BN9944_MB_MOactcseq_batch10_rep4</t>
  </si>
  <si>
    <t>HC_BN9944_MB_MOactcseq_batch10_rep5</t>
  </si>
  <si>
    <t>HC_BN9944_MB_MOactcseq_batch10_rep6</t>
  </si>
  <si>
    <t>ILB_BN0415_MB_MOactcseq_batch5_rep1</t>
  </si>
  <si>
    <t>ILB_BN0415_MB_MOactcseq_batch5_rep2</t>
  </si>
  <si>
    <t>ILB_BN0464_MB_MOactcseq_batch5_rep1</t>
  </si>
  <si>
    <t>ILB_BN0464_MB_MOactcseq_batch5_rep2</t>
  </si>
  <si>
    <t>ILB_BN0934_MB_MOactcseq_batch14_rep1</t>
  </si>
  <si>
    <t>ILB_BN0934_MB_MOactcseq_batch14_rep2</t>
  </si>
  <si>
    <t>ILB_BN1128_MB_MOactcseq_batch8_rep1</t>
  </si>
  <si>
    <t>ILB_BN1128_MB_MOactcseq_batch8_rep2</t>
  </si>
  <si>
    <t>ILB_BN1128_MB_MOactcseq_batch8_rep3</t>
  </si>
  <si>
    <t>ILB_BN1160_MB_MOactcseq_batch8_rep1</t>
  </si>
  <si>
    <t>ILB_BN1160_MB_MOactcseq_batch8_rep2</t>
  </si>
  <si>
    <t>ILB_BN1160_MB_MOactcseq_batch8_rep3</t>
  </si>
  <si>
    <t>ILB_BN1308_MB_MOactcseq_batch15_rep1</t>
  </si>
  <si>
    <t>ILB_BN1308_MB_MOactcseq_batch15_rep2</t>
  </si>
  <si>
    <t>ILB_BN1339_MB_MOactcseq_batch7_rep1</t>
  </si>
  <si>
    <t>ILB_BN1339_MB_MOactcseq_batch7_rep2</t>
  </si>
  <si>
    <t>ILB_BN1339_MB_MOactcseq_batch7_rep3</t>
  </si>
  <si>
    <t>ILB_BN1351_MB_MOactcseq_batch14_rep1</t>
  </si>
  <si>
    <t>ILB_BN1351_MB_MOactcseq_batch14_rep2</t>
  </si>
  <si>
    <t>ILB_BN1361_MB_MOactcseq_batch14_rep1</t>
  </si>
  <si>
    <t>ILB_BN1361_MB_MOactcseq_batch14_rep2</t>
  </si>
  <si>
    <t>ILB_BN1361_MB_MOactcseq_batch14_rep3</t>
  </si>
  <si>
    <t>ILB_BN1361_MB_MOactcseq_batch14_rep4</t>
  </si>
  <si>
    <t>ILB_BN1361_MB_MOactcseq_batch14_rep5</t>
  </si>
  <si>
    <t>ILB_BN1361_MB_MOactcseq_batch14_rep6</t>
  </si>
  <si>
    <t>ILB_BN1424_MB_MOactcseq_batch6_rep1</t>
  </si>
  <si>
    <t>ILB_BN1424_MB_MOactcseq_batch6_rep2</t>
  </si>
  <si>
    <t>ILB_BN1424_MB_MOactcseq_batch6_rep3</t>
  </si>
  <si>
    <t>ILB_BN1518_MB_MOactcseq_batch10_rep1</t>
  </si>
  <si>
    <t>ILB_BN1518_MB_MOactcseq_batch10_rep2</t>
  </si>
  <si>
    <t>ILB_BN1518_MB_MOactcseq_batch10_rep3</t>
  </si>
  <si>
    <t>ILB_BN1518_MB_MOactcseq_batch10_rep4</t>
  </si>
  <si>
    <t>ILB_BN1518_MB_MOactcseq_batch10_rep5</t>
  </si>
  <si>
    <t>ILB_BN1518_MB_MOactcseq_batch10_rep6</t>
  </si>
  <si>
    <t>ILB_BN1535_MB_MOactcseq_batch10_rep1</t>
  </si>
  <si>
    <t>ILB_BN1535_MB_MOactcseq_batch10_rep2</t>
  </si>
  <si>
    <t>ILB_BN1535_MB_MOactcseq_batch10_rep3</t>
  </si>
  <si>
    <t>ILB_BN1535_MB_MOactcseq_batch10_rep4</t>
  </si>
  <si>
    <t>ILB_BN1535_MB_MOactcseq_batch10_rep5</t>
  </si>
  <si>
    <t>ILB_BN1535_MB_MOactcseq_batch10_rep6</t>
  </si>
  <si>
    <t>ILB_BN1567_MB_MOactcseq_batch14_rep1</t>
  </si>
  <si>
    <t>ILB_BN1567_MB_MOactcseq_batch14_rep2</t>
  </si>
  <si>
    <t>ILB_BN1585_MB_MOactcseq_batch15_rep1</t>
  </si>
  <si>
    <t>ILB_BN1585_MB_MOactcseq_batch15_rep2</t>
  </si>
  <si>
    <t>ILB_BN1585_MB_MOactcseq_batch15_rep3</t>
  </si>
  <si>
    <t>ILB_BN1585_MB_MOactcseq_batch15_rep4</t>
  </si>
  <si>
    <t>ILB_BN1585_MB_MOactcseq_batch15_rep5</t>
  </si>
  <si>
    <t>ILB_BN1585_MB_MOactcseq_batch15_rep6</t>
  </si>
  <si>
    <t>ILB_BN1722_MB_MOactcseq_batch11_rep1</t>
  </si>
  <si>
    <t>ILB_BN1722_MB_MOactcseq_batch11_rep2</t>
  </si>
  <si>
    <t>ILB_BN1722_MB_MOactcseq_batch11_rep3</t>
  </si>
  <si>
    <t>ILB_BN1722_MB_MOactcseq_batch11_rep4</t>
  </si>
  <si>
    <t>ILB_BN1722_MB_MOactcseq_batch11_rep5</t>
  </si>
  <si>
    <t>ILB_BN1722_MB_MOactcseq_batch11_rep6</t>
  </si>
  <si>
    <t>ILB_BN1726_MB_MOactcseq_batch11_rep1</t>
  </si>
  <si>
    <t>ILB_BN1726_MB_MOactcseq_batch11_rep2</t>
  </si>
  <si>
    <t>ILB_BN1726_MB_MOactcseq_batch11_rep3</t>
  </si>
  <si>
    <t>ILB_BN1726_MB_MOactcseq_batch11_rep4</t>
  </si>
  <si>
    <t>ILB_BN1726_MB_MOactcseq_batch11_rep5</t>
  </si>
  <si>
    <t>ILB_BN1726_MB_MOactcseq_batch11_rep6</t>
  </si>
  <si>
    <t>ILB_BN1741_MB_MOactcseq_batch12_rep1</t>
  </si>
  <si>
    <t>ILB_BN1741_MB_MOactcseq_batch12_rep2</t>
  </si>
  <si>
    <t>ILB_BN1741_MB_MOactcseq_batch12_rep3</t>
  </si>
  <si>
    <t>ILB_BN1741_MB_MOactcseq_batch12_rep4</t>
  </si>
  <si>
    <t>ILB_BN1741_MB_MOactcseq_batch12_rep5</t>
  </si>
  <si>
    <t>ILB_BN1752_MB_MOactcseq_batch12_rep1</t>
  </si>
  <si>
    <t>ILB_BN1752_MB_MOactcseq_batch12_rep2</t>
  </si>
  <si>
    <t>ILB_BN1752_MB_MOactcseq_batch12_rep3</t>
  </si>
  <si>
    <t>ILB_BN1752_MB_MOactcseq_batch12_rep4</t>
  </si>
  <si>
    <t>ILB_BN1752_MB_MOactcseq_batch12_rep5</t>
  </si>
  <si>
    <t>ILB_BN1752_MB_MOactcseq_batch12_rep6</t>
  </si>
  <si>
    <t>ILB_BN1836_MB_MOactcseq_batch14_rep1</t>
  </si>
  <si>
    <t>ILB_BN1836_MB_MOactcseq_batch14_rep2</t>
  </si>
  <si>
    <t>ILB_BN1836_MB_MOactcseq_batch14_rep3</t>
  </si>
  <si>
    <t>ILB_BN1836_MB_MOactcseq_batch14_rep4</t>
  </si>
  <si>
    <t>ILB_BN1836_MB_MOactcseq_batch14_rep5</t>
  </si>
  <si>
    <t>ILB_BN1836_MB_MOactcseq_batch14_rep6</t>
  </si>
  <si>
    <t>ILB_BN1848_MB_MOactcseq_batch4_rep1</t>
  </si>
  <si>
    <t>ILB_BN1848_MB_MOactcseq_batch4_rep2</t>
  </si>
  <si>
    <t>ILB_BN1849_MB_MOactcseq_batch4_rep1</t>
  </si>
  <si>
    <t>ILB_BN1849_MB_MOactcseq_batch4_rep2</t>
  </si>
  <si>
    <t>ILB_BN1862_MB_MOactcseq_batch4_rep1</t>
  </si>
  <si>
    <t>ILB_BN1862_MB_MOactcseq_batch4_rep2</t>
  </si>
  <si>
    <t>ILB_BN1862_MB_MOactcseq_batch4_rep3</t>
  </si>
  <si>
    <t>ILB_BN1910_MB_MOactcseq_batch13_rep1</t>
  </si>
  <si>
    <t>ILB_BN1910_MB_MOactcseq_batch13_rep2</t>
  </si>
  <si>
    <t>ILB_BN1910_MB_MOactcseq_batch13_rep3</t>
  </si>
  <si>
    <t>ILB_BN1910_MB_MOactcseq_batch13_rep4</t>
  </si>
  <si>
    <t>ILB_BN1910_MB_MOactcseq_batch13_rep5</t>
  </si>
  <si>
    <t>ILB_BN1910_MB_MOactcseq_batch13_rep6</t>
  </si>
  <si>
    <t>ILB_BN1939_MB_MOactcseq_batch3_rep1</t>
  </si>
  <si>
    <t>ILB_BN1974_MB_MOactcseq_batch13_rep1</t>
  </si>
  <si>
    <t>ILB_BN1974_MB_MOactcseq_batch13_rep2</t>
  </si>
  <si>
    <t>ILB_BN1974_MB_MOactcseq_batch13_rep3</t>
  </si>
  <si>
    <t>ILB_BN1974_MB_MOactcseq_batch13_rep4</t>
  </si>
  <si>
    <t>ILB_BN1974_MB_MOactcseq_batch13_rep5</t>
  </si>
  <si>
    <t>ILB_BN1974_MB_MOactcseq_batch13_rep6</t>
  </si>
  <si>
    <t>ILB_BN2015_MB_MOactcseq_batch13_rep1</t>
  </si>
  <si>
    <t>ILB_BN2015_MB_MOactcseq_batch13_rep2</t>
  </si>
  <si>
    <t>ILB_BN2015_MB_MOactcseq_batch13_rep3</t>
  </si>
  <si>
    <t>ILB_BN2015_MB_MOactcseq_batch13_rep4</t>
  </si>
  <si>
    <t>ILB_BN2015_MB_MOactcseq_batch13_rep5</t>
  </si>
  <si>
    <t>ILB_BN2015_MB_MOactcseq_batch13_rep6</t>
  </si>
  <si>
    <t>ILB_BN9947_MB_MOactcseq_batch14_rep1</t>
  </si>
  <si>
    <t>ILB_BN9947_MB_MOactcseq_batch14_rep2</t>
  </si>
  <si>
    <t>ILB_BN9966_MB_MOactcseq_batch9_rep1</t>
  </si>
  <si>
    <t>ILB_BN9966_MB_MOactcseq_batch9_rep2</t>
  </si>
  <si>
    <t>ILB_BN9966_MB_MOactcseq_batch9_rep3</t>
  </si>
  <si>
    <t>ILB_BN9966_MB_MOactcseq_batch9_rep4</t>
  </si>
  <si>
    <t>ILB_BN9966_MB_MOactcseq_batch9_rep5</t>
  </si>
  <si>
    <t>ILB_BN9966_MB_MOactcseq_batch9_rep6</t>
  </si>
  <si>
    <t>ILB_BN9966_MB_MOactcseq_batch9_rep7</t>
  </si>
  <si>
    <t>rep7</t>
  </si>
  <si>
    <t>PD_BN0329_MB_MOactcseq_batch9_rep1</t>
  </si>
  <si>
    <t>PD_BN0329_MB_MOactcseq_batch9_rep2</t>
  </si>
  <si>
    <t>PD_BN0329_MB_MOactcseq_batch9_rep3</t>
  </si>
  <si>
    <t>PD_BN0329_MB_MOactcseq_batch9_rep4</t>
  </si>
  <si>
    <t>PD_BN0329_MB_MOactcseq_batch9_rep5</t>
  </si>
  <si>
    <t>PD_BN0329_MB_MOactcseq_batch9_rep6</t>
  </si>
  <si>
    <t>PD_BN0329_MB_MOactcseq_batch9_rep7</t>
  </si>
  <si>
    <t>PD_BN0348_MB_MOactcseq_batch13_rep1</t>
  </si>
  <si>
    <t>PD_BN0348_MB_MOactcseq_batch13_rep2</t>
  </si>
  <si>
    <t>PD_BN0644_MB_MOactcseq_batch9_rep1</t>
  </si>
  <si>
    <t>PD_BN0644_MB_MOactcseq_batch9_rep2</t>
  </si>
  <si>
    <t>PD_BN0644_MB_MOactcseq_batch9_rep3</t>
  </si>
  <si>
    <t>PD_BN0651_MB_MOactcseq_batch9_rep1</t>
  </si>
  <si>
    <t>PD_BN0651_MB_MOactcseq_batch9_rep2</t>
  </si>
  <si>
    <t>PD_BN0651_MB_MOactcseq_batch9_rep3</t>
  </si>
  <si>
    <t>PD_BN0655_MB_MOactcseq_batch14_rep1</t>
  </si>
  <si>
    <t>PD_BN0655_MB_MOactcseq_batch14_rep2</t>
  </si>
  <si>
    <t>PD_BN0662_MB_MOactcseq_batch12_rep1</t>
  </si>
  <si>
    <t>PD_BN0662_MB_MOactcseq_batch12_rep2</t>
  </si>
  <si>
    <t>PD_BN0952_MB_MOactcseq_batch12_rep1</t>
  </si>
  <si>
    <t>PD_BN0952_MB_MOactcseq_batch12_rep2</t>
  </si>
  <si>
    <t>PD_BN1076_MB_MOactcseq_batch8_rep1</t>
  </si>
  <si>
    <t>PD_BN1076_MB_MOactcseq_batch8_rep2</t>
  </si>
  <si>
    <t>PD_BN1076_MB_MOactcseq_batch8_rep3</t>
  </si>
  <si>
    <t>PD_BN1204_MB_MOactcseq_batch7_rep1</t>
  </si>
  <si>
    <t>PD_BN1204_MB_MOactcseq_batch7_rep2</t>
  </si>
  <si>
    <t>PD_BN1204_MB_MOactcseq_batch7_rep3</t>
  </si>
  <si>
    <t>PD_BN1204_MB_MOactcseq_batch7_rep4</t>
  </si>
  <si>
    <t>PD_BN1266_MB_MOactcseq_batch12_rep1</t>
  </si>
  <si>
    <t>PD_BN1266_MB_MOactcseq_batch12_rep2</t>
  </si>
  <si>
    <t>PD_BN1305_MB_MOactcseq_batch15_rep1</t>
  </si>
  <si>
    <t>PD_BN1305_MB_MOactcseq_batch15_rep2</t>
  </si>
  <si>
    <t>PD_BN1305_MB_MOactcseq_batch15_rep3</t>
  </si>
  <si>
    <t>PD_BN1305_MB_MOactcseq_batch15_rep4</t>
  </si>
  <si>
    <t>PD_BN1305_MB_MOactcseq_batch15_rep5</t>
  </si>
  <si>
    <t>PD_BN1317_MB_MOactcseq_batch13_rep1</t>
  </si>
  <si>
    <t>PD_BN1317_MB_MOactcseq_batch13_rep2</t>
  </si>
  <si>
    <t>PD_BN1317_MB_MOactcseq_batch13_rep3</t>
  </si>
  <si>
    <t>PD_BN1317_MB_MOactcseq_batch13_rep4</t>
  </si>
  <si>
    <t>PD_BN1317_MB_MOactcseq_batch13_rep5</t>
  </si>
  <si>
    <t>PD_BN1412_MB_MOactcseq_batch8_rep1</t>
  </si>
  <si>
    <t>PD_BN1412_MB_MOactcseq_batch8_rep2</t>
  </si>
  <si>
    <t>PD_BN1412_MB_MOactcseq_batch8_rep3</t>
  </si>
  <si>
    <t>PD_BN1504_MB_MOactcseq_batch10_rep1</t>
  </si>
  <si>
    <t>PD_BN1504_MB_MOactcseq_batch10_rep2</t>
  </si>
  <si>
    <t>PD_BN1504_MB_MOactcseq_batch10_rep3</t>
  </si>
  <si>
    <t>PD_BN1506_MB_MOactcseq_batch10_rep1</t>
  </si>
  <si>
    <t>PD_BN1506_MB_MOactcseq_batch10_rep2</t>
  </si>
  <si>
    <t>PD_BN1506_MB_MOactcseq_batch10_rep3</t>
  </si>
  <si>
    <t>PD_BN1506_MB_MOactcseq_batch10_rep4</t>
  </si>
  <si>
    <t>PD_BN1506_MB_MOactcseq_batch10_rep5</t>
  </si>
  <si>
    <t>PD_BN1506_MB_MOactcseq_batch10_rep6</t>
  </si>
  <si>
    <t>PD_BN1554_MB_MOactcseq_batch10_rep1</t>
  </si>
  <si>
    <t>PD_BN1554_MB_MOactcseq_batch10_rep2</t>
  </si>
  <si>
    <t>PD_BN1554_MB_MOactcseq_batch10_rep3</t>
  </si>
  <si>
    <t>PD_BN1614_MB_MOactcseq_batch11_rep1</t>
  </si>
  <si>
    <t>PD_BN1614_MB_MOactcseq_batch11_rep2</t>
  </si>
  <si>
    <t>PD_BN1614_MB_MOactcseq_batch11_rep3</t>
  </si>
  <si>
    <t>PD_BN1614_MB_MOactcseq_batch11_rep4</t>
  </si>
  <si>
    <t>PD_BN1614_MB_MOactcseq_batch11_rep5</t>
  </si>
  <si>
    <t>PD_BN1614_MB_MOactcseq_batch11_rep6</t>
  </si>
  <si>
    <t>PD_BN1644_MB_MOactcseq_batch11_rep1</t>
  </si>
  <si>
    <t>PD_BN1644_MB_MOactcseq_batch11_rep2</t>
  </si>
  <si>
    <t>PD_BN1644_MB_MOactcseq_batch11_rep3</t>
  </si>
  <si>
    <t>PD_BN1644_MB_MOactcseq_batch11_rep4</t>
  </si>
  <si>
    <t>PD_BN1644_MB_MOactcseq_batch11_rep5</t>
  </si>
  <si>
    <t>PD_BN1644_MB_MOactcseq_batch11_rep6</t>
  </si>
  <si>
    <t>PD_BN1747_MB_MOactcseq_batch8_rep1</t>
  </si>
  <si>
    <t>PD_BN1747_MB_MOactcseq_batch8_rep2</t>
  </si>
  <si>
    <t>PD_BN1747_MB_MOactcseq_batch8_rep3</t>
  </si>
  <si>
    <t>PD_BN1749_MB_MOactcseq_batch11_rep1</t>
  </si>
  <si>
    <t>PD_BN1749_MB_MOactcseq_batch11_rep2</t>
  </si>
  <si>
    <t>PD_BN1749_MB_MOactcseq_batch11_rep3</t>
  </si>
  <si>
    <t>PD_BN1749_MB_MOactcseq_batch11_rep4</t>
  </si>
  <si>
    <t>PD_BN1749_MB_MOactcseq_batch11_rep5</t>
  </si>
  <si>
    <t>PD_BN1749_MB_MOactcseq_batch11_rep6</t>
  </si>
  <si>
    <t>PD_BN1749_MB_MOactcseq_batch11_rep7</t>
  </si>
  <si>
    <t>PD_BN1756_MB_MOactcseq_batch6_rep1</t>
  </si>
  <si>
    <t>PD_BN1756_MB_MOactcseq_batch6_rep2</t>
  </si>
  <si>
    <t>PD_BN1756_MB_MOactcseq_batch6_rep3</t>
  </si>
  <si>
    <t>PD_BN1805_MB_MOactcseq_batch5_rep1</t>
  </si>
  <si>
    <t>PD_BN1805_MB_MOactcseq_batch5_rep2</t>
  </si>
  <si>
    <t>PD_BN1809_MB_MOactcseq_batch7_rep1</t>
  </si>
  <si>
    <t>PD_BN1809_MB_MOactcseq_batch7_rep2</t>
  </si>
  <si>
    <t>PD_BN1809_MB_MOactcseq_batch7_rep3</t>
  </si>
  <si>
    <t>PD_BN1812_MB_MOactcseq_batch5_rep1</t>
  </si>
  <si>
    <t>PD_BN1812_MB_MOactcseq_batch5_rep2</t>
  </si>
  <si>
    <t>PD_BN1814_MB_MOactcseq_batch15_rep1</t>
  </si>
  <si>
    <t>PD_BN1814_MB_MOactcseq_batch15_rep2</t>
  </si>
  <si>
    <t>PD_BN1814_MB_MOactcseq_batch15_rep3</t>
  </si>
  <si>
    <t>PD_BN1827_MB_MOactcseq_batch5_rep1</t>
  </si>
  <si>
    <t>PD_BN1827_MB_MOactcseq_batch5_rep2</t>
  </si>
  <si>
    <t>PD_BN1839_MB_MOactcseq_batch6_rep1</t>
  </si>
  <si>
    <t>PD_BN1839_MB_MOactcseq_batch6_rep2</t>
  </si>
  <si>
    <t>PD_BN1839_MB_MOactcseq_batch6_rep3</t>
  </si>
  <si>
    <t>PD_BN1865_MB_MOactcseq_batch6_rep1</t>
  </si>
  <si>
    <t>PD_BN1865_MB_MOactcseq_batch6_rep2</t>
  </si>
  <si>
    <t>PD_BN1865_MB_MOactcseq_batch6_rep3</t>
  </si>
  <si>
    <t>PD_BN1872_MB_MOactcseq_batch4_rep1</t>
  </si>
  <si>
    <t>PD_BN1872_MB_MOactcseq_batch4_rep2</t>
  </si>
  <si>
    <t>PD_BN1902_MB_MOactcseq_batch4_rep1</t>
  </si>
  <si>
    <t>PD_BN1902_MB_MOactcseq_batch4_rep2</t>
  </si>
  <si>
    <t>PD_BN1957_MB_MOactcseq_batch4_rep1</t>
  </si>
  <si>
    <t>PD_BN1957_MB_MOactcseq_batch4_rep2</t>
  </si>
  <si>
    <t>PD_BN1959_MB_MOactcseq_batch3_rep1</t>
  </si>
  <si>
    <t>PD_BN1959_MB_MOactcseq_batch3_rep2</t>
  </si>
  <si>
    <t>PD_BN1960_MB_MOactcseq_batch15_rep1</t>
  </si>
  <si>
    <t>PD_BN1960_MB_MOactcseq_batch15_rep2</t>
  </si>
  <si>
    <t>PD_BN2003_MB_MOactcseq_batch4_rep1</t>
  </si>
  <si>
    <t>PD_BN2003_MB_MOactcseq_batch4_rep2</t>
  </si>
  <si>
    <t>ILB_BN0602_MTG_VisiumST_batch81_rep2</t>
  </si>
  <si>
    <t>batch81</t>
  </si>
  <si>
    <t>polyadenylated RNA (spatial transcriptomics)</t>
  </si>
  <si>
    <t>10X Visium Spatial Transcriptomics</t>
  </si>
  <si>
    <t>Illumina NovaSeq</t>
  </si>
  <si>
    <t>10x Visium spatial transcriptomics profiling tissue</t>
  </si>
  <si>
    <t>ST</t>
  </si>
  <si>
    <t>PD_BN1317_MTG_VisiumST_batch25_rep1</t>
  </si>
  <si>
    <t>HC_BN1022_MTG_VisiumST_batch81_rep3</t>
  </si>
  <si>
    <t>PD_BN1554_MTG_VisiumST_batch3_rep1</t>
  </si>
  <si>
    <t>HC_BN1719_MTG_VisiumST_batch26_rep1</t>
  </si>
  <si>
    <t>PD_BN1412_MTG_VisiumST_batch1_rep2</t>
  </si>
  <si>
    <t>HC_BN1022_MTG_VisiumST_batch27_rep2</t>
  </si>
  <si>
    <t>PD_BN1959_MTG_VisiumST_batch22_rep1</t>
  </si>
  <si>
    <t>PD_BN1412_MTG_VisiumST_batch81_rep3</t>
  </si>
  <si>
    <t>HC_BN0635_MTG_VisiumST_batch18_rep1</t>
  </si>
  <si>
    <t>PD_BN1412_MTG_VisiumST_batch1_rep1</t>
  </si>
  <si>
    <t>PD_BN1204_MTG_VisiumST_batch24_rep1</t>
  </si>
  <si>
    <t>ILB_BN0602_MTG_VisiumST_batch19_rep1</t>
  </si>
  <si>
    <t>ILB_BN1741_MTG_VisiumST_batch15_rep1</t>
  </si>
  <si>
    <t>PD_BN0329_MTG_VisiumST_batch7_rep1</t>
  </si>
  <si>
    <t>HC_BN0536_MTG_VisiumST_batch4_rep1</t>
  </si>
  <si>
    <t>ILB_BN1351_MTG_VisiumST_batch21_rep1</t>
  </si>
  <si>
    <t>HC_BN1762_MTG_VisiumST_batch25_rep1</t>
  </si>
  <si>
    <t>HC_BN1022_MTG_VisiumST_batch21_rep1</t>
  </si>
  <si>
    <t>ILB_BN1722_MTG_VisiumST_batch15_rep1</t>
  </si>
  <si>
    <t>PD_BN1902_MTG_VisiumST_batch18_rep1</t>
  </si>
  <si>
    <t>PD_BN0952_MTG_VisiumST_batch4_rep1</t>
  </si>
  <si>
    <t>PD_BN1865_MTG_VisiumST_batch14_rep1</t>
  </si>
  <si>
    <t>PD_BN1504_MTG_VisiumST_batch15_rep1</t>
  </si>
  <si>
    <t>PD_BN1076_MTG_VisiumST_batch4_rep1</t>
  </si>
  <si>
    <t>PD_BN1305_MTG_VisiumST_batch16_rep1</t>
  </si>
  <si>
    <t>HC_BN0704_MTG_VisiumST_batch4_rep1</t>
  </si>
  <si>
    <t>ILB_BN1752_MTG_VisiumST_batch14_rep1</t>
  </si>
  <si>
    <t>PD_BN1809_MTG_VisiumST_batch26_rep1</t>
  </si>
  <si>
    <t>ILB_BN1585_MTG_VisiumST_batch16_rep1</t>
  </si>
  <si>
    <t>ILB_BN1910_MTG_VisiumST_batch14_rep1</t>
  </si>
  <si>
    <t>HC_BN1934_MTG_VisiumST_batch23_rep1</t>
  </si>
  <si>
    <t>HC_BN0737_MTG_VisiumST_batch15_rep1</t>
  </si>
  <si>
    <t>PD_BN1266_MTG_VisiumST_batch25_rep1</t>
  </si>
  <si>
    <t>PD_BN1812_MTG_VisiumST_batch27_rep1</t>
  </si>
  <si>
    <t>PD_BN1827_MTG_VisiumST_batch12_rep1</t>
  </si>
  <si>
    <t>HC_BN1822_MTG_VisiumST_batch21_rep1</t>
  </si>
  <si>
    <t>HC_BN1878_MTG_VisiumST_batch22_rep1</t>
  </si>
  <si>
    <t>ILB_BN1160_MTG_VisiumST_batch18_rep1</t>
  </si>
  <si>
    <t>ILB_BN1308_MTG_VisiumST_batch18_rep1</t>
  </si>
  <si>
    <t>ILB_BN2015_MTG_VisiumST_batch19_rep1</t>
  </si>
  <si>
    <t>PD_BN1749_MTG_VisiumST_batch27_rep2</t>
  </si>
  <si>
    <t>PD_BN2003_MTG_VisiumST_batch23_rep1</t>
  </si>
  <si>
    <t>PD_BN1554_MTG_VisiumST_batch81_rep2</t>
  </si>
  <si>
    <t>HC_BN0746_MTG_VisiumST_batch16_rep1</t>
  </si>
  <si>
    <t>ILB_BN1836_MTG_VisiumST_batch13_rep1</t>
  </si>
  <si>
    <t>PD_BN1957_MTG_VisiumST_batch20_rep1</t>
  </si>
  <si>
    <t>ILB_BN1518_MTG_VisiumST_batch20_rep1</t>
  </si>
  <si>
    <t>PD_BN1957_MTG_VisiumST_batch27_rep2</t>
  </si>
  <si>
    <t>ILB_BN9966_MTG_VisiumST_batch22_rep1</t>
  </si>
  <si>
    <t>PD_BN1614_MTG_VisiumST_batch13_rep1</t>
  </si>
  <si>
    <t>PD_BN1960_MTG_VisiumST_batch23_rep1</t>
  </si>
  <si>
    <t>HC_BN0615_MTG_VisiumST_batch19_rep1</t>
  </si>
  <si>
    <t>HC_BN0855_MTG_VisiumST_batch26_rep1</t>
  </si>
  <si>
    <t>PD_BN0009_MTG_VisiumST_batch5_rep1</t>
  </si>
  <si>
    <t>HC_BN1206_MTG_VisiumST_batch6_rep1</t>
  </si>
  <si>
    <t>HC_BN9944_MTG_VisiumST_batch24_rep1</t>
  </si>
  <si>
    <t>ILB_BN9947_MTG_VisiumST_batch23_rep1</t>
  </si>
  <si>
    <t>HC_BN0347_MTG_VisiumST_batch2_rep2</t>
  </si>
  <si>
    <t>PD_BN1749_MTG_VisiumST_batch13_rep1</t>
  </si>
  <si>
    <t>HC_BN1340_MTG_VisiumST_batch12_rep1</t>
  </si>
  <si>
    <t>HC_BN1578_MTG_VisiumST_batch13_rep1</t>
  </si>
  <si>
    <t>HC_BN0341_MTG_VisiumST_batch7_rep1</t>
  </si>
  <si>
    <t>HC_BN1817_MTG_VisiumST_batch14_rep1</t>
  </si>
  <si>
    <t>ILB_BN1939_MTG_VisiumST_batch20_rep1</t>
  </si>
  <si>
    <t>PD_BN1839_MTG_VisiumST_batch12_rep1</t>
  </si>
  <si>
    <t>ILB_BN1726_MTG_VisiumST_batch11_rep1</t>
  </si>
  <si>
    <t>ILB_BN1849_MTG_VisiumST_batch16_rep1</t>
  </si>
  <si>
    <t>ILB_BN1567_MTG_VisiumST_batch9_rep1</t>
  </si>
  <si>
    <t>HC_BN0347_MTG_VisiumST_batch2_rep3</t>
  </si>
  <si>
    <t>PD_BN1644_MTG_VisiumST_batch11_rep1</t>
  </si>
  <si>
    <t>ILB_BN0934_MTG_VisiumST_batch7_rep1</t>
  </si>
  <si>
    <t>HC_BN0347_MTG_VisiumST_batch2_rep5</t>
  </si>
  <si>
    <t>HC_BN1737_MTG_VisiumST_batch9_rep1</t>
  </si>
  <si>
    <t>ILB_BN1361_MTG_VisiumST_batch8_rep1</t>
  </si>
  <si>
    <t>HC_BN0347_MTG_VisiumST_batch2_rep4</t>
  </si>
  <si>
    <t>ILB_BN1535_MTG_VisiumST_batch26_rep1</t>
  </si>
  <si>
    <t>HC_BN1842_MTG_VisiumST_batch24_rep1</t>
  </si>
  <si>
    <t>HC_BN1730_MTG_VisiumST_batch25_rep1</t>
  </si>
  <si>
    <t>ILB_BN1424_MTG_VisiumST_batch6_rep1</t>
  </si>
  <si>
    <t>ILB_BN1848_MTG_VisiumST_batch12_rep1</t>
  </si>
  <si>
    <t>ILB_BN1339_MTG_VisiumST_batch19_rep1</t>
  </si>
  <si>
    <t>PD_BN0651_MTG_VisiumST_batch2_rep1</t>
  </si>
  <si>
    <t>PD_BN1756_MTG_VisiumST_batch11_rep1</t>
  </si>
  <si>
    <t>PD_BN1747_MTG_VisiumST_batch9_rep1</t>
  </si>
  <si>
    <t>HC_BN1144_MTG_VisiumST_batch11_rep1</t>
  </si>
  <si>
    <t>ILB_BN0415_MTG_VisiumST_batch5_rep1</t>
  </si>
  <si>
    <t>HC_BN0452_MTG_VisiumST_batch8_rep1</t>
  </si>
  <si>
    <t>PD_BN1805_MTG_VisiumST_batch9_rep1</t>
  </si>
  <si>
    <t>HC_BN1430_MTG_VisiumST_batch6_rep1</t>
  </si>
  <si>
    <t>HC_BN1546_MTG_VisiumST_batch10_rep1</t>
  </si>
  <si>
    <t>HC_BN1221_MTG_VisiumST_batch1_rep2</t>
  </si>
  <si>
    <t>HC_BN0339_MTG_VisiumST_batch5_rep1</t>
  </si>
  <si>
    <t>ILB_BN0464_MTG_VisiumST_batch5_rep1</t>
  </si>
  <si>
    <t>PD_BN0662_MTG_VisiumST_batch8_rep1</t>
  </si>
  <si>
    <t>HC_BN1221_MTG_VisiumST_batch1_rep1</t>
  </si>
  <si>
    <t>ILB_BN1974_MTG_VisiumST_batch10_rep1</t>
  </si>
  <si>
    <t>PD_BN0655_MTG_VisiumST_batch10_rep1</t>
  </si>
  <si>
    <t>ILB_BN1862_MTG_VisiumST_batch3_rep1</t>
  </si>
  <si>
    <t>HC_BN1855_MTG_VisiumST_batch2_rep1</t>
  </si>
  <si>
    <t>PD_BN1506_MTG_VisiumST_batch6_rep1</t>
  </si>
  <si>
    <t>PD_BN0644_MTG_VisiumST_batch7_rep1</t>
  </si>
  <si>
    <t>PD_BN0348_MTG_VisiumST_batch2_rep1</t>
  </si>
  <si>
    <t>PD_BN1814_MTG_VisiumST_batch3_rep1</t>
  </si>
  <si>
    <t>HC_BN0347_MTG_VisiumST_batch2_rep1</t>
  </si>
  <si>
    <t>ILB_BN1128_MTG_VisiumST_batch8_rep1</t>
  </si>
  <si>
    <t>PD5D_MB_Moactcseq</t>
  </si>
  <si>
    <t>PD5D_MTG_VisiumST</t>
  </si>
  <si>
    <t>PD5D_MB_Multiome</t>
  </si>
  <si>
    <t>project_id</t>
  </si>
  <si>
    <t>VisiumST</t>
  </si>
  <si>
    <t>Integrating spatial transcriptomics and known regulatory elements to elucidate mechanisms of Parkinson’s disease</t>
  </si>
  <si>
    <t>jie.yuan@yale.edu</t>
  </si>
  <si>
    <t>mingming.lu@yale.edu</t>
  </si>
  <si>
    <t>MB</t>
  </si>
  <si>
    <t>scMultiome</t>
  </si>
  <si>
    <t>data_type</t>
  </si>
  <si>
    <t>data_location</t>
  </si>
  <si>
    <t>data_protocol</t>
  </si>
  <si>
    <t>sample_collection_summary</t>
  </si>
  <si>
    <t>cell_extraction_summary</t>
  </si>
  <si>
    <t>lib_prep_summary</t>
  </si>
  <si>
    <t>data_processing_summary</t>
  </si>
  <si>
    <t>github_url</t>
  </si>
  <si>
    <t>protocols_io_DOI</t>
  </si>
  <si>
    <t>other_reference</t>
  </si>
  <si>
    <t>human post-mortem medial temporal gyrus (MTG) tissue blocks were cro-sectioned (50µm) 
and lysed using Nuclei Pure lysis buffer.</t>
  </si>
  <si>
    <t>Nuclei were purified in nuclei wash and resuspension buffer using multiple centrifugation
and 70µm and 40µm filtration. Isolated nuclei were then FACS sorted (Aria IIB). Singe nuclei were partitioned into GEM beads and barcoded with 10x genomiocs single cell 3' Gel Beads using 10x Chromium Controller</t>
  </si>
  <si>
    <t>cDNA libaries were constructed using the 3' kit
and sequenced using Illumina NextSeq550</t>
  </si>
  <si>
    <t>Raw sequencing data was downloaded from Illumina BaseSpace and preprocessed with cellRanger to generate fastq and reads count table. Downstream analysis for QC, cell clsutering, clsuter annotation, differential expression were done with Seurat and customized codes (see Github link).</t>
  </si>
  <si>
    <t>https://github.com/NeurogenomicsLab/PD5D</t>
  </si>
  <si>
    <t>dx.doi.org/10.17504/protocols.io.j8nlk4k55g5r/v1</t>
  </si>
  <si>
    <t>https://cdn.10xgenomics.com/image/upload/v1660261285/support-documents/CG000204_ChromiumNextGEMSingleCell3_v3.1_Rev_D.pdf</t>
  </si>
  <si>
    <t>protocol_id</t>
  </si>
  <si>
    <t>version</t>
  </si>
  <si>
    <t>Nuclei Isolation and Sorting from Frozen Human Temporal Cortex</t>
  </si>
  <si>
    <t>Nuclei_Isolation_v1</t>
  </si>
  <si>
    <t>file_type</t>
  </si>
  <si>
    <t>file_name_source</t>
  </si>
  <si>
    <t>file_name</t>
  </si>
  <si>
    <t>local_path</t>
  </si>
  <si>
    <t>file_description</t>
  </si>
  <si>
    <t>file_MD5</t>
  </si>
  <si>
    <t>technology</t>
  </si>
  <si>
    <t>omic</t>
  </si>
  <si>
    <t>adjustment</t>
  </si>
  <si>
    <t>content</t>
  </si>
  <si>
    <t>time</t>
  </si>
  <si>
    <t>header</t>
  </si>
  <si>
    <t>annotation</t>
  </si>
  <si>
    <t>configuration_file</t>
  </si>
  <si>
    <t>fastq</t>
  </si>
  <si>
    <t>BN0009_S2_L001_I1_001.fastq.gz</t>
  </si>
  <si>
    <t>Index 1 Lane 1</t>
  </si>
  <si>
    <t>bc037ea92d5359f3da1ba6da4f974e1c</t>
  </si>
  <si>
    <t>SN</t>
  </si>
  <si>
    <t>RNA</t>
  </si>
  <si>
    <t>Raw</t>
  </si>
  <si>
    <t>Reads</t>
  </si>
  <si>
    <t>BN0009_S2_L001_I2_001.fastq.gz</t>
  </si>
  <si>
    <t>Index 2 Lane 1</t>
  </si>
  <si>
    <t>0c8ef844b76212e82428af03d341048b</t>
  </si>
  <si>
    <t>BN0009_S2_L001_R1_001.fastq.gz</t>
  </si>
  <si>
    <t>Read 1 Lane 1</t>
  </si>
  <si>
    <t>c6a41f29849152df2ba2391dc559149b</t>
  </si>
  <si>
    <t>BN0009_S2_L001_R2_001.fastq.gz</t>
  </si>
  <si>
    <t>Read 2 Lane 1</t>
  </si>
  <si>
    <t>4d610fdf5a72c8206b2f1505d8fcecd7</t>
  </si>
  <si>
    <t>BN0009_S2_L002_I1_001.fastq.gz</t>
  </si>
  <si>
    <t>Index 1 Lane 2</t>
  </si>
  <si>
    <t>e34917b3ec01cd09ea8b52c82db1dc83</t>
  </si>
  <si>
    <t>BN0009_S2_L002_I2_001.fastq.gz</t>
  </si>
  <si>
    <t>Index 2 Lane 2</t>
  </si>
  <si>
    <t>db3130d4aa7c179f62bd7dd143ea08d2</t>
  </si>
  <si>
    <t>BN0009_S2_L002_R1_001.fastq.gz</t>
  </si>
  <si>
    <t>Read 1 Lane 2</t>
  </si>
  <si>
    <t>1f6f3d447fd4a2f3ebd7b55e69d5f490</t>
  </si>
  <si>
    <t>BN0009_S2_L002_R2_001.fastq.gz</t>
  </si>
  <si>
    <t>Read 2 Lane 2</t>
  </si>
  <si>
    <t>13e3adad7cc9a2e9dc055c9ccda9a923</t>
  </si>
  <si>
    <t>BN0009_S2_L003_I1_001.fastq.gz</t>
  </si>
  <si>
    <t>Index 1 Lane 3</t>
  </si>
  <si>
    <t>cfb1b5feaf9661f6a6af415464187efa</t>
  </si>
  <si>
    <t>BN0009_S2_L003_I2_001.fastq.gz</t>
  </si>
  <si>
    <t>Index 2 Lane 3</t>
  </si>
  <si>
    <t>ab55f67514950a9914188ddb94672752</t>
  </si>
  <si>
    <t>BN0009_S2_L003_R1_001.fastq.gz</t>
  </si>
  <si>
    <t>Read 1 Lane 3</t>
  </si>
  <si>
    <t>73cea62208ead0ed616ae04fad5cf475</t>
  </si>
  <si>
    <t>BN0009_S2_L003_R2_001.fastq.gz</t>
  </si>
  <si>
    <t>Read 2 Lane 3</t>
  </si>
  <si>
    <t>70aecaaaa5597b880f7e52b0298b6324</t>
  </si>
  <si>
    <t>BN0009_S2_L004_I1_001.fastq.gz</t>
  </si>
  <si>
    <t>Index 1 Lane 4</t>
  </si>
  <si>
    <t>18f0c22918e3bfe6bcc8b1c7b65bccd6</t>
  </si>
  <si>
    <t>BN0009_S2_L004_I2_001.fastq.gz</t>
  </si>
  <si>
    <t>Index 2 Lane 4</t>
  </si>
  <si>
    <t>498c28597355b4a838cac95908cb3153</t>
  </si>
  <si>
    <t>BN0009_S2_L004_R1_001.fastq.gz</t>
  </si>
  <si>
    <t>Read 1 Lane 4</t>
  </si>
  <si>
    <t>7c95b641a042b80d115d780447e42fdf</t>
  </si>
  <si>
    <t>BN0009_S2_L004_R2_001.fastq.gz</t>
  </si>
  <si>
    <t>Read 2 Lane 4</t>
  </si>
  <si>
    <t>ad6988967ab4337c7f0f4f9b7d4149a6</t>
  </si>
  <si>
    <t>BN0339_S1_L001_I1_001.fastq.gz</t>
  </si>
  <si>
    <t>a0f8e7aaa5d42a813de05d54a8a9e78b</t>
  </si>
  <si>
    <t>BN0339_S1_L001_I2_001.fastq.gz</t>
  </si>
  <si>
    <t>7806e3ccfe7fe322fbcb8ecea69744d5</t>
  </si>
  <si>
    <t>BN0339_S1_L001_R1_001.fastq.gz</t>
  </si>
  <si>
    <t>becd1e874283ec328fb4a8eb35626938</t>
  </si>
  <si>
    <t>BN0339_S1_L001_R2_001.fastq.gz</t>
  </si>
  <si>
    <t>a102fcabf4643d2830ba6996a4a25827</t>
  </si>
  <si>
    <t>BN0339_S1_L002_I1_001.fastq.gz</t>
  </si>
  <si>
    <t>4d2627432bd4f6ffcdda970a9b05aaa4</t>
  </si>
  <si>
    <t>BN0339_S1_L002_I2_001.fastq.gz</t>
  </si>
  <si>
    <t>e7559e311bd77c21d30fa694df60efce</t>
  </si>
  <si>
    <t>BN0339_S1_L002_R1_001.fastq.gz</t>
  </si>
  <si>
    <t>6b093972f8ca59693796752f74da4efa</t>
  </si>
  <si>
    <t>BN0339_S1_L002_R2_001.fastq.gz</t>
  </si>
  <si>
    <t>e83c6fa6e87a9a9d25dd65517800cba7</t>
  </si>
  <si>
    <t>BN0339_S1_L003_I1_001.fastq.gz</t>
  </si>
  <si>
    <t>dc3381de8f93c832bf82fc17befb6782</t>
  </si>
  <si>
    <t>BN0339_S1_L003_I2_001.fastq.gz</t>
  </si>
  <si>
    <t>8d43661cdf4b13aa789a4f8a672edc96</t>
  </si>
  <si>
    <t>BN0339_S1_L003_R1_001.fastq.gz</t>
  </si>
  <si>
    <t>1441b36642307061e761a2239bcaab95</t>
  </si>
  <si>
    <t>BN0339_S1_L003_R2_001.fastq.gz</t>
  </si>
  <si>
    <t>2f7c376f45b0db30b8bcd7fcc7733f60</t>
  </si>
  <si>
    <t>BN0339_S1_L004_I1_001.fastq.gz</t>
  </si>
  <si>
    <t>a9168245e92e7a4a0e5b8e87036959cc</t>
  </si>
  <si>
    <t>BN0339_S1_L004_I2_001.fastq.gz</t>
  </si>
  <si>
    <t>be4f3d678e2ae0bbbac3844d976cb93f</t>
  </si>
  <si>
    <t>BN0339_S1_L004_R1_001.fastq.gz</t>
  </si>
  <si>
    <t>1fafac3b84aa202eb6ae00993f18f984</t>
  </si>
  <si>
    <t>BN0339_S1_L004_R2_001.fastq.gz</t>
  </si>
  <si>
    <t>69d2a7cc05fec1054657028cf27d207e</t>
  </si>
  <si>
    <t>BN0341_S4_L001_I1_001.fastq.gz</t>
  </si>
  <si>
    <t>5abf1779c63c54dc144023e33bd645c9</t>
  </si>
  <si>
    <t>BN0341_S4_L001_I2_001.fastq.gz</t>
  </si>
  <si>
    <t>1eaa1b0493d587dcffc4a166a8e40415</t>
  </si>
  <si>
    <t>BN0341_S4_L001_R1_001.fastq.gz</t>
  </si>
  <si>
    <t>9038aab939b46aa97078d8bb84113370</t>
  </si>
  <si>
    <t>BN0341_S4_L001_R2_001.fastq.gz</t>
  </si>
  <si>
    <t>3153673e88515a10329783c2a0f5a525</t>
  </si>
  <si>
    <t>BN0341_S4_L002_I1_001.fastq.gz</t>
  </si>
  <si>
    <t>00c16fe89cd6900e4e24a8e6dde9feb0</t>
  </si>
  <si>
    <t>BN0341_S4_L002_I2_001.fastq.gz</t>
  </si>
  <si>
    <t>d57c8c398eb692d789d4ab306a1bba81</t>
  </si>
  <si>
    <t>BN0341_S4_L002_R1_001.fastq.gz</t>
  </si>
  <si>
    <t>07ad62eb1b2235e61946e8de4ab02725</t>
  </si>
  <si>
    <t>BN0341_S4_L002_R2_001.fastq.gz</t>
  </si>
  <si>
    <t>c301a44a4a05994e7e6d2c1a7a3a1b13</t>
  </si>
  <si>
    <t>BN0341_S4_L003_I1_001.fastq.gz</t>
  </si>
  <si>
    <t>dd54c2ff80b1c47e86bccdeebf614e0a</t>
  </si>
  <si>
    <t>BN0341_S4_L003_I2_001.fastq.gz</t>
  </si>
  <si>
    <t>01c7a078536040b8b40b02cab9d4eb52</t>
  </si>
  <si>
    <t>BN0341_S4_L003_R1_001.fastq.gz</t>
  </si>
  <si>
    <t>1baf50c3606bbf31a66d888ff64eb9f3</t>
  </si>
  <si>
    <t>BN0341_S4_L003_R2_001.fastq.gz</t>
  </si>
  <si>
    <t>9a0da00abd8f143c8f598fa7349691ab</t>
  </si>
  <si>
    <t>BN0341_S4_L004_I1_001.fastq.gz</t>
  </si>
  <si>
    <t>8fd9bf854e9d7db4c4849b8064b69213</t>
  </si>
  <si>
    <t>BN0341_S4_L004_I2_001.fastq.gz</t>
  </si>
  <si>
    <t>64a9c7a20d069550a868b16af260e70e</t>
  </si>
  <si>
    <t>BN0341_S4_L004_R1_001.fastq.gz</t>
  </si>
  <si>
    <t>1f02ccfbbaa3701a3547c6abfbfefbd7</t>
  </si>
  <si>
    <t>BN0341_S4_L004_R2_001.fastq.gz</t>
  </si>
  <si>
    <t>ea1c02a43c5c1764134cbed9873dbb80</t>
  </si>
  <si>
    <t>BN0415_S3_L001_I1_001.fastq.gz</t>
  </si>
  <si>
    <t>1b15032bda9b4499002330f38ab12454</t>
  </si>
  <si>
    <t>BN0415_S3_L001_I2_001.fastq.gz</t>
  </si>
  <si>
    <t>d04b6b87593f4175e3775138a35a6ccd</t>
  </si>
  <si>
    <t>BN0415_S3_L001_R1_001.fastq.gz</t>
  </si>
  <si>
    <t>4db595df8fc61ff970680451d06789b3</t>
  </si>
  <si>
    <t>BN0415_S3_L001_R2_001.fastq.gz</t>
  </si>
  <si>
    <t>79f768807f82c961c1ecd73434b58d1c</t>
  </si>
  <si>
    <t>BN0415_S3_L002_I1_001.fastq.gz</t>
  </si>
  <si>
    <t>a733003cdcea0e107a67019ce42f5465</t>
  </si>
  <si>
    <t>BN0415_S3_L002_I2_001.fastq.gz</t>
  </si>
  <si>
    <t>a5eb458ad7c319c909cea74547c7da64</t>
  </si>
  <si>
    <t>BN0415_S3_L002_R1_001.fastq.gz</t>
  </si>
  <si>
    <t>1134c19830aaf6ac3c7ab826eccb6189</t>
  </si>
  <si>
    <t>BN0415_S3_L002_R2_001.fastq.gz</t>
  </si>
  <si>
    <t>d274c4377046731e6fcb04acb8d877fc</t>
  </si>
  <si>
    <t>BN0415_S3_L003_I1_001.fastq.gz</t>
  </si>
  <si>
    <t>439f458bed7f610e6d73e744eb99189c</t>
  </si>
  <si>
    <t>BN0415_S3_L003_I2_001.fastq.gz</t>
  </si>
  <si>
    <t>8962b74d87818e043b896775f179211c</t>
  </si>
  <si>
    <t>BN0415_S3_L003_R1_001.fastq.gz</t>
  </si>
  <si>
    <t>4cec86d2d457af39f23fb84706b506d5</t>
  </si>
  <si>
    <t>BN0415_S3_L003_R2_001.fastq.gz</t>
  </si>
  <si>
    <t>1dd3baf6ed6b6a22240b9d0d80df597e</t>
  </si>
  <si>
    <t>BN0415_S3_L004_I1_001.fastq.gz</t>
  </si>
  <si>
    <t>957aa5113887a686ede8b32fb66a882b</t>
  </si>
  <si>
    <t>BN0415_S3_L004_I2_001.fastq.gz</t>
  </si>
  <si>
    <t>660167e2de6f837d9ea17aeeadd29500</t>
  </si>
  <si>
    <t>BN0415_S3_L004_R1_001.fastq.gz</t>
  </si>
  <si>
    <t>e21709ee954a0e6b45a53a28499c61bc</t>
  </si>
  <si>
    <t>BN0415_S3_L004_R2_001.fastq.gz</t>
  </si>
  <si>
    <t>7baf9740b4bbefa025e3126b061b3dd5</t>
  </si>
  <si>
    <t>BN0329_S1_L001_I1_001.fastq.gz</t>
  </si>
  <si>
    <t>1a77618df8fc4c7efe7a70bc9977d2e1</t>
  </si>
  <si>
    <t>BN0329_S1_L001_I2_001.fastq.gz</t>
  </si>
  <si>
    <t>df92f8bb3ffee46aa549ae308a0dfc79</t>
  </si>
  <si>
    <t>BN0329_S1_L001_R1_001.fastq.gz</t>
  </si>
  <si>
    <t>7d00c2bd386f92a92335d6f396b79f0b</t>
  </si>
  <si>
    <t>BN0329_S1_L001_R2_001.fastq.gz</t>
  </si>
  <si>
    <t>fb1cf778b8e8d5c33c24bdaa3dd4989c</t>
  </si>
  <si>
    <t>BN0329_S1_L002_I1_001.fastq.gz</t>
  </si>
  <si>
    <t>a35788ba525aabcdf30808845a39a1bd</t>
  </si>
  <si>
    <t>BN0329_S1_L002_I2_001.fastq.gz</t>
  </si>
  <si>
    <t>59bee1d41af33e94fb9ebbc3c2559f4e</t>
  </si>
  <si>
    <t>BN0329_S1_L002_R1_001.fastq.gz</t>
  </si>
  <si>
    <t>16fc5c54684615a24797d53f1fb412d4</t>
  </si>
  <si>
    <t>BN0329_S1_L002_R2_001.fastq.gz</t>
  </si>
  <si>
    <t>ddd75cd48d45c8c53119b2514c45f3cf</t>
  </si>
  <si>
    <t>BN0329_S1_L003_I1_001.fastq.gz</t>
  </si>
  <si>
    <t>add790270e653613d239373291987a33</t>
  </si>
  <si>
    <t>BN0329_S1_L003_I2_001.fastq.gz</t>
  </si>
  <si>
    <t>fd5ef9e10a7c64333aacaa16fd9aeae8</t>
  </si>
  <si>
    <t>BN0329_S1_L003_R1_001.fastq.gz</t>
  </si>
  <si>
    <t>e58820233e7c3354762175376e69ab65</t>
  </si>
  <si>
    <t>BN0329_S1_L003_R2_001.fastq.gz</t>
  </si>
  <si>
    <t>696b8b83d6ed908b0e04ab1ff5445b13</t>
  </si>
  <si>
    <t>BN0329_S1_L004_I1_001.fastq.gz</t>
  </si>
  <si>
    <t>1823ab6c43ddbca5233e3c7a729e0f10</t>
  </si>
  <si>
    <t>BN0329_S1_L004_I2_001.fastq.gz</t>
  </si>
  <si>
    <t>a21b93429fe0fe845d7aef8684c4d398</t>
  </si>
  <si>
    <t>BN0329_S1_L004_R1_001.fastq.gz</t>
  </si>
  <si>
    <t>888747d855613b0c25711dc17000c759</t>
  </si>
  <si>
    <t>BN0329_S1_L004_R2_001.fastq.gz</t>
  </si>
  <si>
    <t>f76f092e25bc954413c9989fb896e985</t>
  </si>
  <si>
    <t>BN0347_S3_L001_I1_001.fastq.gz</t>
  </si>
  <si>
    <t>8e07e23f2936429d06460355d4229da4</t>
  </si>
  <si>
    <t>BN0347_S3_L001_I2_001.fastq.gz</t>
  </si>
  <si>
    <t>73e74aa1d1fa38c21f4e36afa1bdb119</t>
  </si>
  <si>
    <t>BN0347_S3_L001_R1_001.fastq.gz</t>
  </si>
  <si>
    <t>c72c0ec1a08f969252e16819787629f3</t>
  </si>
  <si>
    <t>BN0347_S3_L001_R2_001.fastq.gz</t>
  </si>
  <si>
    <t>bdb360c4b062b0092a61cf251764aa02</t>
  </si>
  <si>
    <t>BN0347_S3_L002_I1_001.fastq.gz</t>
  </si>
  <si>
    <t>bc27baabb9e83b810be59598b70cdbff</t>
  </si>
  <si>
    <t>BN0347_S3_L002_I2_001.fastq.gz</t>
  </si>
  <si>
    <t>58ba546c43a8403f71782cdebd7c8491</t>
  </si>
  <si>
    <t>BN0347_S3_L002_R1_001.fastq.gz</t>
  </si>
  <si>
    <t>f64b321d13a8b3cd8881ccd5c8c18881</t>
  </si>
  <si>
    <t>BN0347_S3_L002_R2_001.fastq.gz</t>
  </si>
  <si>
    <t>543f6365db802e8df28b6034224ae2ab</t>
  </si>
  <si>
    <t>BN0347_S3_L003_I1_001.fastq.gz</t>
  </si>
  <si>
    <t>4eee1cb7236524c52d414d61f7889343</t>
  </si>
  <si>
    <t>BN0347_S3_L003_I2_001.fastq.gz</t>
  </si>
  <si>
    <t>d486f43fd413dbbcc90bec1371c21bd4</t>
  </si>
  <si>
    <t>BN0347_S3_L003_R1_001.fastq.gz</t>
  </si>
  <si>
    <t>3f4d2e7e899ca4d96722d42d96fe66aa</t>
  </si>
  <si>
    <t>BN0347_S3_L003_R2_001.fastq.gz</t>
  </si>
  <si>
    <t>e7b976ddb9267d19faedbd3f3d76ee6d</t>
  </si>
  <si>
    <t>BN0347_S3_L004_I1_001.fastq.gz</t>
  </si>
  <si>
    <t>c4673dfbaa06cc92416569b57413949b</t>
  </si>
  <si>
    <t>BN0347_S3_L004_I2_001.fastq.gz</t>
  </si>
  <si>
    <t>d52ef6f2cbc5073c0f063b1e0ea73728</t>
  </si>
  <si>
    <t>BN0347_S3_L004_R1_001.fastq.gz</t>
  </si>
  <si>
    <t>d928d36214fdc09394ec60cb6e109059</t>
  </si>
  <si>
    <t>BN0347_S3_L004_R2_001.fastq.gz</t>
  </si>
  <si>
    <t>1ba5f5c166d109f161c5175b8471e27b</t>
  </si>
  <si>
    <t>BN0348_S4_L001_I1_001.fastq.gz</t>
  </si>
  <si>
    <t>9edfa1d35bd0b8994490ede3a91c1d78</t>
  </si>
  <si>
    <t>BN0348_S4_L001_I2_001.fastq.gz</t>
  </si>
  <si>
    <t>4f838890ae3499a5214f3e89fa3ad50e</t>
  </si>
  <si>
    <t>BN0348_S4_L001_R1_001.fastq.gz</t>
  </si>
  <si>
    <t>0c57315c3660b4d2b26b4f2fc1f51d2a</t>
  </si>
  <si>
    <t>BN0348_S4_L001_R2_001.fastq.gz</t>
  </si>
  <si>
    <t>3228a46dc12c1006bade9f13b7a3756a</t>
  </si>
  <si>
    <t>BN0348_S4_L002_I1_001.fastq.gz</t>
  </si>
  <si>
    <t>ee923813533f47fb1c0bb1d72fa7cb76</t>
  </si>
  <si>
    <t>BN0348_S4_L002_I2_001.fastq.gz</t>
  </si>
  <si>
    <t>cb35e65d358f59c1f4d03fee90ffc421</t>
  </si>
  <si>
    <t>BN0348_S4_L002_R1_001.fastq.gz</t>
  </si>
  <si>
    <t>338743500f11bdce6d1b993143960a95</t>
  </si>
  <si>
    <t>BN0348_S4_L002_R2_001.fastq.gz</t>
  </si>
  <si>
    <t>3c865a861d2b2c62fa03e11b0b866352</t>
  </si>
  <si>
    <t>BN0348_S4_L003_I1_001.fastq.gz</t>
  </si>
  <si>
    <t>7087f1c97c3e11013a34e23a9bdc02b8</t>
  </si>
  <si>
    <t>BN0348_S4_L003_I2_001.fastq.gz</t>
  </si>
  <si>
    <t>a792d22545fa9fb8dc7bb237b5fadea7</t>
  </si>
  <si>
    <t>BN0348_S4_L003_R1_001.fastq.gz</t>
  </si>
  <si>
    <t>4e4dbdd0415730f3667ec6f6275e6ead</t>
  </si>
  <si>
    <t>BN0348_S4_L003_R2_001.fastq.gz</t>
  </si>
  <si>
    <t>34001940af3a939063ab3280b9b6edd9</t>
  </si>
  <si>
    <t>BN0348_S4_L004_I1_001.fastq.gz</t>
  </si>
  <si>
    <t>4ada996d876bae070fcf42181d4b243d</t>
  </si>
  <si>
    <t>BN0348_S4_L004_I2_001.fastq.gz</t>
  </si>
  <si>
    <t>1e0fcb762ac4ade19c4abdb0482c146c</t>
  </si>
  <si>
    <t>BN0348_S4_L004_R1_001.fastq.gz</t>
  </si>
  <si>
    <t>e7eac4a304445d72d492989473139b00</t>
  </si>
  <si>
    <t>BN0348_S4_L004_R2_001.fastq.gz</t>
  </si>
  <si>
    <t>08a2beb02bf3c7cc4cf84e2f12bcb703</t>
  </si>
  <si>
    <t>BN0464_S2_L001_I1_001.fastq.gz</t>
  </si>
  <si>
    <t>18d64d2b33e676d9013a4089f384a0d3</t>
  </si>
  <si>
    <t>BN0464_S2_L001_I2_001.fastq.gz</t>
  </si>
  <si>
    <t>cb2502946cdfb3d8b1d2aea984ba30ba</t>
  </si>
  <si>
    <t>BN0464_S2_L001_R1_001.fastq.gz</t>
  </si>
  <si>
    <t>dcfd9aa8c9d98b5bdfd89572f7cc1968</t>
  </si>
  <si>
    <t>BN0464_S2_L001_R2_001.fastq.gz</t>
  </si>
  <si>
    <t>2b3b44da6eb4b3c14e3dcb291993352e</t>
  </si>
  <si>
    <t>BN0464_S2_L002_I1_001.fastq.gz</t>
  </si>
  <si>
    <t>991a8d5c5466c3f7b9c491dbc65efb6a</t>
  </si>
  <si>
    <t>BN0464_S2_L002_I2_001.fastq.gz</t>
  </si>
  <si>
    <t>995d883ec4d38efe16aa794ad6d1a151</t>
  </si>
  <si>
    <t>BN0464_S2_L002_R1_001.fastq.gz</t>
  </si>
  <si>
    <t>6e7bdbaeefb318e4f4f0301cc2affa0d</t>
  </si>
  <si>
    <t>BN0464_S2_L002_R2_001.fastq.gz</t>
  </si>
  <si>
    <t>8d67d3a7a501664a0e1ddb14fd1d202e</t>
  </si>
  <si>
    <t>BN0464_S2_L003_I1_001.fastq.gz</t>
  </si>
  <si>
    <t>1c2e5f0246e7f9f8632619da0d7217ad</t>
  </si>
  <si>
    <t>BN0464_S2_L003_I2_001.fastq.gz</t>
  </si>
  <si>
    <t>893e7069c80a61bbc18cbf29a103eb09</t>
  </si>
  <si>
    <t>BN0464_S2_L003_R1_001.fastq.gz</t>
  </si>
  <si>
    <t>50acef8b4844a5ebffc6caa042c36c52</t>
  </si>
  <si>
    <t>BN0464_S2_L003_R2_001.fastq.gz</t>
  </si>
  <si>
    <t>a8be78e48d78f722d5ba634f0b915575</t>
  </si>
  <si>
    <t>BN0464_S2_L004_I1_001.fastq.gz</t>
  </si>
  <si>
    <t>ed3ce0a2ca46ff7c3a37f37d3dd03fa8</t>
  </si>
  <si>
    <t>BN0464_S2_L004_I2_001.fastq.gz</t>
  </si>
  <si>
    <t>b4f08656aaf551d874269b2bc4ce439e</t>
  </si>
  <si>
    <t>BN0464_S2_L004_R1_001.fastq.gz</t>
  </si>
  <si>
    <t>3ba019c5f39f189caa144ddeae76fb29</t>
  </si>
  <si>
    <t>BN0464_S2_L004_R2_001.fastq.gz</t>
  </si>
  <si>
    <t>c9f33727040bcb60f3c0de660c31c351</t>
  </si>
  <si>
    <t>BN0602_S3_L001_I1_001.fastq.gz</t>
  </si>
  <si>
    <t>0a7a03f72ee5c999f3525e1b3658278c</t>
  </si>
  <si>
    <t>BN0602_S3_L001_I2_001.fastq.gz</t>
  </si>
  <si>
    <t>9b2e59d3819296b5885c2189d4c375a4</t>
  </si>
  <si>
    <t>BN0602_S3_L001_R1_001.fastq.gz</t>
  </si>
  <si>
    <t>41530ef925d182c1ed5d2d15f2f1951e</t>
  </si>
  <si>
    <t>BN0602_S3_L001_R2_001.fastq.gz</t>
  </si>
  <si>
    <t>61e4eba628f97d097d7a209e676d59ec</t>
  </si>
  <si>
    <t>BN0602_S3_L002_I1_001.fastq.gz</t>
  </si>
  <si>
    <t>63114cb149bb0ca0def0e2ca83db4fa5</t>
  </si>
  <si>
    <t>BN0602_S3_L002_I2_001.fastq.gz</t>
  </si>
  <si>
    <t>0e5846903f29395cf5a0daa3b819c77a</t>
  </si>
  <si>
    <t>BN0602_S3_L002_R1_001.fastq.gz</t>
  </si>
  <si>
    <t>a742f2e8266dd59b2c404abfe28daf58</t>
  </si>
  <si>
    <t>BN0602_S3_L002_R2_001.fastq.gz</t>
  </si>
  <si>
    <t>1d2c013c57399be7b4f899aae5e1df46</t>
  </si>
  <si>
    <t>BN0602_S3_L003_I1_001.fastq.gz</t>
  </si>
  <si>
    <t>342b7c10aa24da5f891f228c6653d7ce</t>
  </si>
  <si>
    <t>BN0602_S3_L003_I2_001.fastq.gz</t>
  </si>
  <si>
    <t>4461296fbf37ecb9129965316a4b6a39</t>
  </si>
  <si>
    <t>BN0602_S3_L003_R1_001.fastq.gz</t>
  </si>
  <si>
    <t>becc6c36b252b94f67eb933a60c45c06</t>
  </si>
  <si>
    <t>BN0602_S3_L003_R2_001.fastq.gz</t>
  </si>
  <si>
    <t>05a11456c17c8e11e511b978a5a4e65c</t>
  </si>
  <si>
    <t>BN0602_S3_L004_I1_001.fastq.gz</t>
  </si>
  <si>
    <t>6979da8d46da403b869d9850104b20e6</t>
  </si>
  <si>
    <t>BN0602_S3_L004_I2_001.fastq.gz</t>
  </si>
  <si>
    <t>2b8cc84b3b0b9a3cd2474f20e325ea74</t>
  </si>
  <si>
    <t>BN0602_S3_L004_R1_001.fastq.gz</t>
  </si>
  <si>
    <t>21c65f2b274614c2c2136e36eea95a80</t>
  </si>
  <si>
    <t>BN0602_S3_L004_R2_001.fastq.gz</t>
  </si>
  <si>
    <t>8e541d1c9ee64bc6445ce5b9fd47fb1b</t>
  </si>
  <si>
    <t>BN0644_S2_L001_I1_001.fastq.gz</t>
  </si>
  <si>
    <t>3b9c091e220ecdddfb7544a4ac2c3cbd</t>
  </si>
  <si>
    <t>BN0644_S2_L001_I2_001.fastq.gz</t>
  </si>
  <si>
    <t>a43e6de29c090a39370197bcb2fbc41c</t>
  </si>
  <si>
    <t>BN0644_S2_L001_R1_001.fastq.gz</t>
  </si>
  <si>
    <t>856609e69534fb954866bd1d05bb0dd3</t>
  </si>
  <si>
    <t>BN0644_S2_L001_R2_001.fastq.gz</t>
  </si>
  <si>
    <t>c833c44a873653787ab81a453383c1d5</t>
  </si>
  <si>
    <t>BN0644_S2_L002_I1_001.fastq.gz</t>
  </si>
  <si>
    <t>34b23e56638dc145475f1afa0f73ab30</t>
  </si>
  <si>
    <t>BN0644_S2_L002_I2_001.fastq.gz</t>
  </si>
  <si>
    <t>41fc5e390caf3183529284d10bf6684a</t>
  </si>
  <si>
    <t>BN0644_S2_L002_R1_001.fastq.gz</t>
  </si>
  <si>
    <t>f48d749ce99c96b76d264830c23c4306</t>
  </si>
  <si>
    <t>BN0644_S2_L002_R2_001.fastq.gz</t>
  </si>
  <si>
    <t>71582d427a002c9a793e2559cb0379d9</t>
  </si>
  <si>
    <t>BN0644_S2_L003_I1_001.fastq.gz</t>
  </si>
  <si>
    <t>cbe9055a100fb04603786244a51c5830</t>
  </si>
  <si>
    <t>BN0644_S2_L003_I2_001.fastq.gz</t>
  </si>
  <si>
    <t>bbcbaa395bf073cdae0e0741275d831f</t>
  </si>
  <si>
    <t>BN0644_S2_L003_R1_001.fastq.gz</t>
  </si>
  <si>
    <t>cc1340f935685a80a6b0e5bd39633012</t>
  </si>
  <si>
    <t>BN0644_S2_L003_R2_001.fastq.gz</t>
  </si>
  <si>
    <t>b0d4370eba535dbef7fab2394703daea</t>
  </si>
  <si>
    <t>BN0644_S2_L004_I1_001.fastq.gz</t>
  </si>
  <si>
    <t>97a36d46d550831e94820ceef0c3190c</t>
  </si>
  <si>
    <t>BN0644_S2_L004_I2_001.fastq.gz</t>
  </si>
  <si>
    <t>f9f1ee0e4b5fb3534eb3cfb99422f6e5</t>
  </si>
  <si>
    <t>BN0644_S2_L004_R1_001.fastq.gz</t>
  </si>
  <si>
    <t>4b242a030c265057dcf96ff6132615a1</t>
  </si>
  <si>
    <t>BN0644_S2_L004_R2_001.fastq.gz</t>
  </si>
  <si>
    <t>68deda40479cabfdcc908363dc215f87</t>
  </si>
  <si>
    <t>BN1855_S4_L001_I1_001.fastq.gz</t>
  </si>
  <si>
    <t>3f143575f88c142332d3e1051c8e8622</t>
  </si>
  <si>
    <t>BN1855_S4_L001_I2_001.fastq.gz</t>
  </si>
  <si>
    <t>80e2c9d34f5e3cd6911c5248380ed99b</t>
  </si>
  <si>
    <t>BN1855_S4_L001_R1_001.fastq.gz</t>
  </si>
  <si>
    <t>e5ad4fe631d283d6f19ec22faf483f65</t>
  </si>
  <si>
    <t>BN1855_S4_L001_R2_001.fastq.gz</t>
  </si>
  <si>
    <t>2441e8f4e9da727d95a92ccdcb689677</t>
  </si>
  <si>
    <t>BN1855_S4_L002_I1_001.fastq.gz</t>
  </si>
  <si>
    <t>049b54c27f0b61f675ac9bab16af80a3</t>
  </si>
  <si>
    <t>BN1855_S4_L002_I2_001.fastq.gz</t>
  </si>
  <si>
    <t>04fe195ccfc25186da020eda39e93519</t>
  </si>
  <si>
    <t>BN1855_S4_L002_R1_001.fastq.gz</t>
  </si>
  <si>
    <t>0d365e25688ac93893a2c0d28a0b9354</t>
  </si>
  <si>
    <t>BN1855_S4_L002_R2_001.fastq.gz</t>
  </si>
  <si>
    <t>6502ec679261bf669fe65ed8bb94a1cf</t>
  </si>
  <si>
    <t>BN1855_S4_L003_I1_001.fastq.gz</t>
  </si>
  <si>
    <t>c7b01341e5689fe6c01ba77a2d5443cb</t>
  </si>
  <si>
    <t>BN1855_S4_L003_I2_001.fastq.gz</t>
  </si>
  <si>
    <t>fa3f1a83286945f72cc4ec3e1b5495c5</t>
  </si>
  <si>
    <t>BN1855_S4_L003_R1_001.fastq.gz</t>
  </si>
  <si>
    <t>ad5cb01c5dc823c260acd839b2e9c547</t>
  </si>
  <si>
    <t>BN1855_S4_L003_R2_001.fastq.gz</t>
  </si>
  <si>
    <t>2309b3143add479a56922ffc0f2bf6a5</t>
  </si>
  <si>
    <t>BN1855_S4_L004_I1_001.fastq.gz</t>
  </si>
  <si>
    <t>431be61d3dc0a6706f10317a968e2abe</t>
  </si>
  <si>
    <t>BN1855_S4_L004_I2_001.fastq.gz</t>
  </si>
  <si>
    <t>5ebca59ae5d324a252fe130b01bfb0c0</t>
  </si>
  <si>
    <t>BN1855_S4_L004_R1_001.fastq.gz</t>
  </si>
  <si>
    <t>da8a28de186281cfb6a296336eed3dcf</t>
  </si>
  <si>
    <t>BN1855_S4_L004_R2_001.fastq.gz</t>
  </si>
  <si>
    <t>7b3e9d046bd7ee379ef937bdac5702b5</t>
  </si>
  <si>
    <t>BN0536_S3_L001_I1_001.fastq.gz</t>
  </si>
  <si>
    <t>1cf76956505779f0eb55a2788ef03983</t>
  </si>
  <si>
    <t>BN0536_S3_L001_I2_001.fastq.gz</t>
  </si>
  <si>
    <t>d108e58e289fde464c829b9fa3f5d472</t>
  </si>
  <si>
    <t>BN0536_S3_L001_R1_001.fastq.gz</t>
  </si>
  <si>
    <t>0710fffde97741509a4cc920a2b9d623</t>
  </si>
  <si>
    <t>BN0536_S3_L001_R2_001.fastq.gz</t>
  </si>
  <si>
    <t>e09b03916890da64d47f94d01abd6530</t>
  </si>
  <si>
    <t>BN0536_S3_L002_I1_001.fastq.gz</t>
  </si>
  <si>
    <t>7330cc156903d53f0769fc88640304c9</t>
  </si>
  <si>
    <t>BN0536_S3_L002_I2_001.fastq.gz</t>
  </si>
  <si>
    <t>c17b30affb8c9ee910e5aaf2092f8c1e</t>
  </si>
  <si>
    <t>BN0536_S3_L002_R1_001.fastq.gz</t>
  </si>
  <si>
    <t>9278082fc5e4e40efaa8ccdd6c5a16b4</t>
  </si>
  <si>
    <t>BN0536_S3_L002_R2_001.fastq.gz</t>
  </si>
  <si>
    <t>16c6eb778f7d2898a5d31ca6081b2903</t>
  </si>
  <si>
    <t>BN0536_S3_L003_I1_001.fastq.gz</t>
  </si>
  <si>
    <t>30f0d15db3c5b89a3339f743002fd084</t>
  </si>
  <si>
    <t>BN0536_S3_L003_I2_001.fastq.gz</t>
  </si>
  <si>
    <t>e8ed833d41dc60cd8c8f72e6be39d7dd</t>
  </si>
  <si>
    <t>BN0536_S3_L003_R1_001.fastq.gz</t>
  </si>
  <si>
    <t>e9fb86b4016974b98f3b152defab0d43</t>
  </si>
  <si>
    <t>BN0536_S3_L003_R2_001.fastq.gz</t>
  </si>
  <si>
    <t>bcd3f8ed967392c161c7027d925d74d5</t>
  </si>
  <si>
    <t>BN0536_S3_L004_I1_001.fastq.gz</t>
  </si>
  <si>
    <t>b1ce83ad424052984428b205089cbf5a</t>
  </si>
  <si>
    <t>BN0536_S3_L004_I2_001.fastq.gz</t>
  </si>
  <si>
    <t>55230bf0776e020ae9bc870a36b82428</t>
  </si>
  <si>
    <t>BN0536_S3_L004_R1_001.fastq.gz</t>
  </si>
  <si>
    <t>a9fbe60afdf40e8a1d653d4790d09977</t>
  </si>
  <si>
    <t>BN0536_S3_L004_R2_001.fastq.gz</t>
  </si>
  <si>
    <t>98f97b4184fd7402b106d5d2a91f34c4</t>
  </si>
  <si>
    <t>BN0651_S1_L001_I1_001.fastq.gz</t>
  </si>
  <si>
    <t>35c690a3c519c6fe98b6ea1a6325f99d</t>
  </si>
  <si>
    <t>BN0651_S1_L001_I2_001.fastq.gz</t>
  </si>
  <si>
    <t>d9437f31be7461e841ac2cc6d6694bca</t>
  </si>
  <si>
    <t>BN0651_S1_L001_R1_001.fastq.gz</t>
  </si>
  <si>
    <t>3fc6033f0aaf9d2b7a9b350b3a44e0fc</t>
  </si>
  <si>
    <t>BN0651_S1_L001_R2_001.fastq.gz</t>
  </si>
  <si>
    <t>ae8e4f6a9fdc1bfcbd2b29e5b04d1868</t>
  </si>
  <si>
    <t>BN0651_S1_L002_I1_001.fastq.gz</t>
  </si>
  <si>
    <t>b5d1d059865cd473e9020a54fa8b347f</t>
  </si>
  <si>
    <t>BN0651_S1_L002_I2_001.fastq.gz</t>
  </si>
  <si>
    <t>04fd79673f528aa49698b0583c3d2eb9</t>
  </si>
  <si>
    <t>BN0651_S1_L002_R1_001.fastq.gz</t>
  </si>
  <si>
    <t>ae7d0c60cb30be3bfff441a4d3e41830</t>
  </si>
  <si>
    <t>BN0651_S1_L002_R2_001.fastq.gz</t>
  </si>
  <si>
    <t>c623d95c1d25a8c13b5e4a2604ea0105</t>
  </si>
  <si>
    <t>BN0651_S1_L003_I1_001.fastq.gz</t>
  </si>
  <si>
    <t>402cc5f31a37b4ed2d20dee3a9d0bf19</t>
  </si>
  <si>
    <t>BN0651_S1_L003_I2_001.fastq.gz</t>
  </si>
  <si>
    <t>b2656bd13fb2de5297bb33647baceb06</t>
  </si>
  <si>
    <t>BN0651_S1_L003_R1_001.fastq.gz</t>
  </si>
  <si>
    <t>2e4ea42e78e6f908d0f8b66c1c14a613</t>
  </si>
  <si>
    <t>BN0651_S1_L003_R2_001.fastq.gz</t>
  </si>
  <si>
    <t>87e2875d24bab701a6f98bc3cc2063c1</t>
  </si>
  <si>
    <t>BN0651_S1_L004_I1_001.fastq.gz</t>
  </si>
  <si>
    <t>8ed3a9fee467598d4dd109e8517df230</t>
  </si>
  <si>
    <t>BN0651_S1_L004_I2_001.fastq.gz</t>
  </si>
  <si>
    <t>8301cffc9225f721613b08438e14839f</t>
  </si>
  <si>
    <t>BN0651_S1_L004_R1_001.fastq.gz</t>
  </si>
  <si>
    <t>274135160f5aea6344388ff200e75272</t>
  </si>
  <si>
    <t>BN0651_S1_L004_R2_001.fastq.gz</t>
  </si>
  <si>
    <t>03b8ddae9350f1aecd0e8f439436bbd4</t>
  </si>
  <si>
    <t>BN0655_S4_L001_I1_001.fastq.gz</t>
  </si>
  <si>
    <t>53934129f66a0e434e459f20b745000e</t>
  </si>
  <si>
    <t>BN0655_S4_L001_I2_001.fastq.gz</t>
  </si>
  <si>
    <t>e0148023fb8623d4e878e22bf22e1bea</t>
  </si>
  <si>
    <t>BN0655_S4_L001_R1_001.fastq.gz</t>
  </si>
  <si>
    <t>4985738eaa8ede452869c05ba81e8277</t>
  </si>
  <si>
    <t>BN0655_S4_L001_R2_001.fastq.gz</t>
  </si>
  <si>
    <t>ae635a11efc00cf6443a5d3ac253a6fe</t>
  </si>
  <si>
    <t>BN0655_S4_L002_I1_001.fastq.gz</t>
  </si>
  <si>
    <t>06bda2fbfea98ea3bcbbed92b74470a0</t>
  </si>
  <si>
    <t>BN0655_S4_L002_I2_001.fastq.gz</t>
  </si>
  <si>
    <t>79ea0ce65cc71365fe60ae244ceb61ee</t>
  </si>
  <si>
    <t>BN0655_S4_L002_R1_001.fastq.gz</t>
  </si>
  <si>
    <t>37f97d6ef843385f790721ec1d01f491</t>
  </si>
  <si>
    <t>BN0655_S4_L002_R2_001.fastq.gz</t>
  </si>
  <si>
    <t>fc49bef80baf6f636a3941fe756fae55</t>
  </si>
  <si>
    <t>BN0655_S4_L003_I1_001.fastq.gz</t>
  </si>
  <si>
    <t>78ba2acfc40d75ecd1b422f24e92cfee</t>
  </si>
  <si>
    <t>BN0655_S4_L003_I2_001.fastq.gz</t>
  </si>
  <si>
    <t>324b70bc6c8f27b66d8990dcfa039938</t>
  </si>
  <si>
    <t>BN0655_S4_L003_R1_001.fastq.gz</t>
  </si>
  <si>
    <t>ec29b522b57b742e11ad53c165d764eb</t>
  </si>
  <si>
    <t>BN0655_S4_L003_R2_001.fastq.gz</t>
  </si>
  <si>
    <t>e7baecb31b026d25c2357aaa7a15d5fb</t>
  </si>
  <si>
    <t>BN0655_S4_L004_I1_001.fastq.gz</t>
  </si>
  <si>
    <t>f51cf5a80e2c1799841c15d5924f87e4</t>
  </si>
  <si>
    <t>BN0655_S4_L004_I2_001.fastq.gz</t>
  </si>
  <si>
    <t>7b227d8a565bc4aa66067463bf8ab2e5</t>
  </si>
  <si>
    <t>BN0655_S4_L004_R1_001.fastq.gz</t>
  </si>
  <si>
    <t>ac98569e87098792cf99efa700c4dd07</t>
  </si>
  <si>
    <t>BN0655_S4_L004_R2_001.fastq.gz</t>
  </si>
  <si>
    <t>4e2d097faab65484923421cc5894b3da</t>
  </si>
  <si>
    <t>BN2015_S2_L001_I1_001.fastq.gz</t>
  </si>
  <si>
    <t>9343a80fa16bd01c21cccc8e81dd392b</t>
  </si>
  <si>
    <t>BN2015_S2_L001_I2_001.fastq.gz</t>
  </si>
  <si>
    <t>f241d5b66f3f23cc437aeb5e8f4bda75</t>
  </si>
  <si>
    <t>BN2015_S2_L001_R1_001.fastq.gz</t>
  </si>
  <si>
    <t>19339856381f097966a1e1eda35ac06e</t>
  </si>
  <si>
    <t>BN2015_S2_L001_R2_001.fastq.gz</t>
  </si>
  <si>
    <t>afa15cffb099565ff43d71a53180086f</t>
  </si>
  <si>
    <t>BN2015_S2_L002_I1_001.fastq.gz</t>
  </si>
  <si>
    <t>a051d1ed2fc64117a44ffb5070b50cfa</t>
  </si>
  <si>
    <t>BN2015_S2_L002_I2_001.fastq.gz</t>
  </si>
  <si>
    <t>323c063dbfb54ef75654871ef3387126</t>
  </si>
  <si>
    <t>BN2015_S2_L002_R1_001.fastq.gz</t>
  </si>
  <si>
    <t>64af32b4a521360b335fec622e1a92bb</t>
  </si>
  <si>
    <t>BN2015_S2_L002_R2_001.fastq.gz</t>
  </si>
  <si>
    <t>a232042884541a4d17d9f4f745a1c336</t>
  </si>
  <si>
    <t>BN2015_S2_L003_I1_001.fastq.gz</t>
  </si>
  <si>
    <t>8288d5e0fe495066f3a1874c29341d84</t>
  </si>
  <si>
    <t>BN2015_S2_L003_I2_001.fastq.gz</t>
  </si>
  <si>
    <t>4847d1c3228b07be24f25f9cf888dab2</t>
  </si>
  <si>
    <t>BN2015_S2_L003_R1_001.fastq.gz</t>
  </si>
  <si>
    <t>86105ab2621bc79e89228eae3d6d024a</t>
  </si>
  <si>
    <t>BN2015_S2_L003_R2_001.fastq.gz</t>
  </si>
  <si>
    <t>7e05a2bc2b441c695273c99c333e8d34</t>
  </si>
  <si>
    <t>BN2015_S2_L004_I1_001.fastq.gz</t>
  </si>
  <si>
    <t>fc7c85a274f4c8c8497e48fe9abc4583</t>
  </si>
  <si>
    <t>BN2015_S2_L004_I2_001.fastq.gz</t>
  </si>
  <si>
    <t>c6941fd782474cc3f1b498826e5104c2</t>
  </si>
  <si>
    <t>BN2015_S2_L004_R1_001.fastq.gz</t>
  </si>
  <si>
    <t>9918821af15afb4ee7d3b4d7253cd41a</t>
  </si>
  <si>
    <t>BN2015_S2_L004_R2_001.fastq.gz</t>
  </si>
  <si>
    <t>d8912e2deedc94da7a70a35bf964d157</t>
  </si>
  <si>
    <t>BN0615_S1_L001_I1_001.fastq.gz</t>
  </si>
  <si>
    <t>e8cf8eb67bcb91761e24c551600842ba</t>
  </si>
  <si>
    <t>BN0615_S1_L001_I2_001.fastq.gz</t>
  </si>
  <si>
    <t>e22d2b6e6887fc9f7f37983c54ba8557</t>
  </si>
  <si>
    <t>BN0615_S1_L001_R1_001.fastq.gz</t>
  </si>
  <si>
    <t>357932604684f682c86583eba0cb9be9</t>
  </si>
  <si>
    <t>BN0615_S1_L001_R2_001.fastq.gz</t>
  </si>
  <si>
    <t>34553d558b1d036ec84cec74c03dfae7</t>
  </si>
  <si>
    <t>BN0615_S1_L002_I1_001.fastq.gz</t>
  </si>
  <si>
    <t>4f94a54f17328ef48962afd24ea12f4f</t>
  </si>
  <si>
    <t>BN0615_S1_L002_I2_001.fastq.gz</t>
  </si>
  <si>
    <t>ad8ef1a2f53c831e5855f283a9002e4c</t>
  </si>
  <si>
    <t>BN0615_S1_L002_R1_001.fastq.gz</t>
  </si>
  <si>
    <t>2d7838d2f1fef3a9974d1bd02b81c673</t>
  </si>
  <si>
    <t>BN0615_S1_L002_R2_001.fastq.gz</t>
  </si>
  <si>
    <t>51e718805b4d3d2beb3fd94bedffbc94</t>
  </si>
  <si>
    <t>BN0615_S1_L003_I1_001.fastq.gz</t>
  </si>
  <si>
    <t>ad0b21da61d0e2c2ce61f7af017ea87e</t>
  </si>
  <si>
    <t>BN0615_S1_L003_I2_001.fastq.gz</t>
  </si>
  <si>
    <t>56eb5bb0982b3c4c80d990ed744783cb</t>
  </si>
  <si>
    <t>BN0615_S1_L003_R1_001.fastq.gz</t>
  </si>
  <si>
    <t>9cb02c86661ba51d61f981f6765ace8f</t>
  </si>
  <si>
    <t>BN0615_S1_L003_R2_001.fastq.gz</t>
  </si>
  <si>
    <t>9bef3f44689fc3d3f60b8f3ea12c703f</t>
  </si>
  <si>
    <t>BN0615_S1_L004_I1_001.fastq.gz</t>
  </si>
  <si>
    <t>be10e037feb4e6b279f420acc610d018</t>
  </si>
  <si>
    <t>BN0615_S1_L004_I2_001.fastq.gz</t>
  </si>
  <si>
    <t>9e60426dfd58096fb40a4ca0e8207b4d</t>
  </si>
  <si>
    <t>BN0615_S1_L004_R1_001.fastq.gz</t>
  </si>
  <si>
    <t>155e5d22d2bdadee78c41630371a4305</t>
  </si>
  <si>
    <t>BN0615_S1_L004_R2_001.fastq.gz</t>
  </si>
  <si>
    <t>8cd72ab55d3af1f96162a627b277a8c3</t>
  </si>
  <si>
    <t>BN0662_S2_L001_I1_001.fastq.gz</t>
  </si>
  <si>
    <t>145c71bee47911917cdf0eac78d99af4</t>
  </si>
  <si>
    <t>BN0662_S2_L001_I2_001.fastq.gz</t>
  </si>
  <si>
    <t>a1c839289452af723df0e856c55781c0</t>
  </si>
  <si>
    <t>BN0662_S2_L001_R1_001.fastq.gz</t>
  </si>
  <si>
    <t>2df746d1b6a3af513b79e55dd74225d9</t>
  </si>
  <si>
    <t>BN0662_S2_L001_R2_001.fastq.gz</t>
  </si>
  <si>
    <t>0824e6e573bfafcb26b2a1ef022eddac</t>
  </si>
  <si>
    <t>BN0662_S2_L002_I1_001.fastq.gz</t>
  </si>
  <si>
    <t>0627ae3de6327cc47f0304f2eb05b6f2</t>
  </si>
  <si>
    <t>BN0662_S2_L002_I2_001.fastq.gz</t>
  </si>
  <si>
    <t>582d228812679af6572f173271ecd4b3</t>
  </si>
  <si>
    <t>BN0662_S2_L002_R1_001.fastq.gz</t>
  </si>
  <si>
    <t>dc7eb2288d1f669d15e1b613a6a6ba14</t>
  </si>
  <si>
    <t>BN0662_S2_L002_R2_001.fastq.gz</t>
  </si>
  <si>
    <t>f067949ffb41024587d5b08749475b4d</t>
  </si>
  <si>
    <t>BN0662_S2_L003_I1_001.fastq.gz</t>
  </si>
  <si>
    <t>8e935362fb8f0c45bbf2d9e824b0000c</t>
  </si>
  <si>
    <t>BN0662_S2_L003_I2_001.fastq.gz</t>
  </si>
  <si>
    <t>1cdb2c5c250e52dde13539989ee6642c</t>
  </si>
  <si>
    <t>BN0662_S2_L003_R1_001.fastq.gz</t>
  </si>
  <si>
    <t>213badb901e141a0baf44ddaf568c97c</t>
  </si>
  <si>
    <t>BN0662_S2_L003_R2_001.fastq.gz</t>
  </si>
  <si>
    <t>4086d58079ea6206388d35ba5e3eaf48</t>
  </si>
  <si>
    <t>BN0662_S2_L004_I1_001.fastq.gz</t>
  </si>
  <si>
    <t>f5222bc76b4d40642b8e43f85f7e3077</t>
  </si>
  <si>
    <t>BN0662_S2_L004_I2_001.fastq.gz</t>
  </si>
  <si>
    <t>125e4c6afe45d0888e36cee39b28e297</t>
  </si>
  <si>
    <t>BN0662_S2_L004_R1_001.fastq.gz</t>
  </si>
  <si>
    <t>e8ae016cae93fd9173023b7f2bc2f3dc</t>
  </si>
  <si>
    <t>BN0662_S2_L004_R2_001.fastq.gz</t>
  </si>
  <si>
    <t>7d31474a8b5196578e63933a6762ef36</t>
  </si>
  <si>
    <t>BN0934_S3_L001_I1_001.fastq.gz</t>
  </si>
  <si>
    <t>ac28fc9fcf274bcd8b6f259964d06cbc</t>
  </si>
  <si>
    <t>BN0934_S3_L001_I2_001.fastq.gz</t>
  </si>
  <si>
    <t>f8f00ab054d99e08ab5e7045fb986c32</t>
  </si>
  <si>
    <t>BN0934_S3_L001_R1_001.fastq.gz</t>
  </si>
  <si>
    <t>4eb2ff72456cea38d59aa314b9efefe7</t>
  </si>
  <si>
    <t>BN0934_S3_L001_R2_001.fastq.gz</t>
  </si>
  <si>
    <t>e1a624bfd962b654877a3b616919e995</t>
  </si>
  <si>
    <t>BN0934_S3_L002_I1_001.fastq.gz</t>
  </si>
  <si>
    <t>842bae88c8adcbc2e4219c836b3078db</t>
  </si>
  <si>
    <t>BN0934_S3_L002_I2_001.fastq.gz</t>
  </si>
  <si>
    <t>1e8cab0d61388e9944116404c48c440a</t>
  </si>
  <si>
    <t>BN0934_S3_L002_R1_001.fastq.gz</t>
  </si>
  <si>
    <t>a0e976e1646ba757ced33271b512125f</t>
  </si>
  <si>
    <t>BN0934_S3_L002_R2_001.fastq.gz</t>
  </si>
  <si>
    <t>feb5d98374c3f944d7412abb6b861bd2</t>
  </si>
  <si>
    <t>BN0934_S3_L003_I1_001.fastq.gz</t>
  </si>
  <si>
    <t>6169ad74f5e7646fbd6c682aaf4d2a1c</t>
  </si>
  <si>
    <t>BN0934_S3_L003_I2_001.fastq.gz</t>
  </si>
  <si>
    <t>9105bca6e27e23391da84d92bc9d677c</t>
  </si>
  <si>
    <t>BN0934_S3_L003_R1_001.fastq.gz</t>
  </si>
  <si>
    <t>34becab0b59c40f6761fc817e8f5f2cc</t>
  </si>
  <si>
    <t>BN0934_S3_L003_R2_001.fastq.gz</t>
  </si>
  <si>
    <t>f694a2f3a47c11e514a250f50bce5109</t>
  </si>
  <si>
    <t>BN0934_S3_L004_I1_001.fastq.gz</t>
  </si>
  <si>
    <t>9f0ee9ff1e59043de5d2b9fd96540668</t>
  </si>
  <si>
    <t>BN0934_S3_L004_I2_001.fastq.gz</t>
  </si>
  <si>
    <t>84f3e246a6a6dccbe91c83d3ee1de7e7</t>
  </si>
  <si>
    <t>BN0934_S3_L004_R1_001.fastq.gz</t>
  </si>
  <si>
    <t>fd094484764a004538a9b3f8168dfe10</t>
  </si>
  <si>
    <t>BN0934_S3_L004_R2_001.fastq.gz</t>
  </si>
  <si>
    <t>56d119664dcb7421baf1610345e425bb</t>
  </si>
  <si>
    <t>BN1128_S4_L001_I1_001.fastq.gz</t>
  </si>
  <si>
    <t>f6522ced7865a7bd692da6dae21515e6</t>
  </si>
  <si>
    <t>BN1128_S4_L001_I2_001.fastq.gz</t>
  </si>
  <si>
    <t>cd4d0ae04bc0c5b64b1190b5088bb228</t>
  </si>
  <si>
    <t>BN1128_S4_L001_R1_001.fastq.gz</t>
  </si>
  <si>
    <t>b3a166c71f6d5b55d7f62c54e2d49f82</t>
  </si>
  <si>
    <t>BN1128_S4_L001_R2_001.fastq.gz</t>
  </si>
  <si>
    <t>024c8b83df65b245dee84170ba70069e</t>
  </si>
  <si>
    <t>BN1128_S4_L002_I1_001.fastq.gz</t>
  </si>
  <si>
    <t>da4d59f836c5fca9ab55ed1c63f97cfa</t>
  </si>
  <si>
    <t>BN1128_S4_L002_I2_001.fastq.gz</t>
  </si>
  <si>
    <t>8bb4cb829afff7e888fb80a9bda8d6ad</t>
  </si>
  <si>
    <t>BN1128_S4_L002_R1_001.fastq.gz</t>
  </si>
  <si>
    <t>5fb0fe111890805e18ab02e06bc6c127</t>
  </si>
  <si>
    <t>BN1128_S4_L002_R2_001.fastq.gz</t>
  </si>
  <si>
    <t>43ee105651749ed056432e2bc15140ba</t>
  </si>
  <si>
    <t>BN1128_S4_L003_I1_001.fastq.gz</t>
  </si>
  <si>
    <t>e4bc8336879b9f8e9eea2a24e3dbbf9c</t>
  </si>
  <si>
    <t>BN1128_S4_L003_I2_001.fastq.gz</t>
  </si>
  <si>
    <t>7cc9607233159c8b31d11e7f8a4e6805</t>
  </si>
  <si>
    <t>BN1128_S4_L003_R1_001.fastq.gz</t>
  </si>
  <si>
    <t>d3b27c734db1067ae80f51dff879160b</t>
  </si>
  <si>
    <t>BN1128_S4_L003_R2_001.fastq.gz</t>
  </si>
  <si>
    <t>c674fd0cf15ed7766e683d8a941849f5</t>
  </si>
  <si>
    <t>BN1128_S4_L004_I1_001.fastq.gz</t>
  </si>
  <si>
    <t>05443eb8834a5d0542c37a03035ef85e</t>
  </si>
  <si>
    <t>BN1128_S4_L004_I2_001.fastq.gz</t>
  </si>
  <si>
    <t>d00205e67123ccbc949f6e32b9096da6</t>
  </si>
  <si>
    <t>BN1128_S4_L004_R1_001.fastq.gz</t>
  </si>
  <si>
    <t>5e513b626efe47661562f6ca0e9b6f68</t>
  </si>
  <si>
    <t>BN1128_S4_L004_R2_001.fastq.gz</t>
  </si>
  <si>
    <t>c3bc09da362a401b15e6013ce149bb52</t>
  </si>
  <si>
    <t>BN0635_S4_L001_I1_001.fastq.gz</t>
  </si>
  <si>
    <t>fddcaf44054a5a642313a3057b6fe570</t>
  </si>
  <si>
    <t>BN0635_S4_L001_I2_001.fastq.gz</t>
  </si>
  <si>
    <t>05229ae9c307fdd93b3d26b9daa643f3</t>
  </si>
  <si>
    <t>BN0635_S4_L001_R1_001.fastq.gz</t>
  </si>
  <si>
    <t>4465e59a092d3bd734eb96f9c5312556</t>
  </si>
  <si>
    <t>BN0635_S4_L001_R2_001.fastq.gz</t>
  </si>
  <si>
    <t>1f7e480c2c39b671bc7798f789895c55</t>
  </si>
  <si>
    <t>BN0635_S4_L002_I1_001.fastq.gz</t>
  </si>
  <si>
    <t>711d302637d8d691e98c429906c55bd8</t>
  </si>
  <si>
    <t>BN0635_S4_L002_I2_001.fastq.gz</t>
  </si>
  <si>
    <t>cba03dc9d2ce8c9f6f138a3271ff55f9</t>
  </si>
  <si>
    <t>BN0635_S4_L002_R1_001.fastq.gz</t>
  </si>
  <si>
    <t>de7c36b09a6ef99af5020d53f0492fe0</t>
  </si>
  <si>
    <t>BN0635_S4_L002_R2_001.fastq.gz</t>
  </si>
  <si>
    <t>a3b098a33f70943d6e91d69356cfabc8</t>
  </si>
  <si>
    <t>BN0635_S4_L003_I1_001.fastq.gz</t>
  </si>
  <si>
    <t>bedb2e9a7af8b8cdbc7ef82df71b966f</t>
  </si>
  <si>
    <t>BN0635_S4_L003_I2_001.fastq.gz</t>
  </si>
  <si>
    <t>f3db534d7cc29db95f85703fe1e6a537</t>
  </si>
  <si>
    <t>BN0635_S4_L003_R1_001.fastq.gz</t>
  </si>
  <si>
    <t>a17dd50f9747c1953246a9e58a34dfad</t>
  </si>
  <si>
    <t>BN0635_S4_L003_R2_001.fastq.gz</t>
  </si>
  <si>
    <t>6c4cba37c7c573f0ff13e4fa46a47666</t>
  </si>
  <si>
    <t>BN0635_S4_L004_I1_001.fastq.gz</t>
  </si>
  <si>
    <t>796d913dfbfebae645522426c23ad1da</t>
  </si>
  <si>
    <t>BN0635_S4_L004_I2_001.fastq.gz</t>
  </si>
  <si>
    <t>44033d94441a907c1565455cf7ef7625</t>
  </si>
  <si>
    <t>BN0635_S4_L004_R1_001.fastq.gz</t>
  </si>
  <si>
    <t>f4ee25e19f30a63be8a72f2e61ccf8a7</t>
  </si>
  <si>
    <t>BN0635_S4_L004_R2_001.fastq.gz</t>
  </si>
  <si>
    <t>1e624de4b0d01971c31b33054e2d5d6b</t>
  </si>
  <si>
    <t>BN0704_S1_L001_I1_001.fastq.gz</t>
  </si>
  <si>
    <t>fc21504374684c27c2f873eee5f1559d</t>
  </si>
  <si>
    <t>BN0704_S1_L001_I2_001.fastq.gz</t>
  </si>
  <si>
    <t>61e3d5bdfb5f95596eb5fbd3d269be42</t>
  </si>
  <si>
    <t>BN0704_S1_L001_R1_001.fastq.gz</t>
  </si>
  <si>
    <t>9837cf6dbe98588a24554d862aa01997</t>
  </si>
  <si>
    <t>BN0704_S1_L001_R2_001.fastq.gz</t>
  </si>
  <si>
    <t>afad8830af9c257257943942b8c02c7d</t>
  </si>
  <si>
    <t>BN0704_S1_L002_I1_001.fastq.gz</t>
  </si>
  <si>
    <t>4b1a234341cb466b791aca7ffa762238</t>
  </si>
  <si>
    <t>BN0704_S1_L002_I2_001.fastq.gz</t>
  </si>
  <si>
    <t>27868de906b7f61457dcfe5ac42647c1</t>
  </si>
  <si>
    <t>BN0704_S1_L002_R1_001.fastq.gz</t>
  </si>
  <si>
    <t>b6a263278136d667cfd8c6f85dcac5a2</t>
  </si>
  <si>
    <t>BN0704_S1_L002_R2_001.fastq.gz</t>
  </si>
  <si>
    <t>8a3a8ccedc9c87c098e89b615bfb71cd</t>
  </si>
  <si>
    <t>BN0704_S1_L003_I1_001.fastq.gz</t>
  </si>
  <si>
    <t>2f0bb50c148555b21116c56e233bb500</t>
  </si>
  <si>
    <t>BN0704_S1_L003_I2_001.fastq.gz</t>
  </si>
  <si>
    <t>81592c9840d7a7a4735bb0711836477d</t>
  </si>
  <si>
    <t>BN0704_S1_L003_R1_001.fastq.gz</t>
  </si>
  <si>
    <t>7a91939bf53f508cdfc7ab50275d0373</t>
  </si>
  <si>
    <t>BN0704_S1_L003_R2_001.fastq.gz</t>
  </si>
  <si>
    <t>15824f8d4e58ce8ee57962e50c154993</t>
  </si>
  <si>
    <t>BN0704_S1_L004_I1_001.fastq.gz</t>
  </si>
  <si>
    <t>853c00157a82bda0980d18152e695511</t>
  </si>
  <si>
    <t>BN0704_S1_L004_I2_001.fastq.gz</t>
  </si>
  <si>
    <t>cf7b2724e6170dca4275b56b179a19ca</t>
  </si>
  <si>
    <t>BN0704_S1_L004_R1_001.fastq.gz</t>
  </si>
  <si>
    <t>9791bd71558b42a12b0f260b2aefd7bf</t>
  </si>
  <si>
    <t>BN0704_S1_L004_R2_001.fastq.gz</t>
  </si>
  <si>
    <t>dd6caaffbe9f36ea2e44c01ec53dd249</t>
  </si>
  <si>
    <t>BN1160_S3_L001_I1_001.fastq.gz</t>
  </si>
  <si>
    <t>9540e11428857674887e3a89b69d3558</t>
  </si>
  <si>
    <t>BN1160_S3_L001_I2_001.fastq.gz</t>
  </si>
  <si>
    <t>89c8781f7891362fc3b6056ae7f32c06</t>
  </si>
  <si>
    <t>BN1160_S3_L001_R1_001.fastq.gz</t>
  </si>
  <si>
    <t>ba76a45ea8fcf4b401b3c748fb5c5afc</t>
  </si>
  <si>
    <t>BN1160_S3_L001_R2_001.fastq.gz</t>
  </si>
  <si>
    <t>73c2a990cbe3521df68c4ea01e0e162b</t>
  </si>
  <si>
    <t>BN1160_S3_L002_I1_001.fastq.gz</t>
  </si>
  <si>
    <t>258e1723743c2f8ce4583015d662c8c0</t>
  </si>
  <si>
    <t>BN1160_S3_L002_I2_001.fastq.gz</t>
  </si>
  <si>
    <t>e7980866aabd4410faf886147488bd15</t>
  </si>
  <si>
    <t>BN1160_S3_L002_R1_001.fastq.gz</t>
  </si>
  <si>
    <t>745d85309271f599db639a7f59ca61bd</t>
  </si>
  <si>
    <t>BN1160_S3_L002_R2_001.fastq.gz</t>
  </si>
  <si>
    <t>52ec5dd9f04828c702829bfebbdc5626</t>
  </si>
  <si>
    <t>BN1160_S3_L003_I1_001.fastq.gz</t>
  </si>
  <si>
    <t>68f3db7b9b86234943d09fdd4f82b235</t>
  </si>
  <si>
    <t>BN1160_S3_L003_I2_001.fastq.gz</t>
  </si>
  <si>
    <t>837894aa2934c2b719f976855bf1766d</t>
  </si>
  <si>
    <t>BN1160_S3_L003_R1_001.fastq.gz</t>
  </si>
  <si>
    <t>c2d4477b8c4ac2f71e0f1402db93ac5d</t>
  </si>
  <si>
    <t>BN1160_S3_L003_R2_001.fastq.gz</t>
  </si>
  <si>
    <t>74d73bcd4fcd05c8ec99ece40b723eba</t>
  </si>
  <si>
    <t>BN1160_S3_L004_I1_001.fastq.gz</t>
  </si>
  <si>
    <t>73674c521bbd8968376ac7b22072a726</t>
  </si>
  <si>
    <t>BN1160_S3_L004_I2_001.fastq.gz</t>
  </si>
  <si>
    <t>d9d5fdb809c2aff9f8e4d25461422a5f</t>
  </si>
  <si>
    <t>BN1160_S3_L004_R1_001.fastq.gz</t>
  </si>
  <si>
    <t>f68c5318830d1adef1ca6bc42b38e2eb</t>
  </si>
  <si>
    <t>BN1160_S3_L004_R2_001.fastq.gz</t>
  </si>
  <si>
    <t>d0e93e346a414676461564c87cae25ec</t>
  </si>
  <si>
    <t>BN1504_S2_L001_I1_001.fastq.gz</t>
  </si>
  <si>
    <t>27faa17ec5637a5cc57e3c8ff298ab4f</t>
  </si>
  <si>
    <t>BN1504_S2_L001_I2_001.fastq.gz</t>
  </si>
  <si>
    <t>f7aec65027ca096796f7c3508dedd7aa</t>
  </si>
  <si>
    <t>BN1504_S2_L001_R1_001.fastq.gz</t>
  </si>
  <si>
    <t>feabd88bf37c40bf11379a3ed1aeff81</t>
  </si>
  <si>
    <t>BN1504_S2_L001_R2_001.fastq.gz</t>
  </si>
  <si>
    <t>423b10f02d9914de5676f44a013ef489</t>
  </si>
  <si>
    <t>BN1504_S2_L002_I1_001.fastq.gz</t>
  </si>
  <si>
    <t>f7e5e4d87858258695d43a6c7b2c7a32</t>
  </si>
  <si>
    <t>BN1504_S2_L002_I2_001.fastq.gz</t>
  </si>
  <si>
    <t>d0777f6cf79b26c948348773a91100d9</t>
  </si>
  <si>
    <t>BN1504_S2_L002_R1_001.fastq.gz</t>
  </si>
  <si>
    <t>f143d164cbfb223171867a1a30e783bb</t>
  </si>
  <si>
    <t>BN1504_S2_L002_R2_001.fastq.gz</t>
  </si>
  <si>
    <t>92508167fa237f1544bdb1963e10decc</t>
  </si>
  <si>
    <t>BN1504_S2_L003_I1_001.fastq.gz</t>
  </si>
  <si>
    <t>b1855015c09132bf77834f8265c20ec7</t>
  </si>
  <si>
    <t>BN1504_S2_L003_I2_001.fastq.gz</t>
  </si>
  <si>
    <t>ba68b8a4c5d22dbd85fe1716433638d0</t>
  </si>
  <si>
    <t>BN1504_S2_L003_R1_001.fastq.gz</t>
  </si>
  <si>
    <t>a4ae1b56e57d60d653ba9ca67bf2de1b</t>
  </si>
  <si>
    <t>BN1504_S2_L003_R2_001.fastq.gz</t>
  </si>
  <si>
    <t>85e0842d4be88f6b139e3476630fa8fd</t>
  </si>
  <si>
    <t>BN1504_S2_L004_I1_001.fastq.gz</t>
  </si>
  <si>
    <t>e04275cfb9e34d4f47e11e520b876d9b</t>
  </si>
  <si>
    <t>BN1504_S2_L004_I2_001.fastq.gz</t>
  </si>
  <si>
    <t>f29bda9875dc0adcebbc6971b0ada07e</t>
  </si>
  <si>
    <t>BN1504_S2_L004_R1_001.fastq.gz</t>
  </si>
  <si>
    <t>0950bc4554bd37890e84c7c3f77539b0</t>
  </si>
  <si>
    <t>BN1504_S2_L004_R2_001.fastq.gz</t>
  </si>
  <si>
    <t>a6a996dceef04bdabc2ea64a88e94dad</t>
  </si>
  <si>
    <t>BN0452_S1_L001_I1_001.fastq.gz</t>
  </si>
  <si>
    <t>8d7b19a7a3e37226bcd489f1f0afc4fd</t>
  </si>
  <si>
    <t>BN0452_S1_L001_I2_001.fastq.gz</t>
  </si>
  <si>
    <t>b8a25e0ddd3482dbc87bb705516612d5</t>
  </si>
  <si>
    <t>BN0452_S1_L001_R1_001.fastq.gz</t>
  </si>
  <si>
    <t>3c42159ae3b306563142bc42fe00f011</t>
  </si>
  <si>
    <t>BN0452_S1_L001_R2_001.fastq.gz</t>
  </si>
  <si>
    <t>bee9f26599b0d6943ddda0c6f4659705</t>
  </si>
  <si>
    <t>BN0452_S1_L002_I1_001.fastq.gz</t>
  </si>
  <si>
    <t>b44a60fb6c3a66003cd410c51f708503</t>
  </si>
  <si>
    <t>BN0452_S1_L002_I2_001.fastq.gz</t>
  </si>
  <si>
    <t>754058e9cd6fea09884537e8e1f822fc</t>
  </si>
  <si>
    <t>BN0452_S1_L002_R1_001.fastq.gz</t>
  </si>
  <si>
    <t>639f01ef23516cb5a21b1ade25461a3b</t>
  </si>
  <si>
    <t>BN0452_S1_L002_R2_001.fastq.gz</t>
  </si>
  <si>
    <t>49eba8bf5c7c58b933c867aa8e7217cb</t>
  </si>
  <si>
    <t>BN0452_S1_L003_I1_001.fastq.gz</t>
  </si>
  <si>
    <t>61872837a954a00fbe17e5b41d638791</t>
  </si>
  <si>
    <t>BN0452_S1_L003_I2_001.fastq.gz</t>
  </si>
  <si>
    <t>50b8685f030b7e3ad8b99b1c7d2ef2a1</t>
  </si>
  <si>
    <t>BN0452_S1_L003_R1_001.fastq.gz</t>
  </si>
  <si>
    <t>5dda0e025fe5fb31eb7a655c4ef374f1</t>
  </si>
  <si>
    <t>BN0452_S1_L003_R2_001.fastq.gz</t>
  </si>
  <si>
    <t>773c3c5c5af4eb7608e39a1a5e512aa0</t>
  </si>
  <si>
    <t>BN0452_S1_L004_I1_001.fastq.gz</t>
  </si>
  <si>
    <t>e50c619291f93536bdcceccd9203449e</t>
  </si>
  <si>
    <t>BN0452_S1_L004_I2_001.fastq.gz</t>
  </si>
  <si>
    <t>65fddee67fa895eeaa38d136fdcd689d</t>
  </si>
  <si>
    <t>BN0452_S1_L004_R1_001.fastq.gz</t>
  </si>
  <si>
    <t>060089441441ece42350a50ef9ca615e</t>
  </si>
  <si>
    <t>BN0452_S1_L004_R2_001.fastq.gz</t>
  </si>
  <si>
    <t>e173b0d722567d7955f5410826230732</t>
  </si>
  <si>
    <t>BN0737_S3_L001_I1_001.fastq.gz</t>
  </si>
  <si>
    <t>22d30c2985692eaa7f6c13b37e95f329</t>
  </si>
  <si>
    <t>BN0737_S3_L001_I2_001.fastq.gz</t>
  </si>
  <si>
    <t>6bcc6ac8c35bdf88d816d0e5e2464557</t>
  </si>
  <si>
    <t>BN0737_S3_L001_R1_001.fastq.gz</t>
  </si>
  <si>
    <t>1a30344373beecc620179f9f2bd11e03</t>
  </si>
  <si>
    <t>BN0737_S3_L001_R2_001.fastq.gz</t>
  </si>
  <si>
    <t>dbc1941945f9a252576fe6ddcab1b3a0</t>
  </si>
  <si>
    <t>BN0737_S3_L002_I1_001.fastq.gz</t>
  </si>
  <si>
    <t>c38983807cdc473bf884fde378f0dc48</t>
  </si>
  <si>
    <t>BN0737_S3_L002_I2_001.fastq.gz</t>
  </si>
  <si>
    <t>896257b3e23db822927c3a5e5a2fed95</t>
  </si>
  <si>
    <t>BN0737_S3_L002_R1_001.fastq.gz</t>
  </si>
  <si>
    <t>a8f68fe8f8c4de932b1fd007d3cb4544</t>
  </si>
  <si>
    <t>BN0737_S3_L002_R2_001.fastq.gz</t>
  </si>
  <si>
    <t>337f9508945a60d02b475d82d1282119</t>
  </si>
  <si>
    <t>BN0737_S3_L003_I1_001.fastq.gz</t>
  </si>
  <si>
    <t>e7ff8e59cafd8676dc2cc52d0d78dc0f</t>
  </si>
  <si>
    <t>BN0737_S3_L003_I2_001.fastq.gz</t>
  </si>
  <si>
    <t>74b94431967c04b572d4f6205469fc17</t>
  </si>
  <si>
    <t>BN0737_S3_L003_R1_001.fastq.gz</t>
  </si>
  <si>
    <t>612c9cd6c7f4a280ee9524c23d1d118c</t>
  </si>
  <si>
    <t>BN0737_S3_L003_R2_001.fastq.gz</t>
  </si>
  <si>
    <t>3b7b1226c28987ff5dcd2bf61701ea8b</t>
  </si>
  <si>
    <t>BN0737_S3_L004_I1_001.fastq.gz</t>
  </si>
  <si>
    <t>57bbead00e4ed7d3441d2560ac5561a5</t>
  </si>
  <si>
    <t>BN0737_S3_L004_I2_001.fastq.gz</t>
  </si>
  <si>
    <t>41cc4f965dac7b36b45c2c89df1c03ec</t>
  </si>
  <si>
    <t>BN0737_S3_L004_R1_001.fastq.gz</t>
  </si>
  <si>
    <t>5837fb9e6bc51df0233ee26ec67fae07</t>
  </si>
  <si>
    <t>BN0737_S3_L004_R2_001.fastq.gz</t>
  </si>
  <si>
    <t>12ce7a587b821e683317ab19b7aa4d48</t>
  </si>
  <si>
    <t>BN0952_S2_L001_I1_001.fastq.gz</t>
  </si>
  <si>
    <t>59353dd37efdd5222187f00b6821916e</t>
  </si>
  <si>
    <t>BN0952_S2_L001_I2_001.fastq.gz</t>
  </si>
  <si>
    <t>f7460e99dfa0bc87422aaee0bcf581cc</t>
  </si>
  <si>
    <t>BN0952_S2_L001_R1_001.fastq.gz</t>
  </si>
  <si>
    <t>cdfff17f3b31141ee181ab4252eb3217</t>
  </si>
  <si>
    <t>BN0952_S2_L001_R2_001.fastq.gz</t>
  </si>
  <si>
    <t>9e6b23e3769a1ea5a04f286e734772d2</t>
  </si>
  <si>
    <t>BN0952_S2_L002_I1_001.fastq.gz</t>
  </si>
  <si>
    <t>58bfd59beadfe188e4365ed5a83c94d2</t>
  </si>
  <si>
    <t>BN0952_S2_L002_I2_001.fastq.gz</t>
  </si>
  <si>
    <t>28b55d2be01a60a7960f7b913499c207</t>
  </si>
  <si>
    <t>BN0952_S2_L002_R1_001.fastq.gz</t>
  </si>
  <si>
    <t>bc1408acddda038668e851f4572a6890</t>
  </si>
  <si>
    <t>BN0952_S2_L002_R2_001.fastq.gz</t>
  </si>
  <si>
    <t>bc1765fc21e210aebdb996830a0b26de</t>
  </si>
  <si>
    <t>BN0952_S2_L003_I1_001.fastq.gz</t>
  </si>
  <si>
    <t>16865fa7e51b8949c7c459e9161947dd</t>
  </si>
  <si>
    <t>BN0952_S2_L003_I2_001.fastq.gz</t>
  </si>
  <si>
    <t>1d56ef9c888cd60676ea35731cfabc56</t>
  </si>
  <si>
    <t>BN0952_S2_L003_R1_001.fastq.gz</t>
  </si>
  <si>
    <t>fc337c4755a244c5b6016b95b48e38bb</t>
  </si>
  <si>
    <t>BN0952_S2_L003_R2_001.fastq.gz</t>
  </si>
  <si>
    <t>f345ed53322abecfd2139682d3bc7ca2</t>
  </si>
  <si>
    <t>BN0952_S2_L004_I1_001.fastq.gz</t>
  </si>
  <si>
    <t>2beed675f6880dbba508578d3ce153f5</t>
  </si>
  <si>
    <t>BN0952_S2_L004_I2_001.fastq.gz</t>
  </si>
  <si>
    <t>ee6acf2855925c9d2c391b3c9d378d48</t>
  </si>
  <si>
    <t>BN0952_S2_L004_R1_001.fastq.gz</t>
  </si>
  <si>
    <t>d7e3b3d52ba32fb57ba33e5c5f2da556</t>
  </si>
  <si>
    <t>BN0952_S2_L004_R2_001.fastq.gz</t>
  </si>
  <si>
    <t>b7f36077e1a49329868f41e118938566</t>
  </si>
  <si>
    <t>BN1076_S4_L001_I1_001.fastq.gz</t>
  </si>
  <si>
    <t>76e2f2b4865d78b23274ddd6818d3c6a</t>
  </si>
  <si>
    <t>BN1076_S4_L001_I2_001.fastq.gz</t>
  </si>
  <si>
    <t>219fce9dd36f62d7df764e33ca726edc</t>
  </si>
  <si>
    <t>BN1076_S4_L001_R1_001.fastq.gz</t>
  </si>
  <si>
    <t>799fd11219124867840e8c807a9f7c33</t>
  </si>
  <si>
    <t>BN1076_S4_L001_R2_001.fastq.gz</t>
  </si>
  <si>
    <t>682f595a285d17c7acd74d33d5e6e418</t>
  </si>
  <si>
    <t>BN1076_S4_L002_I1_001.fastq.gz</t>
  </si>
  <si>
    <t>bf70a9aa531592a59d4850975878f71b</t>
  </si>
  <si>
    <t>BN1076_S4_L002_I2_001.fastq.gz</t>
  </si>
  <si>
    <t>9d60d84b39bf8cb93e71d3b2ca4af449</t>
  </si>
  <si>
    <t>BN1076_S4_L002_R1_001.fastq.gz</t>
  </si>
  <si>
    <t>8a83055750a06ad9d06c4daa21be81ce</t>
  </si>
  <si>
    <t>BN1076_S4_L002_R2_001.fastq.gz</t>
  </si>
  <si>
    <t>9e99218bdf216d539d655416fca3e2a1</t>
  </si>
  <si>
    <t>BN1076_S4_L003_I1_001.fastq.gz</t>
  </si>
  <si>
    <t>63daac59e6d952df8ef00440607804af</t>
  </si>
  <si>
    <t>BN1076_S4_L003_I2_001.fastq.gz</t>
  </si>
  <si>
    <t>6b3be24228b4d023df7c867448d2a18a</t>
  </si>
  <si>
    <t>BN1076_S4_L003_R1_001.fastq.gz</t>
  </si>
  <si>
    <t>f35c23d86420beb3e2842cbd9065574a</t>
  </si>
  <si>
    <t>BN1076_S4_L003_R2_001.fastq.gz</t>
  </si>
  <si>
    <t>0a9a59401a0bef80122fc897e900a400</t>
  </si>
  <si>
    <t>BN1076_S4_L004_I1_001.fastq.gz</t>
  </si>
  <si>
    <t>35b13f2b7a2daf3cb28bef7eb8fae732</t>
  </si>
  <si>
    <t>BN1076_S4_L004_I2_001.fastq.gz</t>
  </si>
  <si>
    <t>fbe3e53e99a7e273a782c7c8cf182e16</t>
  </si>
  <si>
    <t>BN1076_S4_L004_R1_001.fastq.gz</t>
  </si>
  <si>
    <t>ab5eb6958f2f8e68f68134851c5e66dd</t>
  </si>
  <si>
    <t>BN1076_S4_L004_R2_001.fastq.gz</t>
  </si>
  <si>
    <t>97462a8f8ebfee0d10520583eaea1c62</t>
  </si>
  <si>
    <t>BN0746_S2_L001_I1_001.fastq.gz</t>
  </si>
  <si>
    <t>e431657c83183af4912616673654b08a</t>
  </si>
  <si>
    <t>BN0746_S2_L001_I2_001.fastq.gz</t>
  </si>
  <si>
    <t>085acea0ef33f15188f94de0e94365ec</t>
  </si>
  <si>
    <t>BN0746_S2_L001_R1_001.fastq.gz</t>
  </si>
  <si>
    <t>63bf9f2debaa865bf929c99c5677fa6e</t>
  </si>
  <si>
    <t>BN0746_S2_L001_R2_001.fastq.gz</t>
  </si>
  <si>
    <t>446b3331098ab52e0e949a9de57e1b20</t>
  </si>
  <si>
    <t>BN0746_S2_L002_I1_001.fastq.gz</t>
  </si>
  <si>
    <t>adcd4d607d3b61ad3c2e371939422f47</t>
  </si>
  <si>
    <t>BN0746_S2_L002_I2_001.fastq.gz</t>
  </si>
  <si>
    <t>f72b62e0a1ae49ac8920638681faa197</t>
  </si>
  <si>
    <t>BN0746_S2_L002_R1_001.fastq.gz</t>
  </si>
  <si>
    <t>651ab2cb76d9437518d0d84dba3cde72</t>
  </si>
  <si>
    <t>BN0746_S2_L002_R2_001.fastq.gz</t>
  </si>
  <si>
    <t>f719c56426b07f12b048577178ad3140</t>
  </si>
  <si>
    <t>BN0746_S2_L003_I1_001.fastq.gz</t>
  </si>
  <si>
    <t>a456592d25df92d9b59bfcdd1285345d</t>
  </si>
  <si>
    <t>BN0746_S2_L003_I2_001.fastq.gz</t>
  </si>
  <si>
    <t>d075a25aa677603fa8c7a99e37159064</t>
  </si>
  <si>
    <t>BN0746_S2_L003_R1_001.fastq.gz</t>
  </si>
  <si>
    <t>fbbfc65e228307e8a593607537e5acf3</t>
  </si>
  <si>
    <t>BN0746_S2_L003_R2_001.fastq.gz</t>
  </si>
  <si>
    <t>5354e50bc77772be18ee9ba124e0c3cf</t>
  </si>
  <si>
    <t>BN0746_S2_L004_I1_001.fastq.gz</t>
  </si>
  <si>
    <t>30f298c9918a079e7b901137b2f11341</t>
  </si>
  <si>
    <t>BN0746_S2_L004_I2_001.fastq.gz</t>
  </si>
  <si>
    <t>a8e2a10426f7b604df6decd6b301918a</t>
  </si>
  <si>
    <t>BN0746_S2_L004_R1_001.fastq.gz</t>
  </si>
  <si>
    <t>2eade0f1007e3a106c9a0453e2230e95</t>
  </si>
  <si>
    <t>BN0746_S2_L004_R2_001.fastq.gz</t>
  </si>
  <si>
    <t>182506b9b6f663a35d52db8d294c153b</t>
  </si>
  <si>
    <t>BN1305_S3_L001_I1_001.fastq.gz</t>
  </si>
  <si>
    <t>d7a8b22139fa6ad1d3937e3094f88eee</t>
  </si>
  <si>
    <t>BN1305_S3_L001_I2_001.fastq.gz</t>
  </si>
  <si>
    <t>dc29047b77ab5fcdc27ad55e589fca83</t>
  </si>
  <si>
    <t>BN1305_S3_L001_R1_001.fastq.gz</t>
  </si>
  <si>
    <t>945e6ab17dda2aecad709b3f863d4d9e</t>
  </si>
  <si>
    <t>BN1305_S3_L001_R2_001.fastq.gz</t>
  </si>
  <si>
    <t>1acbddcad222dfaa1b8ceed9ddbfa9e7</t>
  </si>
  <si>
    <t>BN1305_S3_L002_I1_001.fastq.gz</t>
  </si>
  <si>
    <t>39c36d8e454981c87235d0ad1665cc0a</t>
  </si>
  <si>
    <t>BN1305_S3_L002_I2_001.fastq.gz</t>
  </si>
  <si>
    <t>4677bbfb0ef8375eed6e40a39ca48823</t>
  </si>
  <si>
    <t>BN1305_S3_L002_R1_001.fastq.gz</t>
  </si>
  <si>
    <t>ba44c29141ddcc367a7fcf2e439b7fbc</t>
  </si>
  <si>
    <t>BN1305_S3_L002_R2_001.fastq.gz</t>
  </si>
  <si>
    <t>95d7cb397b9d1170fe6758f9c4b452de</t>
  </si>
  <si>
    <t>BN1305_S3_L003_I1_001.fastq.gz</t>
  </si>
  <si>
    <t>00295f662493667fc86ccf1363a5012b</t>
  </si>
  <si>
    <t>BN1305_S3_L003_I2_001.fastq.gz</t>
  </si>
  <si>
    <t>d5ad53dd92026581924dde6f26b8ad19</t>
  </si>
  <si>
    <t>BN1305_S3_L003_R1_001.fastq.gz</t>
  </si>
  <si>
    <t>294bed1aff73b368c2dc7e442b3db5dc</t>
  </si>
  <si>
    <t>BN1305_S3_L003_R2_001.fastq.gz</t>
  </si>
  <si>
    <t>ead19d4018d674ceef3bdb8eb3572f10</t>
  </si>
  <si>
    <t>BN1305_S3_L004_I1_001.fastq.gz</t>
  </si>
  <si>
    <t>55421e91265c6a3e89dfe52de3cdc061</t>
  </si>
  <si>
    <t>BN1305_S3_L004_I2_001.fastq.gz</t>
  </si>
  <si>
    <t>dfdcccd2d1d838d466247398babeb8f3</t>
  </si>
  <si>
    <t>BN1305_S3_L004_R1_001.fastq.gz</t>
  </si>
  <si>
    <t>fccaf96dd4053ed41e80f36c6b2d192d</t>
  </si>
  <si>
    <t>BN1305_S3_L004_R2_001.fastq.gz</t>
  </si>
  <si>
    <t>6bbb8402731fdd906c1e72bab312c2c6</t>
  </si>
  <si>
    <t>BN1308_S1_L001_I1_001.fastq.gz</t>
  </si>
  <si>
    <t>3ecdadcda316e72b1bbbc6d85f299273</t>
  </si>
  <si>
    <t>BN1308_S1_L001_I2_001.fastq.gz</t>
  </si>
  <si>
    <t>d7cb1a4e467ac6cdd1ecf775551f8834</t>
  </si>
  <si>
    <t>BN1308_S1_L001_R1_001.fastq.gz</t>
  </si>
  <si>
    <t>4437437b7aa7cf770715c5a372c59eb8</t>
  </si>
  <si>
    <t>BN1308_S1_L001_R2_001.fastq.gz</t>
  </si>
  <si>
    <t>0c7091b0eaafdd2039b32ad9486699d9</t>
  </si>
  <si>
    <t>BN1308_S1_L002_I1_001.fastq.gz</t>
  </si>
  <si>
    <t>78255df4f88aa00076560ad0809e3d8e</t>
  </si>
  <si>
    <t>BN1308_S1_L002_I2_001.fastq.gz</t>
  </si>
  <si>
    <t>bd472ee84d783d5a6e7de495d1a706b9</t>
  </si>
  <si>
    <t>BN1308_S1_L002_R1_001.fastq.gz</t>
  </si>
  <si>
    <t>7f6ab7afc28ecf41c71cf02b1b709f72</t>
  </si>
  <si>
    <t>BN1308_S1_L002_R2_001.fastq.gz</t>
  </si>
  <si>
    <t>81feb72ec56d6e948991421ca04651ef</t>
  </si>
  <si>
    <t>BN1308_S1_L003_I1_001.fastq.gz</t>
  </si>
  <si>
    <t>526d5d1862691c61181ae27e386ee7e7</t>
  </si>
  <si>
    <t>BN1308_S1_L003_I2_001.fastq.gz</t>
  </si>
  <si>
    <t>93f2bce7b4fb0e6bac7b87f1c89ae2f4</t>
  </si>
  <si>
    <t>BN1308_S1_L003_R1_001.fastq.gz</t>
  </si>
  <si>
    <t>210a20a61f21b020d82634c71abe783c</t>
  </si>
  <si>
    <t>BN1308_S1_L003_R2_001.fastq.gz</t>
  </si>
  <si>
    <t>edc15b365bd6ee889a20f0d2229cd3f1</t>
  </si>
  <si>
    <t>BN1308_S1_L004_I1_001.fastq.gz</t>
  </si>
  <si>
    <t>3ce1002ff65d6d617852d4fd9d1ad945</t>
  </si>
  <si>
    <t>BN1308_S1_L004_I2_001.fastq.gz</t>
  </si>
  <si>
    <t>56091d568e63bcacfd9ef24a38516775</t>
  </si>
  <si>
    <t>BN1308_S1_L004_R1_001.fastq.gz</t>
  </si>
  <si>
    <t>3473bbc8489dea49d585bf0054eed575</t>
  </si>
  <si>
    <t>BN1308_S1_L004_R2_001.fastq.gz</t>
  </si>
  <si>
    <t>ab098de605f0ac6e818f118973c43401</t>
  </si>
  <si>
    <t>BN1339_S4_L001_I1_001.fastq.gz</t>
  </si>
  <si>
    <t>7237617d5d510a907d1fdaa7da98722b</t>
  </si>
  <si>
    <t>BN1339_S4_L001_I2_001.fastq.gz</t>
  </si>
  <si>
    <t>67ecb637fab7015d8dbb206cdc5dee91</t>
  </si>
  <si>
    <t>BN1339_S4_L001_R1_001.fastq.gz</t>
  </si>
  <si>
    <t>ff574a3e74278469ed4681498cb1d495</t>
  </si>
  <si>
    <t>BN1339_S4_L001_R2_001.fastq.gz</t>
  </si>
  <si>
    <t>3519271381f182527b0cd6f697111979</t>
  </si>
  <si>
    <t>BN1339_S4_L002_I1_001.fastq.gz</t>
  </si>
  <si>
    <t>3985640c4f31271be551b79e216ffb70</t>
  </si>
  <si>
    <t>BN1339_S4_L002_I2_001.fastq.gz</t>
  </si>
  <si>
    <t>fb60ae239329d57c77ce5fbaaedea213</t>
  </si>
  <si>
    <t>BN1339_S4_L002_R1_001.fastq.gz</t>
  </si>
  <si>
    <t>48e815bb00288d9a4e68d0787e11ba6f</t>
  </si>
  <si>
    <t>BN1339_S4_L002_R2_001.fastq.gz</t>
  </si>
  <si>
    <t>c3578b2a21234a0f912182a1ebef8943</t>
  </si>
  <si>
    <t>BN1339_S4_L003_I1_001.fastq.gz</t>
  </si>
  <si>
    <t>e7e75ff35aca8710d743eacf2304b037</t>
  </si>
  <si>
    <t>BN1339_S4_L003_I2_001.fastq.gz</t>
  </si>
  <si>
    <t>c2318508d39ee8106cb7701a82f0dca5</t>
  </si>
  <si>
    <t>BN1339_S4_L003_R1_001.fastq.gz</t>
  </si>
  <si>
    <t>b8b2fe1cde60afee266de6bf2adc76ce</t>
  </si>
  <si>
    <t>BN1339_S4_L003_R2_001.fastq.gz</t>
  </si>
  <si>
    <t>40a6901ca25ed70460a37726333eeb0d</t>
  </si>
  <si>
    <t>BN1339_S4_L004_I1_001.fastq.gz</t>
  </si>
  <si>
    <t>be00593ac3435c6eb33b2a75ea507920</t>
  </si>
  <si>
    <t>BN1339_S4_L004_I2_001.fastq.gz</t>
  </si>
  <si>
    <t>fc5791ab035d8916bf2e0d3bbc09099a</t>
  </si>
  <si>
    <t>BN1339_S4_L004_R1_001.fastq.gz</t>
  </si>
  <si>
    <t>03e5f7a935d9e69f8e80a44d9c63f543</t>
  </si>
  <si>
    <t>BN1339_S4_L004_R2_001.fastq.gz</t>
  </si>
  <si>
    <t>336a1d23e344d0e61845d403cc209754</t>
  </si>
  <si>
    <t>BN1817_S1_L001_I1_001.fastq.gz</t>
  </si>
  <si>
    <t>693db7cd5ead7c9a7ef9e92e03621314</t>
  </si>
  <si>
    <t>BN1817_S1_L001_I2_001.fastq.gz</t>
  </si>
  <si>
    <t>20ec5e91cfe2641079973900515929bf</t>
  </si>
  <si>
    <t>BN1817_S1_L001_R1_001.fastq.gz</t>
  </si>
  <si>
    <t>3aee5839877cc8e1bf88b8e3e73f9a58</t>
  </si>
  <si>
    <t>BN1817_S1_L001_R2_001.fastq.gz</t>
  </si>
  <si>
    <t>da9bb601571badd99cc7f0913b8ef654</t>
  </si>
  <si>
    <t>BN1817_S1_L002_I1_001.fastq.gz</t>
  </si>
  <si>
    <t>a0ab9b251b5121906dd0f03d0ea65bd8</t>
  </si>
  <si>
    <t>BN1817_S1_L002_I2_001.fastq.gz</t>
  </si>
  <si>
    <t>6e7f83404fc152e9203ab60f9e5d41f1</t>
  </si>
  <si>
    <t>BN1817_S1_L002_R1_001.fastq.gz</t>
  </si>
  <si>
    <t>0059136f325b3279f28a431491da2c04</t>
  </si>
  <si>
    <t>BN1817_S1_L002_R2_001.fastq.gz</t>
  </si>
  <si>
    <t>9af7d90ec10f66dd7de179dec8a73618</t>
  </si>
  <si>
    <t>BN1817_S1_L003_I1_001.fastq.gz</t>
  </si>
  <si>
    <t>bf7d7bae37d0c45d1372e0a70f982190</t>
  </si>
  <si>
    <t>BN1817_S1_L003_I2_001.fastq.gz</t>
  </si>
  <si>
    <t>0849a1db549c2fc0bc1731828b853b90</t>
  </si>
  <si>
    <t>BN1817_S1_L003_R1_001.fastq.gz</t>
  </si>
  <si>
    <t>713fab4fc3928c314ec98962e2bd2292</t>
  </si>
  <si>
    <t>BN1817_S1_L003_R2_001.fastq.gz</t>
  </si>
  <si>
    <t>3bb4bb4168c2815d397978142be0db5c</t>
  </si>
  <si>
    <t>BN1817_S1_L004_I1_001.fastq.gz</t>
  </si>
  <si>
    <t>89a2d4c15e71fd17cdcacfdda100c7c7</t>
  </si>
  <si>
    <t>BN1817_S1_L004_I2_001.fastq.gz</t>
  </si>
  <si>
    <t>d518ee3d13ab41a19d0cfc4e22ba72d2</t>
  </si>
  <si>
    <t>BN1817_S1_L004_R1_001.fastq.gz</t>
  </si>
  <si>
    <t>a8f4dd6f1fe1b4c6bf3726cebf9ca2a5</t>
  </si>
  <si>
    <t>BN1817_S1_L004_R2_001.fastq.gz</t>
  </si>
  <si>
    <t>ae0708b2074e577050722311c00a97ec</t>
  </si>
  <si>
    <t>BN1865_S2_L001_I1_001.fastq.gz</t>
  </si>
  <si>
    <t>b08e85144f0ea51b78791e08267a5e75</t>
  </si>
  <si>
    <t>BN1865_S2_L001_I2_001.fastq.gz</t>
  </si>
  <si>
    <t>f2fe80dffd1c10666d85db95ec021474</t>
  </si>
  <si>
    <t>BN1865_S2_L001_R1_001.fastq.gz</t>
  </si>
  <si>
    <t>3afb90864205539745096851c1ddcfbc</t>
  </si>
  <si>
    <t>BN1865_S2_L001_R2_001.fastq.gz</t>
  </si>
  <si>
    <t>e8371bec54b854d87621294523b78147</t>
  </si>
  <si>
    <t>BN1865_S2_L002_I1_001.fastq.gz</t>
  </si>
  <si>
    <t>6034eb96cf0128c2e0e6042d0941f1e7</t>
  </si>
  <si>
    <t>BN1865_S2_L002_I2_001.fastq.gz</t>
  </si>
  <si>
    <t>a21f423a532e23b9a5a196e969f22a89</t>
  </si>
  <si>
    <t>BN1865_S2_L002_R1_001.fastq.gz</t>
  </si>
  <si>
    <t>603e1ac4673d97d1b30ff97800064b26</t>
  </si>
  <si>
    <t>BN1865_S2_L002_R2_001.fastq.gz</t>
  </si>
  <si>
    <t>bd0437eeb818bd02c4c89f8d842667fd</t>
  </si>
  <si>
    <t>BN1865_S2_L003_I1_001.fastq.gz</t>
  </si>
  <si>
    <t>d0f90deb3eb2de94ff2a70a4c1e812c4</t>
  </si>
  <si>
    <t>BN1865_S2_L003_I2_001.fastq.gz</t>
  </si>
  <si>
    <t>3bff2ecdacd1edf5c15e70f6dfe4a492</t>
  </si>
  <si>
    <t>BN1865_S2_L003_R1_001.fastq.gz</t>
  </si>
  <si>
    <t>7d328fa33725f1037823cd0039bd47fe</t>
  </si>
  <si>
    <t>BN1865_S2_L003_R2_001.fastq.gz</t>
  </si>
  <si>
    <t>67a522b26a297be6be2f8c973efa716f</t>
  </si>
  <si>
    <t>BN1865_S2_L004_I1_001.fastq.gz</t>
  </si>
  <si>
    <t>54355000740ac89e1c8e93a3c6e7e1a3</t>
  </si>
  <si>
    <t>BN1865_S2_L004_I2_001.fastq.gz</t>
  </si>
  <si>
    <t>6afde1ec01768f8cc1351585aeb1a0c2</t>
  </si>
  <si>
    <t>BN1865_S2_L004_R1_001.fastq.gz</t>
  </si>
  <si>
    <t>e21abbf9b4d507edfebba574baebfe4c</t>
  </si>
  <si>
    <t>BN1865_S2_L004_R2_001.fastq.gz</t>
  </si>
  <si>
    <t>9da0a61048b08e99bbd0f5aaa0c382e7</t>
  </si>
  <si>
    <t>BN1910_S4_L001_I1_001.fastq.gz</t>
  </si>
  <si>
    <t>fa47ebbf6f201a82cfa78a78ff91906b</t>
  </si>
  <si>
    <t>BN1910_S4_L001_I2_001.fastq.gz</t>
  </si>
  <si>
    <t>202dd1ba43f153c542d8ccbd82547180</t>
  </si>
  <si>
    <t>BN1910_S4_L001_R1_001.fastq.gz</t>
  </si>
  <si>
    <t>fa048d766444925bef644bef80b88087</t>
  </si>
  <si>
    <t>BN1910_S4_L001_R2_001.fastq.gz</t>
  </si>
  <si>
    <t>9b9879c26a2ae3a599269261deae9595</t>
  </si>
  <si>
    <t>BN1910_S4_L002_I1_001.fastq.gz</t>
  </si>
  <si>
    <t>0737e1d6166a014d419fd9cb381dcdf3</t>
  </si>
  <si>
    <t>BN1910_S4_L002_I2_001.fastq.gz</t>
  </si>
  <si>
    <t>1923bccd3d5adb85b5c728cb838dc509</t>
  </si>
  <si>
    <t>BN1910_S4_L002_R1_001.fastq.gz</t>
  </si>
  <si>
    <t>693e10a55f18e3c3473a4a47a92daf65</t>
  </si>
  <si>
    <t>BN1910_S4_L002_R2_001.fastq.gz</t>
  </si>
  <si>
    <t>8b83b3eaba569dd4b9aa562612b178fa</t>
  </si>
  <si>
    <t>BN1910_S4_L003_I1_001.fastq.gz</t>
  </si>
  <si>
    <t>b1344251df49a3bfc0fb481cd829512f</t>
  </si>
  <si>
    <t>BN1910_S4_L003_I2_001.fastq.gz</t>
  </si>
  <si>
    <t>5a65d15a9519128ebb43c8f9441ac36c</t>
  </si>
  <si>
    <t>BN1910_S4_L003_R1_001.fastq.gz</t>
  </si>
  <si>
    <t>ae86832af055b2d2c1fafdac58ee17de</t>
  </si>
  <si>
    <t>BN1910_S4_L003_R2_001.fastq.gz</t>
  </si>
  <si>
    <t>29c894ce48d6f99a5a094bae28ab10c5</t>
  </si>
  <si>
    <t>BN1910_S4_L004_I1_001.fastq.gz</t>
  </si>
  <si>
    <t>1907740b66c5e2cd41281eb89a859707</t>
  </si>
  <si>
    <t>BN1910_S4_L004_I2_001.fastq.gz</t>
  </si>
  <si>
    <t>d38905c31f39629c873846dc73497a1f</t>
  </si>
  <si>
    <t>BN1910_S4_L004_R1_001.fastq.gz</t>
  </si>
  <si>
    <t>3bd2dcbdecd630d2af84a091367aef62</t>
  </si>
  <si>
    <t>BN1910_S4_L004_R2_001.fastq.gz</t>
  </si>
  <si>
    <t>31795bd8b3294570a1b412773b14ac08</t>
  </si>
  <si>
    <t>BN1974_S3_L001_I1_001.fastq.gz</t>
  </si>
  <si>
    <t>1f45862f51f4425434e5f35bceb071b0</t>
  </si>
  <si>
    <t>BN1974_S3_L001_I2_001.fastq.gz</t>
  </si>
  <si>
    <t>8949d03f00fe863d8879c0e433e36cc3</t>
  </si>
  <si>
    <t>BN1974_S3_L001_R1_001.fastq.gz</t>
  </si>
  <si>
    <t>9e42bbd381dd34be4ebe8424cf2524fe</t>
  </si>
  <si>
    <t>BN1974_S3_L001_R2_001.fastq.gz</t>
  </si>
  <si>
    <t>8190d1d5f8bee1f097b9f2b26b3d5c44</t>
  </si>
  <si>
    <t>BN1974_S3_L002_I1_001.fastq.gz</t>
  </si>
  <si>
    <t>95d44ae2bf4d5ff5f67dd26afe185993</t>
  </si>
  <si>
    <t>BN1974_S3_L002_I2_001.fastq.gz</t>
  </si>
  <si>
    <t>ad3d51c965c20dbe87a2fa2a5256314d</t>
  </si>
  <si>
    <t>BN1974_S3_L002_R1_001.fastq.gz</t>
  </si>
  <si>
    <t>857682c35b14b6f672907293e5fa134f</t>
  </si>
  <si>
    <t>BN1974_S3_L002_R2_001.fastq.gz</t>
  </si>
  <si>
    <t>fadafdea9c32047ffc0ed9f1eaf17248</t>
  </si>
  <si>
    <t>BN1974_S3_L003_I1_001.fastq.gz</t>
  </si>
  <si>
    <t>490d071b1b165f56e775e915d7792ab2</t>
  </si>
  <si>
    <t>BN1974_S3_L003_I2_001.fastq.gz</t>
  </si>
  <si>
    <t>a726b93c4162f6fb259c64623454b081</t>
  </si>
  <si>
    <t>BN1974_S3_L003_R1_001.fastq.gz</t>
  </si>
  <si>
    <t>310032ff06f7e20d4b8215ee696c0e0a</t>
  </si>
  <si>
    <t>BN1974_S3_L003_R2_001.fastq.gz</t>
  </si>
  <si>
    <t>edf94349216dec5f95b8166bf4c89d2b</t>
  </si>
  <si>
    <t>BN1974_S3_L004_I1_001.fastq.gz</t>
  </si>
  <si>
    <t>ec2302b6e8644e0c3c17ebaeb1305bde</t>
  </si>
  <si>
    <t>BN1974_S3_L004_I2_001.fastq.gz</t>
  </si>
  <si>
    <t>81b83e333539f50b37826e56c2724fa0</t>
  </si>
  <si>
    <t>BN1974_S3_L004_R1_001.fastq.gz</t>
  </si>
  <si>
    <t>2e7bbb88e7c91fa378baafc3ea67add7</t>
  </si>
  <si>
    <t>BN1974_S3_L004_R2_001.fastq.gz</t>
  </si>
  <si>
    <t>47efa9d0c4841db801c7290544aed16a</t>
  </si>
  <si>
    <t>BN1827_S1_L001_I1_001.fastq.gz</t>
  </si>
  <si>
    <t>d4ea0e778f639b456208df5f6969ce3f</t>
  </si>
  <si>
    <t>BN1827_S1_L001_I2_001.fastq.gz</t>
  </si>
  <si>
    <t>33392b5acd911dd42ea1ab8fb0d47b3e</t>
  </si>
  <si>
    <t>BN1827_S1_L001_R1_001.fastq.gz</t>
  </si>
  <si>
    <t>de767b542ff9c34de1261395dd737f1f</t>
  </si>
  <si>
    <t>BN1827_S1_L001_R2_001.fastq.gz</t>
  </si>
  <si>
    <t>3d9cc0a9525463b04e6c7ecab98ada49</t>
  </si>
  <si>
    <t>BN1827_S1_L002_I1_001.fastq.gz</t>
  </si>
  <si>
    <t>a0fe42988e31df6b47b3ae33a2add2db</t>
  </si>
  <si>
    <t>BN1827_S1_L002_I2_001.fastq.gz</t>
  </si>
  <si>
    <t>2e5117238dda371a0ec3f58279e82324</t>
  </si>
  <si>
    <t>BN1827_S1_L002_R1_001.fastq.gz</t>
  </si>
  <si>
    <t>c49b97e089f7cba68cdca218e31570be</t>
  </si>
  <si>
    <t>BN1827_S1_L002_R2_001.fastq.gz</t>
  </si>
  <si>
    <t>bdf2177eee9a13ef9c2ead745a1f74fe</t>
  </si>
  <si>
    <t>BN1827_S1_L003_I1_001.fastq.gz</t>
  </si>
  <si>
    <t>4b280ec125c03dbe3998d9f7af676d1f</t>
  </si>
  <si>
    <t>BN1827_S1_L003_I2_001.fastq.gz</t>
  </si>
  <si>
    <t>f94a6ddf76ec6e8d2268770d37399cc1</t>
  </si>
  <si>
    <t>BN1827_S1_L003_R1_001.fastq.gz</t>
  </si>
  <si>
    <t>9d82f8469536b7e9768fed53202ccc88</t>
  </si>
  <si>
    <t>BN1827_S1_L003_R2_001.fastq.gz</t>
  </si>
  <si>
    <t>913133b6eb10a684432d11e4e38cca04</t>
  </si>
  <si>
    <t>BN1827_S1_L004_I1_001.fastq.gz</t>
  </si>
  <si>
    <t>4a86600c87f3fcad02a6e4b4ab33a6f3</t>
  </si>
  <si>
    <t>BN1827_S1_L004_I2_001.fastq.gz</t>
  </si>
  <si>
    <t>49ada8b8b70343bbcedede0479829a8c</t>
  </si>
  <si>
    <t>BN1827_S1_L004_R1_001.fastq.gz</t>
  </si>
  <si>
    <t>4f740a134fbd7a8fc78398590e422ee9</t>
  </si>
  <si>
    <t>BN1827_S1_L004_R2_001.fastq.gz</t>
  </si>
  <si>
    <t>46ad411416c10ca154ebc13df11976bb</t>
  </si>
  <si>
    <t>BN1839_S4_L001_I1_001.fastq.gz</t>
  </si>
  <si>
    <t>6cb09708c6fc6eab875a6655e878c8ea</t>
  </si>
  <si>
    <t>BN1839_S4_L001_I2_001.fastq.gz</t>
  </si>
  <si>
    <t>e188ff90f8f3a8055aaa5fcc551683f0</t>
  </si>
  <si>
    <t>BN1839_S4_L001_R1_001.fastq.gz</t>
  </si>
  <si>
    <t>9381ca3df4e97f8e898927ba3ac2d93e</t>
  </si>
  <si>
    <t>BN1839_S4_L001_R2_001.fastq.gz</t>
  </si>
  <si>
    <t>99ee19671a6adcaeb885e2c2259082d6</t>
  </si>
  <si>
    <t>BN1839_S4_L002_I1_001.fastq.gz</t>
  </si>
  <si>
    <t>3fe08dba5471dbad39cf3435650ef05a</t>
  </si>
  <si>
    <t>BN1839_S4_L002_I2_001.fastq.gz</t>
  </si>
  <si>
    <t>40705a06d3d6d5c1335fe67cc59e2a7f</t>
  </si>
  <si>
    <t>BN1839_S4_L002_R1_001.fastq.gz</t>
  </si>
  <si>
    <t>cdfeeb7f0d0f26966316d367f91fe263</t>
  </si>
  <si>
    <t>BN1839_S4_L002_R2_001.fastq.gz</t>
  </si>
  <si>
    <t>938224aa0a11ff8f4fad20a5492fe154</t>
  </si>
  <si>
    <t>BN1839_S4_L003_I1_001.fastq.gz</t>
  </si>
  <si>
    <t>002047921f2a3ca54ccef63af2f12280</t>
  </si>
  <si>
    <t>BN1839_S4_L003_I2_001.fastq.gz</t>
  </si>
  <si>
    <t>f9184443049018c8e815433b6321d9bf</t>
  </si>
  <si>
    <t>BN1839_S4_L003_R1_001.fastq.gz</t>
  </si>
  <si>
    <t>c763630733abf8d6ad7288fe65ac4591</t>
  </si>
  <si>
    <t>BN1839_S4_L003_R2_001.fastq.gz</t>
  </si>
  <si>
    <t>d2ff43721fb0e9cef6db8086e0e0f5ed</t>
  </si>
  <si>
    <t>BN1839_S4_L004_I1_001.fastq.gz</t>
  </si>
  <si>
    <t>d336552fce324b24266fa2036fabcffd</t>
  </si>
  <si>
    <t>BN1839_S4_L004_I2_001.fastq.gz</t>
  </si>
  <si>
    <t>dbc2d6fd331fb1fffc2371e1d5fe2c35</t>
  </si>
  <si>
    <t>BN1839_S4_L004_R1_001.fastq.gz</t>
  </si>
  <si>
    <t>4afbbfa69c43ea99def5a31bccdec220</t>
  </si>
  <si>
    <t>BN1839_S4_L004_R2_001.fastq.gz</t>
  </si>
  <si>
    <t>fa2bdbad436c85482adeb47c365d4806</t>
  </si>
  <si>
    <t>BN1862_S2_L001_I1_001.fastq.gz</t>
  </si>
  <si>
    <t>cc666bb1697c607621af42199e8e90d0</t>
  </si>
  <si>
    <t>BN1862_S2_L001_I2_001.fastq.gz</t>
  </si>
  <si>
    <t>b7feac823672059289d636e55c09a954</t>
  </si>
  <si>
    <t>BN1862_S2_L001_R1_001.fastq.gz</t>
  </si>
  <si>
    <t>51c8778790955942154242191ddb0623</t>
  </si>
  <si>
    <t>BN1862_S2_L001_R2_001.fastq.gz</t>
  </si>
  <si>
    <t>a9ed2fe1978526906eac134c2ad1d278</t>
  </si>
  <si>
    <t>BN1862_S2_L002_I1_001.fastq.gz</t>
  </si>
  <si>
    <t>8f51b7b386947cfb0e9a9457b8e5aea9</t>
  </si>
  <si>
    <t>BN1862_S2_L002_I2_001.fastq.gz</t>
  </si>
  <si>
    <t>33d062aeda65ad3447286bc64d28ef47</t>
  </si>
  <si>
    <t>BN1862_S2_L002_R1_001.fastq.gz</t>
  </si>
  <si>
    <t>e687c064655f909dc9641a61b53d4da0</t>
  </si>
  <si>
    <t>BN1862_S2_L002_R2_001.fastq.gz</t>
  </si>
  <si>
    <t>5731582834b1535b9e19cb55fef5b057</t>
  </si>
  <si>
    <t>BN1862_S2_L003_I1_001.fastq.gz</t>
  </si>
  <si>
    <t>162dff2ced0d35e3a4e8f830e838cabd</t>
  </si>
  <si>
    <t>BN1862_S2_L003_I2_001.fastq.gz</t>
  </si>
  <si>
    <t>0bb1a76d1abd85ce33d23aa19caa84a7</t>
  </si>
  <si>
    <t>BN1862_S2_L003_R1_001.fastq.gz</t>
  </si>
  <si>
    <t>8bc4a883f64df43c780137d15d12573e</t>
  </si>
  <si>
    <t>BN1862_S2_L003_R2_001.fastq.gz</t>
  </si>
  <si>
    <t>bf3aa916e475d50f103a93be61319b6c</t>
  </si>
  <si>
    <t>BN1862_S2_L004_I1_001.fastq.gz</t>
  </si>
  <si>
    <t>6b9f486d2f7c6845fc606c4f504bbe9d</t>
  </si>
  <si>
    <t>BN1862_S2_L004_I2_001.fastq.gz</t>
  </si>
  <si>
    <t>242675dd485a2d2de9a9deebc7b3de20</t>
  </si>
  <si>
    <t>BN1862_S2_L004_R1_001.fastq.gz</t>
  </si>
  <si>
    <t>158627d66abf802823d2b658b8f53ec2</t>
  </si>
  <si>
    <t>BN1862_S2_L004_R2_001.fastq.gz</t>
  </si>
  <si>
    <t>5d36f25f72a514736f6ae6e9f4f5abaa</t>
  </si>
  <si>
    <t>BN1022_S3_L001_I1_001.fastq.gz</t>
  </si>
  <si>
    <t>2f3c9113111ea85ff1be327d49f310f8</t>
  </si>
  <si>
    <t>BN1022_S3_L001_I2_001.fastq.gz</t>
  </si>
  <si>
    <t>e71e5ddc15aceaea0a930acfb3383656</t>
  </si>
  <si>
    <t>BN1022_S3_L001_R1_001.fastq.gz</t>
  </si>
  <si>
    <t>76b9c9e3423fd45c116ef2c4036500ff</t>
  </si>
  <si>
    <t>BN1022_S3_L001_R2_001.fastq.gz</t>
  </si>
  <si>
    <t>d642614d8d9468054acdccc65cf9d7fe</t>
  </si>
  <si>
    <t>BN1022_S3_L002_I1_001.fastq.gz</t>
  </si>
  <si>
    <t>46c35c33ff9c437e70a332da995c71b0</t>
  </si>
  <si>
    <t>BN1022_S3_L002_I2_001.fastq.gz</t>
  </si>
  <si>
    <t>674735020fe1f6e6188fa846855c65a0</t>
  </si>
  <si>
    <t>BN1022_S3_L002_R1_001.fastq.gz</t>
  </si>
  <si>
    <t>67093abe41a2a595ed967f5d5c5c6a5f</t>
  </si>
  <si>
    <t>BN1022_S3_L002_R2_001.fastq.gz</t>
  </si>
  <si>
    <t>df25f0d7fea50138d2ada877a90e1991</t>
  </si>
  <si>
    <t>BN1022_S3_L003_I1_001.fastq.gz</t>
  </si>
  <si>
    <t>682d5afccdad58f1c1caafd93468eceb</t>
  </si>
  <si>
    <t>BN1022_S3_L003_I2_001.fastq.gz</t>
  </si>
  <si>
    <t>c190e03dca8be2f56f4ad91b955aab0a</t>
  </si>
  <si>
    <t>BN1022_S3_L003_R1_001.fastq.gz</t>
  </si>
  <si>
    <t>16805e1207dcbb1dbb46c3a19afd7d15</t>
  </si>
  <si>
    <t>BN1022_S3_L003_R2_001.fastq.gz</t>
  </si>
  <si>
    <t>3d6111065deb9295d0e3b92c6ccd2c57</t>
  </si>
  <si>
    <t>BN1022_S3_L004_I1_001.fastq.gz</t>
  </si>
  <si>
    <t>366ec33af5cbfdb312b40b7c4e84f45d</t>
  </si>
  <si>
    <t>BN1022_S3_L004_I2_001.fastq.gz</t>
  </si>
  <si>
    <t>b80d1bbae054f7a5fd5e12504cc3dbdb</t>
  </si>
  <si>
    <t>BN1022_S3_L004_R1_001.fastq.gz</t>
  </si>
  <si>
    <t>2539389d0a3a4496baf840e88cf5eb6d</t>
  </si>
  <si>
    <t>BN1022_S3_L004_R2_001.fastq.gz</t>
  </si>
  <si>
    <t>be4f2b7cea6b104d3353713eed824e1d</t>
  </si>
  <si>
    <t>BN1361_S2_L001_I1_001.fastq.gz</t>
  </si>
  <si>
    <t>2d840c2f3fae28230169b0a1efcde465</t>
  </si>
  <si>
    <t>BN1361_S2_L001_I2_001.fastq.gz</t>
  </si>
  <si>
    <t>c1649099485573dd44ba8b30f8083dbd</t>
  </si>
  <si>
    <t>BN1361_S2_L001_R1_001.fastq.gz</t>
  </si>
  <si>
    <t>962f8a3a083622cb7a634a563311dc6f</t>
  </si>
  <si>
    <t>BN1361_S2_L001_R2_001.fastq.gz</t>
  </si>
  <si>
    <t>4a722965a25aab5503ea6ae3010f06fd</t>
  </si>
  <si>
    <t>BN1361_S2_L002_I1_001.fastq.gz</t>
  </si>
  <si>
    <t>f0b58ffe397a3ac086eee5333f33dcc6</t>
  </si>
  <si>
    <t>BN1361_S2_L002_I2_001.fastq.gz</t>
  </si>
  <si>
    <t>46ff2d5719c37a0f129e536fd67048fa</t>
  </si>
  <si>
    <t>BN1361_S2_L002_R1_001.fastq.gz</t>
  </si>
  <si>
    <t>79c1a3c84cc9113a1556325dc06b9e6f</t>
  </si>
  <si>
    <t>BN1361_S2_L002_R2_001.fastq.gz</t>
  </si>
  <si>
    <t>0341adb104cc67918b88571316ffc16e</t>
  </si>
  <si>
    <t>BN1361_S2_L003_I1_001.fastq.gz</t>
  </si>
  <si>
    <t>7d3104cafed49977a3bd6955eae6b360</t>
  </si>
  <si>
    <t>BN1361_S2_L003_I2_001.fastq.gz</t>
  </si>
  <si>
    <t>dee0e93c700713a49bcc8d056fddeb43</t>
  </si>
  <si>
    <t>BN1361_S2_L003_R1_001.fastq.gz</t>
  </si>
  <si>
    <t>1426f6b17b1c4d8317c1a2d5e00b9a3b</t>
  </si>
  <si>
    <t>BN1361_S2_L003_R2_001.fastq.gz</t>
  </si>
  <si>
    <t>8ef53e88cbed2a66784ef99cd69d3d51</t>
  </si>
  <si>
    <t>BN1361_S2_L004_I1_001.fastq.gz</t>
  </si>
  <si>
    <t>ab22125e98df8d6fa6e3ee7d46354f3e</t>
  </si>
  <si>
    <t>BN1361_S2_L004_I2_001.fastq.gz</t>
  </si>
  <si>
    <t>bfa1bde8ae75453e2f464ca4bb9e2a2e</t>
  </si>
  <si>
    <t>BN1361_S2_L004_R1_001.fastq.gz</t>
  </si>
  <si>
    <t>cd262bd429781f24ec2f84e9fe0bd977</t>
  </si>
  <si>
    <t>BN1361_S2_L004_R2_001.fastq.gz</t>
  </si>
  <si>
    <t>18e20460a5e171f1db4fefb6bdbf70ca</t>
  </si>
  <si>
    <t>BN1412_S1_L001_I1_001.fastq.gz</t>
  </si>
  <si>
    <t>a7192cf427049c2c2ef8336eb54c4334</t>
  </si>
  <si>
    <t>BN1412_S1_L001_I2_001.fastq.gz</t>
  </si>
  <si>
    <t>7ad4a302c10c9882e8136f4d8a2e9ef7</t>
  </si>
  <si>
    <t>BN1412_S1_L001_R1_001.fastq.gz</t>
  </si>
  <si>
    <t>f06350cf1826c53f7edc047afcdf359e</t>
  </si>
  <si>
    <t>BN1412_S1_L001_R2_001.fastq.gz</t>
  </si>
  <si>
    <t>a898bb71e8966a15c098d134b4feaa72</t>
  </si>
  <si>
    <t>BN1412_S1_L002_I1_001.fastq.gz</t>
  </si>
  <si>
    <t>628f527c7a218ca616fcf9d7f8cff64b</t>
  </si>
  <si>
    <t>BN1412_S1_L002_I2_001.fastq.gz</t>
  </si>
  <si>
    <t>4c8989024cc7ed13c3d0f6868dff771e</t>
  </si>
  <si>
    <t>BN1412_S1_L002_R1_001.fastq.gz</t>
  </si>
  <si>
    <t>b3bba29349b36a7975ebed6d40fa5964</t>
  </si>
  <si>
    <t>BN1412_S1_L002_R2_001.fastq.gz</t>
  </si>
  <si>
    <t>01c733d2255a6527546910b346975292</t>
  </si>
  <si>
    <t>BN1412_S1_L003_I1_001.fastq.gz</t>
  </si>
  <si>
    <t>3bc220d3d0e87e6efb61d81fdbff98a2</t>
  </si>
  <si>
    <t>BN1412_S1_L003_I2_001.fastq.gz</t>
  </si>
  <si>
    <t>4ebe3135c926dacb0165fe195563f380</t>
  </si>
  <si>
    <t>BN1412_S1_L003_R1_001.fastq.gz</t>
  </si>
  <si>
    <t>d67c7f492e1418ab6ad1f5570afbadb1</t>
  </si>
  <si>
    <t>BN1412_S1_L003_R2_001.fastq.gz</t>
  </si>
  <si>
    <t>8af1a9e14e2fffee3e2a470f4300fe36</t>
  </si>
  <si>
    <t>BN1412_S1_L004_I1_001.fastq.gz</t>
  </si>
  <si>
    <t>dc55ec1b4f1d8a957be46b97f1c5be50</t>
  </si>
  <si>
    <t>BN1412_S1_L004_I2_001.fastq.gz</t>
  </si>
  <si>
    <t>63f159c86fdc285b321f049bcda37d9c</t>
  </si>
  <si>
    <t>BN1412_S1_L004_R1_001.fastq.gz</t>
  </si>
  <si>
    <t>8d49346df685d6c71db056b69a422a3e</t>
  </si>
  <si>
    <t>BN1412_S1_L004_R2_001.fastq.gz</t>
  </si>
  <si>
    <t>d6d8e9bfeeeaf65ff991ba1008c1e5f2</t>
  </si>
  <si>
    <t>BN1351_S3_L001_I1_001.fastq.gz</t>
  </si>
  <si>
    <t>888104a60f03699f0ad640b654d97e5a</t>
  </si>
  <si>
    <t>BN1351_S3_L001_I2_001.fastq.gz</t>
  </si>
  <si>
    <t>19b5b6101762e524978853c80706da7c</t>
  </si>
  <si>
    <t>BN1351_S3_L001_R1_001.fastq.gz</t>
  </si>
  <si>
    <t>46d2276fbfa026d65aa9804b5179b78c</t>
  </si>
  <si>
    <t>BN1351_S3_L001_R2_001.fastq.gz</t>
  </si>
  <si>
    <t>b4b3a4b0e4afe51b14d955210015a57f</t>
  </si>
  <si>
    <t>BN1351_S3_L002_I1_001.fastq.gz</t>
  </si>
  <si>
    <t>cd65b30e9c76b1ffba10027a2fa3e924</t>
  </si>
  <si>
    <t>BN1351_S3_L002_I2_001.fastq.gz</t>
  </si>
  <si>
    <t>006b79d9e3899eeed9f3642e619d97cb</t>
  </si>
  <si>
    <t>BN1351_S3_L002_R1_001.fastq.gz</t>
  </si>
  <si>
    <t>3a7e9b5c37a821859108957f86daa30e</t>
  </si>
  <si>
    <t>BN1351_S3_L002_R2_001.fastq.gz</t>
  </si>
  <si>
    <t>7daa1c06cc3bf723a0a2e64b54454077</t>
  </si>
  <si>
    <t>BN1351_S3_L003_I1_001.fastq.gz</t>
  </si>
  <si>
    <t>8e1fea19baca432fc738238cab2b64f5</t>
  </si>
  <si>
    <t>BN1351_S3_L003_I2_001.fastq.gz</t>
  </si>
  <si>
    <t>10ca17e19170a6dacefeddcb165c370c</t>
  </si>
  <si>
    <t>BN1351_S3_L003_R1_001.fastq.gz</t>
  </si>
  <si>
    <t>7a84e257eeedfa6c45958f5b7ed5c0d7</t>
  </si>
  <si>
    <t>BN1351_S3_L003_R2_001.fastq.gz</t>
  </si>
  <si>
    <t>b57dedd16a75dbc4eac4f307565204fe</t>
  </si>
  <si>
    <t>BN1351_S3_L004_I1_001.fastq.gz</t>
  </si>
  <si>
    <t>d42e2c1cde9bfedbd1d6586b0e9d78cf</t>
  </si>
  <si>
    <t>BN1351_S3_L004_I2_001.fastq.gz</t>
  </si>
  <si>
    <t>5569543e259d07ff80ab574d057328b4</t>
  </si>
  <si>
    <t>BN1351_S3_L004_R1_001.fastq.gz</t>
  </si>
  <si>
    <t>b7360f1bc8f0e33e8eec2d4e8418ffc1</t>
  </si>
  <si>
    <t>BN1351_S3_L004_R2_001.fastq.gz</t>
  </si>
  <si>
    <t>5ad2c1e6d5018d9aa0c37f6d85c698f5</t>
  </si>
  <si>
    <t>BN1506_S2_L001_I1_001.fastq.gz</t>
  </si>
  <si>
    <t>b56950bb60a2fed7a16694ff9b592fb3</t>
  </si>
  <si>
    <t>BN1506_S2_L001_I2_001.fastq.gz</t>
  </si>
  <si>
    <t>f6e733ff0dc30f1c6babfe63f32ebbde</t>
  </si>
  <si>
    <t>BN1506_S2_L001_R1_001.fastq.gz</t>
  </si>
  <si>
    <t>256fb75d65503fb28b7034aab79f6f57</t>
  </si>
  <si>
    <t>BN1506_S2_L001_R2_001.fastq.gz</t>
  </si>
  <si>
    <t>055cfa7325558d84fb4ba4c5181fe7cb</t>
  </si>
  <si>
    <t>BN1506_S2_L002_I1_001.fastq.gz</t>
  </si>
  <si>
    <t>82538bc1277978a7cd359c8d5fa62469</t>
  </si>
  <si>
    <t>BN1506_S2_L002_I2_001.fastq.gz</t>
  </si>
  <si>
    <t>e7c1c195e9c9d16b993860b51aab859d</t>
  </si>
  <si>
    <t>BN1506_S2_L002_R1_001.fastq.gz</t>
  </si>
  <si>
    <t>cc9d21a9084fd42bd6c6cce7e4778272</t>
  </si>
  <si>
    <t>BN1506_S2_L002_R2_001.fastq.gz</t>
  </si>
  <si>
    <t>725ce6deadcf5cacdfeb5834750f495d</t>
  </si>
  <si>
    <t>BN1506_S2_L003_I1_001.fastq.gz</t>
  </si>
  <si>
    <t>344f1f7d498fe5feff1663960d403838</t>
  </si>
  <si>
    <t>BN1506_S2_L003_I2_001.fastq.gz</t>
  </si>
  <si>
    <t>8c0f9158362aa7314df24e8a102b9443</t>
  </si>
  <si>
    <t>BN1506_S2_L003_R1_001.fastq.gz</t>
  </si>
  <si>
    <t>f7aa2a7a757995c300a73b5b3769fcb9</t>
  </si>
  <si>
    <t>BN1506_S2_L003_R2_001.fastq.gz</t>
  </si>
  <si>
    <t>ba59bd03b37f2e85492e0b16ff9a8af4</t>
  </si>
  <si>
    <t>BN1506_S2_L004_I1_001.fastq.gz</t>
  </si>
  <si>
    <t>be989838eeb670710762bb809bc70f6a</t>
  </si>
  <si>
    <t>BN1506_S2_L004_I2_001.fastq.gz</t>
  </si>
  <si>
    <t>1cbc613147a5dcf85125aca7370babe9</t>
  </si>
  <si>
    <t>BN1506_S2_L004_R1_001.fastq.gz</t>
  </si>
  <si>
    <t>61266f1ec3690f214ded265e23853cf3</t>
  </si>
  <si>
    <t>BN1506_S2_L004_R2_001.fastq.gz</t>
  </si>
  <si>
    <t>273ed6c97f40d7a7d1466ad0ad86e02e</t>
  </si>
  <si>
    <t>BN1737_S1_L001_I1_001.fastq.gz</t>
  </si>
  <si>
    <t>f21c3d3720bc2e4b14ec2574cff70702</t>
  </si>
  <si>
    <t>BN1737_S1_L001_I2_001.fastq.gz</t>
  </si>
  <si>
    <t>5a1acf2eedc1c62a5a41eaffd7f028a8</t>
  </si>
  <si>
    <t>BN1737_S1_L001_R1_001.fastq.gz</t>
  </si>
  <si>
    <t>51d1c6099654f8369a9546b45cf49fd0</t>
  </si>
  <si>
    <t>BN1737_S1_L001_R2_001.fastq.gz</t>
  </si>
  <si>
    <t>24ea63b5c4ed43cc0176a7101bb41e13</t>
  </si>
  <si>
    <t>BN1737_S1_L002_I1_001.fastq.gz</t>
  </si>
  <si>
    <t>0dfe1e4982203a1ee19573a4c8129e18</t>
  </si>
  <si>
    <t>BN1737_S1_L002_I2_001.fastq.gz</t>
  </si>
  <si>
    <t>0aa8c8b95867a15f8e6bd892575acd80</t>
  </si>
  <si>
    <t>BN1737_S1_L002_R1_001.fastq.gz</t>
  </si>
  <si>
    <t>a48e5944b2bc97c8f5c82e2a69fe6c22</t>
  </si>
  <si>
    <t>BN1737_S1_L002_R2_001.fastq.gz</t>
  </si>
  <si>
    <t>1f7dc9036e057de9a1c07a10b5aca037</t>
  </si>
  <si>
    <t>BN1737_S1_L003_I1_001.fastq.gz</t>
  </si>
  <si>
    <t>28a7ad0974e601995a5d186cb6470c6c</t>
  </si>
  <si>
    <t>BN1737_S1_L003_I2_001.fastq.gz</t>
  </si>
  <si>
    <t>4571e94614f799bebf426bd7c79e0687</t>
  </si>
  <si>
    <t>BN1737_S1_L003_R1_001.fastq.gz</t>
  </si>
  <si>
    <t>424632bbbf47194cb16cbd332ef6b124</t>
  </si>
  <si>
    <t>BN1737_S1_L003_R2_001.fastq.gz</t>
  </si>
  <si>
    <t>4b802006347b9f8616fcd8dd93525c24</t>
  </si>
  <si>
    <t>BN1737_S1_L004_I1_001.fastq.gz</t>
  </si>
  <si>
    <t>315012c1c5709ae2cf424799152390ee</t>
  </si>
  <si>
    <t>BN1737_S1_L004_I2_001.fastq.gz</t>
  </si>
  <si>
    <t>141df94f118789b7c42826a4ae295314</t>
  </si>
  <si>
    <t>BN1737_S1_L004_R1_001.fastq.gz</t>
  </si>
  <si>
    <t>75b13ad673b2c438ef26522780d12949</t>
  </si>
  <si>
    <t>BN1737_S1_L004_R2_001.fastq.gz</t>
  </si>
  <si>
    <t>cc0a1769378ff87955dc5983702007fa</t>
  </si>
  <si>
    <t>BN1144_S1_L001_I1_001.fastq.gz</t>
  </si>
  <si>
    <t>5a2fe70f518c3da2967a1f58a6409b04</t>
  </si>
  <si>
    <t>BN1144_S1_L001_I2_001.fastq.gz</t>
  </si>
  <si>
    <t>05b6516ff51236f9dd4bb05b88bebd95</t>
  </si>
  <si>
    <t>BN1144_S1_L001_R1_001.fastq.gz</t>
  </si>
  <si>
    <t>eaff08350fe4f736ccbee568eee8ef28</t>
  </si>
  <si>
    <t>BN1144_S1_L001_R2_001.fastq.gz</t>
  </si>
  <si>
    <t>453f7b51baae9044bd3e6cac6f6cf067</t>
  </si>
  <si>
    <t>BN1144_S1_L002_I1_001.fastq.gz</t>
  </si>
  <si>
    <t>b7bd51f978d7cf74077adb004ba7a4b3</t>
  </si>
  <si>
    <t>BN1144_S1_L002_I2_001.fastq.gz</t>
  </si>
  <si>
    <t>497a2673531e6cdf2d3ba10cef012322</t>
  </si>
  <si>
    <t>BN1144_S1_L002_R1_001.fastq.gz</t>
  </si>
  <si>
    <t>c2da61fb3f71c6e78df232ee4d50d9cd</t>
  </si>
  <si>
    <t>BN1144_S1_L002_R2_001.fastq.gz</t>
  </si>
  <si>
    <t>78dc102a05f84955432bf7c6bbe07f68</t>
  </si>
  <si>
    <t>BN1144_S1_L003_I1_001.fastq.gz</t>
  </si>
  <si>
    <t>f4a85d3bcfd37eaf52ff01bc2283a8b5</t>
  </si>
  <si>
    <t>BN1144_S1_L003_I2_001.fastq.gz</t>
  </si>
  <si>
    <t>3971599edc6ab574b3483bcbcc6f1c4f</t>
  </si>
  <si>
    <t>BN1144_S1_L003_R1_001.fastq.gz</t>
  </si>
  <si>
    <t>b66d1143e5082afaac7c147d3f558518</t>
  </si>
  <si>
    <t>BN1144_S1_L003_R2_001.fastq.gz</t>
  </si>
  <si>
    <t>07fca80961285a22269f2c633efa73a9</t>
  </si>
  <si>
    <t>BN1144_S1_L004_I1_001.fastq.gz</t>
  </si>
  <si>
    <t>5f295c6536e47b3fa0b6058cf0e2ced6</t>
  </si>
  <si>
    <t>BN1144_S1_L004_I2_001.fastq.gz</t>
  </si>
  <si>
    <t>9288264f3342960a5d03c23bf127bb2a</t>
  </si>
  <si>
    <t>BN1144_S1_L004_R1_001.fastq.gz</t>
  </si>
  <si>
    <t>7568ac2d2be598bee7bd1235ebae110a</t>
  </si>
  <si>
    <t>BN1144_S1_L004_R2_001.fastq.gz</t>
  </si>
  <si>
    <t>b57d0b2aa9ea708276a1048964f20ea2</t>
  </si>
  <si>
    <t>BN1424_S2_L001_I1_001.fastq.gz</t>
  </si>
  <si>
    <t>09822e36750009e126ea4af9a37530a5</t>
  </si>
  <si>
    <t>BN1424_S2_L001_I2_001.fastq.gz</t>
  </si>
  <si>
    <t>ac3a67a33cfd0574a2e0d7a11dd456c5</t>
  </si>
  <si>
    <t>BN1424_S2_L001_R1_001.fastq.gz</t>
  </si>
  <si>
    <t>5ed09fcefd87d070528086c9f2ecfc55</t>
  </si>
  <si>
    <t>BN1424_S2_L001_R2_001.fastq.gz</t>
  </si>
  <si>
    <t>e4d3e755abff8e25f99d32080f46eb83</t>
  </si>
  <si>
    <t>BN1424_S2_L002_I1_001.fastq.gz</t>
  </si>
  <si>
    <t>bba92a49a259a52e538dea6a3e9b4437</t>
  </si>
  <si>
    <t>BN1424_S2_L002_I2_001.fastq.gz</t>
  </si>
  <si>
    <t>0092ae5b0c10810f9f8f7006d303fe66</t>
  </si>
  <si>
    <t>BN1424_S2_L002_R1_001.fastq.gz</t>
  </si>
  <si>
    <t>3898d59fea80c6fdd45dc1aec075d7ed</t>
  </si>
  <si>
    <t>BN1424_S2_L002_R2_001.fastq.gz</t>
  </si>
  <si>
    <t>638343212dfcbe36b72f7a47fd96577c</t>
  </si>
  <si>
    <t>BN1424_S2_L003_I1_001.fastq.gz</t>
  </si>
  <si>
    <t>c4cbd4dabedd6c206e3e4df3fe8b230d</t>
  </si>
  <si>
    <t>BN1424_S2_L003_I2_001.fastq.gz</t>
  </si>
  <si>
    <t>cacdbcb0d087ddf9d6847d5b31636dd1</t>
  </si>
  <si>
    <t>BN1424_S2_L003_R1_001.fastq.gz</t>
  </si>
  <si>
    <t>763d27abd836ed9c96e8aa9c5766e0d0</t>
  </si>
  <si>
    <t>BN1424_S2_L003_R2_001.fastq.gz</t>
  </si>
  <si>
    <t>ca7830bbeff2babb083dee97c3f2b155</t>
  </si>
  <si>
    <t>BN1424_S2_L004_I1_001.fastq.gz</t>
  </si>
  <si>
    <t>71125bad897abf10f0ed652598b6d4c9</t>
  </si>
  <si>
    <t>BN1424_S2_L004_I2_001.fastq.gz</t>
  </si>
  <si>
    <t>8ad4ae0fb943cd49f7b3b3b64235a4ce</t>
  </si>
  <si>
    <t>BN1424_S2_L004_R1_001.fastq.gz</t>
  </si>
  <si>
    <t>e4d67fb147e7a932769f8123f1b10368</t>
  </si>
  <si>
    <t>BN1424_S2_L004_R2_001.fastq.gz</t>
  </si>
  <si>
    <t>d8e2900c07169f7e17629aac10f1a045</t>
  </si>
  <si>
    <t>BN1554_S3_L001_I1_001.fastq.gz</t>
  </si>
  <si>
    <t>5f7c7938dcec48150ec2b5ecea107848</t>
  </si>
  <si>
    <t>BN1554_S3_L001_I2_001.fastq.gz</t>
  </si>
  <si>
    <t>21a20706d80d22a2b2d25be805a3a132</t>
  </si>
  <si>
    <t>BN1554_S3_L001_R1_001.fastq.gz</t>
  </si>
  <si>
    <t>854fc1f0e702116158db9bd6691e7755</t>
  </si>
  <si>
    <t>BN1554_S3_L001_R2_001.fastq.gz</t>
  </si>
  <si>
    <t>9922236c0a4f6005d46fde7a9d6b8309</t>
  </si>
  <si>
    <t>BN1554_S3_L002_I1_001.fastq.gz</t>
  </si>
  <si>
    <t>5b5765af584ff706055225b3b7ba595c</t>
  </si>
  <si>
    <t>BN1554_S3_L002_I2_001.fastq.gz</t>
  </si>
  <si>
    <t>0d234e3c902c0b9acb33be5e5cc8b996</t>
  </si>
  <si>
    <t>BN1554_S3_L002_R1_001.fastq.gz</t>
  </si>
  <si>
    <t>da13ff0c6a163d7687433dd78d8744c8</t>
  </si>
  <si>
    <t>BN1554_S3_L002_R2_001.fastq.gz</t>
  </si>
  <si>
    <t>75d4103661337cd89b594c06447f3686</t>
  </si>
  <si>
    <t>BN1554_S3_L003_I1_001.fastq.gz</t>
  </si>
  <si>
    <t>5a817ad5df3e68b3f9628fe2808d5ba5</t>
  </si>
  <si>
    <t>BN1554_S3_L003_I2_001.fastq.gz</t>
  </si>
  <si>
    <t>6c11325fcd812e5982aa7b7a171862d8</t>
  </si>
  <si>
    <t>BN1554_S3_L003_R1_001.fastq.gz</t>
  </si>
  <si>
    <t>78f4fac515549a1844989bb4b44df48c</t>
  </si>
  <si>
    <t>BN1554_S3_L003_R2_001.fastq.gz</t>
  </si>
  <si>
    <t>2073cb89c613f240a7af0a119050c845</t>
  </si>
  <si>
    <t>BN1554_S3_L004_I1_001.fastq.gz</t>
  </si>
  <si>
    <t>1955c10becc03e84ca53838100413725</t>
  </si>
  <si>
    <t>BN1554_S3_L004_I2_001.fastq.gz</t>
  </si>
  <si>
    <t>109f0f8d337dfbb8b5276251e1eabdfd</t>
  </si>
  <si>
    <t>BN1554_S3_L004_R1_001.fastq.gz</t>
  </si>
  <si>
    <t>0f90734a0547100e1038d744a886222e</t>
  </si>
  <si>
    <t>BN1554_S3_L004_R2_001.fastq.gz</t>
  </si>
  <si>
    <t>9fbea313f4285d627e982c8987794a5e</t>
  </si>
  <si>
    <t>BN1221_S1_L001_I1_001.fastq.gz</t>
  </si>
  <si>
    <t>6e099edf326fcad0eed2b0e4280ea34d</t>
  </si>
  <si>
    <t>BN1221_S1_L001_I2_001.fastq.gz</t>
  </si>
  <si>
    <t>57f09b99915701fded39ea07f82c206e</t>
  </si>
  <si>
    <t>BN1221_S1_L001_R1_001.fastq.gz</t>
  </si>
  <si>
    <t>4e75ed0b68f76eca6cde08b27596d827</t>
  </si>
  <si>
    <t>BN1221_S1_L001_R2_001.fastq.gz</t>
  </si>
  <si>
    <t>696bf4442b182ecbca778ed3741f6594</t>
  </si>
  <si>
    <t>BN1221_S1_L002_I1_001.fastq.gz</t>
  </si>
  <si>
    <t>2bb4d7b62bd672c6e18500d77b2fe081</t>
  </si>
  <si>
    <t>BN1221_S1_L002_I2_001.fastq.gz</t>
  </si>
  <si>
    <t>ec24b3095bd2ebbc0d01dde9eaadfa25</t>
  </si>
  <si>
    <t>BN1221_S1_L002_R1_001.fastq.gz</t>
  </si>
  <si>
    <t>5ce00f9ee8dd6f3cf7b4aa879667715c</t>
  </si>
  <si>
    <t>BN1221_S1_L002_R2_001.fastq.gz</t>
  </si>
  <si>
    <t>57143f3f867944c98634332a1a991eac</t>
  </si>
  <si>
    <t>BN1221_S1_L003_I1_001.fastq.gz</t>
  </si>
  <si>
    <t>5d5068d5677aa1a568d3b98f363dedbb</t>
  </si>
  <si>
    <t>BN1221_S1_L003_I2_001.fastq.gz</t>
  </si>
  <si>
    <t>b65e84010dcd5d495d4988f5a3aa936d</t>
  </si>
  <si>
    <t>BN1221_S1_L003_R1_001.fastq.gz</t>
  </si>
  <si>
    <t>a788f7acf22be112478a87506b66fe0f</t>
  </si>
  <si>
    <t>BN1221_S1_L003_R2_001.fastq.gz</t>
  </si>
  <si>
    <t>40900a9a7f23e8075d0362d9d565718e</t>
  </si>
  <si>
    <t>BN1221_S1_L004_I1_001.fastq.gz</t>
  </si>
  <si>
    <t>e339fbc7b327bdb6a5ac078b07eb8f95</t>
  </si>
  <si>
    <t>BN1221_S1_L004_I2_001.fastq.gz</t>
  </si>
  <si>
    <t>80f83355c28d19d284792f8c9fb1a190</t>
  </si>
  <si>
    <t>BN1221_S1_L004_R1_001.fastq.gz</t>
  </si>
  <si>
    <t>dbfcb57f6f74f9e059da30e1b4976606</t>
  </si>
  <si>
    <t>BN1221_S1_L004_R2_001.fastq.gz</t>
  </si>
  <si>
    <t>cce1bf5108b7480de210a539ebd2d4cc</t>
  </si>
  <si>
    <t>BN1535_S3_L001_I1_001.fastq.gz</t>
  </si>
  <si>
    <t>8ed67bb5b285534df96753581c2602cd</t>
  </si>
  <si>
    <t>BN1535_S3_L001_I2_001.fastq.gz</t>
  </si>
  <si>
    <t>39e973b532768228b7898673c9f4ca22</t>
  </si>
  <si>
    <t>BN1535_S3_L001_R1_001.fastq.gz</t>
  </si>
  <si>
    <t>d5fe4ccfb3a0b9f6ab9f4203d683c79a</t>
  </si>
  <si>
    <t>BN1535_S3_L001_R2_001.fastq.gz</t>
  </si>
  <si>
    <t>a984e87083da53e69fe65dc9de303886</t>
  </si>
  <si>
    <t>BN1535_S3_L002_I1_001.fastq.gz</t>
  </si>
  <si>
    <t>8295d9fa68b6293f4c7ee1daf133ccc8</t>
  </si>
  <si>
    <t>BN1535_S3_L002_I2_001.fastq.gz</t>
  </si>
  <si>
    <t>a3f0d9402cab10c6f31d5b80970703b2</t>
  </si>
  <si>
    <t>BN1535_S3_L002_R1_001.fastq.gz</t>
  </si>
  <si>
    <t>ee67bc6d3f9d43b892bfd462bfc2de72</t>
  </si>
  <si>
    <t>BN1535_S3_L002_R2_001.fastq.gz</t>
  </si>
  <si>
    <t>1f3dc3a88f8ea5c4f2e1149fafe1908b</t>
  </si>
  <si>
    <t>BN1535_S3_L003_I1_001.fastq.gz</t>
  </si>
  <si>
    <t>712b243b0f1ec22ae7d0e7fb6fc62ed9</t>
  </si>
  <si>
    <t>BN1535_S3_L003_I2_001.fastq.gz</t>
  </si>
  <si>
    <t>48bdb93bcffff0665fbabf5868ef328e</t>
  </si>
  <si>
    <t>BN1535_S3_L003_R1_001.fastq.gz</t>
  </si>
  <si>
    <t>5f1f90efeab02b80abb43f82341fe84f</t>
  </si>
  <si>
    <t>BN1535_S3_L003_R2_001.fastq.gz</t>
  </si>
  <si>
    <t>886debeb1c20b377176234759ac941cc</t>
  </si>
  <si>
    <t>BN1535_S3_L004_I1_001.fastq.gz</t>
  </si>
  <si>
    <t>3f1118f5810b360a34759350e3529356</t>
  </si>
  <si>
    <t>BN1535_S3_L004_I2_001.fastq.gz</t>
  </si>
  <si>
    <t>ea9f036e5e6efd9052a5452c8e2c76e7</t>
  </si>
  <si>
    <t>BN1535_S3_L004_R1_001.fastq.gz</t>
  </si>
  <si>
    <t>3ad0acb99ee4d0f1d1572e73f8ce1a96</t>
  </si>
  <si>
    <t>BN1535_S3_L004_R2_001.fastq.gz</t>
  </si>
  <si>
    <t>7ce7c6bda0f73b2e16ee7846d98db3d9</t>
  </si>
  <si>
    <t>BN1614_S2_L001_I1_001.fastq.gz</t>
  </si>
  <si>
    <t>fc08148bbba4cab74428377e10913b42</t>
  </si>
  <si>
    <t>BN1614_S2_L001_I2_001.fastq.gz</t>
  </si>
  <si>
    <t>bf869afc2a0ca8adccfdc2b6c3d3d7f8</t>
  </si>
  <si>
    <t>BN1614_S2_L001_R1_001.fastq.gz</t>
  </si>
  <si>
    <t>4d7f29036ffa41f51d97d97ca9369f88</t>
  </si>
  <si>
    <t>BN1614_S2_L001_R2_001.fastq.gz</t>
  </si>
  <si>
    <t>4825c710d7afac1f5ac10bca018f2ef1</t>
  </si>
  <si>
    <t>BN1614_S2_L002_I1_001.fastq.gz</t>
  </si>
  <si>
    <t>2dc87df928818ebc72a7a88df87f84e5</t>
  </si>
  <si>
    <t>BN1614_S2_L002_I2_001.fastq.gz</t>
  </si>
  <si>
    <t>ca8be62cf05fe4f615d3041ee71c99d7</t>
  </si>
  <si>
    <t>BN1614_S2_L002_R1_001.fastq.gz</t>
  </si>
  <si>
    <t>7af3768c411ee9bea3180f631278605e</t>
  </si>
  <si>
    <t>BN1614_S2_L002_R2_001.fastq.gz</t>
  </si>
  <si>
    <t>1422cb09c915d40a8b8f8513bee7b81c</t>
  </si>
  <si>
    <t>BN1614_S2_L003_I1_001.fastq.gz</t>
  </si>
  <si>
    <t>fbc492bc23ca8aa54a7256c2ed9038d2</t>
  </si>
  <si>
    <t>BN1614_S2_L003_I2_001.fastq.gz</t>
  </si>
  <si>
    <t>5705d216d16ae4398460e66867ee8bf4</t>
  </si>
  <si>
    <t>BN1614_S2_L003_R1_001.fastq.gz</t>
  </si>
  <si>
    <t>ba4ddd86feccd3ea0d13d9887a8c6e0e</t>
  </si>
  <si>
    <t>BN1614_S2_L003_R2_001.fastq.gz</t>
  </si>
  <si>
    <t>4fd4f4a6e4a7d198a3eaccb1e65e416a</t>
  </si>
  <si>
    <t>BN1614_S2_L004_I1_001.fastq.gz</t>
  </si>
  <si>
    <t>220f93d94b404c3af6aa5d3df0c6375c</t>
  </si>
  <si>
    <t>BN1614_S2_L004_I2_001.fastq.gz</t>
  </si>
  <si>
    <t>4484f5d75b50525621a1d03e90556f32</t>
  </si>
  <si>
    <t>BN1614_S2_L004_R1_001.fastq.gz</t>
  </si>
  <si>
    <t>e314686b70c5b277bc5562946b011dfa</t>
  </si>
  <si>
    <t>BN1614_S2_L004_R2_001.fastq.gz</t>
  </si>
  <si>
    <t>ea9a22f8b0e5afa3538e0daed08e22c5</t>
  </si>
  <si>
    <t>BN1340_S2_L001_I1_001.fastq.gz</t>
  </si>
  <si>
    <t>7923d23cb223580eeced21c96487d0c0</t>
  </si>
  <si>
    <t>BN1340_S2_L001_I2_001.fastq.gz</t>
  </si>
  <si>
    <t>8222a29514cc5e17fbcee1a119c83ba4</t>
  </si>
  <si>
    <t>BN1340_S2_L001_R1_001.fastq.gz</t>
  </si>
  <si>
    <t>fbe53bea5ae0d2a17473c17de0ed1af4</t>
  </si>
  <si>
    <t>BN1340_S2_L001_R2_001.fastq.gz</t>
  </si>
  <si>
    <t>bf0ad947a83acba23c1ca51350c5d004</t>
  </si>
  <si>
    <t>BN1340_S2_L002_I1_001.fastq.gz</t>
  </si>
  <si>
    <t>16086ac1eb187d70a4b34bd3282b60d2</t>
  </si>
  <si>
    <t>BN1340_S2_L002_I2_001.fastq.gz</t>
  </si>
  <si>
    <t>96492ccdbeffd3f470a11f81c6cb0aec</t>
  </si>
  <si>
    <t>BN1340_S2_L002_R1_001.fastq.gz</t>
  </si>
  <si>
    <t>67f810603e45751108b3facfa7e096d2</t>
  </si>
  <si>
    <t>BN1340_S2_L002_R2_001.fastq.gz</t>
  </si>
  <si>
    <t>cdaafa1416688e940a30295258c2110e</t>
  </si>
  <si>
    <t>BN1340_S2_L003_I1_001.fastq.gz</t>
  </si>
  <si>
    <t>0d6f1e3ff371f1caeee5af68e308d2ed</t>
  </si>
  <si>
    <t>BN1340_S2_L003_I2_001.fastq.gz</t>
  </si>
  <si>
    <t>37843414571d1c45b8398e9318a08657</t>
  </si>
  <si>
    <t>BN1340_S2_L003_R1_001.fastq.gz</t>
  </si>
  <si>
    <t>d47d2786c5f697a489abcdefff0de6b4</t>
  </si>
  <si>
    <t>BN1340_S2_L003_R2_001.fastq.gz</t>
  </si>
  <si>
    <t>a1a05bd98fc27295af1c26e39ba05db6</t>
  </si>
  <si>
    <t>BN1340_S2_L004_I1_001.fastq.gz</t>
  </si>
  <si>
    <t>35b4ea07426ac0134b1458dc4984a355</t>
  </si>
  <si>
    <t>BN1340_S2_L004_I2_001.fastq.gz</t>
  </si>
  <si>
    <t>f883233dec6aec9c891b3cec3a53b26b</t>
  </si>
  <si>
    <t>BN1340_S2_L004_R1_001.fastq.gz</t>
  </si>
  <si>
    <t>f3155109f0844e9216c04626c187f96f</t>
  </si>
  <si>
    <t>BN1340_S2_L004_R2_001.fastq.gz</t>
  </si>
  <si>
    <t>726e4f3a80269314e8afe53e20ab68f2</t>
  </si>
  <si>
    <t>BN1567_S1_L001_I1_001.fastq.gz</t>
  </si>
  <si>
    <t>02d30c9ee118b8d5b0924b43f2b07f07</t>
  </si>
  <si>
    <t>BN1567_S1_L001_I2_001.fastq.gz</t>
  </si>
  <si>
    <t>938d94fdc5fac40fa6608490d04b7398</t>
  </si>
  <si>
    <t>BN1567_S1_L001_R1_001.fastq.gz</t>
  </si>
  <si>
    <t>6e65312352250d0d28db77ec75b18ad0</t>
  </si>
  <si>
    <t>BN1567_S1_L001_R2_001.fastq.gz</t>
  </si>
  <si>
    <t>424b89f2cb14918e5851727eb46ef21f</t>
  </si>
  <si>
    <t>BN1567_S1_L002_I1_001.fastq.gz</t>
  </si>
  <si>
    <t>6d5ae869f75dd155ca8fdceab28693d4</t>
  </si>
  <si>
    <t>BN1567_S1_L002_I2_001.fastq.gz</t>
  </si>
  <si>
    <t>030993a1a7e78567ee4dd4a362b1365c</t>
  </si>
  <si>
    <t>BN1567_S1_L002_R1_001.fastq.gz</t>
  </si>
  <si>
    <t>6191677300d77903ba16236717f806a0</t>
  </si>
  <si>
    <t>BN1567_S1_L002_R2_001.fastq.gz</t>
  </si>
  <si>
    <t>34e798a09647555a306c25711379949e</t>
  </si>
  <si>
    <t>BN1567_S1_L003_I1_001.fastq.gz</t>
  </si>
  <si>
    <t>8fb15734fe3387468a84a547f5bfd379</t>
  </si>
  <si>
    <t>BN1567_S1_L003_I2_001.fastq.gz</t>
  </si>
  <si>
    <t>89039f44e2ee89bb30429dde8df88584</t>
  </si>
  <si>
    <t>BN1567_S1_L003_R1_001.fastq.gz</t>
  </si>
  <si>
    <t>c64c9a797a329727c88307d33b90813f</t>
  </si>
  <si>
    <t>BN1567_S1_L003_R2_001.fastq.gz</t>
  </si>
  <si>
    <t>b7afe4c622f78c3cee081f6aaab46cbd</t>
  </si>
  <si>
    <t>BN1567_S1_L004_I1_001.fastq.gz</t>
  </si>
  <si>
    <t>ba276a2a358f463c98cf98b6f680edb5</t>
  </si>
  <si>
    <t>BN1567_S1_L004_I2_001.fastq.gz</t>
  </si>
  <si>
    <t>24e730fb7e03870a82b1d77c83bdf27d</t>
  </si>
  <si>
    <t>BN1567_S1_L004_R1_001.fastq.gz</t>
  </si>
  <si>
    <t>7f383b1172d0fe0ba8365d9ded4d4e0d</t>
  </si>
  <si>
    <t>BN1567_S1_L004_R2_001.fastq.gz</t>
  </si>
  <si>
    <t>3a7e468b9488493cdac3ec2a891b8599</t>
  </si>
  <si>
    <t>BN1644_S3_L001_I1_001.fastq.gz</t>
  </si>
  <si>
    <t>f5a50a83cc44831b64f815b8a78eb022</t>
  </si>
  <si>
    <t>BN1644_S3_L001_I2_001.fastq.gz</t>
  </si>
  <si>
    <t>9f7430aeb4211cf12e6060b1234c0c4a</t>
  </si>
  <si>
    <t>BN1644_S3_L001_R1_001.fastq.gz</t>
  </si>
  <si>
    <t>35bfa9780e43c706936a4bb7d2bbfe81</t>
  </si>
  <si>
    <t>BN1644_S3_L001_R2_001.fastq.gz</t>
  </si>
  <si>
    <t>fa6591274cb90e15ddffea683aef191d</t>
  </si>
  <si>
    <t>BN1644_S3_L002_I1_001.fastq.gz</t>
  </si>
  <si>
    <t>9a93ff878770967845fa5dbac77edcf0</t>
  </si>
  <si>
    <t>BN1644_S3_L002_I2_001.fastq.gz</t>
  </si>
  <si>
    <t>175025f7f0bf8cc4d87a6af8e0dec4bf</t>
  </si>
  <si>
    <t>BN1644_S3_L002_R1_001.fastq.gz</t>
  </si>
  <si>
    <t>15a25f8190dcb63de694aae918074340</t>
  </si>
  <si>
    <t>BN1644_S3_L002_R2_001.fastq.gz</t>
  </si>
  <si>
    <t>e7ea66f439eb07fcd41bd084856ef466</t>
  </si>
  <si>
    <t>BN1644_S3_L003_I1_001.fastq.gz</t>
  </si>
  <si>
    <t>2ab47ee1e397697356ca0e88e2f2e50e</t>
  </si>
  <si>
    <t>BN1644_S3_L003_I2_001.fastq.gz</t>
  </si>
  <si>
    <t>0247f9a6c897b916b3b313cfbb9ae995</t>
  </si>
  <si>
    <t>BN1644_S3_L003_R1_001.fastq.gz</t>
  </si>
  <si>
    <t>0c334d3740fbd63654634cabbbe12e8e</t>
  </si>
  <si>
    <t>BN1644_S3_L003_R2_001.fastq.gz</t>
  </si>
  <si>
    <t>8967aaf8baf593a2bf43077262087bce</t>
  </si>
  <si>
    <t>BN1644_S3_L004_I1_001.fastq.gz</t>
  </si>
  <si>
    <t>b5b684904101f1ac5d7bc88ad23e603c</t>
  </si>
  <si>
    <t>BN1644_S3_L004_I2_001.fastq.gz</t>
  </si>
  <si>
    <t>fb91dd9b14a6621df2179c35fc6ae789</t>
  </si>
  <si>
    <t>BN1644_S3_L004_R1_001.fastq.gz</t>
  </si>
  <si>
    <t>95e0e112a0fad1c314bab03cbe64f3c7</t>
  </si>
  <si>
    <t>BN1644_S3_L004_R2_001.fastq.gz</t>
  </si>
  <si>
    <t>fefdf182a20a2a0c19131ee3f8cf6f4b</t>
  </si>
  <si>
    <t>BN1206_S2_L001_I1_001.fastq.gz</t>
  </si>
  <si>
    <t>0bf242a9934ebd4cbaff9c00a5b30477</t>
  </si>
  <si>
    <t>BN1206_S2_L001_I2_001.fastq.gz</t>
  </si>
  <si>
    <t>29e6cf225583871c382ec0eb2985d49f</t>
  </si>
  <si>
    <t>BN1206_S2_L001_R1_001.fastq.gz</t>
  </si>
  <si>
    <t>e9e89cbf910a00880d57feb7ae5fb677</t>
  </si>
  <si>
    <t>BN1206_S2_L001_R2_001.fastq.gz</t>
  </si>
  <si>
    <t>3212cc4eb1c1964ee6a75f6a2be89c82</t>
  </si>
  <si>
    <t>BN1206_S2_L002_I1_001.fastq.gz</t>
  </si>
  <si>
    <t>88b57029d90c192524c9a87244d95c5c</t>
  </si>
  <si>
    <t>BN1206_S2_L002_I2_001.fastq.gz</t>
  </si>
  <si>
    <t>7ad52475266fcec282f03ec8937ae662</t>
  </si>
  <si>
    <t>BN1206_S2_L002_R1_001.fastq.gz</t>
  </si>
  <si>
    <t>0ca9e16eb98f68a4840865320f0aec38</t>
  </si>
  <si>
    <t>BN1206_S2_L002_R2_001.fastq.gz</t>
  </si>
  <si>
    <t>cdced9faa928e6b31a0c8b89cf4d8765</t>
  </si>
  <si>
    <t>BN1206_S2_L003_I1_001.fastq.gz</t>
  </si>
  <si>
    <t>cc29349c7fd8a11acef48f071073aa33</t>
  </si>
  <si>
    <t>BN1206_S2_L003_I2_001.fastq.gz</t>
  </si>
  <si>
    <t>5becf55737cad6eedf8450a58a9b45df</t>
  </si>
  <si>
    <t>BN1206_S2_L003_R1_001.fastq.gz</t>
  </si>
  <si>
    <t>9b3a0346ab8dcff7a06a65e45d88b97b</t>
  </si>
  <si>
    <t>BN1206_S2_L003_R2_001.fastq.gz</t>
  </si>
  <si>
    <t>290d16b1edaa30161326ef9051643916</t>
  </si>
  <si>
    <t>BN1206_S2_L004_I1_001.fastq.gz</t>
  </si>
  <si>
    <t>18dee11d61c1cf7d1ea96f1d3d4259bf</t>
  </si>
  <si>
    <t>BN1206_S2_L004_I2_001.fastq.gz</t>
  </si>
  <si>
    <t>58ca6705c7353c33e3082361186fd36f</t>
  </si>
  <si>
    <t>BN1206_S2_L004_R1_001.fastq.gz</t>
  </si>
  <si>
    <t>2f8f0e548c2cd9f2e369e2ee5369d9ac</t>
  </si>
  <si>
    <t>BN1206_S2_L004_R2_001.fastq.gz</t>
  </si>
  <si>
    <t>4ce2faa5c9542cb237ebcfb013150a16</t>
  </si>
  <si>
    <t>BN1585_S1_L001_I1_001.fastq.gz</t>
  </si>
  <si>
    <t>2f149c5ded5bdf875019746bcc6878d3</t>
  </si>
  <si>
    <t>BN1585_S1_L001_I2_001.fastq.gz</t>
  </si>
  <si>
    <t>db1dd1551206ee58d05c71e6f134c128</t>
  </si>
  <si>
    <t>BN1585_S1_L001_R1_001.fastq.gz</t>
  </si>
  <si>
    <t>7e95a495077d1abc259c87bf260bb3fa</t>
  </si>
  <si>
    <t>BN1585_S1_L001_R2_001.fastq.gz</t>
  </si>
  <si>
    <t>add629c217bd35cb83f2aa0108beab51</t>
  </si>
  <si>
    <t>BN1585_S1_L002_I1_001.fastq.gz</t>
  </si>
  <si>
    <t>2d338152cc80f8ddd2e3e03ee4dcee7e</t>
  </si>
  <si>
    <t>BN1585_S1_L002_I2_001.fastq.gz</t>
  </si>
  <si>
    <t>f4e9d10aae71ebf0ea6d89a69186d5c8</t>
  </si>
  <si>
    <t>BN1585_S1_L002_R1_001.fastq.gz</t>
  </si>
  <si>
    <t>990c47e2f797c6e077d15df86c423c01</t>
  </si>
  <si>
    <t>BN1585_S1_L002_R2_001.fastq.gz</t>
  </si>
  <si>
    <t>ca81c32d33d1e56005b677775b9813d0</t>
  </si>
  <si>
    <t>BN1585_S1_L003_I1_001.fastq.gz</t>
  </si>
  <si>
    <t>4e8b729af5723f4c3658ff87d196827e</t>
  </si>
  <si>
    <t>BN1585_S1_L003_I2_001.fastq.gz</t>
  </si>
  <si>
    <t>377ed3400757ede98a85b0f932369fe1</t>
  </si>
  <si>
    <t>BN1585_S1_L003_R1_001.fastq.gz</t>
  </si>
  <si>
    <t>76d30b63937564923d2328e39dc4919a</t>
  </si>
  <si>
    <t>BN1585_S1_L003_R2_001.fastq.gz</t>
  </si>
  <si>
    <t>ad735f5eecbcf9e939e239e2f3e4ecc0</t>
  </si>
  <si>
    <t>BN1585_S1_L004_I1_001.fastq.gz</t>
  </si>
  <si>
    <t>0a874d6fb65626db56a108d7f4adb3ca</t>
  </si>
  <si>
    <t>BN1585_S1_L004_I2_001.fastq.gz</t>
  </si>
  <si>
    <t>b5f795a57ec9f53fe8d3b81d2aaea937</t>
  </si>
  <si>
    <t>BN1585_S1_L004_R1_001.fastq.gz</t>
  </si>
  <si>
    <t>6cc07966fb121ed11d37750b0f63e24d</t>
  </si>
  <si>
    <t>BN1585_S1_L004_R2_001.fastq.gz</t>
  </si>
  <si>
    <t>fc91cffc6bf41a27db950adbe7d2480b</t>
  </si>
  <si>
    <t>BN1747_S3_L001_I1_001.fastq.gz</t>
  </si>
  <si>
    <t>7ce5675d041c82537855241dcfc934b7</t>
  </si>
  <si>
    <t>BN1747_S3_L001_I2_001.fastq.gz</t>
  </si>
  <si>
    <t>de76be1691f617ab689e17bbc9eee4d5</t>
  </si>
  <si>
    <t>BN1747_S3_L001_R1_001.fastq.gz</t>
  </si>
  <si>
    <t>c7e919da458dd0b1f3ed33fcc58d6c13</t>
  </si>
  <si>
    <t>BN1747_S3_L001_R2_001.fastq.gz</t>
  </si>
  <si>
    <t>c10ab905c80a8b771ef403b7fc822039</t>
  </si>
  <si>
    <t>BN1747_S3_L002_I1_001.fastq.gz</t>
  </si>
  <si>
    <t>5df44d391f83c9ab8c1e6b4f0f33d1ce</t>
  </si>
  <si>
    <t>BN1747_S3_L002_I2_001.fastq.gz</t>
  </si>
  <si>
    <t>61b046c57607e7982b1749dbc327530c</t>
  </si>
  <si>
    <t>BN1747_S3_L002_R1_001.fastq.gz</t>
  </si>
  <si>
    <t>253782ad379b0675880fe154d2d7fb93</t>
  </si>
  <si>
    <t>BN1747_S3_L002_R2_001.fastq.gz</t>
  </si>
  <si>
    <t>09fd619392c0336c18e18ae9753ea232</t>
  </si>
  <si>
    <t>BN1747_S3_L003_I1_001.fastq.gz</t>
  </si>
  <si>
    <t>59ba7fbeb29b05c458b486ca6b598481</t>
  </si>
  <si>
    <t>BN1747_S3_L003_I2_001.fastq.gz</t>
  </si>
  <si>
    <t>d28ded373b762d3cc6235865aa8e7ba9</t>
  </si>
  <si>
    <t>BN1747_S3_L003_R1_001.fastq.gz</t>
  </si>
  <si>
    <t>014a244b720fe0a10c443f9703e9a204</t>
  </si>
  <si>
    <t>BN1747_S3_L003_R2_001.fastq.gz</t>
  </si>
  <si>
    <t>02bf2d8b167ca6c6784513d9bc3bcb2f</t>
  </si>
  <si>
    <t>BN1747_S3_L004_I1_001.fastq.gz</t>
  </si>
  <si>
    <t>84317b7e5ea32a97b49c840afb57acd8</t>
  </si>
  <si>
    <t>BN1747_S3_L004_I2_001.fastq.gz</t>
  </si>
  <si>
    <t>7524f1fd493518a97d7adfb30f0e2aeb</t>
  </si>
  <si>
    <t>BN1747_S3_L004_R1_001.fastq.gz</t>
  </si>
  <si>
    <t>9d1a3c388df3041e9817c64713ae2416</t>
  </si>
  <si>
    <t>BN1747_S3_L004_R2_001.fastq.gz</t>
  </si>
  <si>
    <t>70d603667c2cf3f89150c2262788fcdc</t>
  </si>
  <si>
    <t>BN1430_S2_L001_I1_001.fastq.gz</t>
  </si>
  <si>
    <t>3239a96b997f7f3024e0990ae3191732</t>
  </si>
  <si>
    <t>BN1430_S2_L001_I2_001.fastq.gz</t>
  </si>
  <si>
    <t>2376d34503bace57f856d1d343636741</t>
  </si>
  <si>
    <t>BN1430_S2_L001_R1_001.fastq.gz</t>
  </si>
  <si>
    <t>5e5574c159b5327a4c418eb7b2117688</t>
  </si>
  <si>
    <t>BN1430_S2_L001_R2_001.fastq.gz</t>
  </si>
  <si>
    <t>7baaeaf1c0a9062cb51ff73a9b2c753b</t>
  </si>
  <si>
    <t>BN1430_S2_L002_I1_001.fastq.gz</t>
  </si>
  <si>
    <t>e66963df5ff1470bd43a359ca6aa4394</t>
  </si>
  <si>
    <t>BN1430_S2_L002_I2_001.fastq.gz</t>
  </si>
  <si>
    <t>9345d2cdad560eb3b0d17e403e1d075b</t>
  </si>
  <si>
    <t>BN1430_S2_L002_R1_001.fastq.gz</t>
  </si>
  <si>
    <t>d8694650530007207d1079bae0200ba6</t>
  </si>
  <si>
    <t>BN1430_S2_L002_R2_001.fastq.gz</t>
  </si>
  <si>
    <t>6fc14b55e93bc7dd0539634751858377</t>
  </si>
  <si>
    <t>BN1430_S2_L003_I1_001.fastq.gz</t>
  </si>
  <si>
    <t>e461d667b4118f487c3f7bdea3de53bf</t>
  </si>
  <si>
    <t>BN1430_S2_L003_I2_001.fastq.gz</t>
  </si>
  <si>
    <t>37abd41309899ed6db50fc80892dca50</t>
  </si>
  <si>
    <t>BN1430_S2_L003_R1_001.fastq.gz</t>
  </si>
  <si>
    <t>12fc07b1d3209c10dd6f88ea21b6f16c</t>
  </si>
  <si>
    <t>BN1430_S2_L003_R2_001.fastq.gz</t>
  </si>
  <si>
    <t>17ac4f855113ad6dc3cbdbc98460da9a</t>
  </si>
  <si>
    <t>BN1430_S2_L004_I1_001.fastq.gz</t>
  </si>
  <si>
    <t>9e728a0f0edb436b0bec7e22b696b045</t>
  </si>
  <si>
    <t>BN1430_S2_L004_I2_001.fastq.gz</t>
  </si>
  <si>
    <t>e3e6faf3a856819f518f4709d5eedeec</t>
  </si>
  <si>
    <t>BN1430_S2_L004_R1_001.fastq.gz</t>
  </si>
  <si>
    <t>d412a457c1a322fd657d7d7f4b17eb26</t>
  </si>
  <si>
    <t>BN1430_S2_L004_R2_001.fastq.gz</t>
  </si>
  <si>
    <t>6e87dedbd02b6e01abee72a6eb7bb0ed</t>
  </si>
  <si>
    <t>BN1722_S1_L001_I1_001.fastq.gz</t>
  </si>
  <si>
    <t>5c1a81f5ada834bc33efe1581d1fda50</t>
  </si>
  <si>
    <t>BN1722_S1_L001_I2_001.fastq.gz</t>
  </si>
  <si>
    <t>9fc362b3aeccdb42bd27ab307d69b36d</t>
  </si>
  <si>
    <t>BN1722_S1_L001_R1_001.fastq.gz</t>
  </si>
  <si>
    <t>49e4a9f40cc40971f51865d6c8be6ecb</t>
  </si>
  <si>
    <t>BN1722_S1_L001_R2_001.fastq.gz</t>
  </si>
  <si>
    <t>9a6b371981febe54bd1e5960e48dc2e3</t>
  </si>
  <si>
    <t>BN1722_S1_L002_I1_001.fastq.gz</t>
  </si>
  <si>
    <t>1c387831cef9741f2fb841ce2a2f0d53</t>
  </si>
  <si>
    <t>BN1722_S1_L002_I2_001.fastq.gz</t>
  </si>
  <si>
    <t>bec22c9e31b4e11872bc9d0089e86296</t>
  </si>
  <si>
    <t>BN1722_S1_L002_R1_001.fastq.gz</t>
  </si>
  <si>
    <t>805dceb403261f7d18322cecd7c3c7a3</t>
  </si>
  <si>
    <t>BN1722_S1_L002_R2_001.fastq.gz</t>
  </si>
  <si>
    <t>1eca53606dd83d5e8d56cc4d6464173e</t>
  </si>
  <si>
    <t>BN1722_S1_L003_I1_001.fastq.gz</t>
  </si>
  <si>
    <t>cff0ad7a290452aa6105609a69efd624</t>
  </si>
  <si>
    <t>BN1722_S1_L003_I2_001.fastq.gz</t>
  </si>
  <si>
    <t>053dd668f501b94dadf616ffacfc14ec</t>
  </si>
  <si>
    <t>BN1722_S1_L003_R1_001.fastq.gz</t>
  </si>
  <si>
    <t>627fe65abde9b46eb1150b360493e56f</t>
  </si>
  <si>
    <t>BN1722_S1_L003_R2_001.fastq.gz</t>
  </si>
  <si>
    <t>ab070af4683b1ac40c1efe9760c8965d</t>
  </si>
  <si>
    <t>BN1722_S1_L004_I1_001.fastq.gz</t>
  </si>
  <si>
    <t>2b92b395f0a7204f311cc979efa144ec</t>
  </si>
  <si>
    <t>BN1722_S1_L004_I2_001.fastq.gz</t>
  </si>
  <si>
    <t>49dd08e895858d8a2c0de6912e771c93</t>
  </si>
  <si>
    <t>BN1722_S1_L004_R1_001.fastq.gz</t>
  </si>
  <si>
    <t>77a7162336bbab1ca3775ba5cfe65a37</t>
  </si>
  <si>
    <t>BN1722_S1_L004_R2_001.fastq.gz</t>
  </si>
  <si>
    <t>21690557b605230a2a6766cfcf251a55</t>
  </si>
  <si>
    <t>BN1749_S3_L001_I1_001.fastq.gz</t>
  </si>
  <si>
    <t>573aae448afda957fcc3da52c4734c26</t>
  </si>
  <si>
    <t>BN1749_S3_L001_I2_001.fastq.gz</t>
  </si>
  <si>
    <t>327ca0edff832059aed23e84174cbfc6</t>
  </si>
  <si>
    <t>BN1749_S3_L001_R1_001.fastq.gz</t>
  </si>
  <si>
    <t>1dddf44395766713e3dd382d239fbc7e</t>
  </si>
  <si>
    <t>BN1749_S3_L001_R2_001.fastq.gz</t>
  </si>
  <si>
    <t>272f05cfc3bf7a7d44ac5ddb4daa10ac</t>
  </si>
  <si>
    <t>BN1749_S3_L002_I1_001.fastq.gz</t>
  </si>
  <si>
    <t>a658f0faf23c36b7a13228677ed96871</t>
  </si>
  <si>
    <t>BN1749_S3_L002_I2_001.fastq.gz</t>
  </si>
  <si>
    <t>e77a4cf62c6a995db74ad61ec5a8ba6d</t>
  </si>
  <si>
    <t>BN1749_S3_L002_R1_001.fastq.gz</t>
  </si>
  <si>
    <t>0f8ab0fbe45cf454e0ed0352aa69c4ad</t>
  </si>
  <si>
    <t>BN1749_S3_L002_R2_001.fastq.gz</t>
  </si>
  <si>
    <t>d6746b19d12dc19db0fe01ca23634b84</t>
  </si>
  <si>
    <t>BN1749_S3_L003_I1_001.fastq.gz</t>
  </si>
  <si>
    <t>718f2e78e64eeb1171e16bb2b856beec</t>
  </si>
  <si>
    <t>BN1749_S3_L003_I2_001.fastq.gz</t>
  </si>
  <si>
    <t>4c473936fae59b69115036ae3f757856</t>
  </si>
  <si>
    <t>BN1749_S3_L003_R1_001.fastq.gz</t>
  </si>
  <si>
    <t>ff1960d5038f7083767e16d1eadb4595</t>
  </si>
  <si>
    <t>BN1749_S3_L003_R2_001.fastq.gz</t>
  </si>
  <si>
    <t>a01eb5a2f22486c9eb73549e425bb681</t>
  </si>
  <si>
    <t>BN1749_S3_L004_I1_001.fastq.gz</t>
  </si>
  <si>
    <t>f29b96a62d2676866cb5191fbde87f53</t>
  </si>
  <si>
    <t>BN1749_S3_L004_I2_001.fastq.gz</t>
  </si>
  <si>
    <t>a5e416386a05cadc1d8d766521f33bb8</t>
  </si>
  <si>
    <t>BN1749_S3_L004_R1_001.fastq.gz</t>
  </si>
  <si>
    <t>1ef4fd8f9148f22e3cbbbf22d1ef012b</t>
  </si>
  <si>
    <t>BN1749_S3_L004_R2_001.fastq.gz</t>
  </si>
  <si>
    <t>375c31ce171f4995108e14746f42453c</t>
  </si>
  <si>
    <t>BN1546_S2_L001_I1_001.fastq.gz</t>
  </si>
  <si>
    <t>89fa5cefb566138c87c88d788d3b137b</t>
  </si>
  <si>
    <t>BN1546_S2_L001_I2_001.fastq.gz</t>
  </si>
  <si>
    <t>e6b6813a335e00e3ad1756ad8b632df2</t>
  </si>
  <si>
    <t>BN1546_S2_L001_R1_001.fastq.gz</t>
  </si>
  <si>
    <t>abd5c060f362a3d6c8c339e90792c2b7</t>
  </si>
  <si>
    <t>BN1546_S2_L001_R2_001.fastq.gz</t>
  </si>
  <si>
    <t>e5b905dcd24ebe06f4cd4d240ad40f56</t>
  </si>
  <si>
    <t>BN1546_S2_L002_I1_001.fastq.gz</t>
  </si>
  <si>
    <t>625d511c6d031d48080e34b7df3c1b73</t>
  </si>
  <si>
    <t>BN1546_S2_L002_I2_001.fastq.gz</t>
  </si>
  <si>
    <t>3aaa7aea03f9c95175ad565d705d7a46</t>
  </si>
  <si>
    <t>BN1546_S2_L002_R1_001.fastq.gz</t>
  </si>
  <si>
    <t>19dd7dddbefa4232e373b25aa6ba50e0</t>
  </si>
  <si>
    <t>BN1546_S2_L002_R2_001.fastq.gz</t>
  </si>
  <si>
    <t>0ae4292c671f56e60fdc595279f7cc27</t>
  </si>
  <si>
    <t>BN1546_S2_L003_I1_001.fastq.gz</t>
  </si>
  <si>
    <t>d0c167c7b016cc7b708aa51c812e40a5</t>
  </si>
  <si>
    <t>BN1546_S2_L003_I2_001.fastq.gz</t>
  </si>
  <si>
    <t>3c96784db990c9b970c8f6c3f3c4a2bc</t>
  </si>
  <si>
    <t>BN1546_S2_L003_R1_001.fastq.gz</t>
  </si>
  <si>
    <t>a376b241cc20db09d29b7d656295be59</t>
  </si>
  <si>
    <t>BN1546_S2_L003_R2_001.fastq.gz</t>
  </si>
  <si>
    <t>f8144e4d58790b0a973ddd97ac0dac58</t>
  </si>
  <si>
    <t>BN1546_S2_L004_I1_001.fastq.gz</t>
  </si>
  <si>
    <t>6f005e8e05a67c0a00869205a249cf67</t>
  </si>
  <si>
    <t>BN1546_S2_L004_I2_001.fastq.gz</t>
  </si>
  <si>
    <t>743d542bfa32e9434b26c97cb51a9c67</t>
  </si>
  <si>
    <t>BN1546_S2_L004_R1_001.fastq.gz</t>
  </si>
  <si>
    <t>252c275a16f77e499b1421ce5e660805</t>
  </si>
  <si>
    <t>BN1546_S2_L004_R2_001.fastq.gz</t>
  </si>
  <si>
    <t>3253b0bebbd52faf72e483078cb09191</t>
  </si>
  <si>
    <t>BN1726_S1_L001_I1_001.fastq.gz</t>
  </si>
  <si>
    <t>e9dd32ef4d0c8872ae483343e288ab6d</t>
  </si>
  <si>
    <t>BN1726_S1_L001_I2_001.fastq.gz</t>
  </si>
  <si>
    <t>80f9329f89a86dc8b501f20004f83cad</t>
  </si>
  <si>
    <t>BN1726_S1_L001_R1_001.fastq.gz</t>
  </si>
  <si>
    <t>25bf8a1673d6d28e3dc70e6b090f0e23</t>
  </si>
  <si>
    <t>BN1726_S1_L001_R2_001.fastq.gz</t>
  </si>
  <si>
    <t>221e181d64972bd5c3f2656826340a1d</t>
  </si>
  <si>
    <t>BN1726_S1_L002_I1_001.fastq.gz</t>
  </si>
  <si>
    <t>c39bcfc4746a07ec1e923003d8a21631</t>
  </si>
  <si>
    <t>BN1726_S1_L002_I2_001.fastq.gz</t>
  </si>
  <si>
    <t>46cf137daccbf86a1127c4ccaa30de3c</t>
  </si>
  <si>
    <t>BN1726_S1_L002_R1_001.fastq.gz</t>
  </si>
  <si>
    <t>d19c9208b2d0e598654473330b150dc8</t>
  </si>
  <si>
    <t>BN1726_S1_L002_R2_001.fastq.gz</t>
  </si>
  <si>
    <t>0d4e49328faec2de3b591505dc6f3475</t>
  </si>
  <si>
    <t>BN1726_S1_L003_I1_001.fastq.gz</t>
  </si>
  <si>
    <t>d10a1230004cb7a85f0dbb5a7b5ee3f4</t>
  </si>
  <si>
    <t>BN1726_S1_L003_I2_001.fastq.gz</t>
  </si>
  <si>
    <t>890886d658f2ffd08eb41ae5156bec2a</t>
  </si>
  <si>
    <t>BN1726_S1_L003_R1_001.fastq.gz</t>
  </si>
  <si>
    <t>aa5452afe34734766f256359aaf13a2b</t>
  </si>
  <si>
    <t>BN1726_S1_L003_R2_001.fastq.gz</t>
  </si>
  <si>
    <t>ffebcc19df4169682e8b133d8f968647</t>
  </si>
  <si>
    <t>BN1726_S1_L004_I1_001.fastq.gz</t>
  </si>
  <si>
    <t>730040876e0768ad0bf28457ec43ecad</t>
  </si>
  <si>
    <t>BN1726_S1_L004_I2_001.fastq.gz</t>
  </si>
  <si>
    <t>9a745777bb4aaa065bfe3e32ff10555d</t>
  </si>
  <si>
    <t>BN1726_S1_L004_R1_001.fastq.gz</t>
  </si>
  <si>
    <t>2735b08a1caaed53243a92e9dc2ad4e4</t>
  </si>
  <si>
    <t>BN1726_S1_L004_R2_001.fastq.gz</t>
  </si>
  <si>
    <t>2d5040cfa8cfe9afa1ed7f98e37e00e6</t>
  </si>
  <si>
    <t>BN1756_S3_L001_I1_001.fastq.gz</t>
  </si>
  <si>
    <t>5d660963470a10c17557e5545c9387ab</t>
  </si>
  <si>
    <t>BN1756_S3_L001_I2_001.fastq.gz</t>
  </si>
  <si>
    <t>708d411d669944e14af8960c6aa4d893</t>
  </si>
  <si>
    <t>BN1756_S3_L001_R1_001.fastq.gz</t>
  </si>
  <si>
    <t>bb9b18fd3326a8dbf8aa15f293b88575</t>
  </si>
  <si>
    <t>BN1756_S3_L001_R2_001.fastq.gz</t>
  </si>
  <si>
    <t>a468d8c03abff13e1ff76e86542e414d</t>
  </si>
  <si>
    <t>BN1756_S3_L002_I1_001.fastq.gz</t>
  </si>
  <si>
    <t>e8bd4d2227dc7855813e872032e8fdf1</t>
  </si>
  <si>
    <t>BN1756_S3_L002_I2_001.fastq.gz</t>
  </si>
  <si>
    <t>f5fd7370dadaa8ef3f38cc0adca0b9b1</t>
  </si>
  <si>
    <t>BN1756_S3_L002_R1_001.fastq.gz</t>
  </si>
  <si>
    <t>27063778a279962b54e743df894ffcbc</t>
  </si>
  <si>
    <t>BN1756_S3_L002_R2_001.fastq.gz</t>
  </si>
  <si>
    <t>cda417b7f369bbcddac100f706fe25b4</t>
  </si>
  <si>
    <t>BN1756_S3_L003_I1_001.fastq.gz</t>
  </si>
  <si>
    <t>e6ac00b862ec613f02b8f0dd3e29d263</t>
  </si>
  <si>
    <t>BN1756_S3_L003_I2_001.fastq.gz</t>
  </si>
  <si>
    <t>c3a63782ce58861ff11e9d0e43e280ec</t>
  </si>
  <si>
    <t>BN1756_S3_L003_R1_001.fastq.gz</t>
  </si>
  <si>
    <t>8ae719635a43c8e3ff0beca42876e3d3</t>
  </si>
  <si>
    <t>BN1756_S3_L003_R2_001.fastq.gz</t>
  </si>
  <si>
    <t>897757658a717b922d353d55508858ce</t>
  </si>
  <si>
    <t>BN1756_S3_L004_I1_001.fastq.gz</t>
  </si>
  <si>
    <t>0d2984d3b0e078dc88348d8ad309fae6</t>
  </si>
  <si>
    <t>BN1756_S3_L004_I2_001.fastq.gz</t>
  </si>
  <si>
    <t>7c6df5d624c837e8147818a791852252</t>
  </si>
  <si>
    <t>BN1756_S3_L004_R1_001.fastq.gz</t>
  </si>
  <si>
    <t>bc4a3568e5f95eb8643ce4358adeb0ef</t>
  </si>
  <si>
    <t>BN1756_S3_L004_R2_001.fastq.gz</t>
  </si>
  <si>
    <t>6d00aa5d4fb71bee730a4fac83dbb4a6</t>
  </si>
  <si>
    <t>BN1578_S1_L001_I1_001.fastq.gz</t>
  </si>
  <si>
    <t>1405e3884f4b66bbfb94f7c4c949da6c</t>
  </si>
  <si>
    <t>BN1578_S1_L001_I2_001.fastq.gz</t>
  </si>
  <si>
    <t>cc8c3ea3461537187bd75aaaa23e8640</t>
  </si>
  <si>
    <t>BN1578_S1_L001_R1_001.fastq.gz</t>
  </si>
  <si>
    <t>9f8c3215e077c6da6b0f96604e6cc134</t>
  </si>
  <si>
    <t>BN1578_S1_L001_R2_001.fastq.gz</t>
  </si>
  <si>
    <t>226947bc09846693ae023071c02b974f</t>
  </si>
  <si>
    <t>BN1578_S1_L002_I1_001.fastq.gz</t>
  </si>
  <si>
    <t>c95fa3c25c5b589aec5e7e17ef339e9b</t>
  </si>
  <si>
    <t>BN1578_S1_L002_I2_001.fastq.gz</t>
  </si>
  <si>
    <t>a3b4a71c2cc0e2d464f21259a9aed350</t>
  </si>
  <si>
    <t>BN1578_S1_L002_R1_001.fastq.gz</t>
  </si>
  <si>
    <t>b16e3f08a2b9453a542594d99070ba0e</t>
  </si>
  <si>
    <t>BN1578_S1_L002_R2_001.fastq.gz</t>
  </si>
  <si>
    <t>510060a90025d48cf535a462d3b1b694</t>
  </si>
  <si>
    <t>BN1578_S1_L003_I1_001.fastq.gz</t>
  </si>
  <si>
    <t>7f94242fc48e68c73526cb19f31a9521</t>
  </si>
  <si>
    <t>BN1578_S1_L003_I2_001.fastq.gz</t>
  </si>
  <si>
    <t>c486b8fbcf055d8dab23f4d1308dd014</t>
  </si>
  <si>
    <t>BN1578_S1_L003_R1_001.fastq.gz</t>
  </si>
  <si>
    <t>9ea77f314c5e3c0586bd4303b6e01ea1</t>
  </si>
  <si>
    <t>BN1578_S1_L003_R2_001.fastq.gz</t>
  </si>
  <si>
    <t>8c7afeeb186c36791581be56c8c4ed39</t>
  </si>
  <si>
    <t>BN1578_S1_L004_I1_001.fastq.gz</t>
  </si>
  <si>
    <t>fe3c618b987ff2504fe3672a0e53ad48</t>
  </si>
  <si>
    <t>BN1578_S1_L004_I2_001.fastq.gz</t>
  </si>
  <si>
    <t>41de51495a42554e2ec434047f035d25</t>
  </si>
  <si>
    <t>BN1578_S1_L004_R1_001.fastq.gz</t>
  </si>
  <si>
    <t>b3ce830ebe4e6ce4698103e512d9cb1e</t>
  </si>
  <si>
    <t>BN1578_S1_L004_R2_001.fastq.gz</t>
  </si>
  <si>
    <t>cedf56982305813cfeb29eb3ba055add</t>
  </si>
  <si>
    <t>BN1741_S2_L001_I1_001.fastq.gz</t>
  </si>
  <si>
    <t>06e6ab41a4c58db1c72b879b9cb2cc28</t>
  </si>
  <si>
    <t>BN1741_S2_L001_I2_001.fastq.gz</t>
  </si>
  <si>
    <t>05b64f990d1b9a50d3f9279353285781</t>
  </si>
  <si>
    <t>BN1741_S2_L001_R1_001.fastq.gz</t>
  </si>
  <si>
    <t>ba83ff671511eee4ab021c6e0a4b1ab1</t>
  </si>
  <si>
    <t>BN1741_S2_L001_R2_001.fastq.gz</t>
  </si>
  <si>
    <t>4e4d06823740247107ec65ffa13f972c</t>
  </si>
  <si>
    <t>BN1741_S2_L002_I1_001.fastq.gz</t>
  </si>
  <si>
    <t>a1040e93924267255de88135edff4acd</t>
  </si>
  <si>
    <t>BN1741_S2_L002_I2_001.fastq.gz</t>
  </si>
  <si>
    <t>2377153b3be828fdc66c3662304ac8e1</t>
  </si>
  <si>
    <t>BN1741_S2_L002_R1_001.fastq.gz</t>
  </si>
  <si>
    <t>4ca3cd3b5954a0c74ab3ca524b49e287</t>
  </si>
  <si>
    <t>BN1741_S2_L002_R2_001.fastq.gz</t>
  </si>
  <si>
    <t>c0b0b92068451a4c58a22d8f2d6c92fc</t>
  </si>
  <si>
    <t>BN1741_S2_L003_I1_001.fastq.gz</t>
  </si>
  <si>
    <t>1420439ce2f2664bec7094e9ac43cdc8</t>
  </si>
  <si>
    <t>BN1741_S2_L003_I2_001.fastq.gz</t>
  </si>
  <si>
    <t>a3c4c3e21f50cf319f54f452993a76a9</t>
  </si>
  <si>
    <t>BN1741_S2_L003_R1_001.fastq.gz</t>
  </si>
  <si>
    <t>09151491369172b10e28a8ef7f66c160</t>
  </si>
  <si>
    <t>BN1741_S2_L003_R2_001.fastq.gz</t>
  </si>
  <si>
    <t>545190c9cbeb77c9b719e8c5baee6c94</t>
  </si>
  <si>
    <t>BN1741_S2_L004_I1_001.fastq.gz</t>
  </si>
  <si>
    <t>1086563bfa4f209fd63bf0719aa13608</t>
  </si>
  <si>
    <t>BN1741_S2_L004_I2_001.fastq.gz</t>
  </si>
  <si>
    <t>2af3d4f669ac38233327d8753e42da09</t>
  </si>
  <si>
    <t>BN1741_S2_L004_R1_001.fastq.gz</t>
  </si>
  <si>
    <t>7e913b2c45fe7893ad5d5d1729a3a07f</t>
  </si>
  <si>
    <t>BN1741_S2_L004_R2_001.fastq.gz</t>
  </si>
  <si>
    <t>d977a68401092bc4cec12f6252a92b96</t>
  </si>
  <si>
    <t>BN1805_S3_L001_I1_001.fastq.gz</t>
  </si>
  <si>
    <t>8cdc59907ea02047fbaf0b52a28741dd</t>
  </si>
  <si>
    <t>BN1805_S3_L001_I2_001.fastq.gz</t>
  </si>
  <si>
    <t>67f7132ea9616888523fcb278caa3784</t>
  </si>
  <si>
    <t>BN1805_S3_L001_R1_001.fastq.gz</t>
  </si>
  <si>
    <t>84a1536fc38f842a6aea8c86571cdb9c</t>
  </si>
  <si>
    <t>BN1805_S3_L001_R2_001.fastq.gz</t>
  </si>
  <si>
    <t>860a25ee5cef0ef672359811704e3d81</t>
  </si>
  <si>
    <t>BN1805_S3_L002_I1_001.fastq.gz</t>
  </si>
  <si>
    <t>4e6554f9963b141c20a119d38da1efea</t>
  </si>
  <si>
    <t>BN1805_S3_L002_I2_001.fastq.gz</t>
  </si>
  <si>
    <t>372d9693ed924caae231e6b32188c7af</t>
  </si>
  <si>
    <t>BN1805_S3_L002_R1_001.fastq.gz</t>
  </si>
  <si>
    <t>d17f42e8ca75745aef639bd39d097b07</t>
  </si>
  <si>
    <t>BN1805_S3_L002_R2_001.fastq.gz</t>
  </si>
  <si>
    <t>4763e878ea4befabcc4cf9548497eff9</t>
  </si>
  <si>
    <t>BN1805_S3_L003_I1_001.fastq.gz</t>
  </si>
  <si>
    <t>5a6a8440ba138890489b43ecef5542ad</t>
  </si>
  <si>
    <t>BN1805_S3_L003_I2_001.fastq.gz</t>
  </si>
  <si>
    <t>549d1a6cc3c184f4c34a0801b5112c0e</t>
  </si>
  <si>
    <t>BN1805_S3_L003_R1_001.fastq.gz</t>
  </si>
  <si>
    <t>3a5efd7ca344a492240ee3fc47237ee1</t>
  </si>
  <si>
    <t>BN1805_S3_L003_R2_001.fastq.gz</t>
  </si>
  <si>
    <t>210aa736c00f90a944dd3bc07c1fc127</t>
  </si>
  <si>
    <t>BN1805_S3_L004_I1_001.fastq.gz</t>
  </si>
  <si>
    <t>48ba85b9365fb76781db560f04b28745</t>
  </si>
  <si>
    <t>BN1805_S3_L004_I2_001.fastq.gz</t>
  </si>
  <si>
    <t>c8dcba9b6483a43d56d243bf04efe4ab</t>
  </si>
  <si>
    <t>BN1805_S3_L004_R1_001.fastq.gz</t>
  </si>
  <si>
    <t>d6a750664bfe22e21a1bde984f6e7d29</t>
  </si>
  <si>
    <t>BN1805_S3_L004_R2_001.fastq.gz</t>
  </si>
  <si>
    <t>df37afb74ba80a082397dc5b8331b48b</t>
  </si>
  <si>
    <t>BN1752_S1_L001_I1_001.fastq.gz</t>
  </si>
  <si>
    <t>9deb89b36c5bc4cafed955a743b368dd</t>
  </si>
  <si>
    <t>BN1752_S1_L001_I2_001.fastq.gz</t>
  </si>
  <si>
    <t>c8a47eaa3a2c67573c9dbb6ea4de937d</t>
  </si>
  <si>
    <t>BN1752_S1_L001_R1_001.fastq.gz</t>
  </si>
  <si>
    <t>1a146a6b787b4b0766a0c538ac47cf01</t>
  </si>
  <si>
    <t>BN1752_S1_L001_R2_001.fastq.gz</t>
  </si>
  <si>
    <t>9db2d7a0c29a05b1b877880f146c095f</t>
  </si>
  <si>
    <t>BN1752_S1_L002_I1_001.fastq.gz</t>
  </si>
  <si>
    <t>a5645a62c92bbb9c7a57b184b18b4a24</t>
  </si>
  <si>
    <t>BN1752_S1_L002_I2_001.fastq.gz</t>
  </si>
  <si>
    <t>8b3f749ef7d0f9cd320910bdfff1fcb3</t>
  </si>
  <si>
    <t>BN1752_S1_L002_R1_001.fastq.gz</t>
  </si>
  <si>
    <t>e842265247ab5ccc265b05cfc969eba0</t>
  </si>
  <si>
    <t>BN1752_S1_L002_R2_001.fastq.gz</t>
  </si>
  <si>
    <t>3e40634fc1193827973d536e080b6f28</t>
  </si>
  <si>
    <t>BN1752_S1_L003_I1_001.fastq.gz</t>
  </si>
  <si>
    <t>76e20df68183f91d4e1915fbc6ef2f1b</t>
  </si>
  <si>
    <t>BN1752_S1_L003_I2_001.fastq.gz</t>
  </si>
  <si>
    <t>56509f92b89fc9800f68164b550b3099</t>
  </si>
  <si>
    <t>BN1752_S1_L003_R1_001.fastq.gz</t>
  </si>
  <si>
    <t>c914154b2d1ac0b54ff6b167c720399b</t>
  </si>
  <si>
    <t>BN1752_S1_L003_R2_001.fastq.gz</t>
  </si>
  <si>
    <t>c7881b21e9811557514f171d9c198c74</t>
  </si>
  <si>
    <t>BN1752_S1_L004_I1_001.fastq.gz</t>
  </si>
  <si>
    <t>340dc4be8533d6ccfd71dbbae8476c8e</t>
  </si>
  <si>
    <t>BN1752_S1_L004_I2_001.fastq.gz</t>
  </si>
  <si>
    <t>3555ab657a31b7db50f50793e6f35e60</t>
  </si>
  <si>
    <t>BN1752_S1_L004_R1_001.fastq.gz</t>
  </si>
  <si>
    <t>3fb9c7d53d86366f31f7fee11143073d</t>
  </si>
  <si>
    <t>BN1752_S1_L004_R2_001.fastq.gz</t>
  </si>
  <si>
    <t>65511fb99608322610067e330209b616</t>
  </si>
  <si>
    <t>BN1809_S3_L001_I1_001.fastq.gz</t>
  </si>
  <si>
    <t>bf2633929cf6ecbf0def97cba8bb78cf</t>
  </si>
  <si>
    <t>BN1809_S3_L001_I2_001.fastq.gz</t>
  </si>
  <si>
    <t>ce1a006886fd9a8804ad612fb160decb</t>
  </si>
  <si>
    <t>BN1809_S3_L001_R1_001.fastq.gz</t>
  </si>
  <si>
    <t>2e78bc1742e26089a5cd5339a5d68977</t>
  </si>
  <si>
    <t>BN1809_S3_L001_R2_001.fastq.gz</t>
  </si>
  <si>
    <t>e71df84ceadad124e611676df080a581</t>
  </si>
  <si>
    <t>BN1809_S3_L002_I1_001.fastq.gz</t>
  </si>
  <si>
    <t>3473d37535ab3e67dc4fc1be69152350</t>
  </si>
  <si>
    <t>BN1809_S3_L002_I2_001.fastq.gz</t>
  </si>
  <si>
    <t>b1d07b829e70ecd26779b9898f22cc57</t>
  </si>
  <si>
    <t>BN1809_S3_L002_R1_001.fastq.gz</t>
  </si>
  <si>
    <t>5a8d229d74178aac588ad2d8b396af86</t>
  </si>
  <si>
    <t>BN1809_S3_L002_R2_001.fastq.gz</t>
  </si>
  <si>
    <t>7fcc82725bd0c8b7bc33cfb397b721e8</t>
  </si>
  <si>
    <t>BN1809_S3_L003_I1_001.fastq.gz</t>
  </si>
  <si>
    <t>d9949543e77df220999be07a23f9badb</t>
  </si>
  <si>
    <t>BN1809_S3_L003_I2_001.fastq.gz</t>
  </si>
  <si>
    <t>ea73393593545aebac6e74c58e372da8</t>
  </si>
  <si>
    <t>BN1809_S3_L003_R1_001.fastq.gz</t>
  </si>
  <si>
    <t>0205d421c255846223e092c5cbd9d938</t>
  </si>
  <si>
    <t>BN1809_S3_L003_R2_001.fastq.gz</t>
  </si>
  <si>
    <t>8b39e98e488554a8692120ea58580fda</t>
  </si>
  <si>
    <t>BN1809_S3_L004_I1_001.fastq.gz</t>
  </si>
  <si>
    <t>b15c70d10f34618f3059bbb802d80ace</t>
  </si>
  <si>
    <t>BN1809_S3_L004_I2_001.fastq.gz</t>
  </si>
  <si>
    <t>e71da0debe007582969ad87db6d9804b</t>
  </si>
  <si>
    <t>BN1809_S3_L004_R1_001.fastq.gz</t>
  </si>
  <si>
    <t>5cf575c2cb188583cf29cfa2cabfaac4</t>
  </si>
  <si>
    <t>BN1809_S3_L004_R2_001.fastq.gz</t>
  </si>
  <si>
    <t>e029aebb36b893e0b7c328e20d488db2</t>
  </si>
  <si>
    <t>BN1719_S1_L001_I1_001.fastq.gz</t>
  </si>
  <si>
    <t>841a439103497a32ca0d478a9f48c2c6</t>
  </si>
  <si>
    <t>BN1719_S1_L001_I2_001.fastq.gz</t>
  </si>
  <si>
    <t>31210353a03afcf83b3b9e4ffe2b87e7</t>
  </si>
  <si>
    <t>BN1719_S1_L001_R1_001.fastq.gz</t>
  </si>
  <si>
    <t>732dc839b1ba5478d8f8c6f6915f60eb</t>
  </si>
  <si>
    <t>BN1719_S1_L001_R2_001.fastq.gz</t>
  </si>
  <si>
    <t>9aa39001548b9b60b57269cb199218c7</t>
  </si>
  <si>
    <t>BN1719_S1_L002_I1_001.fastq.gz</t>
  </si>
  <si>
    <t>c018c3302331ae60c8c9bceba18e9f8d</t>
  </si>
  <si>
    <t>BN1719_S1_L002_I2_001.fastq.gz</t>
  </si>
  <si>
    <t>d551542ba491d3895290e87b2f648ab0</t>
  </si>
  <si>
    <t>BN1719_S1_L002_R1_001.fastq.gz</t>
  </si>
  <si>
    <t>b451b538e33ac520ad3985483ec76b52</t>
  </si>
  <si>
    <t>BN1719_S1_L002_R2_001.fastq.gz</t>
  </si>
  <si>
    <t>c993ad36d119ec839b05900bffd77864</t>
  </si>
  <si>
    <t>BN1719_S1_L003_I1_001.fastq.gz</t>
  </si>
  <si>
    <t>6e93364ab64c08ef9f7451f3a92a1fbf</t>
  </si>
  <si>
    <t>BN1719_S1_L003_I2_001.fastq.gz</t>
  </si>
  <si>
    <t>2e994632f37f63650388898f058b050e</t>
  </si>
  <si>
    <t>BN1719_S1_L003_R1_001.fastq.gz</t>
  </si>
  <si>
    <t>95ba66764840d134c38150b68afe5e76</t>
  </si>
  <si>
    <t>BN1719_S1_L003_R2_001.fastq.gz</t>
  </si>
  <si>
    <t>eac4391bf5cb223f99cdf72071461067</t>
  </si>
  <si>
    <t>BN1719_S1_L004_I1_001.fastq.gz</t>
  </si>
  <si>
    <t>c56f880997575d21cc70f6013bbe3d29</t>
  </si>
  <si>
    <t>BN1719_S1_L004_I2_001.fastq.gz</t>
  </si>
  <si>
    <t>9a6d4b27ea2d7bc437e349daad1cc3d1</t>
  </si>
  <si>
    <t>BN1719_S1_L004_R1_001.fastq.gz</t>
  </si>
  <si>
    <t>a691a70530ad6d395ad2095eb86fa09b</t>
  </si>
  <si>
    <t>BN1719_S1_L004_R2_001.fastq.gz</t>
  </si>
  <si>
    <t>bbf6d50da4c8a517635f0d5fd7fc71b2</t>
  </si>
  <si>
    <t>BN1812_S2_L001_I1_001.fastq.gz</t>
  </si>
  <si>
    <t>75adf934dc14791f352bbcfa6d037e41</t>
  </si>
  <si>
    <t>BN1812_S2_L001_I2_001.fastq.gz</t>
  </si>
  <si>
    <t>7b34cebe7dcabe7518370187fa9f78b2</t>
  </si>
  <si>
    <t>BN1812_S2_L001_R1_001.fastq.gz</t>
  </si>
  <si>
    <t>998a73f8c6e50fd03345308a5bdba53e</t>
  </si>
  <si>
    <t>BN1812_S2_L001_R2_001.fastq.gz</t>
  </si>
  <si>
    <t>481e292ec38feaf1e3b7a4f80c8a9952</t>
  </si>
  <si>
    <t>BN1812_S2_L002_I1_001.fastq.gz</t>
  </si>
  <si>
    <t>4f3f3660706b40e08134684cad39b7b9</t>
  </si>
  <si>
    <t>BN1812_S2_L002_I2_001.fastq.gz</t>
  </si>
  <si>
    <t>23285ede6e76d0968d9c050be5633899</t>
  </si>
  <si>
    <t>BN1812_S2_L002_R1_001.fastq.gz</t>
  </si>
  <si>
    <t>d1a7234d1aa43ce67aa90a6e2721bee8</t>
  </si>
  <si>
    <t>BN1812_S2_L002_R2_001.fastq.gz</t>
  </si>
  <si>
    <t>58bf3a5b22a5a6d82b7414e1bbc415d5</t>
  </si>
  <si>
    <t>BN1812_S2_L003_I1_001.fastq.gz</t>
  </si>
  <si>
    <t>3004632bf90891e185e20b91cf347dda</t>
  </si>
  <si>
    <t>BN1812_S2_L003_I2_001.fastq.gz</t>
  </si>
  <si>
    <t>dea6b8826e2c31bf4d5f1c80228591a1</t>
  </si>
  <si>
    <t>BN1812_S2_L003_R1_001.fastq.gz</t>
  </si>
  <si>
    <t>212c7f04cd7a026ee8400c4de3b1a696</t>
  </si>
  <si>
    <t>BN1812_S2_L003_R2_001.fastq.gz</t>
  </si>
  <si>
    <t>af3c7872fad9c1c39bc8846ec839cc6a</t>
  </si>
  <si>
    <t>BN1812_S2_L004_I1_001.fastq.gz</t>
  </si>
  <si>
    <t>5d745e8ca6316bb563e5862be561bdc5</t>
  </si>
  <si>
    <t>BN1812_S2_L004_I2_001.fastq.gz</t>
  </si>
  <si>
    <t>0ac2ff29eb399d2a3cbbee732cfbfb2a</t>
  </si>
  <si>
    <t>BN1812_S2_L004_R1_001.fastq.gz</t>
  </si>
  <si>
    <t>f4c93e08224c51e7aa8a51c85d70461a</t>
  </si>
  <si>
    <t>BN1812_S2_L004_R2_001.fastq.gz</t>
  </si>
  <si>
    <t>f1552c31cdc1c5e33ed7d4425d835d21</t>
  </si>
  <si>
    <t>BN1836_S3_L001_I1_001.fastq.gz</t>
  </si>
  <si>
    <t>689ae9da25b70cdcd2e906e56e169ffb</t>
  </si>
  <si>
    <t>BN1836_S3_L001_I2_001.fastq.gz</t>
  </si>
  <si>
    <t>94877e64827d5aae9eaea3db7ed0a2f2</t>
  </si>
  <si>
    <t>BN1836_S3_L001_R1_001.fastq.gz</t>
  </si>
  <si>
    <t>d0b311c08de0feafc426badbd3b7b5d3</t>
  </si>
  <si>
    <t>BN1836_S3_L001_R2_001.fastq.gz</t>
  </si>
  <si>
    <t>e221a30fe6f70cfb6437b68af80c12a8</t>
  </si>
  <si>
    <t>BN1836_S3_L002_I1_001.fastq.gz</t>
  </si>
  <si>
    <t>1fd0da40a6b8c5071068c988df4a8908</t>
  </si>
  <si>
    <t>BN1836_S3_L002_I2_001.fastq.gz</t>
  </si>
  <si>
    <t>97ee60fb0d6fdf84177a01a8fdf5e1bf</t>
  </si>
  <si>
    <t>BN1836_S3_L002_R1_001.fastq.gz</t>
  </si>
  <si>
    <t>82781f17b22b062d56cadc0231cb9a36</t>
  </si>
  <si>
    <t>BN1836_S3_L002_R2_001.fastq.gz</t>
  </si>
  <si>
    <t>3f5d9e1c1ca01e09060456b4a7de1b4b</t>
  </si>
  <si>
    <t>BN1836_S3_L003_I1_001.fastq.gz</t>
  </si>
  <si>
    <t>74475293a2231f9484a8489db792d07c</t>
  </si>
  <si>
    <t>BN1836_S3_L003_I2_001.fastq.gz</t>
  </si>
  <si>
    <t>37d570dce3e3a53f410417a0941c6e05</t>
  </si>
  <si>
    <t>BN1836_S3_L003_R1_001.fastq.gz</t>
  </si>
  <si>
    <t>809a6d967a96c3bb4d968ee1e68a3f8a</t>
  </si>
  <si>
    <t>BN1836_S3_L003_R2_001.fastq.gz</t>
  </si>
  <si>
    <t>51f9c6a36f15b74b3dea997ad045c10e</t>
  </si>
  <si>
    <t>BN1836_S3_L004_I1_001.fastq.gz</t>
  </si>
  <si>
    <t>ba45407025082afbe3cb6d8060cb1abf</t>
  </si>
  <si>
    <t>BN1836_S3_L004_I2_001.fastq.gz</t>
  </si>
  <si>
    <t>fe8f47d2275efe734e9f3b9deacb731b</t>
  </si>
  <si>
    <t>BN1836_S3_L004_R1_001.fastq.gz</t>
  </si>
  <si>
    <t>18f77ec87c2756173efb28c9dd36e8e9</t>
  </si>
  <si>
    <t>BN1836_S3_L004_R2_001.fastq.gz</t>
  </si>
  <si>
    <t>f7a7ae691d40225ab6c4de1f11b9bb2a</t>
  </si>
  <si>
    <t>BN1814_S1_L001_I1_001.fastq.gz</t>
  </si>
  <si>
    <t>2a0e4e1792eb95e68a890e5f89bba246</t>
  </si>
  <si>
    <t>BN1814_S1_L001_I2_001.fastq.gz</t>
  </si>
  <si>
    <t>91f0880bab5f7edc76247a7db49b3ef1</t>
  </si>
  <si>
    <t>BN1814_S1_L001_R1_001.fastq.gz</t>
  </si>
  <si>
    <t>25c7f73f5abd4814ded5cdedd66d66a4</t>
  </si>
  <si>
    <t>BN1814_S1_L001_R2_001.fastq.gz</t>
  </si>
  <si>
    <t>6802a82e4636e29d18e49ef61170dd55</t>
  </si>
  <si>
    <t>BN1814_S1_L002_I1_001.fastq.gz</t>
  </si>
  <si>
    <t>b5c3be441499e539fb965667164c434d</t>
  </si>
  <si>
    <t>BN1814_S1_L002_I2_001.fastq.gz</t>
  </si>
  <si>
    <t>62864b974fbdd203ce486b0f3e262f4c</t>
  </si>
  <si>
    <t>BN1814_S1_L002_R1_001.fastq.gz</t>
  </si>
  <si>
    <t>b9718ac384aea9383ebe8071a83579b4</t>
  </si>
  <si>
    <t>BN1814_S1_L002_R2_001.fastq.gz</t>
  </si>
  <si>
    <t>af76f171d753952222063802d1d6a51e</t>
  </si>
  <si>
    <t>BN1814_S1_L003_I1_001.fastq.gz</t>
  </si>
  <si>
    <t>42cc627024c81722481ecb7d59d2a6a3</t>
  </si>
  <si>
    <t>BN1814_S1_L003_I2_001.fastq.gz</t>
  </si>
  <si>
    <t>3477ba0c9a494f9124c5054c9dc5ee1f</t>
  </si>
  <si>
    <t>BN1814_S1_L003_R1_001.fastq.gz</t>
  </si>
  <si>
    <t>dd6da946cdb6ec11c9cd112082bc8b10</t>
  </si>
  <si>
    <t>BN1814_S1_L003_R2_001.fastq.gz</t>
  </si>
  <si>
    <t>805bd382963f76271e72d91cd61ec684</t>
  </si>
  <si>
    <t>BN1814_S1_L004_I1_001.fastq.gz</t>
  </si>
  <si>
    <t>8a06c83daa95c7900b7ce54bdf13f198</t>
  </si>
  <si>
    <t>BN1814_S1_L004_I2_001.fastq.gz</t>
  </si>
  <si>
    <t>4a38ac491dce428b0ad0e9c6bb827d56</t>
  </si>
  <si>
    <t>BN1814_S1_L004_R1_001.fastq.gz</t>
  </si>
  <si>
    <t>26deede665d93de29a4d7f1a617fecf4</t>
  </si>
  <si>
    <t>BN1814_S1_L004_R2_001.fastq.gz</t>
  </si>
  <si>
    <t>468d90285a962ad11968cdba6860d55a</t>
  </si>
  <si>
    <t>BN1848_S2_L001_I1_001.fastq.gz</t>
  </si>
  <si>
    <t>e3168d47bb1c3b451c3d8dcef980e295</t>
  </si>
  <si>
    <t>BN1848_S2_L001_I2_001.fastq.gz</t>
  </si>
  <si>
    <t>e546510b86551206e78fb2dd6b12fb3f</t>
  </si>
  <si>
    <t>BN1848_S2_L001_R1_001.fastq.gz</t>
  </si>
  <si>
    <t>331db3e11323ac041a89fe921cf0c2f0</t>
  </si>
  <si>
    <t>BN1848_S2_L001_R2_001.fastq.gz</t>
  </si>
  <si>
    <t>f72130b8a398f5c5fbb579cf0dc316c0</t>
  </si>
  <si>
    <t>BN1848_S2_L002_I1_001.fastq.gz</t>
  </si>
  <si>
    <t>37efedce4f28d4a219521345bd59d07b</t>
  </si>
  <si>
    <t>BN1848_S2_L002_I2_001.fastq.gz</t>
  </si>
  <si>
    <t>65ece600c003adad0f0fd9cb3917cc6c</t>
  </si>
  <si>
    <t>BN1848_S2_L002_R1_001.fastq.gz</t>
  </si>
  <si>
    <t>2f73c26f9c371a2ff33a510908a11a14</t>
  </si>
  <si>
    <t>BN1848_S2_L002_R2_001.fastq.gz</t>
  </si>
  <si>
    <t>0b228d6758d24a4388cb3bdb1180c594</t>
  </si>
  <si>
    <t>BN1848_S2_L003_I1_001.fastq.gz</t>
  </si>
  <si>
    <t>c2f48b26143e9feabc7cbe3384f48c28</t>
  </si>
  <si>
    <t>BN1848_S2_L003_I2_001.fastq.gz</t>
  </si>
  <si>
    <t>4f7e868b7e8912bf5362b8e5fa59049d</t>
  </si>
  <si>
    <t>BN1848_S2_L003_R1_001.fastq.gz</t>
  </si>
  <si>
    <t>265c0caec03e89fed710be1041685809</t>
  </si>
  <si>
    <t>BN1848_S2_L003_R2_001.fastq.gz</t>
  </si>
  <si>
    <t>ec8536e8683b75ff96390d2d2a3cc113</t>
  </si>
  <si>
    <t>BN1848_S2_L004_I1_001.fastq.gz</t>
  </si>
  <si>
    <t>37a9aa12da31d3ac48e46c5d90e30ed9</t>
  </si>
  <si>
    <t>BN1848_S2_L004_I2_001.fastq.gz</t>
  </si>
  <si>
    <t>be2c16c0742b248f783d5f6f63f2eb4b</t>
  </si>
  <si>
    <t>BN1848_S2_L004_R1_001.fastq.gz</t>
  </si>
  <si>
    <t>191121bf36bdc3bc3531180c8b08bbce</t>
  </si>
  <si>
    <t>BN1848_S2_L004_R2_001.fastq.gz</t>
  </si>
  <si>
    <t>5f6e4e3947db33c4fbf8259a6550ab4e</t>
  </si>
  <si>
    <t>BN1849_S3_L001_I1_001.fastq.gz</t>
  </si>
  <si>
    <t>a295efba42d6d650255954aefcf4d949</t>
  </si>
  <si>
    <t>BN1849_S3_L001_I2_001.fastq.gz</t>
  </si>
  <si>
    <t>8e4fb498f354b8e90899631c3b85d0ba</t>
  </si>
  <si>
    <t>BN1849_S3_L001_R1_001.fastq.gz</t>
  </si>
  <si>
    <t>699729cdfc4a9503fed92e20bc4ed45d</t>
  </si>
  <si>
    <t>BN1849_S3_L001_R2_001.fastq.gz</t>
  </si>
  <si>
    <t>b1f0ca584767b50bb3462aafac727f9e</t>
  </si>
  <si>
    <t>BN1849_S3_L002_I1_001.fastq.gz</t>
  </si>
  <si>
    <t>6b4de6ea6af346c832e80c28f507277d</t>
  </si>
  <si>
    <t>BN1849_S3_L002_I2_001.fastq.gz</t>
  </si>
  <si>
    <t>5015f8eb4df5d95ba174cbb5b83b0f8b</t>
  </si>
  <si>
    <t>BN1849_S3_L002_R1_001.fastq.gz</t>
  </si>
  <si>
    <t>c1d93dd50c9ba119dfaab29f5ee2c15a</t>
  </si>
  <si>
    <t>BN1849_S3_L002_R2_001.fastq.gz</t>
  </si>
  <si>
    <t>38a7885852413c7ed30448e8ef97f32e</t>
  </si>
  <si>
    <t>BN1849_S3_L003_I1_001.fastq.gz</t>
  </si>
  <si>
    <t>d016d9bd5cf91505454d6c975f500183</t>
  </si>
  <si>
    <t>BN1849_S3_L003_I2_001.fastq.gz</t>
  </si>
  <si>
    <t>1e93270708efb0025ea03229d22b46e7</t>
  </si>
  <si>
    <t>BN1849_S3_L003_R1_001.fastq.gz</t>
  </si>
  <si>
    <t>7b7bd68c9c96bfb6f5bf44185beeefca</t>
  </si>
  <si>
    <t>BN1849_S3_L003_R2_001.fastq.gz</t>
  </si>
  <si>
    <t>c67801a105603b4a5bfd0d3e66303a94</t>
  </si>
  <si>
    <t>BN1849_S3_L004_I1_001.fastq.gz</t>
  </si>
  <si>
    <t>a1e5d5779fc48df5b0d235f054a7064f</t>
  </si>
  <si>
    <t>BN1849_S3_L004_I2_001.fastq.gz</t>
  </si>
  <si>
    <t>8087fe4e9856fd221ddb531cdf994516</t>
  </si>
  <si>
    <t>BN1849_S3_L004_R1_001.fastq.gz</t>
  </si>
  <si>
    <t>b13ffdd25c0ce5a4aefc284bd995b83d</t>
  </si>
  <si>
    <t>BN1849_S3_L004_R2_001.fastq.gz</t>
  </si>
  <si>
    <t>e6efdcaf9ee6602fce1aba2c47df4d2f</t>
  </si>
  <si>
    <t>BN1822_S2_L001_I1_001.fastq.gz</t>
  </si>
  <si>
    <t>10490a14a2c7e6961d8a435e27dc9a38</t>
  </si>
  <si>
    <t>BN1822_S2_L001_I2_001.fastq.gz</t>
  </si>
  <si>
    <t>89cf98a13fdb62e7de3348cebed99c82</t>
  </si>
  <si>
    <t>BN1822_S2_L001_R1_001.fastq.gz</t>
  </si>
  <si>
    <t>e234765941cfbd4e5c7eab92d36e64ea</t>
  </si>
  <si>
    <t>BN1822_S2_L001_R2_001.fastq.gz</t>
  </si>
  <si>
    <t>2cee1a3fafcdf6e9cd195a5c505c3601</t>
  </si>
  <si>
    <t>BN1822_S2_L002_I1_001.fastq.gz</t>
  </si>
  <si>
    <t>5c5f8e4152ef158a7cba60c11506bc63</t>
  </si>
  <si>
    <t>BN1822_S2_L002_I2_001.fastq.gz</t>
  </si>
  <si>
    <t>97aed162648ae23c1e5ecf71abb153ad</t>
  </si>
  <si>
    <t>BN1822_S2_L002_R1_001.fastq.gz</t>
  </si>
  <si>
    <t>540fcff367767985c28804202a6f0364</t>
  </si>
  <si>
    <t>BN1822_S2_L002_R2_001.fastq.gz</t>
  </si>
  <si>
    <t>4888e7e874c7ff0978acce64fed62644</t>
  </si>
  <si>
    <t>BN1822_S2_L003_I1_001.fastq.gz</t>
  </si>
  <si>
    <t>752601d61fc6440a3020349164ee12cb</t>
  </si>
  <si>
    <t>BN1822_S2_L003_I2_001.fastq.gz</t>
  </si>
  <si>
    <t>d1430bec034a0f695760acd7b253a4ce</t>
  </si>
  <si>
    <t>BN1822_S2_L003_R1_001.fastq.gz</t>
  </si>
  <si>
    <t>9bbfccb9c6303c2dfe50e41f9e6458fd</t>
  </si>
  <si>
    <t>BN1822_S2_L003_R2_001.fastq.gz</t>
  </si>
  <si>
    <t>123038448149c1c2df866722fc7947b7</t>
  </si>
  <si>
    <t>BN1822_S2_L004_I1_001.fastq.gz</t>
  </si>
  <si>
    <t>6f75472af52ff7a53330d2d3ad5896b5</t>
  </si>
  <si>
    <t>BN1822_S2_L004_I2_001.fastq.gz</t>
  </si>
  <si>
    <t>b97da5c748c26b783ebaa52ece120f5e</t>
  </si>
  <si>
    <t>BN1822_S2_L004_R1_001.fastq.gz</t>
  </si>
  <si>
    <t>432b2592f854ce48be0c7a97286bbfaf</t>
  </si>
  <si>
    <t>BN1822_S2_L004_R2_001.fastq.gz</t>
  </si>
  <si>
    <t>164f7c8a1496d42be1150f1614241763</t>
  </si>
  <si>
    <t>BN1872_S3_L001_I1_001.fastq.gz</t>
  </si>
  <si>
    <t>c6863df42533383238fd508070122b88</t>
  </si>
  <si>
    <t>BN1872_S3_L001_I2_001.fastq.gz</t>
  </si>
  <si>
    <t>2889769c607fc229347f35aca0ff404f</t>
  </si>
  <si>
    <t>BN1872_S3_L001_R1_001.fastq.gz</t>
  </si>
  <si>
    <t>a33f96340d13e4619446d8ff6a9e4a59</t>
  </si>
  <si>
    <t>BN1872_S3_L001_R2_001.fastq.gz</t>
  </si>
  <si>
    <t>20fbb5fcfa0351c5900fac026467caed</t>
  </si>
  <si>
    <t>BN1872_S3_L002_I1_001.fastq.gz</t>
  </si>
  <si>
    <t>578c850b29b4d0cba8868039ee63696f</t>
  </si>
  <si>
    <t>BN1872_S3_L002_I2_001.fastq.gz</t>
  </si>
  <si>
    <t>4576395443f97c488272c960a442a310</t>
  </si>
  <si>
    <t>BN1872_S3_L002_R1_001.fastq.gz</t>
  </si>
  <si>
    <t>a18f5c217cafdf7099fe2ea61cbf6047</t>
  </si>
  <si>
    <t>BN1872_S3_L002_R2_001.fastq.gz</t>
  </si>
  <si>
    <t>d3f204985c56253dcb31c1875089f3d8</t>
  </si>
  <si>
    <t>BN1872_S3_L003_I1_001.fastq.gz</t>
  </si>
  <si>
    <t>bf4753c6c6a910cc38c45cde740380f3</t>
  </si>
  <si>
    <t>BN1872_S3_L003_I2_001.fastq.gz</t>
  </si>
  <si>
    <t>80568c850ff45c513e9cf21168fdd4cf</t>
  </si>
  <si>
    <t>BN1872_S3_L003_R1_001.fastq.gz</t>
  </si>
  <si>
    <t>db1075aa07aedd2d6bcc6723bc65ee27</t>
  </si>
  <si>
    <t>BN1872_S3_L003_R2_001.fastq.gz</t>
  </si>
  <si>
    <t>025e47b32cb479bb85d3003af6316534</t>
  </si>
  <si>
    <t>BN1872_S3_L004_I1_001.fastq.gz</t>
  </si>
  <si>
    <t>e28aba7eb4aa56346615751e9ea469e5</t>
  </si>
  <si>
    <t>BN1872_S3_L004_I2_001.fastq.gz</t>
  </si>
  <si>
    <t>c99b95bfea0808e83af02ed71d847818</t>
  </si>
  <si>
    <t>BN1872_S3_L004_R1_001.fastq.gz</t>
  </si>
  <si>
    <t>7587fedabb488bf3cd36c5110b8628bf</t>
  </si>
  <si>
    <t>BN1872_S3_L004_R2_001.fastq.gz</t>
  </si>
  <si>
    <t>93ea74241e8c2863b96b9077ced65538</t>
  </si>
  <si>
    <t>BN1939_S1_L001_I1_001.fastq.gz</t>
  </si>
  <si>
    <t>02a2def47c5731847eb331f7b5661206</t>
  </si>
  <si>
    <t>BN1939_S1_L001_I2_001.fastq.gz</t>
  </si>
  <si>
    <t>1edebd2c4fa0620dea693bf35ea64511</t>
  </si>
  <si>
    <t>BN1939_S1_L001_R1_001.fastq.gz</t>
  </si>
  <si>
    <t>fd8ef857d524fec07c5a43919f0276cb</t>
  </si>
  <si>
    <t>BN1939_S1_L001_R2_001.fastq.gz</t>
  </si>
  <si>
    <t>984adfbb3c567e244068a5d10b568817</t>
  </si>
  <si>
    <t>BN1939_S1_L002_I1_001.fastq.gz</t>
  </si>
  <si>
    <t>74d8b13c7b1a25630c7314c3a6a2c40f</t>
  </si>
  <si>
    <t>BN1939_S1_L002_I2_001.fastq.gz</t>
  </si>
  <si>
    <t>e0118d3bd122059c7723c727e3beedc3</t>
  </si>
  <si>
    <t>BN1939_S1_L002_R1_001.fastq.gz</t>
  </si>
  <si>
    <t>0211628e80173fa04fd383d0d7790967</t>
  </si>
  <si>
    <t>BN1939_S1_L002_R2_001.fastq.gz</t>
  </si>
  <si>
    <t>51e0a7044012fa6205a48e17d3824050</t>
  </si>
  <si>
    <t>BN1939_S1_L003_I1_001.fastq.gz</t>
  </si>
  <si>
    <t>d75c426e288246f42a464df782dadde9</t>
  </si>
  <si>
    <t>BN1939_S1_L003_I2_001.fastq.gz</t>
  </si>
  <si>
    <t>7cbf08cdf3093d53f120426a87f0f8ba</t>
  </si>
  <si>
    <t>BN1939_S1_L003_R1_001.fastq.gz</t>
  </si>
  <si>
    <t>57394fbd7f102484430037fb752e2150</t>
  </si>
  <si>
    <t>BN1939_S1_L003_R2_001.fastq.gz</t>
  </si>
  <si>
    <t>a83583b8cce847f1580c70c4f0ce93bd</t>
  </si>
  <si>
    <t>BN1939_S1_L004_I1_001.fastq.gz</t>
  </si>
  <si>
    <t>3cd280c7253c3e40b32915d5d782622c</t>
  </si>
  <si>
    <t>BN1939_S1_L004_I2_001.fastq.gz</t>
  </si>
  <si>
    <t>41ee92f9b67ce80dc45ffd5acfe24c5a</t>
  </si>
  <si>
    <t>BN1939_S1_L004_R1_001.fastq.gz</t>
  </si>
  <si>
    <t>bbe23e13ee8aa517763c406cb9120494</t>
  </si>
  <si>
    <t>BN1939_S1_L004_R2_001.fastq.gz</t>
  </si>
  <si>
    <t>a5b2dfdbb6117a37daf4f5ea3c019e20</t>
  </si>
  <si>
    <t>BN1842_S1_L001_I1_001.fastq.gz</t>
  </si>
  <si>
    <t>9302980ff0dbdd48e2bb9a5fcdf74680</t>
  </si>
  <si>
    <t>BN1842_S1_L001_I2_001.fastq.gz</t>
  </si>
  <si>
    <t>5c7f41b011a677f1cae9674dc5f17d3d</t>
  </si>
  <si>
    <t>BN1842_S1_L001_R1_001.fastq.gz</t>
  </si>
  <si>
    <t>a456e7901a23246e8f1293dd1ed58411</t>
  </si>
  <si>
    <t>BN1842_S1_L001_R2_001.fastq.gz</t>
  </si>
  <si>
    <t>87da33f20159278b4c9edf8a1080aa4e</t>
  </si>
  <si>
    <t>BN1842_S1_L002_I1_001.fastq.gz</t>
  </si>
  <si>
    <t>2973845204fc9895126ba168e47a8d19</t>
  </si>
  <si>
    <t>BN1842_S1_L002_I2_001.fastq.gz</t>
  </si>
  <si>
    <t>f2346c9ded72e56cfed72c8e762f1ff2</t>
  </si>
  <si>
    <t>BN1842_S1_L002_R1_001.fastq.gz</t>
  </si>
  <si>
    <t>646532ee709c3771631fab031dc1638d</t>
  </si>
  <si>
    <t>BN1842_S1_L002_R2_001.fastq.gz</t>
  </si>
  <si>
    <t>d3f59c7a8be30d26a8bb197f283317b3</t>
  </si>
  <si>
    <t>BN1842_S1_L003_I1_001.fastq.gz</t>
  </si>
  <si>
    <t>f80ec9bd4ed562ea9f632922c83c9dd4</t>
  </si>
  <si>
    <t>BN1842_S1_L003_I2_001.fastq.gz</t>
  </si>
  <si>
    <t>0c9a75b95969f708241368080a282ba8</t>
  </si>
  <si>
    <t>BN1842_S1_L003_R1_001.fastq.gz</t>
  </si>
  <si>
    <t>0a957569d7eca8bd1a42ad78f4cb027f</t>
  </si>
  <si>
    <t>BN1842_S1_L003_R2_001.fastq.gz</t>
  </si>
  <si>
    <t>d4e95334e4c03f61127057151db3fc89</t>
  </si>
  <si>
    <t>BN1842_S1_L004_I1_001.fastq.gz</t>
  </si>
  <si>
    <t>86f1947ef08954ba7acd1d128c253aea</t>
  </si>
  <si>
    <t>BN1842_S1_L004_I2_001.fastq.gz</t>
  </si>
  <si>
    <t>f531e51528f700df605920b4a977aac7</t>
  </si>
  <si>
    <t>BN1842_S1_L004_R1_001.fastq.gz</t>
  </si>
  <si>
    <t>a7d2c22b20cdb8df40cab3498463a087</t>
  </si>
  <si>
    <t>BN1842_S1_L004_R2_001.fastq.gz</t>
  </si>
  <si>
    <t>bc172604afea096e1ef29e25d089e33c</t>
  </si>
  <si>
    <t>BN157_S3_L001_I1_001.fastq.gz</t>
  </si>
  <si>
    <t>9aa085721ede7fd64b947a9d0986f778</t>
  </si>
  <si>
    <t>BN157_S3_L001_I2_001.fastq.gz</t>
  </si>
  <si>
    <t>c24dc4a4b3a3bbd7a665b0605bd26b12</t>
  </si>
  <si>
    <t>BN157_S3_L001_R1_001.fastq.gz</t>
  </si>
  <si>
    <t>19a75a27a98198a4c6c059937d6e4da7</t>
  </si>
  <si>
    <t>BN157_S3_L001_R2_001.fastq.gz</t>
  </si>
  <si>
    <t>e22630e6db501cc768190c6d4217d006</t>
  </si>
  <si>
    <t>BN157_S3_L002_I1_001.fastq.gz</t>
  </si>
  <si>
    <t>0b01426ee9276eae7d7085209d02c6f5</t>
  </si>
  <si>
    <t>BN157_S3_L002_I2_001.fastq.gz</t>
  </si>
  <si>
    <t>1fb9ab566b1a4c4c0acaaec5552e2c49</t>
  </si>
  <si>
    <t>BN157_S3_L002_R1_001.fastq.gz</t>
  </si>
  <si>
    <t>2934f5ef40b2734ced058f2b0d4e0e6b</t>
  </si>
  <si>
    <t>BN157_S3_L002_R2_001.fastq.gz</t>
  </si>
  <si>
    <t>422b59928d2c6ecc8fbaaf592b6c0441</t>
  </si>
  <si>
    <t>BN157_S3_L003_I1_001.fastq.gz</t>
  </si>
  <si>
    <t>841501d2887eee31d66e2ecd93d0f52a</t>
  </si>
  <si>
    <t>BN157_S3_L003_I2_001.fastq.gz</t>
  </si>
  <si>
    <t>734eb9efc79170a77a2ba9e0023d62c3</t>
  </si>
  <si>
    <t>BN157_S3_L003_R1_001.fastq.gz</t>
  </si>
  <si>
    <t>a520747db40e9dc30a6c4a5851b4e6af</t>
  </si>
  <si>
    <t>BN157_S3_L003_R2_001.fastq.gz</t>
  </si>
  <si>
    <t>4e3f9db1645d0f124858da4c393e17cb</t>
  </si>
  <si>
    <t>BN157_S3_L004_I1_001.fastq.gz</t>
  </si>
  <si>
    <t>08f92bd1f1950503d283601ae8be2066</t>
  </si>
  <si>
    <t>BN157_S3_L004_I2_001.fastq.gz</t>
  </si>
  <si>
    <t>b41c9238f9c454fe706fa436bc90ffcc</t>
  </si>
  <si>
    <t>BN157_S3_L004_R1_001.fastq.gz</t>
  </si>
  <si>
    <t>bcfa1e03267663109cacd139866a96e9</t>
  </si>
  <si>
    <t>BN157_S3_L004_R2_001.fastq.gz</t>
  </si>
  <si>
    <t>0994b4207d292f1e820e6400bbcbf780</t>
  </si>
  <si>
    <t>BN9966_S1_L001_I1_001.fastq.gz</t>
  </si>
  <si>
    <t>4e4f0067a89c44b44c82c60efa1c7595</t>
  </si>
  <si>
    <t>BN9966_S1_L001_I2_001.fastq.gz</t>
  </si>
  <si>
    <t>a4983738032a9986d08ae4c14b3ca86d</t>
  </si>
  <si>
    <t>BN9966_S1_L001_R1_001.fastq.gz</t>
  </si>
  <si>
    <t>2185320346a344daa61319d7a2ae2372</t>
  </si>
  <si>
    <t>BN9966_S1_L001_R2_001.fastq.gz</t>
  </si>
  <si>
    <t>5367eb638d5de8d00351a79ce7047f64</t>
  </si>
  <si>
    <t>BN9966_S1_L002_I1_001.fastq.gz</t>
  </si>
  <si>
    <t>ac61287957d140e9edc22e8adf6f8128</t>
  </si>
  <si>
    <t>BN9966_S1_L002_I2_001.fastq.gz</t>
  </si>
  <si>
    <t>cd47fe2b90e3cf5b9c0f6ee2dc7b690d</t>
  </si>
  <si>
    <t>BN9966_S1_L002_R1_001.fastq.gz</t>
  </si>
  <si>
    <t>cca50169587269d480504abeed59747a</t>
  </si>
  <si>
    <t>BN9966_S1_L002_R2_001.fastq.gz</t>
  </si>
  <si>
    <t>a6d6e9842fbea7efc4c03d8c58b86acc</t>
  </si>
  <si>
    <t>BN9966_S1_L003_I1_001.fastq.gz</t>
  </si>
  <si>
    <t>7f2c76db0d0f23108041107d69ada612</t>
  </si>
  <si>
    <t>BN9966_S1_L003_I2_001.fastq.gz</t>
  </si>
  <si>
    <t>fc6acecd322f9e7707cb82fe618ba613</t>
  </si>
  <si>
    <t>BN9966_S1_L003_R1_001.fastq.gz</t>
  </si>
  <si>
    <t>679c4ca12f4f5c1238196dc8cfa41fba</t>
  </si>
  <si>
    <t>BN9966_S1_L003_R2_001.fastq.gz</t>
  </si>
  <si>
    <t>dde4b2455ff18388be99592c8fb65a2e</t>
  </si>
  <si>
    <t>BN9966_S1_L004_I1_001.fastq.gz</t>
  </si>
  <si>
    <t>35e5a319f78625dbfe028e94596fb46c</t>
  </si>
  <si>
    <t>BN9966_S1_L004_I2_001.fastq.gz</t>
  </si>
  <si>
    <t>c2a00dc07e9f055552fe3b39afb532c6</t>
  </si>
  <si>
    <t>BN9966_S1_L004_R1_001.fastq.gz</t>
  </si>
  <si>
    <t>4094ed6328f7a6db02e4be5f2205bd34</t>
  </si>
  <si>
    <t>BN9966_S1_L004_R2_001.fastq.gz</t>
  </si>
  <si>
    <t>e591637edb774bfad3208e684c9ca169</t>
  </si>
  <si>
    <t>BN0464_S1_L001_I1_001.fastq.gz</t>
  </si>
  <si>
    <t>b92abcf2bba1c2c53986913986387846</t>
  </si>
  <si>
    <t>BN0464_S1_L001_I2_001.fastq.gz</t>
  </si>
  <si>
    <t>b9ecece00b38ed8d56309fcdaf44c778</t>
  </si>
  <si>
    <t>BN0464_S1_L001_R1_001.fastq.gz</t>
  </si>
  <si>
    <t>d98a16f9c9aae21de8a043fcefc549fc</t>
  </si>
  <si>
    <t>BN0464_S1_L001_R2_001.fastq.gz</t>
  </si>
  <si>
    <t>c280929ee630382252a49745b67e3ccf</t>
  </si>
  <si>
    <t>BN0464_S1_L002_I1_001.fastq.gz</t>
  </si>
  <si>
    <t>ad68b31a04f899d3d5bf26bf01eff221</t>
  </si>
  <si>
    <t>BN0464_S1_L002_I2_001.fastq.gz</t>
  </si>
  <si>
    <t>9583caf1e3a204b22e03dc6e739b700a</t>
  </si>
  <si>
    <t>BN0464_S1_L002_R1_001.fastq.gz</t>
  </si>
  <si>
    <t>937e268d83644791515e0cd1bb53ce6a</t>
  </si>
  <si>
    <t>BN0464_S1_L002_R2_001.fastq.gz</t>
  </si>
  <si>
    <t>182018e9b929b668584c7fbcdb58335e</t>
  </si>
  <si>
    <t>BN0464_S1_L003_I1_001.fastq.gz</t>
  </si>
  <si>
    <t>feec82143229e92216c3838ec3916ac8</t>
  </si>
  <si>
    <t>BN0464_S1_L003_I2_001.fastq.gz</t>
  </si>
  <si>
    <t>8b86d3c697d08c5cf7d03f0e65d31b29</t>
  </si>
  <si>
    <t>BN0464_S1_L003_R1_001.fastq.gz</t>
  </si>
  <si>
    <t>724db1017390afe2b8665b73446e3cad</t>
  </si>
  <si>
    <t>BN0464_S1_L003_R2_001.fastq.gz</t>
  </si>
  <si>
    <t>f9b2c2b719bc2187c73773e23ec88646</t>
  </si>
  <si>
    <t>BN0464_S1_L004_I1_001.fastq.gz</t>
  </si>
  <si>
    <t>d226d3e67080af177407f0b6e979777b</t>
  </si>
  <si>
    <t>BN0464_S1_L004_I2_001.fastq.gz</t>
  </si>
  <si>
    <t>19db676b1b440de9cdb348750e9bff27</t>
  </si>
  <si>
    <t>BN0464_S1_L004_R1_001.fastq.gz</t>
  </si>
  <si>
    <t>97728e481c1f55b80e8a6411237b1171</t>
  </si>
  <si>
    <t>BN0464_S1_L004_R2_001.fastq.gz</t>
  </si>
  <si>
    <t>13b7a87c4803c0383ae9b99674c5fb28</t>
  </si>
  <si>
    <t>BN0934_S2_L001_I1_001.fastq.gz</t>
  </si>
  <si>
    <t>6e79095d03cfe6bafacf6d985d08020c</t>
  </si>
  <si>
    <t>BN0934_S2_L001_I2_001.fastq.gz</t>
  </si>
  <si>
    <t>8ef488fb3c1ecebf4a67809cab71afdc</t>
  </si>
  <si>
    <t>BN0934_S2_L001_R1_001.fastq.gz</t>
  </si>
  <si>
    <t>6fe7f93ca50ee3a9427e56e1fc20040e</t>
  </si>
  <si>
    <t>BN0934_S2_L001_R2_001.fastq.gz</t>
  </si>
  <si>
    <t>615e4947775717c323d0c52fef0adb63</t>
  </si>
  <si>
    <t>BN0934_S2_L002_I1_001.fastq.gz</t>
  </si>
  <si>
    <t>a21a66569225a0376f51821a9c44f221</t>
  </si>
  <si>
    <t>BN0934_S2_L002_I2_001.fastq.gz</t>
  </si>
  <si>
    <t>1c95c11bd134be2e0ff80d6214369bce</t>
  </si>
  <si>
    <t>BN0934_S2_L002_R1_001.fastq.gz</t>
  </si>
  <si>
    <t>d71a8bcd790ff332ee82c732842dca56</t>
  </si>
  <si>
    <t>BN0934_S2_L002_R2_001.fastq.gz</t>
  </si>
  <si>
    <t>a54f0549abb91bb898152c82dea0026f</t>
  </si>
  <si>
    <t>BN0934_S2_L003_I1_001.fastq.gz</t>
  </si>
  <si>
    <t>2f8593c688b5c1c68361e4966f705fb7</t>
  </si>
  <si>
    <t>BN0934_S2_L003_I2_001.fastq.gz</t>
  </si>
  <si>
    <t>d9141e87c0b1a0b4da235973279b04bc</t>
  </si>
  <si>
    <t>BN0934_S2_L003_R1_001.fastq.gz</t>
  </si>
  <si>
    <t>18500951611f8e0318d5de3670346b65</t>
  </si>
  <si>
    <t>BN0934_S2_L003_R2_001.fastq.gz</t>
  </si>
  <si>
    <t>1ec81632d05668b4c0708ed1dbd18ac2</t>
  </si>
  <si>
    <t>BN0934_S2_L004_I1_001.fastq.gz</t>
  </si>
  <si>
    <t>6e766d6b71203a22012bbc42604f176b</t>
  </si>
  <si>
    <t>BN0934_S2_L004_I2_001.fastq.gz</t>
  </si>
  <si>
    <t>9053043cb2ff22231bc0e33f42411311</t>
  </si>
  <si>
    <t>BN0934_S2_L004_R1_001.fastq.gz</t>
  </si>
  <si>
    <t>3349e0155ae00f3bdd0e8dc8e7ead9cd</t>
  </si>
  <si>
    <t>BN0934_S2_L004_R2_001.fastq.gz</t>
  </si>
  <si>
    <t>32687c7adb0be3b6f308bcb0838c64cd</t>
  </si>
  <si>
    <t>BN1076_S3_L001_I1_001.fastq.gz</t>
  </si>
  <si>
    <t>7ad96b128698de3af072aa8d34a874dd</t>
  </si>
  <si>
    <t>BN1076_S3_L001_I2_001.fastq.gz</t>
  </si>
  <si>
    <t>d4678ab4f3a1f0e07be5eb0cb7f7a9e1</t>
  </si>
  <si>
    <t>BN1076_S3_L001_R1_001.fastq.gz</t>
  </si>
  <si>
    <t>37d2cdffd2117f7231eba3a4d2b24f20</t>
  </si>
  <si>
    <t>BN1076_S3_L001_R2_001.fastq.gz</t>
  </si>
  <si>
    <t>880e76b46f4c585c7e4e11eaaacf983f</t>
  </si>
  <si>
    <t>BN1076_S3_L002_I1_001.fastq.gz</t>
  </si>
  <si>
    <t>d9c68165bed37f6c19a3f9776f5f5ffc</t>
  </si>
  <si>
    <t>BN1076_S3_L002_I2_001.fastq.gz</t>
  </si>
  <si>
    <t>43eb462384d1f84214321d8dfd5a2581</t>
  </si>
  <si>
    <t>BN1076_S3_L002_R1_001.fastq.gz</t>
  </si>
  <si>
    <t>9e3a245666e951fe09bb121004a6d410</t>
  </si>
  <si>
    <t>BN1076_S3_L002_R2_001.fastq.gz</t>
  </si>
  <si>
    <t>34761bd6ab7c93fb593ec6fc32ac12fb</t>
  </si>
  <si>
    <t>BN1076_S3_L003_I1_001.fastq.gz</t>
  </si>
  <si>
    <t>5b5110b30a8f764715c01f556b7375e5</t>
  </si>
  <si>
    <t>BN1076_S3_L003_I2_001.fastq.gz</t>
  </si>
  <si>
    <t>9008349e226d765d9f882d37f4e18923</t>
  </si>
  <si>
    <t>BN1076_S3_L003_R1_001.fastq.gz</t>
  </si>
  <si>
    <t>68334db8ae79726977e69781af6b0e54</t>
  </si>
  <si>
    <t>BN1076_S3_L003_R2_001.fastq.gz</t>
  </si>
  <si>
    <t>abae56efc8c726bcafb57b0d19b8d59c</t>
  </si>
  <si>
    <t>BN1076_S3_L004_I1_001.fastq.gz</t>
  </si>
  <si>
    <t>871b28f3f98d201540718e79f0c83f57</t>
  </si>
  <si>
    <t>BN1076_S3_L004_I2_001.fastq.gz</t>
  </si>
  <si>
    <t>15b8175fd3df73e403e3227a52d1f31e</t>
  </si>
  <si>
    <t>BN1076_S3_L004_R1_001.fastq.gz</t>
  </si>
  <si>
    <t>c425028195b74393c8cc15d460f2f1b7</t>
  </si>
  <si>
    <t>BN1076_S3_L004_R2_001.fastq.gz</t>
  </si>
  <si>
    <t>24ee1b0dfed396ebae2079fc4cbf4f1f</t>
  </si>
  <si>
    <t>BN9947_S4_L001_I1_001.fastq.gz</t>
  </si>
  <si>
    <t>33498be51c064462eb25d02f493d8d4a</t>
  </si>
  <si>
    <t>BN9947_S4_L001_I2_001.fastq.gz</t>
  </si>
  <si>
    <t>177ce491d908705af2498a8c3e3dd00c</t>
  </si>
  <si>
    <t>BN9947_S4_L001_R1_001.fastq.gz</t>
  </si>
  <si>
    <t>8e670fb052a9e296d73115d41302b20a</t>
  </si>
  <si>
    <t>BN9947_S4_L001_R2_001.fastq.gz</t>
  </si>
  <si>
    <t>8a99771958c386fd96caa57097d9372e</t>
  </si>
  <si>
    <t>BN9947_S4_L002_I1_001.fastq.gz</t>
  </si>
  <si>
    <t>0d6ae1da1036aa0e5b3b6859df1c9097</t>
  </si>
  <si>
    <t>BN9947_S4_L002_I2_001.fastq.gz</t>
  </si>
  <si>
    <t>4a909b3f0bc90ad02581fa89cbc3c897</t>
  </si>
  <si>
    <t>BN9947_S4_L002_R1_001.fastq.gz</t>
  </si>
  <si>
    <t>4fbc408f9f1accfc8bb541ad47a00446</t>
  </si>
  <si>
    <t>BN9947_S4_L002_R2_001.fastq.gz</t>
  </si>
  <si>
    <t>c417685d8debb993f0ba1188d6c9c8ac</t>
  </si>
  <si>
    <t>BN9947_S4_L003_I1_001.fastq.gz</t>
  </si>
  <si>
    <t>3a7f57086eec1cf9625dc244736fc88d</t>
  </si>
  <si>
    <t>BN9947_S4_L003_I2_001.fastq.gz</t>
  </si>
  <si>
    <t>46c551a60a72453d1deef77a29c943d4</t>
  </si>
  <si>
    <t>BN9947_S4_L003_R1_001.fastq.gz</t>
  </si>
  <si>
    <t>eadd8c6c70ab0ee4de0d36d6b6f26413</t>
  </si>
  <si>
    <t>BN9947_S4_L003_R2_001.fastq.gz</t>
  </si>
  <si>
    <t>00db7ccb65cdddc14cf9902bc5bd2aeb</t>
  </si>
  <si>
    <t>BN9947_S4_L004_I1_001.fastq.gz</t>
  </si>
  <si>
    <t>6ef93de7b15ec60931dd70a684a8d890</t>
  </si>
  <si>
    <t>BN9947_S4_L004_I2_001.fastq.gz</t>
  </si>
  <si>
    <t>2945b30fb39b97288972e8a3b7ac60a6</t>
  </si>
  <si>
    <t>BN9947_S4_L004_R1_001.fastq.gz</t>
  </si>
  <si>
    <t>f8a538395973f5f7ed303469e891e986</t>
  </si>
  <si>
    <t>BN9947_S4_L004_R2_001.fastq.gz</t>
  </si>
  <si>
    <t>6ae80b67245bcc92d32927ff4e383ac4</t>
  </si>
  <si>
    <t>BN0855_S1_L001_I1_001.fastq.gz</t>
  </si>
  <si>
    <t>9edc362f8aa842575cf8291f6e3623d2</t>
  </si>
  <si>
    <t>BN0855_S1_L001_I2_001.fastq.gz</t>
  </si>
  <si>
    <t>2af5fa5d6d77dd50da1023d266c78011</t>
  </si>
  <si>
    <t>BN0855_S1_L001_R1_001.fastq.gz</t>
  </si>
  <si>
    <t>c53ab771f6d4b7d83d1c963045c8f0fe</t>
  </si>
  <si>
    <t>BN0855_S1_L001_R2_001.fastq.gz</t>
  </si>
  <si>
    <t>45bda1fcc35c8502d71f29724b58bb51</t>
  </si>
  <si>
    <t>BN0855_S1_L002_I1_001.fastq.gz</t>
  </si>
  <si>
    <t>8824ae1cb9c51962ae3d71b03b2e91ea</t>
  </si>
  <si>
    <t>BN0855_S1_L002_I2_001.fastq.gz</t>
  </si>
  <si>
    <t>2e820ab8f998c0d5a9156a5e3cc50e22</t>
  </si>
  <si>
    <t>BN0855_S1_L002_R1_001.fastq.gz</t>
  </si>
  <si>
    <t>6cb8981aecca4cb0b6f8a3bd0248e897</t>
  </si>
  <si>
    <t>BN0855_S1_L002_R2_001.fastq.gz</t>
  </si>
  <si>
    <t>ac1425c9b9fb9c140d576d218909f626</t>
  </si>
  <si>
    <t>BN0855_S1_L003_I1_001.fastq.gz</t>
  </si>
  <si>
    <t>cfed42da942bce0f31c3d5e7ac4acd5c</t>
  </si>
  <si>
    <t>BN0855_S1_L003_I2_001.fastq.gz</t>
  </si>
  <si>
    <t>ea2e30e62171660445911dce90f71513</t>
  </si>
  <si>
    <t>BN0855_S1_L003_R1_001.fastq.gz</t>
  </si>
  <si>
    <t>7ef8d4f7511581e628e6ab0987a8b06e</t>
  </si>
  <si>
    <t>BN0855_S1_L003_R2_001.fastq.gz</t>
  </si>
  <si>
    <t>38a92934feecf67d31d43f907bd0f713</t>
  </si>
  <si>
    <t>BN0855_S1_L004_I1_001.fastq.gz</t>
  </si>
  <si>
    <t>594810b51e828dfb940135ef0fd24ac3</t>
  </si>
  <si>
    <t>BN0855_S1_L004_I2_001.fastq.gz</t>
  </si>
  <si>
    <t>562041b86677853bd34405cbc5841bbc</t>
  </si>
  <si>
    <t>BN0855_S1_L004_R1_001.fastq.gz</t>
  </si>
  <si>
    <t>a69c99da141e56cb5cf6b0177f3c601f</t>
  </si>
  <si>
    <t>BN0855_S1_L004_R2_001.fastq.gz</t>
  </si>
  <si>
    <t>bdc02583b03de8e430b0487347309121</t>
  </si>
  <si>
    <t>BN1518_S2_L001_I1_001.fastq.gz</t>
  </si>
  <si>
    <t>19b481a7bdaeeb721d0bf102ba4a5591</t>
  </si>
  <si>
    <t>BN1518_S2_L001_I2_001.fastq.gz</t>
  </si>
  <si>
    <t>de917ceb5395f9e338b60bba1063c475</t>
  </si>
  <si>
    <t>BN1518_S2_L001_R1_001.fastq.gz</t>
  </si>
  <si>
    <t>96d181c94896a71d2aead97e7005a0f3</t>
  </si>
  <si>
    <t>BN1518_S2_L001_R2_001.fastq.gz</t>
  </si>
  <si>
    <t>355c797befdb6842755f07eeb952bdab</t>
  </si>
  <si>
    <t>BN1518_S2_L002_I1_001.fastq.gz</t>
  </si>
  <si>
    <t>6d560fd9906330242a572b8ffa96bd99</t>
  </si>
  <si>
    <t>BN1518_S2_L002_I2_001.fastq.gz</t>
  </si>
  <si>
    <t>93c8d35aa63e8ad5753ac2f99a9ad1d1</t>
  </si>
  <si>
    <t>BN1518_S2_L002_R1_001.fastq.gz</t>
  </si>
  <si>
    <t>c8b01af9e3afa14749adb9495b6e49fc</t>
  </si>
  <si>
    <t>BN1518_S2_L002_R2_001.fastq.gz</t>
  </si>
  <si>
    <t>618f0fbddd761858401dd04917b6ee81</t>
  </si>
  <si>
    <t>BN1518_S2_L003_I1_001.fastq.gz</t>
  </si>
  <si>
    <t>52f0227c80a584406d87875e57ab8c9b</t>
  </si>
  <si>
    <t>BN1518_S2_L003_I2_001.fastq.gz</t>
  </si>
  <si>
    <t>f5d4249b79e671c398bec307f7ba655a</t>
  </si>
  <si>
    <t>BN1518_S2_L003_R1_001.fastq.gz</t>
  </si>
  <si>
    <t>8878dff841814442511f1ffbae613e66</t>
  </si>
  <si>
    <t>BN1518_S2_L003_R2_001.fastq.gz</t>
  </si>
  <si>
    <t>ddab24753936341e5fea7f7b621f718e</t>
  </si>
  <si>
    <t>BN1518_S2_L004_I1_001.fastq.gz</t>
  </si>
  <si>
    <t>c96283bf5dc823e6f31f6aecfc1877b2</t>
  </si>
  <si>
    <t>BN1518_S2_L004_I2_001.fastq.gz</t>
  </si>
  <si>
    <t>33cee2614ddcc44b2ade3258e666ae58</t>
  </si>
  <si>
    <t>BN1518_S2_L004_R1_001.fastq.gz</t>
  </si>
  <si>
    <t>0d35961c1a4ad46eeccb3978637df5a9</t>
  </si>
  <si>
    <t>BN1518_S2_L004_R2_001.fastq.gz</t>
  </si>
  <si>
    <t>d0f71ed5df89afb0c48678f431bb6e23</t>
  </si>
  <si>
    <t>BN1902_S3_L001_I1_001.fastq.gz</t>
  </si>
  <si>
    <t>2e70e905a815f48a5a569af9fc78a534</t>
  </si>
  <si>
    <t>BN1902_S3_L001_I2_001.fastq.gz</t>
  </si>
  <si>
    <t>17d176d5af21c2b45ce06bae7cba190d</t>
  </si>
  <si>
    <t>BN1902_S3_L001_R1_001.fastq.gz</t>
  </si>
  <si>
    <t>f7f75e3c791f69ca07d2cf477f5693ad</t>
  </si>
  <si>
    <t>BN1902_S3_L001_R2_001.fastq.gz</t>
  </si>
  <si>
    <t>0cad858ed4d5b80c56bf250a877e3947</t>
  </si>
  <si>
    <t>BN1902_S3_L002_I1_001.fastq.gz</t>
  </si>
  <si>
    <t>519fadf641af4515f336fe6733d3e25e</t>
  </si>
  <si>
    <t>BN1902_S3_L002_I2_001.fastq.gz</t>
  </si>
  <si>
    <t>affba6d853dabd79a6e11d645e6cfe59</t>
  </si>
  <si>
    <t>BN1902_S3_L002_R1_001.fastq.gz</t>
  </si>
  <si>
    <t>5da4452dfbbbcd35610aa801c2079720</t>
  </si>
  <si>
    <t>BN1902_S3_L002_R2_001.fastq.gz</t>
  </si>
  <si>
    <t>3d2db613d7eaae8e04061589279a5eda</t>
  </si>
  <si>
    <t>BN1902_S3_L003_I1_001.fastq.gz</t>
  </si>
  <si>
    <t>a2c9ec8fd7d73a09d9ce85017ed8c2b0</t>
  </si>
  <si>
    <t>BN1902_S3_L003_I2_001.fastq.gz</t>
  </si>
  <si>
    <t>b88870a713fa11afd577f792c3c1aca0</t>
  </si>
  <si>
    <t>BN1902_S3_L003_R1_001.fastq.gz</t>
  </si>
  <si>
    <t>ac5096bda6009274b7eba536bc6bb422</t>
  </si>
  <si>
    <t>BN1902_S3_L003_R2_001.fastq.gz</t>
  </si>
  <si>
    <t>5babbc9a9030ea93a53fb02a68d4aeee</t>
  </si>
  <si>
    <t>BN1902_S3_L004_I1_001.fastq.gz</t>
  </si>
  <si>
    <t>209daec6d9eef69e8c12cab517e037ad</t>
  </si>
  <si>
    <t>BN1902_S3_L004_I2_001.fastq.gz</t>
  </si>
  <si>
    <t>4894a11c83f577373a3232af78f27652</t>
  </si>
  <si>
    <t>BN1902_S3_L004_R1_001.fastq.gz</t>
  </si>
  <si>
    <t>1d9931dd9effeeba0a9f4a39e7ff4376</t>
  </si>
  <si>
    <t>BN1902_S3_L004_R2_001.fastq.gz</t>
  </si>
  <si>
    <t>6b2ba0d4ac039981a460dd6ad7d8ae5f</t>
  </si>
  <si>
    <t>BN1878_S1_L001_I1_001.fastq.gz</t>
  </si>
  <si>
    <t>8d71cdc8ed1492f8a8fa643af209e44e</t>
  </si>
  <si>
    <t>BN1878_S1_L001_I2_001.fastq.gz</t>
  </si>
  <si>
    <t>4e9ba374cd8e8aa985848c01a7f87648</t>
  </si>
  <si>
    <t>BN1878_S1_L001_R1_001.fastq.gz</t>
  </si>
  <si>
    <t>a0fff03f9c70df56a872b32722afb960</t>
  </si>
  <si>
    <t>BN1878_S1_L001_R2_001.fastq.gz</t>
  </si>
  <si>
    <t>401016b6f657069dd16d75a139f2eef7</t>
  </si>
  <si>
    <t>BN1878_S1_L002_I1_001.fastq.gz</t>
  </si>
  <si>
    <t>497393511012292ab9970996505d9ace</t>
  </si>
  <si>
    <t>BN1878_S1_L002_I2_001.fastq.gz</t>
  </si>
  <si>
    <t>53b3b7bbed5e6fd8baab4c41012edc3d</t>
  </si>
  <si>
    <t>BN1878_S1_L002_R1_001.fastq.gz</t>
  </si>
  <si>
    <t>8c2fdff5b3b4f5b04e02dbe638682077</t>
  </si>
  <si>
    <t>BN1878_S1_L002_R2_001.fastq.gz</t>
  </si>
  <si>
    <t>49b160e3d6a571c153d4f23608c6f3a4</t>
  </si>
  <si>
    <t>BN1878_S1_L003_I1_001.fastq.gz</t>
  </si>
  <si>
    <t>5029741962266f35629fd9f24ab5fe0a</t>
  </si>
  <si>
    <t>BN1878_S1_L003_I2_001.fastq.gz</t>
  </si>
  <si>
    <t>e10312bf83fcbd17a0d67fdf7bcb2698</t>
  </si>
  <si>
    <t>BN1878_S1_L003_R1_001.fastq.gz</t>
  </si>
  <si>
    <t>b1f087b9ba5e2599ca520c8682b2d4d9</t>
  </si>
  <si>
    <t>BN1878_S1_L003_R2_001.fastq.gz</t>
  </si>
  <si>
    <t>33b5ea7d0fa63eca17b98c23bdd80a75</t>
  </si>
  <si>
    <t>BN1878_S1_L004_I1_001.fastq.gz</t>
  </si>
  <si>
    <t>c08dc3e036524a3d647087221a604e41</t>
  </si>
  <si>
    <t>BN1878_S1_L004_I2_001.fastq.gz</t>
  </si>
  <si>
    <t>b672bbed58e1cf9912117c91136c7d42</t>
  </si>
  <si>
    <t>BN1878_S1_L004_R1_001.fastq.gz</t>
  </si>
  <si>
    <t>5c385591dd7fe91f72a22bbf1f9641c5</t>
  </si>
  <si>
    <t>BN1878_S1_L004_R2_001.fastq.gz</t>
  </si>
  <si>
    <t>96e4e3fb5be5a55258e2ee9bc54934a3</t>
  </si>
  <si>
    <t>BN1959_S2_L001_I1_001.fastq.gz</t>
  </si>
  <si>
    <t>29023238796e17c831368f262a16142f</t>
  </si>
  <si>
    <t>BN1959_S2_L001_I2_001.fastq.gz</t>
  </si>
  <si>
    <t>179f405f2f608462805dd03e0d1c9a8f</t>
  </si>
  <si>
    <t>BN1959_S2_L001_R1_001.fastq.gz</t>
  </si>
  <si>
    <t>ce59fc26a66a909190665fc25e658ef5</t>
  </si>
  <si>
    <t>BN1959_S2_L001_R2_001.fastq.gz</t>
  </si>
  <si>
    <t>773b5681d8fd9e3b848252cacab28194</t>
  </si>
  <si>
    <t>BN1959_S2_L002_I1_001.fastq.gz</t>
  </si>
  <si>
    <t>6b81f6e0f4ae9a7dda0d5a31982199ff</t>
  </si>
  <si>
    <t>BN1959_S2_L002_I2_001.fastq.gz</t>
  </si>
  <si>
    <t>b852e40cda73555921426898279034ae</t>
  </si>
  <si>
    <t>BN1959_S2_L002_R1_001.fastq.gz</t>
  </si>
  <si>
    <t>a347bed446aa6b91fb91c78a20818f55</t>
  </si>
  <si>
    <t>BN1959_S2_L002_R2_001.fastq.gz</t>
  </si>
  <si>
    <t>be73b21b3367a7459f956eaff0b7bb97</t>
  </si>
  <si>
    <t>BN1959_S2_L003_I1_001.fastq.gz</t>
  </si>
  <si>
    <t>4118e376aa2242474fe12f83e99a88ef</t>
  </si>
  <si>
    <t>BN1959_S2_L003_I2_001.fastq.gz</t>
  </si>
  <si>
    <t>964350b90b2a1c61654763c2df08354f</t>
  </si>
  <si>
    <t>BN1959_S2_L003_R1_001.fastq.gz</t>
  </si>
  <si>
    <t>ee6997e10db9bf5d54cefc023c99b1a1</t>
  </si>
  <si>
    <t>BN1959_S2_L003_R2_001.fastq.gz</t>
  </si>
  <si>
    <t>a3c01ff10f198dcf723390892d73c01d</t>
  </si>
  <si>
    <t>BN1959_S2_L004_I1_001.fastq.gz</t>
  </si>
  <si>
    <t>7fcf82ab8de4c5d9734383b16907d83b</t>
  </si>
  <si>
    <t>BN1959_S2_L004_I2_001.fastq.gz</t>
  </si>
  <si>
    <t>d3d5d4f710e9b2a42dd3312bfbe7f8d9</t>
  </si>
  <si>
    <t>BN1959_S2_L004_R1_001.fastq.gz</t>
  </si>
  <si>
    <t>587d501a5f15c5b534efd7fd3b1131ce</t>
  </si>
  <si>
    <t>BN1959_S2_L004_R2_001.fastq.gz</t>
  </si>
  <si>
    <t>9dafb133d294f236e7cddfe4916a2ec0</t>
  </si>
  <si>
    <t>BN1960_S3_L001_I1_001.fastq.gz</t>
  </si>
  <si>
    <t>2d4ca523b7fed6364705ab7e356d86fd</t>
  </si>
  <si>
    <t>BN1960_S3_L001_I2_001.fastq.gz</t>
  </si>
  <si>
    <t>ced651d250b63dd24d2cedc17273542b</t>
  </si>
  <si>
    <t>BN1960_S3_L001_R1_001.fastq.gz</t>
  </si>
  <si>
    <t>1491ae8395c88fb1b36fc49427166877</t>
  </si>
  <si>
    <t>BN1960_S3_L001_R2_001.fastq.gz</t>
  </si>
  <si>
    <t>b6e12f8a5911e1edb915752348079718</t>
  </si>
  <si>
    <t>BN1960_S3_L002_I1_001.fastq.gz</t>
  </si>
  <si>
    <t>3344ef798071cca306fad67960b34717</t>
  </si>
  <si>
    <t>BN1960_S3_L002_I2_001.fastq.gz</t>
  </si>
  <si>
    <t>8a2284343f64cc181ffd6c57f7c6dcef</t>
  </si>
  <si>
    <t>BN1960_S3_L002_R1_001.fastq.gz</t>
  </si>
  <si>
    <t>6ed452e359fb68dd9c18ab19413a1f27</t>
  </si>
  <si>
    <t>BN1960_S3_L002_R2_001.fastq.gz</t>
  </si>
  <si>
    <t>6aaf6f220a2f393b23b3bc1989f05aa3</t>
  </si>
  <si>
    <t>BN1960_S3_L003_I1_001.fastq.gz</t>
  </si>
  <si>
    <t>3736997585d4f4d1fa6ad6ea963ba65e</t>
  </si>
  <si>
    <t>BN1960_S3_L003_I2_001.fastq.gz</t>
  </si>
  <si>
    <t>583403ef28cf7ebd5ad3ef42a4648dbf</t>
  </si>
  <si>
    <t>BN1960_S3_L003_R1_001.fastq.gz</t>
  </si>
  <si>
    <t>8792032c8fa23ffb5a0b02306cd9dc46</t>
  </si>
  <si>
    <t>BN1960_S3_L003_R2_001.fastq.gz</t>
  </si>
  <si>
    <t>bece51c3c63022244ff7e62c743f8500</t>
  </si>
  <si>
    <t>BN1960_S3_L004_I1_001.fastq.gz</t>
  </si>
  <si>
    <t>ba1891c6188538484d38365cd98c440a</t>
  </si>
  <si>
    <t>BN1960_S3_L004_I2_001.fastq.gz</t>
  </si>
  <si>
    <t>5b12a1c565f793425308a8cd7865c7b2</t>
  </si>
  <si>
    <t>BN1960_S3_L004_R1_001.fastq.gz</t>
  </si>
  <si>
    <t>7ec78c750f3b5a47c802cc2b6495bf33</t>
  </si>
  <si>
    <t>BN1960_S3_L004_R2_001.fastq.gz</t>
  </si>
  <si>
    <t>e9aab95b3f2babe10629c6604a89d6a8</t>
  </si>
  <si>
    <t>BN1934_S2_L001_I1_001.fastq.gz</t>
  </si>
  <si>
    <t>041c1455236c9a4f640008448de82cca</t>
  </si>
  <si>
    <t>BN1934_S2_L001_I2_001.fastq.gz</t>
  </si>
  <si>
    <t>4284c477e4140950220805020df6c1ae</t>
  </si>
  <si>
    <t>BN1934_S2_L001_R1_001.fastq.gz</t>
  </si>
  <si>
    <t>4aadd4611b67ae00d4ed10d8456ba374</t>
  </si>
  <si>
    <t>BN1934_S2_L001_R2_001.fastq.gz</t>
  </si>
  <si>
    <t>2505bb2087220e426da03e0dd0902e67</t>
  </si>
  <si>
    <t>BN1934_S2_L002_I1_001.fastq.gz</t>
  </si>
  <si>
    <t>66667c245bdec14164de4151fa098f9c</t>
  </si>
  <si>
    <t>BN1934_S2_L002_I2_001.fastq.gz</t>
  </si>
  <si>
    <t>aa64a9fdff6676ef9407cc018b622e0e</t>
  </si>
  <si>
    <t>BN1934_S2_L002_R1_001.fastq.gz</t>
  </si>
  <si>
    <t>c58a36568220d633f7303ddb4cca9fa5</t>
  </si>
  <si>
    <t>BN1934_S2_L002_R2_001.fastq.gz</t>
  </si>
  <si>
    <t>a7668e62b6210fd9f69bda15ba97a296</t>
  </si>
  <si>
    <t>BN1934_S2_L003_I1_001.fastq.gz</t>
  </si>
  <si>
    <t>36430df4292a45de696bcbca376469cb</t>
  </si>
  <si>
    <t>BN1934_S2_L003_I2_001.fastq.gz</t>
  </si>
  <si>
    <t>0383e576bd1e03d0a3abf296c627554c</t>
  </si>
  <si>
    <t>BN1934_S2_L003_R1_001.fastq.gz</t>
  </si>
  <si>
    <t>98af0f114083e6b7f616e75c14d4485b</t>
  </si>
  <si>
    <t>BN1934_S2_L003_R2_001.fastq.gz</t>
  </si>
  <si>
    <t>28ab9c096231061c0a227f09e823c402</t>
  </si>
  <si>
    <t>BN1934_S2_L004_I1_001.fastq.gz</t>
  </si>
  <si>
    <t>8183982504803f8c5ed66f06abe892bf</t>
  </si>
  <si>
    <t>BN1934_S2_L004_I2_001.fastq.gz</t>
  </si>
  <si>
    <t>dbff2030feca0568fe566a8101908d8d</t>
  </si>
  <si>
    <t>BN1934_S2_L004_R1_001.fastq.gz</t>
  </si>
  <si>
    <t>a6d093e60767780ef8c630a7528efc36</t>
  </si>
  <si>
    <t>BN1934_S2_L004_R2_001.fastq.gz</t>
  </si>
  <si>
    <t>1a5dc4b4b30e5b9ca52b62cf300a05df</t>
  </si>
  <si>
    <t>BN2003_S3_L001_I1_001.fastq.gz</t>
  </si>
  <si>
    <t>917458c74837c65788efda4c2f867250</t>
  </si>
  <si>
    <t>BN2003_S3_L001_I2_001.fastq.gz</t>
  </si>
  <si>
    <t>0c8b6b0e739b59a39fa150bc59423ce4</t>
  </si>
  <si>
    <t>BN2003_S3_L001_R1_001.fastq.gz</t>
  </si>
  <si>
    <t>cb9acac063b3cd76d54e828f5a56535b</t>
  </si>
  <si>
    <t>BN2003_S3_L001_R2_001.fastq.gz</t>
  </si>
  <si>
    <t>af6a7fa4a4f47e20b313e2215255b890</t>
  </si>
  <si>
    <t>BN2003_S3_L002_I1_001.fastq.gz</t>
  </si>
  <si>
    <t>423967109bdf885c219bc68013049664</t>
  </si>
  <si>
    <t>BN2003_S3_L002_I2_001.fastq.gz</t>
  </si>
  <si>
    <t>c4495b8472aaf0bb7b14643d7273549b</t>
  </si>
  <si>
    <t>BN2003_S3_L002_R1_001.fastq.gz</t>
  </si>
  <si>
    <t>3d8d52b6f5e29db28c8b2c292db78a49</t>
  </si>
  <si>
    <t>BN2003_S3_L002_R2_001.fastq.gz</t>
  </si>
  <si>
    <t>30d72138b50d4bec279605e24ac36952</t>
  </si>
  <si>
    <t>BN2003_S3_L003_I1_001.fastq.gz</t>
  </si>
  <si>
    <t>be717334cbf0dc42c135fce8b8ee13a3</t>
  </si>
  <si>
    <t>BN2003_S3_L003_I2_001.fastq.gz</t>
  </si>
  <si>
    <t>ed5781c0a311b6b3c2f8b16fd0f48db7</t>
  </si>
  <si>
    <t>BN2003_S3_L003_R1_001.fastq.gz</t>
  </si>
  <si>
    <t>8c384831f13314fc345fc5829fc10dd5</t>
  </si>
  <si>
    <t>BN2003_S3_L003_R2_001.fastq.gz</t>
  </si>
  <si>
    <t>175ab315064386eb770815e162b44029</t>
  </si>
  <si>
    <t>BN2003_S3_L004_I1_001.fastq.gz</t>
  </si>
  <si>
    <t>338a8468baa89594d710136c9984896e</t>
  </si>
  <si>
    <t>BN2003_S3_L004_I2_001.fastq.gz</t>
  </si>
  <si>
    <t>97d6b5eea5f4d7b776402344592b6788</t>
  </si>
  <si>
    <t>BN2003_S3_L004_R1_001.fastq.gz</t>
  </si>
  <si>
    <t>fc840e97c0f8d2f45edf60d7daeb24d4</t>
  </si>
  <si>
    <t>BN2003_S3_L004_R2_001.fastq.gz</t>
  </si>
  <si>
    <t>89f2cc89ee2879145bda26cf46be57b2</t>
  </si>
  <si>
    <t>BN1204_S2_L001_I1_001.fastq.gz</t>
  </si>
  <si>
    <t>086df3defb8fdbfa6f1fa45af5148b3a</t>
  </si>
  <si>
    <t>BN1204_S2_L001_I2_001.fastq.gz</t>
  </si>
  <si>
    <t>fe9d37d513ef373459b48f091f083398</t>
  </si>
  <si>
    <t>BN1204_S2_L001_R1_001.fastq.gz</t>
  </si>
  <si>
    <t>c905184661e70893cc30691faa1d6669</t>
  </si>
  <si>
    <t>BN1204_S2_L001_R2_001.fastq.gz</t>
  </si>
  <si>
    <t>d18fda6cd17525bc186419626135f9ca</t>
  </si>
  <si>
    <t>BN1204_S2_L002_I1_001.fastq.gz</t>
  </si>
  <si>
    <t>32660be67f7af9f2b03228ede286397b</t>
  </si>
  <si>
    <t>BN1204_S2_L002_I2_001.fastq.gz</t>
  </si>
  <si>
    <t>40ecd02012151ad22d71e9b3d5f22654</t>
  </si>
  <si>
    <t>BN1204_S2_L002_R1_001.fastq.gz</t>
  </si>
  <si>
    <t>59f993aa77b226085bc3a0137b28c345</t>
  </si>
  <si>
    <t>BN1204_S2_L002_R2_001.fastq.gz</t>
  </si>
  <si>
    <t>bee17245de0faadc3afcc243fcaca921</t>
  </si>
  <si>
    <t>BN1204_S2_L003_I1_001.fastq.gz</t>
  </si>
  <si>
    <t>3cfa4c38ce9b3b00aeea688b7f75b07e</t>
  </si>
  <si>
    <t>BN1204_S2_L003_I2_001.fastq.gz</t>
  </si>
  <si>
    <t>e95d63ba017839d364bb8199ac9c444f</t>
  </si>
  <si>
    <t>BN1204_S2_L003_R1_001.fastq.gz</t>
  </si>
  <si>
    <t>8e835be537fe4f0a4afcefed72a50ba8</t>
  </si>
  <si>
    <t>BN1204_S2_L003_R2_001.fastq.gz</t>
  </si>
  <si>
    <t>5fa43e54e7652103fa4298eb22ed3001</t>
  </si>
  <si>
    <t>BN1204_S2_L004_I1_001.fastq.gz</t>
  </si>
  <si>
    <t>1238d431a8bd0e7d354dc364166421b0</t>
  </si>
  <si>
    <t>BN1204_S2_L004_I2_001.fastq.gz</t>
  </si>
  <si>
    <t>81c17d842ec0d8b19eea1dc1db896fef</t>
  </si>
  <si>
    <t>BN1204_S2_L004_R1_001.fastq.gz</t>
  </si>
  <si>
    <t>391a40d136ba87733981ada63ef58927</t>
  </si>
  <si>
    <t>BN1204_S2_L004_R2_001.fastq.gz</t>
  </si>
  <si>
    <t>ec626157deaa0eae5dc196776e9367e4</t>
  </si>
  <si>
    <t>BN1730_S3_L001_I1_001.fastq.gz</t>
  </si>
  <si>
    <t>149bf944ca19162d6a496704554d9cf8</t>
  </si>
  <si>
    <t>BN1730_S3_L001_I2_001.fastq.gz</t>
  </si>
  <si>
    <t>0474945cce963cbb58ce28654d6e857c</t>
  </si>
  <si>
    <t>BN1730_S3_L001_R1_001.fastq.gz</t>
  </si>
  <si>
    <t>cab3f925ae01613ed7a2e956095d5bd6</t>
  </si>
  <si>
    <t>BN1730_S3_L001_R2_001.fastq.gz</t>
  </si>
  <si>
    <t>d7a329502bf23619d041a49a50496757</t>
  </si>
  <si>
    <t>BN1730_S3_L002_I1_001.fastq.gz</t>
  </si>
  <si>
    <t>47d41897c3313538959db8fd8d8cf8ef</t>
  </si>
  <si>
    <t>BN1730_S3_L002_I2_001.fastq.gz</t>
  </si>
  <si>
    <t>cf523bc89d14a3cff7462827fa2f2885</t>
  </si>
  <si>
    <t>BN1730_S3_L002_R1_001.fastq.gz</t>
  </si>
  <si>
    <t>5b96e19ac6066675f3f593b025d8a184</t>
  </si>
  <si>
    <t>BN1730_S3_L002_R2_001.fastq.gz</t>
  </si>
  <si>
    <t>5722ddab7d13dc99259594f34bd34214</t>
  </si>
  <si>
    <t>BN1730_S3_L003_I1_001.fastq.gz</t>
  </si>
  <si>
    <t>b8bca73248396f4b01c5a677c1a5da21</t>
  </si>
  <si>
    <t>BN1730_S3_L003_I2_001.fastq.gz</t>
  </si>
  <si>
    <t>c272dccb16cfc2f76aa132ff5d5402cb</t>
  </si>
  <si>
    <t>BN1730_S3_L003_R1_001.fastq.gz</t>
  </si>
  <si>
    <t>c7840b23bd151dd9be32df393db7f258</t>
  </si>
  <si>
    <t>BN1730_S3_L003_R2_001.fastq.gz</t>
  </si>
  <si>
    <t>adb6f9d23accd7f22cb1bc5acb4b72c4</t>
  </si>
  <si>
    <t>BN1730_S3_L004_I1_001.fastq.gz</t>
  </si>
  <si>
    <t>67614ec15d972e233ee733ea85cdc10e</t>
  </si>
  <si>
    <t>BN1730_S3_L004_I2_001.fastq.gz</t>
  </si>
  <si>
    <t>691221ea90abe0dce9f9c3c6ce902fcd</t>
  </si>
  <si>
    <t>BN1730_S3_L004_R1_001.fastq.gz</t>
  </si>
  <si>
    <t>4fdb9dd724a9773d4765a92e6fd531fc</t>
  </si>
  <si>
    <t>BN1730_S3_L004_R2_001.fastq.gz</t>
  </si>
  <si>
    <t>b5dc8f6bd71cfad546de33085e5bfa76</t>
  </si>
  <si>
    <t>BN9944_S1_L001_I1_001.fastq.gz</t>
  </si>
  <si>
    <t>d1ef198a21e781f9d069fe461436dc59</t>
  </si>
  <si>
    <t>BN9944_S1_L001_I2_001.fastq.gz</t>
  </si>
  <si>
    <t>f13dbde70d71004439f1f7f8851ec525</t>
  </si>
  <si>
    <t>BN9944_S1_L001_R1_001.fastq.gz</t>
  </si>
  <si>
    <t>405bced554b034bfdcaba60385cb8973</t>
  </si>
  <si>
    <t>BN9944_S1_L001_R2_001.fastq.gz</t>
  </si>
  <si>
    <t>302be6e7f54a9658e21d88f9838b145c</t>
  </si>
  <si>
    <t>BN9944_S1_L002_I1_001.fastq.gz</t>
  </si>
  <si>
    <t>66648ca6e06cb726c16826a2e2a25805</t>
  </si>
  <si>
    <t>BN9944_S1_L002_I2_001.fastq.gz</t>
  </si>
  <si>
    <t>dcdf7eea6204a35e47b0ef599d580932</t>
  </si>
  <si>
    <t>BN9944_S1_L002_R1_001.fastq.gz</t>
  </si>
  <si>
    <t>42a8624065069cde76b501795002e83a</t>
  </si>
  <si>
    <t>BN9944_S1_L002_R2_001.fastq.gz</t>
  </si>
  <si>
    <t>1f42e251415ae89508bac23e2164f5b3</t>
  </si>
  <si>
    <t>BN9944_S1_L003_I1_001.fastq.gz</t>
  </si>
  <si>
    <t>601c582cbcd739589294da919eec2cea</t>
  </si>
  <si>
    <t>BN9944_S1_L003_I2_001.fastq.gz</t>
  </si>
  <si>
    <t>8e6572b78470ad703e5ad597fa3ea036</t>
  </si>
  <si>
    <t>BN9944_S1_L003_R1_001.fastq.gz</t>
  </si>
  <si>
    <t>615ca610193966e8292ffa52211db2ed</t>
  </si>
  <si>
    <t>BN9944_S1_L003_R2_001.fastq.gz</t>
  </si>
  <si>
    <t>6bbf5106cde204462502403203aef7b8</t>
  </si>
  <si>
    <t>BN9944_S1_L004_I1_001.fastq.gz</t>
  </si>
  <si>
    <t>3604bcbe518f141b56339da4328d1ad7</t>
  </si>
  <si>
    <t>BN9944_S1_L004_I2_001.fastq.gz</t>
  </si>
  <si>
    <t>c9c889e2dd4b6093ee073ab7c79ada1f</t>
  </si>
  <si>
    <t>BN9944_S1_L004_R1_001.fastq.gz</t>
  </si>
  <si>
    <t>3e065a36d88980e9167755b27d033a3d</t>
  </si>
  <si>
    <t>BN9944_S1_L004_R2_001.fastq.gz</t>
  </si>
  <si>
    <t>d2ce02716c55c8473e3c1626b0548fcd</t>
  </si>
  <si>
    <t>BN1266_S1_L001_I1_001.fastq.gz</t>
  </si>
  <si>
    <t>b25259b7de8a01239b257f8a1374f678</t>
  </si>
  <si>
    <t>BN1266_S1_L001_I2_001.fastq.gz</t>
  </si>
  <si>
    <t>ac325dfc3a63cdd7e10052b421d5c5a5</t>
  </si>
  <si>
    <t>BN1266_S1_L001_R1_001.fastq.gz</t>
  </si>
  <si>
    <t>51a9d2283ea4d9cd3f4001f962c355d9</t>
  </si>
  <si>
    <t>BN1266_S1_L001_R2_001.fastq.gz</t>
  </si>
  <si>
    <t>7db3499018f54d43187a3e9b38ffb90c</t>
  </si>
  <si>
    <t>BN1266_S1_L002_I1_001.fastq.gz</t>
  </si>
  <si>
    <t>8ee8d31b2734095c329570c7d9b5dc0e</t>
  </si>
  <si>
    <t>BN1266_S1_L002_I2_001.fastq.gz</t>
  </si>
  <si>
    <t>d1d1e582a8890fc30b38c8214e8706c5</t>
  </si>
  <si>
    <t>BN1266_S1_L002_R1_001.fastq.gz</t>
  </si>
  <si>
    <t>1daa16dfc6b49e49d7f08e029527987f</t>
  </si>
  <si>
    <t>BN1266_S1_L002_R2_001.fastq.gz</t>
  </si>
  <si>
    <t>616325a7a2ccee08b8c930710e8c5e99</t>
  </si>
  <si>
    <t>BN1266_S1_L003_I1_001.fastq.gz</t>
  </si>
  <si>
    <t>a71576331770b04bb4954c5b767a2a54</t>
  </si>
  <si>
    <t>BN1266_S1_L003_I2_001.fastq.gz</t>
  </si>
  <si>
    <t>015741803c7325ad8563a14b33a4d4ff</t>
  </si>
  <si>
    <t>BN1266_S1_L003_R1_001.fastq.gz</t>
  </si>
  <si>
    <t>24169a3d682ba0e2b619bd2168c16a7b</t>
  </si>
  <si>
    <t>BN1266_S1_L003_R2_001.fastq.gz</t>
  </si>
  <si>
    <t>5f2ba7aa9e1763117812549efda5c69d</t>
  </si>
  <si>
    <t>BN1266_S1_L004_I1_001.fastq.gz</t>
  </si>
  <si>
    <t>1bdee06b1d126d3cad6ee10d592a00e6</t>
  </si>
  <si>
    <t>BN1266_S1_L004_I2_001.fastq.gz</t>
  </si>
  <si>
    <t>c11182491e8e0ec996f6551408518997</t>
  </si>
  <si>
    <t>BN1266_S1_L004_R1_001.fastq.gz</t>
  </si>
  <si>
    <t>bb5ffbeeb64672b37ff22bd7c672cf37</t>
  </si>
  <si>
    <t>BN1266_S1_L004_R2_001.fastq.gz</t>
  </si>
  <si>
    <t>0848c098352874a4328385e3f52899a9</t>
  </si>
  <si>
    <t>BN1317_S2_L001_I1_001.fastq.gz</t>
  </si>
  <si>
    <t>103b3cf0aacf45a7e77eb52dec961f84</t>
  </si>
  <si>
    <t>BN1317_S2_L001_I2_001.fastq.gz</t>
  </si>
  <si>
    <t>c33e2b261791aa3429698e10d8bb79f5</t>
  </si>
  <si>
    <t>BN1317_S2_L001_R1_001.fastq.gz</t>
  </si>
  <si>
    <t>84ecc179a70ad7b3559a04f27396f099</t>
  </si>
  <si>
    <t>BN1317_S2_L001_R2_001.fastq.gz</t>
  </si>
  <si>
    <t>18cc6c370d60f3203925a112228bdd24</t>
  </si>
  <si>
    <t>BN1317_S2_L002_I1_001.fastq.gz</t>
  </si>
  <si>
    <t>05de4df9ef2c373cfb82c4098ad9ea68</t>
  </si>
  <si>
    <t>BN1317_S2_L002_I2_001.fastq.gz</t>
  </si>
  <si>
    <t>5b8650bb6bec7664b5ef0223bd75de09</t>
  </si>
  <si>
    <t>BN1317_S2_L002_R1_001.fastq.gz</t>
  </si>
  <si>
    <t>b8497b3348ed5f57fc6188ee400c2002</t>
  </si>
  <si>
    <t>BN1317_S2_L002_R2_001.fastq.gz</t>
  </si>
  <si>
    <t>46d25bd6aba202a3fe97dbacb6864ae1</t>
  </si>
  <si>
    <t>BN1317_S2_L003_I1_001.fastq.gz</t>
  </si>
  <si>
    <t>e3c4d492128aeda3cb7526ad22d95c5c</t>
  </si>
  <si>
    <t>BN1317_S2_L003_I2_001.fastq.gz</t>
  </si>
  <si>
    <t>f7a5ee57ca6c727d3ee578c2963e4d74</t>
  </si>
  <si>
    <t>BN1317_S2_L003_R1_001.fastq.gz</t>
  </si>
  <si>
    <t>c66c66d7f10a28527cb2ac47e269eab8</t>
  </si>
  <si>
    <t>BN1317_S2_L003_R2_001.fastq.gz</t>
  </si>
  <si>
    <t>66ed7ebd37c332bc405415f29b7d0ec9</t>
  </si>
  <si>
    <t>BN1317_S2_L004_I1_001.fastq.gz</t>
  </si>
  <si>
    <t>8c675b4082a5801ffeb0b41aac92dbb2</t>
  </si>
  <si>
    <t>BN1317_S2_L004_I2_001.fastq.gz</t>
  </si>
  <si>
    <t>e258386a691f914e6dae85a102011aa7</t>
  </si>
  <si>
    <t>BN1317_S2_L004_R1_001.fastq.gz</t>
  </si>
  <si>
    <t>fc0e5e1b7073daae227c4653b564a37a</t>
  </si>
  <si>
    <t>BN1317_S2_L004_R2_001.fastq.gz</t>
  </si>
  <si>
    <t>ce211c1516110d76d3f7aea97beba32f</t>
  </si>
  <si>
    <t>BN1762_S3_L001_I1_001.fastq.gz</t>
  </si>
  <si>
    <t>3341b6fd21ae272268f519e0ba49dcda</t>
  </si>
  <si>
    <t>BN1762_S3_L001_I2_001.fastq.gz</t>
  </si>
  <si>
    <t>cef3c6f1531b2cc5c65939487662ac47</t>
  </si>
  <si>
    <t>BN1762_S3_L001_R1_001.fastq.gz</t>
  </si>
  <si>
    <t>8fd1bac04f9f42f9923cb3aea0d7aa91</t>
  </si>
  <si>
    <t>BN1762_S3_L001_R2_001.fastq.gz</t>
  </si>
  <si>
    <t>1a34ce87df042b82574f8397abfe50a3</t>
  </si>
  <si>
    <t>BN1762_S3_L002_I1_001.fastq.gz</t>
  </si>
  <si>
    <t>85a2e18fc89c2c61760fc129c47ac92f</t>
  </si>
  <si>
    <t>BN1762_S3_L002_I2_001.fastq.gz</t>
  </si>
  <si>
    <t>a94d5c2653f4e402e370092814f72881</t>
  </si>
  <si>
    <t>BN1762_S3_L002_R1_001.fastq.gz</t>
  </si>
  <si>
    <t>76233e44887a1005042d9d98a327f576</t>
  </si>
  <si>
    <t>BN1762_S3_L002_R2_001.fastq.gz</t>
  </si>
  <si>
    <t>da0a6d24511c4b5cae93676ba5992dab</t>
  </si>
  <si>
    <t>BN1762_S3_L003_I1_001.fastq.gz</t>
  </si>
  <si>
    <t>9a63547fe650fe48233d6ec24813e7b7</t>
  </si>
  <si>
    <t>BN1762_S3_L003_I2_001.fastq.gz</t>
  </si>
  <si>
    <t>c07dc25b1bcab3b935a4da2a870131f0</t>
  </si>
  <si>
    <t>BN1762_S3_L003_R1_001.fastq.gz</t>
  </si>
  <si>
    <t>f332f6b0a1c9909c47bf6a7447951022</t>
  </si>
  <si>
    <t>BN1762_S3_L003_R2_001.fastq.gz</t>
  </si>
  <si>
    <t>887e3d000587b2774ce3cd7022078577</t>
  </si>
  <si>
    <t>BN1762_S3_L004_I1_001.fastq.gz</t>
  </si>
  <si>
    <t>44ac0c6d4f7f3b4502eead39564c8723</t>
  </si>
  <si>
    <t>BN1762_S3_L004_I2_001.fastq.gz</t>
  </si>
  <si>
    <t>dc114df490e1857072462ca090799005</t>
  </si>
  <si>
    <t>BN1762_S3_L004_R1_001.fastq.gz</t>
  </si>
  <si>
    <t>e24eddb1ac0b1f4d2bdd32b5f69dae27</t>
  </si>
  <si>
    <t>BN1762_S3_L004_R2_001.fastq.gz</t>
  </si>
  <si>
    <t>1d316a45079ccb5213fee401535beb02</t>
  </si>
  <si>
    <t>/mnt/data/projects/ASAP/ST/MTG/backups/data/novaseq_210727/fastq_only/BN0009_S2_L002_R1_001.fastq.gz</t>
  </si>
  <si>
    <t>b53fd2d09894b9677164d8b0f3877f8f</t>
  </si>
  <si>
    <t>10X Visium</t>
  </si>
  <si>
    <t>/mnt/data/projects/ASAP/ST/MTG/backups/data/novaseq_210727/fastq_only/BN0009_S2_L002_R2_001.fastq.gz</t>
  </si>
  <si>
    <t>735e5d7bbfcb810e139a37d93e050fc0</t>
  </si>
  <si>
    <t>/mnt/data/projects/ASAP/ST/MTG/backups/data/novaseq_210727/fastq_only/BN0009_S2_L001_R2_001.fastq.gz</t>
  </si>
  <si>
    <t>2bbafc9007c549459995abef97f06d81</t>
  </si>
  <si>
    <t>/mnt/data/projects/ASAP/ST/MTG/backups/data/novaseq_210727/fastq_only/BN0009_S2_L002_I1_001.fastq.gz</t>
  </si>
  <si>
    <t>5d0948239e8525e902c948e222ba277d</t>
  </si>
  <si>
    <t>/mnt/data/projects/ASAP/ST/MTG/backups/data/novaseq_210727/fastq_only/BN0009_S2_L001_R1_001.fastq.gz</t>
  </si>
  <si>
    <t>35293e7b88800aa550c13073a6cc9696</t>
  </si>
  <si>
    <t>/mnt/data/projects/ASAP/ST/MTG/backups/data/novaseq_210727/fastq_only/BN0009_S2_L002_I2_001.fastq.gz</t>
  </si>
  <si>
    <t>303bbbb96b405a3e539d2acc40c259b3</t>
  </si>
  <si>
    <t>/mnt/data/projects/ASAP/ST/MTG/backups/data/novaseq_210727/fastq_only/BN0009_S2_L001_I2_001.fastq.gz</t>
  </si>
  <si>
    <t>4daa6c5fa236846a1b8808c9a3bba62f</t>
  </si>
  <si>
    <t>/mnt/data/projects/ASAP/ST/MTG/backups/data/novaseq_210727/fastq_only/BN0009_S2_L001_I1_001.fastq.gz</t>
  </si>
  <si>
    <t>ff33bc81f20969c3b672f0f892f6f041</t>
  </si>
  <si>
    <t>BN0329_S2_L001_R1_001.fastq.gz</t>
  </si>
  <si>
    <t>/mnt/data/projects/ASAP/ST/MTG/backups/data/novaseq_210907a/reads/v210907a/outs/fastq_path/HJ2W3DRXY/BN0329_S2_L001_R1_001.fastq.gz</t>
  </si>
  <si>
    <t>9606ff5f4fd3a43e564e41ebffcc0ae1</t>
  </si>
  <si>
    <t>BN0329_S2_L002_I1_001.fastq.gz</t>
  </si>
  <si>
    <t>/mnt/data/projects/ASAP/ST/MTG/backups/data/novaseq_210907a/reads/v210907a/outs/fastq_path/HJ2W3DRXY/BN0329_S2_L002_I1_001.fastq.gz</t>
  </si>
  <si>
    <t>ab0505c3bd345c351e9ed8af79460e64</t>
  </si>
  <si>
    <t>BN0329_S2_L002_R2_001.fastq.gz</t>
  </si>
  <si>
    <t>/mnt/data/projects/ASAP/ST/MTG/backups/data/novaseq_210907a/reads/v210907a/outs/fastq_path/HJ2W3DRXY/BN0329_S2_L002_R2_001.fastq.gz</t>
  </si>
  <si>
    <t>6d3ed636ac0d9a5a40b48acfc8bc87a0</t>
  </si>
  <si>
    <t>BN0329_S2_L002_R1_001.fastq.gz</t>
  </si>
  <si>
    <t>/mnt/data/projects/ASAP/ST/MTG/backups/data/novaseq_210907a/reads/v210907a/outs/fastq_path/HJ2W3DRXY/BN0329_S2_L002_R1_001.fastq.gz</t>
  </si>
  <si>
    <t>adb50443d9c3e4aa7195a7a56329024c</t>
  </si>
  <si>
    <t>BN0329_S2_L001_I2_001.fastq.gz</t>
  </si>
  <si>
    <t>/mnt/data/projects/ASAP/ST/MTG/backups/data/novaseq_210907a/reads/v210907a/outs/fastq_path/HJ2W3DRXY/BN0329_S2_L001_I2_001.fastq.gz</t>
  </si>
  <si>
    <t>74f9fef0200ae885e682653ac1815d3a</t>
  </si>
  <si>
    <t>BN0329_S2_L001_R2_001.fastq.gz</t>
  </si>
  <si>
    <t>/mnt/data/projects/ASAP/ST/MTG/backups/data/novaseq_210907a/reads/v210907a/outs/fastq_path/HJ2W3DRXY/BN0329_S2_L001_R2_001.fastq.gz</t>
  </si>
  <si>
    <t>d8a191510d25d7a9d2d04c9e66ae9d1e</t>
  </si>
  <si>
    <t>BN0329_S2_L002_I2_001.fastq.gz</t>
  </si>
  <si>
    <t>/mnt/data/projects/ASAP/ST/MTG/backups/data/novaseq_210907a/reads/v210907a/outs/fastq_path/HJ2W3DRXY/BN0329_S2_L002_I2_001.fastq.gz</t>
  </si>
  <si>
    <t>91923ca498a196227e4f1461c2fd758c</t>
  </si>
  <si>
    <t>BN0329_S2_L001_I1_001.fastq.gz</t>
  </si>
  <si>
    <t>/mnt/data/projects/ASAP/ST/MTG/backups/data/novaseq_210907a/reads/v210907a/outs/fastq_path/HJ2W3DRXY/BN0329_S2_L001_I1_001.fastq.gz</t>
  </si>
  <si>
    <t>bc3bb4975e838f472d09af907c1c4861</t>
  </si>
  <si>
    <t>/mnt/data/projects/ASAP/ST/MTG/backups/data/novaseq_210727/fastq_only/BN0339_S1_L002_I2_001.fastq.gz</t>
  </si>
  <si>
    <t>d28903f6ce514b6e32136307fe3e3f97</t>
  </si>
  <si>
    <t>/mnt/data/projects/ASAP/ST/MTG/backups/data/novaseq_210727/fastq_only/BN0339_S1_L001_R1_001.fastq.gz</t>
  </si>
  <si>
    <t>fd2c3ba02395057a17ae6a6d8a5b17fe</t>
  </si>
  <si>
    <t>/mnt/data/projects/ASAP/ST/MTG/backups/data/novaseq_210727/fastq_only/BN0339_S1_L002_R1_001.fastq.gz</t>
  </si>
  <si>
    <t>246505768d87ba6d2fd94e6d66a28dd5</t>
  </si>
  <si>
    <t>/mnt/data/projects/ASAP/ST/MTG/backups/data/novaseq_210727/fastq_only/BN0339_S1_L002_I1_001.fastq.gz</t>
  </si>
  <si>
    <t>6e91769ccf4912d92fdd1e7d8c73057e</t>
  </si>
  <si>
    <t>/mnt/data/projects/ASAP/ST/MTG/backups/data/novaseq_210727/fastq_only/BN0339_S1_L001_I2_001.fastq.gz</t>
  </si>
  <si>
    <t>f0e699246fc43534b160109780b502ea</t>
  </si>
  <si>
    <t>/mnt/data/projects/ASAP/ST/MTG/backups/data/novaseq_210727/fastq_only/BN0339_S1_L001_R2_001.fastq.gz</t>
  </si>
  <si>
    <t>d722ed40870dc45e0e5d96f30273bb11</t>
  </si>
  <si>
    <t>/mnt/data/projects/ASAP/ST/MTG/backups/data/novaseq_210727/fastq_only/BN0339_S1_L002_R2_001.fastq.gz</t>
  </si>
  <si>
    <t>1f4015711b4973be5f010e22fa9f849a</t>
  </si>
  <si>
    <t>/mnt/data/projects/ASAP/ST/MTG/backups/data/novaseq_210727/fastq_only/BN0339_S1_L001_I1_001.fastq.gz</t>
  </si>
  <si>
    <t>7fe8cc2e3d56a30b4a503dc4fbafe3d2</t>
  </si>
  <si>
    <t>BN0341_S1_L001_R1_001.fastq.gz</t>
  </si>
  <si>
    <t>/mnt/data/projects/ASAP/ST/MTG/backups/data/novaseq_210907a/reads/v210907a/outs/fastq_path/HJ2W3DRXY/BN0341_S1_L001_R1_001.fastq.gz</t>
  </si>
  <si>
    <t>dd648b78b96ff1606b863d45f1b2df74</t>
  </si>
  <si>
    <t>BN0341_S1_L002_I1_001.fastq.gz</t>
  </si>
  <si>
    <t>/mnt/data/projects/ASAP/ST/MTG/backups/data/novaseq_210907a/reads/v210907a/outs/fastq_path/HJ2W3DRXY/BN0341_S1_L002_I1_001.fastq.gz</t>
  </si>
  <si>
    <t>69b668aa4854fd256d2926c4b7fe0876</t>
  </si>
  <si>
    <t>BN0341_S1_L001_I1_001.fastq.gz</t>
  </si>
  <si>
    <t>/mnt/data/projects/ASAP/ST/MTG/backups/data/novaseq_210907a/reads/v210907a/outs/fastq_path/HJ2W3DRXY/BN0341_S1_L001_I1_001.fastq.gz</t>
  </si>
  <si>
    <t>38e2576e3b5e81d9832cef00d22dfd15</t>
  </si>
  <si>
    <t>BN0341_S1_L002_R2_001.fastq.gz</t>
  </si>
  <si>
    <t>/mnt/data/projects/ASAP/ST/MTG/backups/data/novaseq_210907a/reads/v210907a/outs/fastq_path/HJ2W3DRXY/BN0341_S1_L002_R2_001.fastq.gz</t>
  </si>
  <si>
    <t>225cf9c976198b75ef316835223a4d09</t>
  </si>
  <si>
    <t>BN0341_S1_L002_I2_001.fastq.gz</t>
  </si>
  <si>
    <t>/mnt/data/projects/ASAP/ST/MTG/backups/data/novaseq_210907a/reads/v210907a/outs/fastq_path/HJ2W3DRXY/BN0341_S1_L002_I2_001.fastq.gz</t>
  </si>
  <si>
    <t>bb4c7540a90e054fbe0841729258e15a</t>
  </si>
  <si>
    <t>BN0341_S1_L001_R2_001.fastq.gz</t>
  </si>
  <si>
    <t>/mnt/data/projects/ASAP/ST/MTG/backups/data/novaseq_210907a/reads/v210907a/outs/fastq_path/HJ2W3DRXY/BN0341_S1_L001_R2_001.fastq.gz</t>
  </si>
  <si>
    <t>95e264c063a80bb8aabe119a2880a39b</t>
  </si>
  <si>
    <t>BN0341_S1_L001_I2_001.fastq.gz</t>
  </si>
  <si>
    <t>/mnt/data/projects/ASAP/ST/MTG/backups/data/novaseq_210907a/reads/v210907a/outs/fastq_path/HJ2W3DRXY/BN0341_S1_L001_I2_001.fastq.gz</t>
  </si>
  <si>
    <t>7be7caf3b94ade782f7c55a4a80ea872</t>
  </si>
  <si>
    <t>BN0341_S1_L002_R1_001.fastq.gz</t>
  </si>
  <si>
    <t>/mnt/data/projects/ASAP/ST/MTG/backups/data/novaseq_210907a/reads/v210907a/outs/fastq_path/HJ2W3DRXY/BN0341_S1_L002_R1_001.fastq.gz</t>
  </si>
  <si>
    <t>7133bd10154905a794f762a37045f14c</t>
  </si>
  <si>
    <t>BN0347_1_S1_L002_R1_001.fastq.gz</t>
  </si>
  <si>
    <t>/mnt/data/projects/ASAP/ST/MTG/backups/data/novaseq_211009/fastq/BN0347_1_S1_L002_R1_001.fastq.gz</t>
  </si>
  <si>
    <t>f33402da5d938b7d61afbc1deffc8a5c</t>
  </si>
  <si>
    <t>BN0347_1_S1_L002_I1_001.fastq.gz</t>
  </si>
  <si>
    <t>/mnt/data/projects/ASAP/ST/MTG/backups/data/novaseq_211009/fastq/BN0347_1_S1_L002_I1_001.fastq.gz</t>
  </si>
  <si>
    <t>cb51c7e8d6e32376c90f0ebef7bebdf6</t>
  </si>
  <si>
    <t>BN0347_1_S1_L001_R2_001.fastq.gz</t>
  </si>
  <si>
    <t>/mnt/data/projects/ASAP/ST/MTG/backups/data/novaseq_211009/fastq/BN0347_1_S1_L001_R2_001.fastq.gz</t>
  </si>
  <si>
    <t>1c8b61de204761fbd32097c14990ba9e</t>
  </si>
  <si>
    <t>BN0347_1_S1_L001_R1_001.fastq.gz</t>
  </si>
  <si>
    <t>/mnt/data/projects/ASAP/ST/MTG/backups/data/novaseq_211009/fastq/BN0347_1_S1_L001_R1_001.fastq.gz</t>
  </si>
  <si>
    <t>f4db4c40a2aff68f9c408fb9c779863f</t>
  </si>
  <si>
    <t>BN0347_1_S1_L001_I1_001.fastq.gz</t>
  </si>
  <si>
    <t>/mnt/data/projects/ASAP/ST/MTG/backups/data/novaseq_211009/fastq/BN0347_1_S1_L001_I1_001.fastq.gz</t>
  </si>
  <si>
    <t>bf77956213914f9cebe34d7352e070ec</t>
  </si>
  <si>
    <t>BN0347_1_S1_L001_I2_001.fastq.gz</t>
  </si>
  <si>
    <t>/mnt/data/projects/ASAP/ST/MTG/backups/data/novaseq_211009/fastq/BN0347_1_S1_L001_I2_001.fastq.gz</t>
  </si>
  <si>
    <t>555f70cb1fbab10beb13d7a4988a2280</t>
  </si>
  <si>
    <t>BN0347_1_S1_L002_I2_001.fastq.gz</t>
  </si>
  <si>
    <t>/mnt/data/projects/ASAP/ST/MTG/backups/data/novaseq_211009/fastq/BN0347_1_S1_L002_I2_001.fastq.gz</t>
  </si>
  <si>
    <t>92ac272541cfd87c4d7c0f31cc749aab</t>
  </si>
  <si>
    <t>BN0347_1_S1_L002_R2_001.fastq.gz</t>
  </si>
  <si>
    <t>/mnt/data/projects/ASAP/ST/MTG/backups/data/novaseq_211009/fastq/BN0347_1_S1_L002_R2_001.fastq.gz</t>
  </si>
  <si>
    <t>0861f9a20dfdca50addf407fb128b5e2</t>
  </si>
  <si>
    <t>BN0347_2_S2_L002_I1_001.fastq.gz</t>
  </si>
  <si>
    <t>/mnt/data/projects/ASAP/ST/MTG/backups/data/novaseq_211009/fastq/BN0347_2_S2_L002_I1_001.fastq.gz</t>
  </si>
  <si>
    <t>2d615d629e7effeb92d3e851799bdbef</t>
  </si>
  <si>
    <t>BN0347_2_S2_L002_R2_001.fastq.gz</t>
  </si>
  <si>
    <t>/mnt/data/projects/ASAP/ST/MTG/backups/data/novaseq_211009/fastq/BN0347_2_S2_L002_R2_001.fastq.gz</t>
  </si>
  <si>
    <t>b65b05bffefcbd3a58d6b6894ccf3a46</t>
  </si>
  <si>
    <t>BN0347_2_S2_L001_R2_001.fastq.gz</t>
  </si>
  <si>
    <t>/mnt/data/projects/ASAP/ST/MTG/backups/data/novaseq_211009/fastq/BN0347_2_S2_L001_R2_001.fastq.gz</t>
  </si>
  <si>
    <t>07e5c10f41b48f8529847f55bdb63b12</t>
  </si>
  <si>
    <t>BN0347_2_S2_L001_R1_001.fastq.gz</t>
  </si>
  <si>
    <t>/mnt/data/projects/ASAP/ST/MTG/backups/data/novaseq_211009/fastq/BN0347_2_S2_L001_R1_001.fastq.gz</t>
  </si>
  <si>
    <t>7f93caa7b65135c305a36a7558686518</t>
  </si>
  <si>
    <t>BN0347_2_S2_L001_I1_001.fastq.gz</t>
  </si>
  <si>
    <t>/mnt/data/projects/ASAP/ST/MTG/backups/data/novaseq_211009/fastq/BN0347_2_S2_L001_I1_001.fastq.gz</t>
  </si>
  <si>
    <t>1b5adabaac5d4ae36f4f30b3bdd4cb0e</t>
  </si>
  <si>
    <t>BN0347_2_S2_L001_I2_001.fastq.gz</t>
  </si>
  <si>
    <t>/mnt/data/projects/ASAP/ST/MTG/backups/data/novaseq_211009/fastq/BN0347_2_S2_L001_I2_001.fastq.gz</t>
  </si>
  <si>
    <t>d64dd815d07ae5dd65b63585b690fce0</t>
  </si>
  <si>
    <t>BN0347_2_S2_L002_I2_001.fastq.gz</t>
  </si>
  <si>
    <t>/mnt/data/projects/ASAP/ST/MTG/backups/data/novaseq_211009/fastq/BN0347_2_S2_L002_I2_001.fastq.gz</t>
  </si>
  <si>
    <t>1615e11ff6f4a9612c8e64d63cd91154</t>
  </si>
  <si>
    <t>BN0347_2_S2_L002_R1_001.fastq.gz</t>
  </si>
  <si>
    <t>/mnt/data/projects/ASAP/ST/MTG/backups/data/novaseq_211009/fastq/BN0347_2_S2_L002_R1_001.fastq.gz</t>
  </si>
  <si>
    <t>24b7885aa2c5c1a5fb47f736c5a5d089</t>
  </si>
  <si>
    <t>BN0347_3_S3_L001_I2_001.fastq.gz</t>
  </si>
  <si>
    <t>/mnt/data/projects/ASAP/ST/MTG/backups/data/novaseq_211009/fastq/BN0347_3_S3_L001_I2_001.fastq.gz</t>
  </si>
  <si>
    <t>996a0f867ae93033f0e6e733f6b0813a</t>
  </si>
  <si>
    <t>BN0347_3_S3_L002_I2_001.fastq.gz</t>
  </si>
  <si>
    <t>/mnt/data/projects/ASAP/ST/MTG/backups/data/novaseq_211009/fastq/BN0347_3_S3_L002_I2_001.fastq.gz</t>
  </si>
  <si>
    <t>eb59c989c13066fe349f21bec81f5bff</t>
  </si>
  <si>
    <t>BN0347_3_S3_L001_I1_001.fastq.gz</t>
  </si>
  <si>
    <t>/mnt/data/projects/ASAP/ST/MTG/backups/data/novaseq_211009/fastq/BN0347_3_S3_L001_I1_001.fastq.gz</t>
  </si>
  <si>
    <t>6519284d71d9de34605ff0fb493028e1</t>
  </si>
  <si>
    <t>BN0347_3_S3_L001_R1_001.fastq.gz</t>
  </si>
  <si>
    <t>/mnt/data/projects/ASAP/ST/MTG/backups/data/novaseq_211009/fastq/BN0347_3_S3_L001_R1_001.fastq.gz</t>
  </si>
  <si>
    <t>34b20e9d1113e6be7ce1348b4738b780</t>
  </si>
  <si>
    <t>BN0347_3_S3_L002_R1_001.fastq.gz</t>
  </si>
  <si>
    <t>/mnt/data/projects/ASAP/ST/MTG/backups/data/novaseq_211009/fastq/BN0347_3_S3_L002_R1_001.fastq.gz</t>
  </si>
  <si>
    <t>e9652398b305aa945fb1bb296dea3de6</t>
  </si>
  <si>
    <t>BN0347_3_S3_L001_R2_001.fastq.gz</t>
  </si>
  <si>
    <t>/mnt/data/projects/ASAP/ST/MTG/backups/data/novaseq_211009/fastq/BN0347_3_S3_L001_R2_001.fastq.gz</t>
  </si>
  <si>
    <t>3b607202fa83efc9ead41c191265d0a7</t>
  </si>
  <si>
    <t>BN0347_3_S3_L002_R2_001.fastq.gz</t>
  </si>
  <si>
    <t>/mnt/data/projects/ASAP/ST/MTG/backups/data/novaseq_211009/fastq/BN0347_3_S3_L002_R2_001.fastq.gz</t>
  </si>
  <si>
    <t>a022b33faa87e34217802e4d6bb3d49d</t>
  </si>
  <si>
    <t>BN0347_3_S3_L002_I1_001.fastq.gz</t>
  </si>
  <si>
    <t>/mnt/data/projects/ASAP/ST/MTG/backups/data/novaseq_211009/fastq/BN0347_3_S3_L002_I1_001.fastq.gz</t>
  </si>
  <si>
    <t>560e00d866ab131d062ca6a325573060</t>
  </si>
  <si>
    <t>BN0347_4_S4_L001_I2_001.fastq.gz</t>
  </si>
  <si>
    <t>/mnt/data/projects/ASAP/ST/MTG/backups/data/novaseq_211009/fastq/BN0347_4_S4_L001_I2_001.fastq.gz</t>
  </si>
  <si>
    <t>2ddc4508314f3000083c973b0f4e1faf</t>
  </si>
  <si>
    <t>BN0347_4_S4_L002_I1_001.fastq.gz</t>
  </si>
  <si>
    <t>/mnt/data/projects/ASAP/ST/MTG/backups/data/novaseq_211009/fastq/BN0347_4_S4_L002_I1_001.fastq.gz</t>
  </si>
  <si>
    <t>78a1ed82dd645a2e699012444541ae76</t>
  </si>
  <si>
    <t>BN0347_4_S4_L001_R1_001.fastq.gz</t>
  </si>
  <si>
    <t>/mnt/data/projects/ASAP/ST/MTG/backups/data/novaseq_211009/fastq/BN0347_4_S4_L001_R1_001.fastq.gz</t>
  </si>
  <si>
    <t>23f8ed246b62421fbc4527220b09be32</t>
  </si>
  <si>
    <t>BN0347_4_S4_L001_R2_001.fastq.gz</t>
  </si>
  <si>
    <t>/mnt/data/projects/ASAP/ST/MTG/backups/data/novaseq_211009/fastq/BN0347_4_S4_L001_R2_001.fastq.gz</t>
  </si>
  <si>
    <t>3741bf99ec1edd03dfc7dd9492c6b052</t>
  </si>
  <si>
    <t>BN0347_4_S4_L002_I2_001.fastq.gz</t>
  </si>
  <si>
    <t>/mnt/data/projects/ASAP/ST/MTG/backups/data/novaseq_211009/fastq/BN0347_4_S4_L002_I2_001.fastq.gz</t>
  </si>
  <si>
    <t>2c06806b927793e120fc9d709e61df77</t>
  </si>
  <si>
    <t>BN0347_4_S4_L002_R2_001.fastq.gz</t>
  </si>
  <si>
    <t>/mnt/data/projects/ASAP/ST/MTG/backups/data/novaseq_211009/fastq/BN0347_4_S4_L002_R2_001.fastq.gz</t>
  </si>
  <si>
    <t>b74c66a5cb1d5f76d15041521107c7b0</t>
  </si>
  <si>
    <t>BN0347_4_S4_L001_I1_001.fastq.gz</t>
  </si>
  <si>
    <t>/mnt/data/projects/ASAP/ST/MTG/backups/data/novaseq_211009/fastq/BN0347_4_S4_L001_I1_001.fastq.gz</t>
  </si>
  <si>
    <t>6bae6d70fffb8279746397f087d50944</t>
  </si>
  <si>
    <t>BN0347_4_S4_L002_R1_001.fastq.gz</t>
  </si>
  <si>
    <t>/mnt/data/projects/ASAP/ST/MTG/backups/data/novaseq_211009/fastq/BN0347_4_S4_L002_R1_001.fastq.gz</t>
  </si>
  <si>
    <t>cfe7399ed254cfc0fa476664a7369a34</t>
  </si>
  <si>
    <t>BN0347_S5_L001_I2_001.fastq.gz</t>
  </si>
  <si>
    <t>/mnt/data/projects/ASAP/ST/MTG/backups/data/novaseq_211018b/fastq/BN0347_S5_L001_I2_001.fastq.gz</t>
  </si>
  <si>
    <t>52933d038e7486b875d1604e08c5e379</t>
  </si>
  <si>
    <t>BN0347_S5_L001_R2_001.fastq.gz</t>
  </si>
  <si>
    <t>/mnt/data/projects/ASAP/ST/MTG/backups/data/novaseq_211018b/fastq/BN0347_S5_L001_R2_001.fastq.gz</t>
  </si>
  <si>
    <t>361787e6a00149563d24a5b7a31a74b6</t>
  </si>
  <si>
    <t>BN0347_S5_L002_I2_001.fastq.gz</t>
  </si>
  <si>
    <t>/mnt/data/projects/ASAP/ST/MTG/backups/data/novaseq_211018b/fastq/BN0347_S5_L002_I2_001.fastq.gz</t>
  </si>
  <si>
    <t>a2332248cfe7bb33002ffdb1eafe8130</t>
  </si>
  <si>
    <t>BN0347_S5_L002_R2_001.fastq.gz</t>
  </si>
  <si>
    <t>/mnt/data/projects/ASAP/ST/MTG/backups/data/novaseq_211018b/fastq/BN0347_S5_L002_R2_001.fastq.gz</t>
  </si>
  <si>
    <t>69a885e3b9d511f3cd0f0a28d3c15145</t>
  </si>
  <si>
    <t>BN0347_S5_L002_I1_001.fastq.gz</t>
  </si>
  <si>
    <t>/mnt/data/projects/ASAP/ST/MTG/backups/data/novaseq_211018b/fastq/BN0347_S5_L002_I1_001.fastq.gz</t>
  </si>
  <si>
    <t>cf631e23de0fcbb371130f52cf915542</t>
  </si>
  <si>
    <t>BN0347_S5_L002_R1_001.fastq.gz</t>
  </si>
  <si>
    <t>/mnt/data/projects/ASAP/ST/MTG/backups/data/novaseq_211018b/fastq/BN0347_S5_L002_R1_001.fastq.gz</t>
  </si>
  <si>
    <t>2a3a366949f0ffd62cffca24e9a78345</t>
  </si>
  <si>
    <t>BN0347_S5_L001_I1_001.fastq.gz</t>
  </si>
  <si>
    <t>/mnt/data/projects/ASAP/ST/MTG/backups/data/novaseq_211018b/fastq/BN0347_S5_L001_I1_001.fastq.gz</t>
  </si>
  <si>
    <t>a7709e025aba31ec143a4507b97e68ce</t>
  </si>
  <si>
    <t>BN0347_S5_L001_R1_001.fastq.gz</t>
  </si>
  <si>
    <t>/mnt/data/projects/ASAP/ST/MTG/backups/data/novaseq_211018b/fastq/BN0347_S5_L001_R1_001.fastq.gz</t>
  </si>
  <si>
    <t>04c78b8b366153ee3637c9a8bb86d34f</t>
  </si>
  <si>
    <t>BN0348_S3_L002_I1_001.fastq.gz</t>
  </si>
  <si>
    <t>/mnt/data/projects/ASAP/ST/MTG/backups/data/novaseq_210507/reads/HCFCHDRXY/BN0348_S3_L002_I1_001.fastq.gz</t>
  </si>
  <si>
    <t>b83b1325fe477b32a1c432553669384f</t>
  </si>
  <si>
    <t>BN0348_S3_L001_I2_001.fastq.gz</t>
  </si>
  <si>
    <t>/mnt/data/projects/ASAP/ST/MTG/backups/data/novaseq_210507/reads/HCFCHDRXY/BN0348_S3_L001_I2_001.fastq.gz</t>
  </si>
  <si>
    <t>1232469c7cc34b13af68b5a2a25f0500</t>
  </si>
  <si>
    <t>BN0348_S3_L002_R2_001.fastq.gz</t>
  </si>
  <si>
    <t>/mnt/data/projects/ASAP/ST/MTG/backups/data/novaseq_210507/reads/HCFCHDRXY/BN0348_S3_L002_R2_001.fastq.gz</t>
  </si>
  <si>
    <t>1b3405b4d0cb8942ee72bb25784fa12a</t>
  </si>
  <si>
    <t>BN0348_S3_L002_I2_001.fastq.gz</t>
  </si>
  <si>
    <t>/mnt/data/projects/ASAP/ST/MTG/backups/data/novaseq_210507/reads/HCFCHDRXY/BN0348_S3_L002_I2_001.fastq.gz</t>
  </si>
  <si>
    <t>ad62e7aacf02421890b3b6513fa780c9</t>
  </si>
  <si>
    <t>BN0348_S3_L002_R1_001.fastq.gz</t>
  </si>
  <si>
    <t>/mnt/data/projects/ASAP/ST/MTG/backups/data/novaseq_210507/reads/HCFCHDRXY/BN0348_S3_L002_R1_001.fastq.gz</t>
  </si>
  <si>
    <t>2f6dc19407ece11eb70910b3837ba8e1</t>
  </si>
  <si>
    <t>BN0348_S3_L001_R2_001.fastq.gz</t>
  </si>
  <si>
    <t>/mnt/data/projects/ASAP/ST/MTG/backups/data/novaseq_210507/reads/HCFCHDRXY/BN0348_S3_L001_R2_001.fastq.gz</t>
  </si>
  <si>
    <t>e48fef6dd3c8abb2a16d13a719b9d957</t>
  </si>
  <si>
    <t>BN0348_S3_L001_R1_001.fastq.gz</t>
  </si>
  <si>
    <t>/mnt/data/projects/ASAP/ST/MTG/backups/data/novaseq_210507/reads/HCFCHDRXY/BN0348_S3_L001_R1_001.fastq.gz</t>
  </si>
  <si>
    <t>b67282f2a1e076945159cc25dfa36383</t>
  </si>
  <si>
    <t>BN0348_S3_L001_I1_001.fastq.gz</t>
  </si>
  <si>
    <t>/mnt/data/projects/ASAP/ST/MTG/backups/data/novaseq_210507/reads/HCFCHDRXY/BN0348_S3_L001_I1_001.fastq.gz</t>
  </si>
  <si>
    <t>c648bbd253038c8be6cd94cae7958081</t>
  </si>
  <si>
    <t>/mnt/data/projects/ASAP/ST/MTG/backups/data/novaseq_210727/fastq_only/BN0415_S3_L002_R2_001.fastq.gz</t>
  </si>
  <si>
    <t>d60577a9fd6d961228a642ded3bf7da0</t>
  </si>
  <si>
    <t>/mnt/data/projects/ASAP/ST/MTG/backups/data/novaseq_210727/fastq_only/BN0415_S3_L001_R1_001.fastq.gz</t>
  </si>
  <si>
    <t>d235bc60fd7d6f301ed4a1e37b8ef86d</t>
  </si>
  <si>
    <t>/mnt/data/projects/ASAP/ST/MTG/backups/data/novaseq_210727/fastq_only/BN0415_S3_L002_I2_001.fastq.gz</t>
  </si>
  <si>
    <t>3cbe35cc808d0b5687f4f5785ae5edfa</t>
  </si>
  <si>
    <t>/mnt/data/projects/ASAP/ST/MTG/backups/data/novaseq_210727/fastq_only/BN0415_S3_L002_I1_001.fastq.gz</t>
  </si>
  <si>
    <t>9563a88f28e119cb792b3ed261193b26</t>
  </si>
  <si>
    <t>/mnt/data/projects/ASAP/ST/MTG/backups/data/novaseq_210727/fastq_only/BN0415_S3_L002_R1_001.fastq.gz</t>
  </si>
  <si>
    <t>02abf2bf7f9228a9f7b2c26b9b86268b</t>
  </si>
  <si>
    <t>/mnt/data/projects/ASAP/ST/MTG/backups/data/novaseq_210727/fastq_only/BN0415_S3_L001_I1_001.fastq.gz</t>
  </si>
  <si>
    <t>2fd871b8ea4b4a20063673e93f417bb4</t>
  </si>
  <si>
    <t>/mnt/data/projects/ASAP/ST/MTG/backups/data/novaseq_210727/fastq_only/BN0415_S3_L001_R2_001.fastq.gz</t>
  </si>
  <si>
    <t>b6dcad08b24ef3c8709d425e74edfd0e</t>
  </si>
  <si>
    <t>/mnt/data/projects/ASAP/ST/MTG/backups/data/novaseq_210727/fastq_only/BN0415_S3_L001_I2_001.fastq.gz</t>
  </si>
  <si>
    <t>05e56ac899612dc2154f8fbdb71b659d</t>
  </si>
  <si>
    <t>/mnt/data/projects/ASAP/ST/MTG/backups/data/novaseq_210907b/reads/v210907b/outs/fastq_path/HHYN2DRXY/BN0452_S1_L001_I2_001.fastq.gz</t>
  </si>
  <si>
    <t>9c6a43787bf5aea35b21b6781af393c9</t>
  </si>
  <si>
    <t>/mnt/data/projects/ASAP/ST/MTG/backups/data/novaseq_210907b/reads/v210907b/outs/fastq_path/HHYN2DRXY/BN0452_S1_L001_I1_001.fastq.gz</t>
  </si>
  <si>
    <t>f3f2c10f9492498084eec02b31b14c99</t>
  </si>
  <si>
    <t>/mnt/data/projects/ASAP/ST/MTG/backups/data/novaseq_210907b/reads/v210907b/outs/fastq_path/HHYN2DRXY/BN0452_S1_L002_R1_001.fastq.gz</t>
  </si>
  <si>
    <t>bf975fcbc5afa04fb7bd76daaf702d3d</t>
  </si>
  <si>
    <t>/mnt/data/projects/ASAP/ST/MTG/backups/data/novaseq_210907b/reads/v210907b/outs/fastq_path/HHYN2DRXY/BN0452_S1_L002_R2_001.fastq.gz</t>
  </si>
  <si>
    <t>9f3ad0f065718e2a7f77b8abf0aa42e8</t>
  </si>
  <si>
    <t>/mnt/data/projects/ASAP/ST/MTG/backups/data/novaseq_210907b/reads/v210907b/outs/fastq_path/HHYN2DRXY/BN0452_S1_L001_R2_001.fastq.gz</t>
  </si>
  <si>
    <t>e624d021c2f33da862986af51547a4a1</t>
  </si>
  <si>
    <t>/mnt/data/projects/ASAP/ST/MTG/backups/data/novaseq_210907b/reads/v210907b/outs/fastq_path/HHYN2DRXY/BN0452_S1_L002_I2_001.fastq.gz</t>
  </si>
  <si>
    <t>ba29eddbe2008ad9c5b3c7198e7b7379</t>
  </si>
  <si>
    <t>/mnt/data/projects/ASAP/ST/MTG/backups/data/novaseq_210907b/reads/v210907b/outs/fastq_path/HHYN2DRXY/BN0452_S1_L001_R1_001.fastq.gz</t>
  </si>
  <si>
    <t>8706dca864d4f9c1e225542f4e3be27b</t>
  </si>
  <si>
    <t>/mnt/data/projects/ASAP/ST/MTG/backups/data/novaseq_210907b/reads/v210907b/outs/fastq_path/HHYN2DRXY/BN0452_S1_L002_I1_001.fastq.gz</t>
  </si>
  <si>
    <t>d7095f49370e649deee55ffd75fcf034</t>
  </si>
  <si>
    <t>BN0464_S4_L001_I1_001.fastq.gz</t>
  </si>
  <si>
    <t>/mnt/data/projects/ASAP/ST/MTG/backups/data/novaseq_210727/fastq_only/BN0464_S4_L001_I1_001.fastq.gz</t>
  </si>
  <si>
    <t>b727d192e5ed0f04ec06566f1f1093cd</t>
  </si>
  <si>
    <t>BN0464_S4_L002_R1_001.fastq.gz</t>
  </si>
  <si>
    <t>/mnt/data/projects/ASAP/ST/MTG/backups/data/novaseq_210727/fastq_only/BN0464_S4_L002_R1_001.fastq.gz</t>
  </si>
  <si>
    <t>74b131dd7b816b793dc5d720162e0bbb</t>
  </si>
  <si>
    <t>BN0464_S4_L002_I2_001.fastq.gz</t>
  </si>
  <si>
    <t>/mnt/data/projects/ASAP/ST/MTG/backups/data/novaseq_210727/fastq_only/BN0464_S4_L002_I2_001.fastq.gz</t>
  </si>
  <si>
    <t>866719f72bf0edd73b39cad8c38e5055</t>
  </si>
  <si>
    <t>BN0464_S4_L002_I1_001.fastq.gz</t>
  </si>
  <si>
    <t>/mnt/data/projects/ASAP/ST/MTG/backups/data/novaseq_210727/fastq_only/BN0464_S4_L002_I1_001.fastq.gz</t>
  </si>
  <si>
    <t>f948ff32a990810b7d1e3228890bc9fd</t>
  </si>
  <si>
    <t>BN0464_S4_L002_R2_001.fastq.gz</t>
  </si>
  <si>
    <t>/mnt/data/projects/ASAP/ST/MTG/backups/data/novaseq_210727/fastq_only/BN0464_S4_L002_R2_001.fastq.gz</t>
  </si>
  <si>
    <t>e7b948e919b53570cd6b37c0bc60919a</t>
  </si>
  <si>
    <t>BN0464_S4_L001_R1_001.fastq.gz</t>
  </si>
  <si>
    <t>/mnt/data/projects/ASAP/ST/MTG/backups/data/novaseq_210727/fastq_only/BN0464_S4_L001_R1_001.fastq.gz</t>
  </si>
  <si>
    <t>10bbdaeaa363e1fb77483b3e2ac37dcf</t>
  </si>
  <si>
    <t>BN0464_S4_L001_I2_001.fastq.gz</t>
  </si>
  <si>
    <t>/mnt/data/projects/ASAP/ST/MTG/backups/data/novaseq_210727/fastq_only/BN0464_S4_L001_I2_001.fastq.gz</t>
  </si>
  <si>
    <t>d86d1e821ed389480673ec37b2e9b6ec</t>
  </si>
  <si>
    <t>BN0464_S4_L001_R2_001.fastq.gz</t>
  </si>
  <si>
    <t>/mnt/data/projects/ASAP/ST/MTG/backups/data/novaseq_210727/fastq_only/BN0464_S4_L001_R2_001.fastq.gz</t>
  </si>
  <si>
    <t>cdd89354a68995ac6d37e27bf49e0ec3</t>
  </si>
  <si>
    <t>/mnt/data/projects/ASAP/ST/MTG/backups/data/novaseq_210630/novaseq_210630/reads_fastq_only/BN0536_S3_L002_I1_001.fastq.gz</t>
  </si>
  <si>
    <t>31a54ebce70e7a300c090fbbf24b4f03</t>
  </si>
  <si>
    <t>/mnt/data/projects/ASAP/ST/MTG/backups/data/novaseq_210630/novaseq_210630/reads_fastq_only/BN0536_S3_L002_I2_001.fastq.gz</t>
  </si>
  <si>
    <t>d554c663abdcd75f829c4f433ebf7e18</t>
  </si>
  <si>
    <t>/mnt/data/projects/ASAP/ST/MTG/backups/data/novaseq_210630/novaseq_210630/reads_fastq_only/BN0536_S3_L002_R2_001.fastq.gz</t>
  </si>
  <si>
    <t>1055d5fbe5fbe741f6f77438927d0530</t>
  </si>
  <si>
    <t>/mnt/data/projects/ASAP/ST/MTG/backups/data/novaseq_210630/novaseq_210630/reads_fastq_only/BN0536_S3_L001_I1_001.fastq.gz</t>
  </si>
  <si>
    <t>cd62a1a6ecae9467f7b49ea99e30c14c</t>
  </si>
  <si>
    <t>/mnt/data/projects/ASAP/ST/MTG/backups/data/novaseq_210630/novaseq_210630/reads_fastq_only/BN0536_S3_L002_R1_001.fastq.gz</t>
  </si>
  <si>
    <t>a63c52a40a1182a9a9d444676da5bb7d</t>
  </si>
  <si>
    <t>/mnt/data/projects/ASAP/ST/MTG/backups/data/novaseq_210630/novaseq_210630/reads_fastq_only/BN0536_S3_L001_R2_001.fastq.gz</t>
  </si>
  <si>
    <t>841635f6dea405a72b5deb599bea75a8</t>
  </si>
  <si>
    <t>/mnt/data/projects/ASAP/ST/MTG/backups/data/novaseq_210630/novaseq_210630/reads_fastq_only/BN0536_S3_L001_I2_001.fastq.gz</t>
  </si>
  <si>
    <t>d146feee756696f6e722583d32813687</t>
  </si>
  <si>
    <t>/mnt/data/projects/ASAP/ST/MTG/backups/data/novaseq_210630/novaseq_210630/reads_fastq_only/BN0536_S3_L001_R1_001.fastq.gz</t>
  </si>
  <si>
    <t>c04c61283a94865c01c6418517f6c448</t>
  </si>
  <si>
    <t>BN0602_S4_L001_R1_001.fastq.gz</t>
  </si>
  <si>
    <t>/mnt/data/projects/ASAP/ST/MTG/backups/data/novaseq_211029b/fastq/BN0602_S4_L001_R1_001.fastq.gz</t>
  </si>
  <si>
    <t>1cd9de8a65c3b898fe4f2248ddf74e76</t>
  </si>
  <si>
    <t>BN0602_S4_L002_R2_001.fastq.gz</t>
  </si>
  <si>
    <t>/mnt/data/projects/ASAP/ST/MTG/backups/data/novaseq_211029b/fastq/BN0602_S4_L002_R2_001.fastq.gz</t>
  </si>
  <si>
    <t>f08e20821bfeb38bc94798e3cbbad9c2</t>
  </si>
  <si>
    <t>BN0602_S4_L002_R1_001.fastq.gz</t>
  </si>
  <si>
    <t>/mnt/data/projects/ASAP/ST/MTG/backups/data/novaseq_211029b/fastq/BN0602_S4_L002_R1_001.fastq.gz</t>
  </si>
  <si>
    <t>347d4de26d57b6eaaee880f90698cc6c</t>
  </si>
  <si>
    <t>BN0602_S4_L002_I1_001.fastq.gz</t>
  </si>
  <si>
    <t>/mnt/data/projects/ASAP/ST/MTG/backups/data/novaseq_211029b/fastq/BN0602_S4_L002_I1_001.fastq.gz</t>
  </si>
  <si>
    <t>2e2fc09ae67af85590eed69782d435ae</t>
  </si>
  <si>
    <t>BN0602_S4_L001_I2_001.fastq.gz</t>
  </si>
  <si>
    <t>/mnt/data/projects/ASAP/ST/MTG/backups/data/novaseq_211029b/fastq/BN0602_S4_L001_I2_001.fastq.gz</t>
  </si>
  <si>
    <t>c61f7c4c6926c44a0c5532b2b9dfe21a</t>
  </si>
  <si>
    <t>BN0602_S4_L002_I2_001.fastq.gz</t>
  </si>
  <si>
    <t>/mnt/data/projects/ASAP/ST/MTG/backups/data/novaseq_211029b/fastq/BN0602_S4_L002_I2_001.fastq.gz</t>
  </si>
  <si>
    <t>a73eb4ca9d77536ca6538f89a2700993</t>
  </si>
  <si>
    <t>BN0602_S4_L001_R2_001.fastq.gz</t>
  </si>
  <si>
    <t>/mnt/data/projects/ASAP/ST/MTG/backups/data/novaseq_211029b/fastq/BN0602_S4_L001_R2_001.fastq.gz</t>
  </si>
  <si>
    <t>548e4a08a7f39c85683524e1bda52e4d</t>
  </si>
  <si>
    <t>BN0602_S4_L001_I1_001.fastq.gz</t>
  </si>
  <si>
    <t>/mnt/data/projects/ASAP/ST/MTG/backups/data/novaseq_211029b/fastq/BN0602_S4_L001_I1_001.fastq.gz</t>
  </si>
  <si>
    <t>9e013fa1329c710800d08c0e7c56041a</t>
  </si>
  <si>
    <t>BN0602_S2_L001_I1_001.fastq.gz</t>
  </si>
  <si>
    <t>/mnt/data/projects/ASAP/ST/MTG/backups/data/novaseq_230114/fastq/BN0602_S2_L001_I1_001.fastq.gz</t>
  </si>
  <si>
    <t>1792a46cd64a33415fa01fc181ce1dd3</t>
  </si>
  <si>
    <t>BN0602_S2_L001_R1_001.fastq.gz</t>
  </si>
  <si>
    <t>/mnt/data/projects/ASAP/ST/MTG/backups/data/novaseq_230114/fastq/BN0602_S2_L001_R1_001.fastq.gz</t>
  </si>
  <si>
    <t>0215fa131a49c78e826096e5931af305</t>
  </si>
  <si>
    <t>BN0602_S2_L002_I2_001.fastq.gz</t>
  </si>
  <si>
    <t>/mnt/data/projects/ASAP/ST/MTG/backups/data/novaseq_230114/fastq/BN0602_S2_L002_I2_001.fastq.gz</t>
  </si>
  <si>
    <t>725b493dcf3fa327dc214b3a4112d04e</t>
  </si>
  <si>
    <t>BN0602_S2_L002_R2_001.fastq.gz</t>
  </si>
  <si>
    <t>/mnt/data/projects/ASAP/ST/MTG/backups/data/novaseq_230114/fastq/BN0602_S2_L002_R2_001.fastq.gz</t>
  </si>
  <si>
    <t>0b704d7b34b1f5e85236e11a609b78cd</t>
  </si>
  <si>
    <t>BN0602_S2_L001_I2_001.fastq.gz</t>
  </si>
  <si>
    <t>/mnt/data/projects/ASAP/ST/MTG/backups/data/novaseq_230114/fastq/BN0602_S2_L001_I2_001.fastq.gz</t>
  </si>
  <si>
    <t>283bf12f8107f2e4bec724123cb91055</t>
  </si>
  <si>
    <t>BN0602_S2_L001_R2_001.fastq.gz</t>
  </si>
  <si>
    <t>/mnt/data/projects/ASAP/ST/MTG/backups/data/novaseq_230114/fastq/BN0602_S2_L001_R2_001.fastq.gz</t>
  </si>
  <si>
    <t>3676a76ea664aa006166bb012eda7a84</t>
  </si>
  <si>
    <t>BN0602_S2_L002_I1_001.fastq.gz</t>
  </si>
  <si>
    <t>/mnt/data/projects/ASAP/ST/MTG/backups/data/novaseq_230114/fastq/BN0602_S2_L002_I1_001.fastq.gz</t>
  </si>
  <si>
    <t>2eb507e8d235b0c0a5c10f3826e096ff</t>
  </si>
  <si>
    <t>BN0602_S2_L002_R1_001.fastq.gz</t>
  </si>
  <si>
    <t>/mnt/data/projects/ASAP/ST/MTG/backups/data/novaseq_230114/fastq/BN0602_S2_L002_R1_001.fastq.gz</t>
  </si>
  <si>
    <t>ace44c767f6fe325fa589cb15c82d3ff</t>
  </si>
  <si>
    <t>BN0615_S2_L001_I1_001.fastq.gz</t>
  </si>
  <si>
    <t>/mnt/data/projects/ASAP/ST/MTG/backups/data/novaseq_211029b/fastq/BN0615_S2_L001_I1_001.fastq.gz</t>
  </si>
  <si>
    <t>30a1fb1d7a93d6dd2a63d83d786aae5c</t>
  </si>
  <si>
    <t>BN0615_S2_L002_I1_001.fastq.gz</t>
  </si>
  <si>
    <t>/mnt/data/projects/ASAP/ST/MTG/backups/data/novaseq_211029b/fastq/BN0615_S2_L002_I1_001.fastq.gz</t>
  </si>
  <si>
    <t>edc0916cc910f58daf89364f4c566899</t>
  </si>
  <si>
    <t>BN0615_S2_L001_I2_001.fastq.gz</t>
  </si>
  <si>
    <t>/mnt/data/projects/ASAP/ST/MTG/backups/data/novaseq_211029b/fastq/BN0615_S2_L001_I2_001.fastq.gz</t>
  </si>
  <si>
    <t>3fc6e8c53e03cbfa61746b3f2ff2e6ae</t>
  </si>
  <si>
    <t>BN0615_S2_L002_R2_001.fastq.gz</t>
  </si>
  <si>
    <t>/mnt/data/projects/ASAP/ST/MTG/backups/data/novaseq_211029b/fastq/BN0615_S2_L002_R2_001.fastq.gz</t>
  </si>
  <si>
    <t>24c025dff32256a4642974402221056e</t>
  </si>
  <si>
    <t>BN0615_S2_L001_R1_001.fastq.gz</t>
  </si>
  <si>
    <t>/mnt/data/projects/ASAP/ST/MTG/backups/data/novaseq_211029b/fastq/BN0615_S2_L001_R1_001.fastq.gz</t>
  </si>
  <si>
    <t>fa823752fa065081e215792073994189</t>
  </si>
  <si>
    <t>BN0615_S2_L002_I2_001.fastq.gz</t>
  </si>
  <si>
    <t>/mnt/data/projects/ASAP/ST/MTG/backups/data/novaseq_211029b/fastq/BN0615_S2_L002_I2_001.fastq.gz</t>
  </si>
  <si>
    <t>ca5aae130828f85eecc3eff23f4dd449</t>
  </si>
  <si>
    <t>BN0615_S2_L002_R1_001.fastq.gz</t>
  </si>
  <si>
    <t>/mnt/data/projects/ASAP/ST/MTG/backups/data/novaseq_211029b/fastq/BN0615_S2_L002_R1_001.fastq.gz</t>
  </si>
  <si>
    <t>e738e7048940b475559f0831576665e1</t>
  </si>
  <si>
    <t>BN0615_S2_L001_R2_001.fastq.gz</t>
  </si>
  <si>
    <t>/mnt/data/projects/ASAP/ST/MTG/backups/data/novaseq_211029b/fastq/BN0615_S2_L001_R2_001.fastq.gz</t>
  </si>
  <si>
    <t>05084bacb9b43f645a7f9b81c4fe9371</t>
  </si>
  <si>
    <t>BN0635_S1_L001_R1_001.fastq.gz</t>
  </si>
  <si>
    <t>/mnt/data/projects/ASAP/ST/MTG/backups/data/novaseq_211029a/fastq/BN0635_S1_L001_R1_001.fastq.gz</t>
  </si>
  <si>
    <t>7b4e20469bebdf492e29525c11bcf63f</t>
  </si>
  <si>
    <t>BN0635_S1_L001_R2_001.fastq.gz</t>
  </si>
  <si>
    <t>/mnt/data/projects/ASAP/ST/MTG/backups/data/novaseq_211029a/fastq/BN0635_S1_L001_R2_001.fastq.gz</t>
  </si>
  <si>
    <t>50a90e97f7f7d8eca6db865faed33490</t>
  </si>
  <si>
    <t>BN0635_S1_L001_I1_001.fastq.gz</t>
  </si>
  <si>
    <t>/mnt/data/projects/ASAP/ST/MTG/backups/data/novaseq_211029a/fastq/BN0635_S1_L001_I1_001.fastq.gz</t>
  </si>
  <si>
    <t>4dba2a87f99cd13fcdee235a8a4882cc</t>
  </si>
  <si>
    <t>BN0635_S1_L001_I2_001.fastq.gz</t>
  </si>
  <si>
    <t>/mnt/data/projects/ASAP/ST/MTG/backups/data/novaseq_211029a/fastq/BN0635_S1_L001_I2_001.fastq.gz</t>
  </si>
  <si>
    <t>eb2a39b5ed2607bcc00eb87d7c661521</t>
  </si>
  <si>
    <t>BN0635_S1_L002_I2_001.fastq.gz</t>
  </si>
  <si>
    <t>/mnt/data/projects/ASAP/ST/MTG/backups/data/novaseq_211029a/fastq/BN0635_S1_L002_I2_001.fastq.gz</t>
  </si>
  <si>
    <t>de570905df0c7de76fd9f2e27f233e30</t>
  </si>
  <si>
    <t>BN0635_S1_L002_I1_001.fastq.gz</t>
  </si>
  <si>
    <t>/mnt/data/projects/ASAP/ST/MTG/backups/data/novaseq_211029a/fastq/BN0635_S1_L002_I1_001.fastq.gz</t>
  </si>
  <si>
    <t>a26ff79b7283ea384eb9d792c83722ec</t>
  </si>
  <si>
    <t>BN0635_S1_L002_R2_001.fastq.gz</t>
  </si>
  <si>
    <t>/mnt/data/projects/ASAP/ST/MTG/backups/data/novaseq_211029a/fastq/BN0635_S1_L002_R2_001.fastq.gz</t>
  </si>
  <si>
    <t>d2cbf0f45f60185804ec9b6aaa0f4f8a</t>
  </si>
  <si>
    <t>BN0635_S1_L002_R1_001.fastq.gz</t>
  </si>
  <si>
    <t>/mnt/data/projects/ASAP/ST/MTG/backups/data/novaseq_211029a/fastq/BN0635_S1_L002_R1_001.fastq.gz</t>
  </si>
  <si>
    <t>3e06359b97a0f970ec4e717403782f00</t>
  </si>
  <si>
    <t>BN0644_S4_L001_I2_001.fastq.gz</t>
  </si>
  <si>
    <t>/mnt/data/projects/ASAP/ST/MTG/backups/data/novaseq_210907a/reads/v210907a/outs/fastq_path/HJ2W3DRXY/BN0644_S4_L001_I2_001.fastq.gz</t>
  </si>
  <si>
    <t>3490f18b28bd81e9c76d0cb203340a4f</t>
  </si>
  <si>
    <t>BN0644_S4_L002_I2_001.fastq.gz</t>
  </si>
  <si>
    <t>/mnt/data/projects/ASAP/ST/MTG/backups/data/novaseq_210907a/reads/v210907a/outs/fastq_path/HJ2W3DRXY/BN0644_S4_L002_I2_001.fastq.gz</t>
  </si>
  <si>
    <t>ac9a835d03cfde33d81e828b2f5037f1</t>
  </si>
  <si>
    <t>BN0644_S4_L001_I1_001.fastq.gz</t>
  </si>
  <si>
    <t>/mnt/data/projects/ASAP/ST/MTG/backups/data/novaseq_210907a/reads/v210907a/outs/fastq_path/HJ2W3DRXY/BN0644_S4_L001_I1_001.fastq.gz</t>
  </si>
  <si>
    <t>b7960121dc5b75b0a25a2143ad0a7c39</t>
  </si>
  <si>
    <t>BN0644_S4_L001_R2_001.fastq.gz</t>
  </si>
  <si>
    <t>/mnt/data/projects/ASAP/ST/MTG/backups/data/novaseq_210907a/reads/v210907a/outs/fastq_path/HJ2W3DRXY/BN0644_S4_L001_R2_001.fastq.gz</t>
  </si>
  <si>
    <t>2199f6bd05d985e7f2e8bfe4c77bba4d</t>
  </si>
  <si>
    <t>BN0644_S4_L002_I1_001.fastq.gz</t>
  </si>
  <si>
    <t>/mnt/data/projects/ASAP/ST/MTG/backups/data/novaseq_210907a/reads/v210907a/outs/fastq_path/HJ2W3DRXY/BN0644_S4_L002_I1_001.fastq.gz</t>
  </si>
  <si>
    <t>aa1d08ce70ac9780dac3bbf642f48414</t>
  </si>
  <si>
    <t>BN0644_S4_L002_R2_001.fastq.gz</t>
  </si>
  <si>
    <t>/mnt/data/projects/ASAP/ST/MTG/backups/data/novaseq_210907a/reads/v210907a/outs/fastq_path/HJ2W3DRXY/BN0644_S4_L002_R2_001.fastq.gz</t>
  </si>
  <si>
    <t>2f831fcde528f010cd9eb759cf0fe14b</t>
  </si>
  <si>
    <t>BN0644_S4_L001_R1_001.fastq.gz</t>
  </si>
  <si>
    <t>/mnt/data/projects/ASAP/ST/MTG/backups/data/novaseq_210907a/reads/v210907a/outs/fastq_path/HJ2W3DRXY/BN0644_S4_L001_R1_001.fastq.gz</t>
  </si>
  <si>
    <t>f953cf62b9a456a5f32ec11c5904819b</t>
  </si>
  <si>
    <t>BN0644_S4_L002_R1_001.fastq.gz</t>
  </si>
  <si>
    <t>/mnt/data/projects/ASAP/ST/MTG/backups/data/novaseq_210907a/reads/v210907a/outs/fastq_path/HJ2W3DRXY/BN0644_S4_L002_R1_001.fastq.gz</t>
  </si>
  <si>
    <t>b053d42f3d213c805f9bc732971bf8e3</t>
  </si>
  <si>
    <t>/mnt/data/projects/ASAP/ST/MTG/backups/data/novaseq_210507/reads/HCFCHDRXY/BN0651_S1_L001_R2_001.fastq.gz</t>
  </si>
  <si>
    <t>62238ca233315a9bde136fab24cd0b91</t>
  </si>
  <si>
    <t>/mnt/data/projects/ASAP/ST/MTG/backups/data/novaseq_210507/reads/HCFCHDRXY/BN0651_S1_L002_I1_001.fastq.gz</t>
  </si>
  <si>
    <t>0a6131bc8700887a9c839963ec000897</t>
  </si>
  <si>
    <t>/mnt/data/projects/ASAP/ST/MTG/backups/data/novaseq_210507/reads/HCFCHDRXY/BN0651_S1_L002_R1_001.fastq.gz</t>
  </si>
  <si>
    <t>6893e913de1316177e2aa7ef0df4dfc9</t>
  </si>
  <si>
    <t>/mnt/data/projects/ASAP/ST/MTG/backups/data/novaseq_210507/reads/HCFCHDRXY/BN0651_S1_L002_I2_001.fastq.gz</t>
  </si>
  <si>
    <t>7a50708f83578ba4df152555aa6c81ff</t>
  </si>
  <si>
    <t>/mnt/data/projects/ASAP/ST/MTG/backups/data/novaseq_210507/reads/HCFCHDRXY/BN0651_S1_L001_I2_001.fastq.gz</t>
  </si>
  <si>
    <t>5723a8191560807205de13cb7e5209cf</t>
  </si>
  <si>
    <t>/mnt/data/projects/ASAP/ST/MTG/backups/data/novaseq_210507/reads/HCFCHDRXY/BN0651_S1_L001_R1_001.fastq.gz</t>
  </si>
  <si>
    <t>76c57d2c01c11e20e65904dfd4372937</t>
  </si>
  <si>
    <t>/mnt/data/projects/ASAP/ST/MTG/backups/data/novaseq_210507/reads/HCFCHDRXY/BN0651_S1_L002_R2_001.fastq.gz</t>
  </si>
  <si>
    <t>3416eabb3af18ef7cce67bd93340364b</t>
  </si>
  <si>
    <t>/mnt/data/projects/ASAP/ST/MTG/backups/data/novaseq_210507/reads/HCFCHDRXY/BN0651_S1_L001_I1_001.fastq.gz</t>
  </si>
  <si>
    <t>6350191ecf921edff717c97a07462e10</t>
  </si>
  <si>
    <t>BN0655_S3_L001_I2_001.fastq.gz</t>
  </si>
  <si>
    <t>/mnt/data/projects/ASAP/ST/MTG/backups/data/novaseq_210918b/fastq/BN0655_S3_L001_I2_001.fastq.gz</t>
  </si>
  <si>
    <t>516cf0ea09d6cdb3d862bb8629d495f7</t>
  </si>
  <si>
    <t>BN0655_S3_L001_R2_001.fastq.gz</t>
  </si>
  <si>
    <t>/mnt/data/projects/ASAP/ST/MTG/backups/data/novaseq_210918b/fastq/BN0655_S3_L001_R2_001.fastq.gz</t>
  </si>
  <si>
    <t>d673162a7d648afb211f24ae8332bae1</t>
  </si>
  <si>
    <t>BN0655_S3_L002_R2_001.fastq.gz</t>
  </si>
  <si>
    <t>/mnt/data/projects/ASAP/ST/MTG/backups/data/novaseq_210918b/fastq/BN0655_S3_L002_R2_001.fastq.gz</t>
  </si>
  <si>
    <t>39b7102b17bf1cbcac8bc84ac67501eb</t>
  </si>
  <si>
    <t>BN0655_S3_L002_I1_001.fastq.gz</t>
  </si>
  <si>
    <t>/mnt/data/projects/ASAP/ST/MTG/backups/data/novaseq_210918b/fastq/BN0655_S3_L002_I1_001.fastq.gz</t>
  </si>
  <si>
    <t>965cf4642bbfa0ea7567db9a33dbeaca</t>
  </si>
  <si>
    <t>BN0655_S3_L002_R1_001.fastq.gz</t>
  </si>
  <si>
    <t>/mnt/data/projects/ASAP/ST/MTG/backups/data/novaseq_210918b/fastq/BN0655_S3_L002_R1_001.fastq.gz</t>
  </si>
  <si>
    <t>ef921749f27b795764844fa944fb2662</t>
  </si>
  <si>
    <t>BN0655_S3_L001_R1_001.fastq.gz</t>
  </si>
  <si>
    <t>/mnt/data/projects/ASAP/ST/MTG/backups/data/novaseq_210918b/fastq/BN0655_S3_L001_R1_001.fastq.gz</t>
  </si>
  <si>
    <t>2f504d224a4309297fc439acb3337f79</t>
  </si>
  <si>
    <t>BN0655_S3_L002_I2_001.fastq.gz</t>
  </si>
  <si>
    <t>/mnt/data/projects/ASAP/ST/MTG/backups/data/novaseq_210918b/fastq/BN0655_S3_L002_I2_001.fastq.gz</t>
  </si>
  <si>
    <t>7f76a0d436822bee08270b625580db04</t>
  </si>
  <si>
    <t>BN0655_S3_L001_I1_001.fastq.gz</t>
  </si>
  <si>
    <t>/mnt/data/projects/ASAP/ST/MTG/backups/data/novaseq_210918b/fastq/BN0655_S3_L001_I1_001.fastq.gz</t>
  </si>
  <si>
    <t>7149bfc466db54eae99427299ee2565f</t>
  </si>
  <si>
    <t>BN0662_S3_L001_R2_001.fastq.gz</t>
  </si>
  <si>
    <t>/mnt/data/projects/ASAP/ST/MTG/backups/data/novaseq_210907b/reads/v210907b/outs/fastq_path/HHYN2DRXY/BN0662_S3_L001_R2_001.fastq.gz</t>
  </si>
  <si>
    <t>515cc32efbbbc7b65dc4919a6807d947</t>
  </si>
  <si>
    <t>BN0662_S3_L001_I1_001.fastq.gz</t>
  </si>
  <si>
    <t>/mnt/data/projects/ASAP/ST/MTG/backups/data/novaseq_210907b/reads/v210907b/outs/fastq_path/HHYN2DRXY/BN0662_S3_L001_I1_001.fastq.gz</t>
  </si>
  <si>
    <t>58bcea12eab5a4ef4defae5aaf0575a7</t>
  </si>
  <si>
    <t>BN0662_S3_L002_R2_001.fastq.gz</t>
  </si>
  <si>
    <t>/mnt/data/projects/ASAP/ST/MTG/backups/data/novaseq_210907b/reads/v210907b/outs/fastq_path/HHYN2DRXY/BN0662_S3_L002_R2_001.fastq.gz</t>
  </si>
  <si>
    <t>cd1c9be0f3be03531da57d434b368231</t>
  </si>
  <si>
    <t>BN0662_S3_L002_I2_001.fastq.gz</t>
  </si>
  <si>
    <t>/mnt/data/projects/ASAP/ST/MTG/backups/data/novaseq_210907b/reads/v210907b/outs/fastq_path/HHYN2DRXY/BN0662_S3_L002_I2_001.fastq.gz</t>
  </si>
  <si>
    <t>e64a86cf67934850d29f8d272fd2e61d</t>
  </si>
  <si>
    <t>BN0662_S3_L002_R1_001.fastq.gz</t>
  </si>
  <si>
    <t>/mnt/data/projects/ASAP/ST/MTG/backups/data/novaseq_210907b/reads/v210907b/outs/fastq_path/HHYN2DRXY/BN0662_S3_L002_R1_001.fastq.gz</t>
  </si>
  <si>
    <t>f7a7c7d5e9a932dd5cd25da388aca7d7</t>
  </si>
  <si>
    <t>BN0662_S3_L002_I1_001.fastq.gz</t>
  </si>
  <si>
    <t>/mnt/data/projects/ASAP/ST/MTG/backups/data/novaseq_210907b/reads/v210907b/outs/fastq_path/HHYN2DRXY/BN0662_S3_L002_I1_001.fastq.gz</t>
  </si>
  <si>
    <t>514fc2206946ef8a699ee86120999240</t>
  </si>
  <si>
    <t>BN0662_S3_L001_I2_001.fastq.gz</t>
  </si>
  <si>
    <t>/mnt/data/projects/ASAP/ST/MTG/backups/data/novaseq_210907b/reads/v210907b/outs/fastq_path/HHYN2DRXY/BN0662_S3_L001_I2_001.fastq.gz</t>
  </si>
  <si>
    <t>db0afd1442f8747c77659e6920e8ae2c</t>
  </si>
  <si>
    <t>BN0662_S3_L001_R1_001.fastq.gz</t>
  </si>
  <si>
    <t>/mnt/data/projects/ASAP/ST/MTG/backups/data/novaseq_210907b/reads/v210907b/outs/fastq_path/HHYN2DRXY/BN0662_S3_L001_R1_001.fastq.gz</t>
  </si>
  <si>
    <t>5af5d6abcda92263cd15978eec8014b0</t>
  </si>
  <si>
    <t>/mnt/data/projects/ASAP/ST/MTG/backups/data/novaseq_210630/novaseq_210630/reads_fastq_only/BN0704_S1_L001_R1_001.fastq.gz</t>
  </si>
  <si>
    <t>ec68ad47ad364178c19e7c2872571031</t>
  </si>
  <si>
    <t>/mnt/data/projects/ASAP/ST/MTG/backups/data/novaseq_210630/novaseq_210630/reads_fastq_only/BN0704_S1_L001_R2_001.fastq.gz</t>
  </si>
  <si>
    <t>f0c35b8f4dec5758064181ee88d7734d</t>
  </si>
  <si>
    <t>/mnt/data/projects/ASAP/ST/MTG/backups/data/novaseq_210630/novaseq_210630/reads_fastq_only/BN0704_S1_L001_I1_001.fastq.gz</t>
  </si>
  <si>
    <t>58d46f6256cf63d1c8f90ddde4df554d</t>
  </si>
  <si>
    <t>/mnt/data/projects/ASAP/ST/MTG/backups/data/novaseq_210630/novaseq_210630/reads_fastq_only/BN0704_S1_L002_I2_001.fastq.gz</t>
  </si>
  <si>
    <t>c4c0979dd841da9b659d84016b790ae8</t>
  </si>
  <si>
    <t>/mnt/data/projects/ASAP/ST/MTG/backups/data/novaseq_210630/novaseq_210630/reads_fastq_only/BN0704_S1_L002_I1_001.fastq.gz</t>
  </si>
  <si>
    <t>08105a74a1b768c3252fc1cde584c580</t>
  </si>
  <si>
    <t>/mnt/data/projects/ASAP/ST/MTG/backups/data/novaseq_210630/novaseq_210630/reads_fastq_only/BN0704_S1_L002_R1_001.fastq.gz</t>
  </si>
  <si>
    <t>b0ee8547c3ceba9efb33aa1a79c3d475</t>
  </si>
  <si>
    <t>/mnt/data/projects/ASAP/ST/MTG/backups/data/novaseq_210630/novaseq_210630/reads_fastq_only/BN0704_S1_L001_I2_001.fastq.gz</t>
  </si>
  <si>
    <t>49360df62d6402b629986e4f9aedc0e8</t>
  </si>
  <si>
    <t>/mnt/data/projects/ASAP/ST/MTG/backups/data/novaseq_210630/novaseq_210630/reads_fastq_only/BN0704_S1_L002_R2_001.fastq.gz</t>
  </si>
  <si>
    <t>dc34e0bd2b2a17ab978323dddb1c721c</t>
  </si>
  <si>
    <t>BN0737_S2_L001_R1_001.fastq.gz</t>
  </si>
  <si>
    <t>/mnt/data/projects/ASAP/ST/MTG/backups/data/novaseq_211018a/fastq/BN0737_S2_L001_R1_001.fastq.gz</t>
  </si>
  <si>
    <t>b630f5b12b70e8e138d7b12812ac0f8a</t>
  </si>
  <si>
    <t>BN0737_S2_L002_I2_001.fastq.gz</t>
  </si>
  <si>
    <t>/mnt/data/projects/ASAP/ST/MTG/backups/data/novaseq_211018a/fastq/BN0737_S2_L002_I2_001.fastq.gz</t>
  </si>
  <si>
    <t>5f4dbf79f77f2129da9186a008e22e40</t>
  </si>
  <si>
    <t>BN0737_S2_L001_R2_001.fastq.gz</t>
  </si>
  <si>
    <t>/mnt/data/projects/ASAP/ST/MTG/backups/data/novaseq_211018a/fastq/BN0737_S2_L001_R2_001.fastq.gz</t>
  </si>
  <si>
    <t>630a14762e230977ce6634fad3825257</t>
  </si>
  <si>
    <t>BN0737_S2_L001_I1_001.fastq.gz</t>
  </si>
  <si>
    <t>/mnt/data/projects/ASAP/ST/MTG/backups/data/novaseq_211018a/fastq/BN0737_S2_L001_I1_001.fastq.gz</t>
  </si>
  <si>
    <t>c6574e236f79f8c2e6e921b07abdbaea</t>
  </si>
  <si>
    <t>BN0737_S2_L002_I1_001.fastq.gz</t>
  </si>
  <si>
    <t>/mnt/data/projects/ASAP/ST/MTG/backups/data/novaseq_211018a/fastq/BN0737_S2_L002_I1_001.fastq.gz</t>
  </si>
  <si>
    <t>594f2f5c0bb43ee2c1724fde4f1ae754</t>
  </si>
  <si>
    <t>BN0737_S2_L002_R2_001.fastq.gz</t>
  </si>
  <si>
    <t>/mnt/data/projects/ASAP/ST/MTG/backups/data/novaseq_211018a/fastq/BN0737_S2_L002_R2_001.fastq.gz</t>
  </si>
  <si>
    <t>266aa9089321d0e355697a21298118cf</t>
  </si>
  <si>
    <t>BN0737_S2_L002_R1_001.fastq.gz</t>
  </si>
  <si>
    <t>/mnt/data/projects/ASAP/ST/MTG/backups/data/novaseq_211018a/fastq/BN0737_S2_L002_R1_001.fastq.gz</t>
  </si>
  <si>
    <t>bf0925855f971b33bc64d6831d98b042</t>
  </si>
  <si>
    <t>BN0737_S2_L001_I2_001.fastq.gz</t>
  </si>
  <si>
    <t>/mnt/data/projects/ASAP/ST/MTG/backups/data/novaseq_211018a/fastq/BN0737_S2_L001_I2_001.fastq.gz</t>
  </si>
  <si>
    <t>38afed3b808351b68cf5a1bdb7e692a4</t>
  </si>
  <si>
    <t>BN0746_S5_L001_I2_001.fastq.gz</t>
  </si>
  <si>
    <t>/mnt/data/projects/ASAP/ST/MTG/backups/data/novaseq_211029b/fastq/BN0746_S5_L001_I2_001.fastq.gz</t>
  </si>
  <si>
    <t>d169fcf4e3618068b92702d4b0a97497</t>
  </si>
  <si>
    <t>BN0746_S5_L002_I1_001.fastq.gz</t>
  </si>
  <si>
    <t>/mnt/data/projects/ASAP/ST/MTG/backups/data/novaseq_211029b/fastq/BN0746_S5_L002_I1_001.fastq.gz</t>
  </si>
  <si>
    <t>6781f2f8e9a2cb0923344239f7ff5d9f</t>
  </si>
  <si>
    <t>BN0746_S5_L001_I1_001.fastq.gz</t>
  </si>
  <si>
    <t>/mnt/data/projects/ASAP/ST/MTG/backups/data/novaseq_211029b/fastq/BN0746_S5_L001_I1_001.fastq.gz</t>
  </si>
  <si>
    <t>8c13b56885077ce7dd086a793f1e3c97</t>
  </si>
  <si>
    <t>BN0746_S5_L001_R2_001.fastq.gz</t>
  </si>
  <si>
    <t>/mnt/data/projects/ASAP/ST/MTG/backups/data/novaseq_211029b/fastq/BN0746_S5_L001_R2_001.fastq.gz</t>
  </si>
  <si>
    <t>fae87fe231cc79664e417c48f04eb1ec</t>
  </si>
  <si>
    <t>BN0746_S5_L002_R1_001.fastq.gz</t>
  </si>
  <si>
    <t>/mnt/data/projects/ASAP/ST/MTG/backups/data/novaseq_211029b/fastq/BN0746_S5_L002_R1_001.fastq.gz</t>
  </si>
  <si>
    <t>58e2e4c1e374e4fcce3e1092ca8ebb0c</t>
  </si>
  <si>
    <t>BN0746_S5_L001_R1_001.fastq.gz</t>
  </si>
  <si>
    <t>/mnt/data/projects/ASAP/ST/MTG/backups/data/novaseq_211029b/fastq/BN0746_S5_L001_R1_001.fastq.gz</t>
  </si>
  <si>
    <t>62210f49f433bb66b6c1d24045270a00</t>
  </si>
  <si>
    <t>BN0746_S5_L002_I2_001.fastq.gz</t>
  </si>
  <si>
    <t>/mnt/data/projects/ASAP/ST/MTG/backups/data/novaseq_211029b/fastq/BN0746_S5_L002_I2_001.fastq.gz</t>
  </si>
  <si>
    <t>34f5b657ca7e54bedfd21a9c85d55046</t>
  </si>
  <si>
    <t>BN0746_S5_L002_R2_001.fastq.gz</t>
  </si>
  <si>
    <t>/mnt/data/projects/ASAP/ST/MTG/backups/data/novaseq_211029b/fastq/BN0746_S5_L002_R2_001.fastq.gz</t>
  </si>
  <si>
    <t>fa0871aa642fb710b0ae2f89d3155bfa</t>
  </si>
  <si>
    <t>/mnt/data/projects/ASAP/ST/MTG/backups/data/novaseq_220115a/fastq/BN0855_S1_L002_I1_001.fastq.gz</t>
  </si>
  <si>
    <t>5b09010a4d47d85673c42e31076b4518</t>
  </si>
  <si>
    <t>/mnt/data/projects/ASAP/ST/MTG/backups/data/novaseq_220115a/fastq/BN0855_S1_L002_R1_001.fastq.gz</t>
  </si>
  <si>
    <t>b1562d6bc59f234514a2667dbec6be04</t>
  </si>
  <si>
    <t>/mnt/data/projects/ASAP/ST/MTG/backups/data/novaseq_220115a/fastq/BN0855_S1_L001_I1_001.fastq.gz</t>
  </si>
  <si>
    <t>8046abd28aca0644020fbd9efe07fb94</t>
  </si>
  <si>
    <t>/mnt/data/projects/ASAP/ST/MTG/backups/data/novaseq_220115a/fastq/BN0855_S1_L001_I2_001.fastq.gz</t>
  </si>
  <si>
    <t>afba4b9e62db6e860d01c9bd248f2955</t>
  </si>
  <si>
    <t>/mnt/data/projects/ASAP/ST/MTG/backups/data/novaseq_220115a/fastq/BN0855_S1_L002_R2_001.fastq.gz</t>
  </si>
  <si>
    <t>c4636c8e46e3c7e26777b2a999624a06</t>
  </si>
  <si>
    <t>/mnt/data/projects/ASAP/ST/MTG/backups/data/novaseq_220115a/fastq/BN0855_S1_L001_R2_001.fastq.gz</t>
  </si>
  <si>
    <t>f7ea0893e50eb717635eb6ed4513b224</t>
  </si>
  <si>
    <t>/mnt/data/projects/ASAP/ST/MTG/backups/data/novaseq_220115a/fastq/BN0855_S1_L002_I2_001.fastq.gz</t>
  </si>
  <si>
    <t>450b502c741677df58e208e61cf378b8</t>
  </si>
  <si>
    <t>/mnt/data/projects/ASAP/ST/MTG/backups/data/novaseq_220115a/fastq/BN0855_S1_L001_R1_001.fastq.gz</t>
  </si>
  <si>
    <t>7cd6094812b25573bf951bf11b95b143</t>
  </si>
  <si>
    <t>/mnt/data/projects/ASAP/ST/MTG/backups/data/novaseq_210907a/reads/v210907a/outs/fastq_path/HJ2W3DRXY/BN0934_S3_L001_R1_001.fastq.gz</t>
  </si>
  <si>
    <t>53e1102d85fbd6a02bc446f7b810a656</t>
  </si>
  <si>
    <t>/mnt/data/projects/ASAP/ST/MTG/backups/data/novaseq_210907a/reads/v210907a/outs/fastq_path/HJ2W3DRXY/BN0934_S3_L002_I2_001.fastq.gz</t>
  </si>
  <si>
    <t>e9cac954ceb0eca4561a007a13a2574e</t>
  </si>
  <si>
    <t>/mnt/data/projects/ASAP/ST/MTG/backups/data/novaseq_210907a/reads/v210907a/outs/fastq_path/HJ2W3DRXY/BN0934_S3_L002_R2_001.fastq.gz</t>
  </si>
  <si>
    <t>0c02fff54cf2f9d4ce16ba6991e26f0c</t>
  </si>
  <si>
    <t>/mnt/data/projects/ASAP/ST/MTG/backups/data/novaseq_210907a/reads/v210907a/outs/fastq_path/HJ2W3DRXY/BN0934_S3_L002_R1_001.fastq.gz</t>
  </si>
  <si>
    <t>06d5e6802ec513c996da34e7456575cb</t>
  </si>
  <si>
    <t>/mnt/data/projects/ASAP/ST/MTG/backups/data/novaseq_210907a/reads/v210907a/outs/fastq_path/HJ2W3DRXY/BN0934_S3_L001_I1_001.fastq.gz</t>
  </si>
  <si>
    <t>a3e0cc0ee9229a5290728be23825d0ee</t>
  </si>
  <si>
    <t>/mnt/data/projects/ASAP/ST/MTG/backups/data/novaseq_210907a/reads/v210907a/outs/fastq_path/HJ2W3DRXY/BN0934_S3_L002_I1_001.fastq.gz</t>
  </si>
  <si>
    <t>5cb30b9f451754a700bce8aebc0b1488</t>
  </si>
  <si>
    <t>/mnt/data/projects/ASAP/ST/MTG/backups/data/novaseq_210907a/reads/v210907a/outs/fastq_path/HJ2W3DRXY/BN0934_S3_L001_I2_001.fastq.gz</t>
  </si>
  <si>
    <t>fb568f8358c678e239e696e7e9378b33</t>
  </si>
  <si>
    <t>/mnt/data/projects/ASAP/ST/MTG/backups/data/novaseq_210907a/reads/v210907a/outs/fastq_path/HJ2W3DRXY/BN0934_S3_L001_R2_001.fastq.gz</t>
  </si>
  <si>
    <t>0d9a1b04282c3174ca8a654342b8043f</t>
  </si>
  <si>
    <t>/mnt/data/projects/ASAP/ST/MTG/backups/data/novaseq_210630/novaseq_210630/reads_fastq_only/BN0952_S2_L001_R1_001.fastq.gz</t>
  </si>
  <si>
    <t>49558ca122a66482f7cf64e95d909b06</t>
  </si>
  <si>
    <t>/mnt/data/projects/ASAP/ST/MTG/backups/data/novaseq_210630/novaseq_210630/reads_fastq_only/BN0952_S2_L001_I1_001.fastq.gz</t>
  </si>
  <si>
    <t>ff6c08835826e66ae42621a302a318d0</t>
  </si>
  <si>
    <t>/mnt/data/projects/ASAP/ST/MTG/backups/data/novaseq_210630/novaseq_210630/reads_fastq_only/BN0952_S2_L002_R1_001.fastq.gz</t>
  </si>
  <si>
    <t>c68674462b7a1f26810de2cc5daa1350</t>
  </si>
  <si>
    <t>/mnt/data/projects/ASAP/ST/MTG/backups/data/novaseq_210630/novaseq_210630/reads_fastq_only/BN0952_S2_L002_I2_001.fastq.gz</t>
  </si>
  <si>
    <t>3b44e4add668650fe8dfd029a21f9e7a</t>
  </si>
  <si>
    <t>/mnt/data/projects/ASAP/ST/MTG/backups/data/novaseq_210630/novaseq_210630/reads_fastq_only/BN0952_S2_L002_I1_001.fastq.gz</t>
  </si>
  <si>
    <t>17fa7cdd263a2251f776c82624227807</t>
  </si>
  <si>
    <t>/mnt/data/projects/ASAP/ST/MTG/backups/data/novaseq_210630/novaseq_210630/reads_fastq_only/BN0952_S2_L001_I2_001.fastq.gz</t>
  </si>
  <si>
    <t>248ee95718970b9f8ea5f7ad03b6e772</t>
  </si>
  <si>
    <t>/mnt/data/projects/ASAP/ST/MTG/backups/data/novaseq_210630/novaseq_210630/reads_fastq_only/BN0952_S2_L001_R2_001.fastq.gz</t>
  </si>
  <si>
    <t>2340cf82ce33b65467fb1f2f09a30c6f</t>
  </si>
  <si>
    <t>/mnt/data/projects/ASAP/ST/MTG/backups/data/novaseq_210630/novaseq_210630/reads_fastq_only/BN0952_S2_L002_R2_001.fastq.gz</t>
  </si>
  <si>
    <t>dc7a710f7b224d4456e499922989bb10</t>
  </si>
  <si>
    <t>BN1022_S1_L002_R2_001.fastq.gz</t>
  </si>
  <si>
    <t>/mnt/data/projects/ASAP/ST/MTG/backups/data/novaseq_211030b/fastq/BN1022_S1_L002_R2_001.fastq.gz</t>
  </si>
  <si>
    <t>ca5ff02aba9e1006ccade24d17c49e9b</t>
  </si>
  <si>
    <t>BN1022_S1_L001_R2_001.fastq.gz</t>
  </si>
  <si>
    <t>/mnt/data/projects/ASAP/ST/MTG/backups/data/novaseq_211030b/fastq/BN1022_S1_L001_R2_001.fastq.gz</t>
  </si>
  <si>
    <t>220ab600b3898b00bd647def95412f3c</t>
  </si>
  <si>
    <t>BN1022_S1_L001_R1_001.fastq.gz</t>
  </si>
  <si>
    <t>/mnt/data/projects/ASAP/ST/MTG/backups/data/novaseq_211030b/fastq/BN1022_S1_L001_R1_001.fastq.gz</t>
  </si>
  <si>
    <t>19dd2db70306b35bf7db18e7a4c7f875</t>
  </si>
  <si>
    <t>BN1022_S1_L002_I2_001.fastq.gz</t>
  </si>
  <si>
    <t>/mnt/data/projects/ASAP/ST/MTG/backups/data/novaseq_211030b/fastq/BN1022_S1_L002_I2_001.fastq.gz</t>
  </si>
  <si>
    <t>7cc13a64ad20b77d471d683f3f52fa60</t>
  </si>
  <si>
    <t>BN1022_S1_L001_I2_001.fastq.gz</t>
  </si>
  <si>
    <t>/mnt/data/projects/ASAP/ST/MTG/backups/data/novaseq_211030b/fastq/BN1022_S1_L001_I2_001.fastq.gz</t>
  </si>
  <si>
    <t>17424885aee3fcdc8e55f29fcaf585af</t>
  </si>
  <si>
    <t>BN1022_S1_L002_I1_001.fastq.gz</t>
  </si>
  <si>
    <t>/mnt/data/projects/ASAP/ST/MTG/backups/data/novaseq_211030b/fastq/BN1022_S1_L002_I1_001.fastq.gz</t>
  </si>
  <si>
    <t>1a7fffbbc09f3122e0e948cc6ab88dc8</t>
  </si>
  <si>
    <t>BN1022_S1_L001_I1_001.fastq.gz</t>
  </si>
  <si>
    <t>/mnt/data/projects/ASAP/ST/MTG/backups/data/novaseq_211030b/fastq/BN1022_S1_L001_I1_001.fastq.gz</t>
  </si>
  <si>
    <t>5a8441f719b3b1ffe03085053e2844a3</t>
  </si>
  <si>
    <t>BN1022_S1_L002_R1_001.fastq.gz</t>
  </si>
  <si>
    <t>/mnt/data/projects/ASAP/ST/MTG/backups/data/novaseq_211030b/fastq/BN1022_S1_L002_R1_001.fastq.gz</t>
  </si>
  <si>
    <t>f4ad6fb2676f779a44562256685f6445</t>
  </si>
  <si>
    <t>/mnt/data/projects/ASAP/ST/MTG/backups/data/novaseq_220115b/fastq/BN1022_S1_L002_R2_001.fastq.gz</t>
  </si>
  <si>
    <t>0779dd56bc12fa6e8aeb5ea6cfe88c31</t>
  </si>
  <si>
    <t>/mnt/data/projects/ASAP/ST/MTG/backups/data/novaseq_220115b/fastq/BN1022_S1_L001_R1_001.fastq.gz</t>
  </si>
  <si>
    <t>12782f278bc6b67e1795118d6e06b15c</t>
  </si>
  <si>
    <t>/mnt/data/projects/ASAP/ST/MTG/backups/data/novaseq_220115b/fastq/BN1022_S1_L002_I2_001.fastq.gz</t>
  </si>
  <si>
    <t>b003a22fb129457f6563973b39c79af3</t>
  </si>
  <si>
    <t>/mnt/data/projects/ASAP/ST/MTG/backups/data/novaseq_220115b/fastq/BN1022_S1_L001_I2_001.fastq.gz</t>
  </si>
  <si>
    <t>692f267bdaefcf00928e9d41376ed96b</t>
  </si>
  <si>
    <t>/mnt/data/projects/ASAP/ST/MTG/backups/data/novaseq_220115b/fastq/BN1022_S1_L002_R1_001.fastq.gz</t>
  </si>
  <si>
    <t>581ac0e512746bd10b54f17a6239a9fb</t>
  </si>
  <si>
    <t>/mnt/data/projects/ASAP/ST/MTG/backups/data/novaseq_220115b/fastq/BN1022_S1_L002_I1_001.fastq.gz</t>
  </si>
  <si>
    <t>f17d01379a247074f3880fc673deb153</t>
  </si>
  <si>
    <t>/mnt/data/projects/ASAP/ST/MTG/backups/data/novaseq_220115b/fastq/BN1022_S1_L001_R2_001.fastq.gz</t>
  </si>
  <si>
    <t>bc83cb4b1ed72c8797cf6e6d92a5a110</t>
  </si>
  <si>
    <t>/mnt/data/projects/ASAP/ST/MTG/backups/data/novaseq_220115b/fastq/BN1022_S1_L001_I1_001.fastq.gz</t>
  </si>
  <si>
    <t>691e77df79b6546c34d0b1f0b0438ff8</t>
  </si>
  <si>
    <t>/mnt/data/projects/ASAP/ST/MTG/backups/data/novaseq_230114/fastq/BN1022_S3_L001_R1_001.fastq.gz</t>
  </si>
  <si>
    <t>e6fdb2f308d130f4f7dadeaf6cf65581</t>
  </si>
  <si>
    <t>/mnt/data/projects/ASAP/ST/MTG/backups/data/novaseq_230114/fastq/BN1022_S3_L001_I1_001.fastq.gz</t>
  </si>
  <si>
    <t>0f2be6c9b1b7c2b9b7a456fb1e534ce4</t>
  </si>
  <si>
    <t>/mnt/data/projects/ASAP/ST/MTG/backups/data/novaseq_230114/fastq/BN1022_S3_L002_R2_001.fastq.gz</t>
  </si>
  <si>
    <t>934f6ed7d0136a603d34103bfe58b5e2</t>
  </si>
  <si>
    <t>/mnt/data/projects/ASAP/ST/MTG/backups/data/novaseq_230114/fastq/BN1022_S3_L001_I2_001.fastq.gz</t>
  </si>
  <si>
    <t>2a781bb49d42a21d0559600bf76cbcb1</t>
  </si>
  <si>
    <t>/mnt/data/projects/ASAP/ST/MTG/backups/data/novaseq_230114/fastq/BN1022_S3_L002_I1_001.fastq.gz</t>
  </si>
  <si>
    <t>b73269eb80bd8afa4c30183ccefcd089</t>
  </si>
  <si>
    <t>/mnt/data/projects/ASAP/ST/MTG/backups/data/novaseq_230114/fastq/BN1022_S3_L002_I2_001.fastq.gz</t>
  </si>
  <si>
    <t>36986b25446137b4356cc0686a2d051a</t>
  </si>
  <si>
    <t>/mnt/data/projects/ASAP/ST/MTG/backups/data/novaseq_230114/fastq/BN1022_S3_L002_R1_001.fastq.gz</t>
  </si>
  <si>
    <t>d6d185e3032365ad3359c782d1bd6215</t>
  </si>
  <si>
    <t>/mnt/data/projects/ASAP/ST/MTG/backups/data/novaseq_230114/fastq/BN1022_S3_L001_R2_001.fastq.gz</t>
  </si>
  <si>
    <t>da768e68533ff181221f95ff175596d6</t>
  </si>
  <si>
    <t>/mnt/data/projects/ASAP/ST/MTG/backups/data/novaseq_210630/novaseq_210630/reads_fastq_only/BN1076_S4_L001_R1_001.fastq.gz</t>
  </si>
  <si>
    <t>dec1bb57b98de63a63df611f7ea432d0</t>
  </si>
  <si>
    <t>/mnt/data/projects/ASAP/ST/MTG/backups/data/novaseq_210630/novaseq_210630/reads_fastq_only/BN1076_S4_L002_R1_001.fastq.gz</t>
  </si>
  <si>
    <t>4bfd8fc3d0b3436821e045e34d339c94</t>
  </si>
  <si>
    <t>/mnt/data/projects/ASAP/ST/MTG/backups/data/novaseq_210630/novaseq_210630/reads_fastq_only/BN1076_S4_L002_R2_001.fastq.gz</t>
  </si>
  <si>
    <t>61005659010ab2fa45d91cd960ae7bb9</t>
  </si>
  <si>
    <t>/mnt/data/projects/ASAP/ST/MTG/backups/data/novaseq_210630/novaseq_210630/reads_fastq_only/BN1076_S4_L001_I1_001.fastq.gz</t>
  </si>
  <si>
    <t>5be4867aaf4c96f6a8d96e826e91a331</t>
  </si>
  <si>
    <t>/mnt/data/projects/ASAP/ST/MTG/backups/data/novaseq_210630/novaseq_210630/reads_fastq_only/BN1076_S4_L001_R2_001.fastq.gz</t>
  </si>
  <si>
    <t>0794681afbe1a56987ed2759d1df4c75</t>
  </si>
  <si>
    <t>/mnt/data/projects/ASAP/ST/MTG/backups/data/novaseq_210630/novaseq_210630/reads_fastq_only/BN1076_S4_L001_I2_001.fastq.gz</t>
  </si>
  <si>
    <t>7bc0060fd8a92df06046e61208181e00</t>
  </si>
  <si>
    <t>/mnt/data/projects/ASAP/ST/MTG/backups/data/novaseq_210630/novaseq_210630/reads_fastq_only/BN1076_S4_L002_I2_001.fastq.gz</t>
  </si>
  <si>
    <t>bab3124e68f9eaf54aa44d0dad4a10bc</t>
  </si>
  <si>
    <t>/mnt/data/projects/ASAP/ST/MTG/backups/data/novaseq_210630/novaseq_210630/reads_fastq_only/BN1076_S4_L002_I1_001.fastq.gz</t>
  </si>
  <si>
    <t>b7daff669e49a4119f76bec831d033d8</t>
  </si>
  <si>
    <t>BN1128_S2_L002_R2_001.fastq.gz</t>
  </si>
  <si>
    <t>/mnt/data/projects/ASAP/ST/MTG/backups/data/novaseq_210907b/reads/v210907b/outs/fastq_path/HHYN2DRXY/BN1128_S2_L002_R2_001.fastq.gz</t>
  </si>
  <si>
    <t>79560de72cd095540ec762352d66fa6a</t>
  </si>
  <si>
    <t>BN1128_S2_L001_I2_001.fastq.gz</t>
  </si>
  <si>
    <t>/mnt/data/projects/ASAP/ST/MTG/backups/data/novaseq_210907b/reads/v210907b/outs/fastq_path/HHYN2DRXY/BN1128_S2_L001_I2_001.fastq.gz</t>
  </si>
  <si>
    <t>7f519bc8e414fd3de8e30159040498d7</t>
  </si>
  <si>
    <t>BN1128_S2_L001_R1_001.fastq.gz</t>
  </si>
  <si>
    <t>/mnt/data/projects/ASAP/ST/MTG/backups/data/novaseq_210907b/reads/v210907b/outs/fastq_path/HHYN2DRXY/BN1128_S2_L001_R1_001.fastq.gz</t>
  </si>
  <si>
    <t>cff9c124416d5b9ff7fd1d7f9d85406c</t>
  </si>
  <si>
    <t>BN1128_S2_L002_I2_001.fastq.gz</t>
  </si>
  <si>
    <t>/mnt/data/projects/ASAP/ST/MTG/backups/data/novaseq_210907b/reads/v210907b/outs/fastq_path/HHYN2DRXY/BN1128_S2_L002_I2_001.fastq.gz</t>
  </si>
  <si>
    <t>bc5ef60944b6779f4639c75defe442d2</t>
  </si>
  <si>
    <t>BN1128_S2_L001_I1_001.fastq.gz</t>
  </si>
  <si>
    <t>/mnt/data/projects/ASAP/ST/MTG/backups/data/novaseq_210907b/reads/v210907b/outs/fastq_path/HHYN2DRXY/BN1128_S2_L001_I1_001.fastq.gz</t>
  </si>
  <si>
    <t>485f66512db47075688bab6cc113b48f</t>
  </si>
  <si>
    <t>BN1128_S2_L001_R2_001.fastq.gz</t>
  </si>
  <si>
    <t>/mnt/data/projects/ASAP/ST/MTG/backups/data/novaseq_210907b/reads/v210907b/outs/fastq_path/HHYN2DRXY/BN1128_S2_L001_R2_001.fastq.gz</t>
  </si>
  <si>
    <t>050691e6592898007d7106e73b677470</t>
  </si>
  <si>
    <t>BN1128_S2_L002_R1_001.fastq.gz</t>
  </si>
  <si>
    <t>/mnt/data/projects/ASAP/ST/MTG/backups/data/novaseq_210907b/reads/v210907b/outs/fastq_path/HHYN2DRXY/BN1128_S2_L002_R1_001.fastq.gz</t>
  </si>
  <si>
    <t>2e6fd53d38400a9992be9f7825ae701e</t>
  </si>
  <si>
    <t>BN1128_S2_L002_I1_001.fastq.gz</t>
  </si>
  <si>
    <t>/mnt/data/projects/ASAP/ST/MTG/backups/data/novaseq_210907b/reads/v210907b/outs/fastq_path/HHYN2DRXY/BN1128_S2_L002_I1_001.fastq.gz</t>
  </si>
  <si>
    <t>c5bc2bb59e2cf1732b80c729a60895fc</t>
  </si>
  <si>
    <t>BN1144_S2_L001_I2_001.fastq.gz</t>
  </si>
  <si>
    <t>/mnt/data/projects/ASAP/ST/MTG/backups/data/novaseq_210928a/fastq/BN1144_S2_L001_I2_001.fastq.gz</t>
  </si>
  <si>
    <t>46dce08ed8aa7d8dcc6cebc815c03a82</t>
  </si>
  <si>
    <t>BN1144_S2_L001_R2_001.fastq.gz</t>
  </si>
  <si>
    <t>/mnt/data/projects/ASAP/ST/MTG/backups/data/novaseq_210928a/fastq/BN1144_S2_L001_R2_001.fastq.gz</t>
  </si>
  <si>
    <t>da41bb643eb6005a3d7ebf4bb5ebee12</t>
  </si>
  <si>
    <t>BN1144_S2_L002_I2_001.fastq.gz</t>
  </si>
  <si>
    <t>/mnt/data/projects/ASAP/ST/MTG/backups/data/novaseq_210928a/fastq/BN1144_S2_L002_I2_001.fastq.gz</t>
  </si>
  <si>
    <t>e1f0fc24c068047d8b54d42ff3ef0b17</t>
  </si>
  <si>
    <t>BN1144_S2_L002_R2_001.fastq.gz</t>
  </si>
  <si>
    <t>/mnt/data/projects/ASAP/ST/MTG/backups/data/novaseq_210928a/fastq/BN1144_S2_L002_R2_001.fastq.gz</t>
  </si>
  <si>
    <t>5dafba9f44c60e5baea0efc88b69f953</t>
  </si>
  <si>
    <t>BN1144_S2_L001_R1_001.fastq.gz</t>
  </si>
  <si>
    <t>/mnt/data/projects/ASAP/ST/MTG/backups/data/novaseq_210928a/fastq/BN1144_S2_L001_R1_001.fastq.gz</t>
  </si>
  <si>
    <t>7f480fcb03fd89404c9a1199b37a9e55</t>
  </si>
  <si>
    <t>BN1144_S2_L001_I1_001.fastq.gz</t>
  </si>
  <si>
    <t>/mnt/data/projects/ASAP/ST/MTG/backups/data/novaseq_210928a/fastq/BN1144_S2_L001_I1_001.fastq.gz</t>
  </si>
  <si>
    <t>249da1cf0f28725785a402d4050a4b69</t>
  </si>
  <si>
    <t>BN1144_S2_L002_R1_001.fastq.gz</t>
  </si>
  <si>
    <t>/mnt/data/projects/ASAP/ST/MTG/backups/data/novaseq_210928a/fastq/BN1144_S2_L002_R1_001.fastq.gz</t>
  </si>
  <si>
    <t>d4b8f2ee7ee78adff090501d8d167d2a</t>
  </si>
  <si>
    <t>BN1144_S2_L002_I1_001.fastq.gz</t>
  </si>
  <si>
    <t>/mnt/data/projects/ASAP/ST/MTG/backups/data/novaseq_210928a/fastq/BN1144_S2_L002_I1_001.fastq.gz</t>
  </si>
  <si>
    <t>c636365c79f42786fe744e0d68791f4c</t>
  </si>
  <si>
    <t>/mnt/data/projects/ASAP/ST/MTG/backups/data/novaseq_211029a/fastq/BN1160_S3_L002_R2_001.fastq.gz</t>
  </si>
  <si>
    <t>cb45239c6863d4d6e8ffd96cbbe30a4e</t>
  </si>
  <si>
    <t>/mnt/data/projects/ASAP/ST/MTG/backups/data/novaseq_211029a/fastq/BN1160_S3_L001_R1_001.fastq.gz</t>
  </si>
  <si>
    <t>37c8c4a039729af0630ec9ee2b64cc22</t>
  </si>
  <si>
    <t>/mnt/data/projects/ASAP/ST/MTG/backups/data/novaseq_211029a/fastq/BN1160_S3_L002_R1_001.fastq.gz</t>
  </si>
  <si>
    <t>f2a8a9e84ad7572420970ad19f977eb8</t>
  </si>
  <si>
    <t>/mnt/data/projects/ASAP/ST/MTG/backups/data/novaseq_211029a/fastq/BN1160_S3_L002_I1_001.fastq.gz</t>
  </si>
  <si>
    <t>f79164b1ad255fa427382ff617007e21</t>
  </si>
  <si>
    <t>/mnt/data/projects/ASAP/ST/MTG/backups/data/novaseq_211029a/fastq/BN1160_S3_L002_I2_001.fastq.gz</t>
  </si>
  <si>
    <t>3f30b5bb18d77aee4b8d1590c881f44e</t>
  </si>
  <si>
    <t>/mnt/data/projects/ASAP/ST/MTG/backups/data/novaseq_211029a/fastq/BN1160_S3_L001_R2_001.fastq.gz</t>
  </si>
  <si>
    <t>14f2ca8271cf2587060cbf69cf825105</t>
  </si>
  <si>
    <t>/mnt/data/projects/ASAP/ST/MTG/backups/data/novaseq_211029a/fastq/BN1160_S3_L001_I2_001.fastq.gz</t>
  </si>
  <si>
    <t>06cf17b9d5dcbca661aeafaf15abb786</t>
  </si>
  <si>
    <t>/mnt/data/projects/ASAP/ST/MTG/backups/data/novaseq_211029a/fastq/BN1160_S3_L001_I1_001.fastq.gz</t>
  </si>
  <si>
    <t>05327ed0623a6fcc741ebf1017229d1a</t>
  </si>
  <si>
    <t>BN1204_S4_L001_R1_001.fastq.gz</t>
  </si>
  <si>
    <t>/mnt/data/projects/ASAP/ST/MTG/backups/data/novaseq_211208a/fastq/BN1204_S4_L001_R1_001.fastq.gz</t>
  </si>
  <si>
    <t>be7eeafe8358c3573e4420d868115c5b</t>
  </si>
  <si>
    <t>BN1204_S4_L002_I1_001.fastq.gz</t>
  </si>
  <si>
    <t>/mnt/data/projects/ASAP/ST/MTG/backups/data/novaseq_211208a/fastq/BN1204_S4_L002_I1_001.fastq.gz</t>
  </si>
  <si>
    <t>06ea24170e49578ec0e12c1517ed79cb</t>
  </si>
  <si>
    <t>BN1204_S4_L001_I2_001.fastq.gz</t>
  </si>
  <si>
    <t>/mnt/data/projects/ASAP/ST/MTG/backups/data/novaseq_211208a/fastq/BN1204_S4_L001_I2_001.fastq.gz</t>
  </si>
  <si>
    <t>df56450bf74140b7cc2c9d886809cf04</t>
  </si>
  <si>
    <t>BN1204_S4_L002_R2_001.fastq.gz</t>
  </si>
  <si>
    <t>/mnt/data/projects/ASAP/ST/MTG/backups/data/novaseq_211208a/fastq/BN1204_S4_L002_R2_001.fastq.gz</t>
  </si>
  <si>
    <t>3e5b4b49ecd91f1db061b8d22c56726e</t>
  </si>
  <si>
    <t>BN1204_S4_L002_I2_001.fastq.gz</t>
  </si>
  <si>
    <t>/mnt/data/projects/ASAP/ST/MTG/backups/data/novaseq_211208a/fastq/BN1204_S4_L002_I2_001.fastq.gz</t>
  </si>
  <si>
    <t>7ca94e3b9463a76bc2c5ac21507af924</t>
  </si>
  <si>
    <t>BN1204_S4_L002_R1_001.fastq.gz</t>
  </si>
  <si>
    <t>/mnt/data/projects/ASAP/ST/MTG/backups/data/novaseq_211208a/fastq/BN1204_S4_L002_R1_001.fastq.gz</t>
  </si>
  <si>
    <t>acd8ba9c5c43a97470a26b4d0206c2c9</t>
  </si>
  <si>
    <t>BN1204_S4_L001_R2_001.fastq.gz</t>
  </si>
  <si>
    <t>/mnt/data/projects/ASAP/ST/MTG/backups/data/novaseq_211208a/fastq/BN1204_S4_L001_R2_001.fastq.gz</t>
  </si>
  <si>
    <t>ee4ab5a477bab430b490176ecad46a3b</t>
  </si>
  <si>
    <t>BN1204_S4_L001_I1_001.fastq.gz</t>
  </si>
  <si>
    <t>/mnt/data/projects/ASAP/ST/MTG/backups/data/novaseq_211208a/fastq/BN1204_S4_L001_I1_001.fastq.gz</t>
  </si>
  <si>
    <t>8de6c3b008b5c51de89b4a8287d8377c</t>
  </si>
  <si>
    <t>/mnt/data/projects/ASAP/ST/MTG/backups/data/novaseq_210831b/fastq/BN1206_S2_L002_R2_001.fastq.gz</t>
  </si>
  <si>
    <t>94c9393f3d370760f20767d229fb2da5</t>
  </si>
  <si>
    <t>/mnt/data/projects/ASAP/ST/MTG/backups/data/novaseq_210831b/fastq/BN1206_S2_L001_R2_001.fastq.gz</t>
  </si>
  <si>
    <t>75bc9de3647ad4ecaa9410fea67bd7bf</t>
  </si>
  <si>
    <t>/mnt/data/projects/ASAP/ST/MTG/backups/data/novaseq_210831b/fastq/BN1206_S2_L002_I2_001.fastq.gz</t>
  </si>
  <si>
    <t>fa8a328b969bb5a4cb2ca7cad391cee6</t>
  </si>
  <si>
    <t>/mnt/data/projects/ASAP/ST/MTG/backups/data/novaseq_210831b/fastq/BN1206_S2_L002_I1_001.fastq.gz</t>
  </si>
  <si>
    <t>be6ada4663be8613ea8a89410212db7c</t>
  </si>
  <si>
    <t>/mnt/data/projects/ASAP/ST/MTG/backups/data/novaseq_210831b/fastq/BN1206_S2_L002_R1_001.fastq.gz</t>
  </si>
  <si>
    <t>c29b5c18750ab284942e9f07ecf175d7</t>
  </si>
  <si>
    <t>/mnt/data/projects/ASAP/ST/MTG/backups/data/novaseq_210831b/fastq/BN1206_S2_L001_R1_001.fastq.gz</t>
  </si>
  <si>
    <t>1665993d84c19feaa7e9ad153775b451</t>
  </si>
  <si>
    <t>/mnt/data/projects/ASAP/ST/MTG/backups/data/novaseq_210831b/fastq/BN1206_S2_L001_I2_001.fastq.gz</t>
  </si>
  <si>
    <t>e6455386069f37bb7d17c8cc5a8c59a9</t>
  </si>
  <si>
    <t>/mnt/data/projects/ASAP/ST/MTG/backups/data/novaseq_210831b/fastq/BN1206_S2_L001_I1_001.fastq.gz</t>
  </si>
  <si>
    <t>300da7d69874336967939597a8748f4b</t>
  </si>
  <si>
    <t>1221_A_S1_L002_I2_001.fastq.gz</t>
  </si>
  <si>
    <t>/mnt/data/projects/ASAP/ST/MTG/backups/data/novaseq_210604/reads/HCMVLDRXY/1221_A_S1_L002_I2_001.fastq.gz</t>
  </si>
  <si>
    <t>eb4c75a2adb60c5394ca81904de2f4d4</t>
  </si>
  <si>
    <t>1221_A_S1_L001_R2_001.fastq.gz</t>
  </si>
  <si>
    <t>/mnt/data/projects/ASAP/ST/MTG/backups/data/novaseq_210604/reads/HCMVLDRXY/1221_A_S1_L001_R2_001.fastq.gz</t>
  </si>
  <si>
    <t>abe054e713217d9f6b45c1b6767bfebc</t>
  </si>
  <si>
    <t>1221_A_S1_L001_R1_001.fastq.gz</t>
  </si>
  <si>
    <t>/mnt/data/projects/ASAP/ST/MTG/backups/data/novaseq_210604/reads/HCMVLDRXY/1221_A_S1_L001_R1_001.fastq.gz</t>
  </si>
  <si>
    <t>ba983f4af7b591024fc130afe2bcb2af</t>
  </si>
  <si>
    <t>1221_A_S1_L002_I1_001.fastq.gz</t>
  </si>
  <si>
    <t>/mnt/data/projects/ASAP/ST/MTG/backups/data/novaseq_210604/reads/HCMVLDRXY/1221_A_S1_L002_I1_001.fastq.gz</t>
  </si>
  <si>
    <t>798d280d59c7656ee25ea216b905b8a9</t>
  </si>
  <si>
    <t>1221_A_S1_L002_R2_001.fastq.gz</t>
  </si>
  <si>
    <t>/mnt/data/projects/ASAP/ST/MTG/backups/data/novaseq_210604/reads/HCMVLDRXY/1221_A_S1_L002_R2_001.fastq.gz</t>
  </si>
  <si>
    <t>e7914af9bf21608e0b3a2f8bdf9ceede</t>
  </si>
  <si>
    <t>1221_A_S1_L001_I2_001.fastq.gz</t>
  </si>
  <si>
    <t>/mnt/data/projects/ASAP/ST/MTG/backups/data/novaseq_210604/reads/HCMVLDRXY/1221_A_S1_L001_I2_001.fastq.gz</t>
  </si>
  <si>
    <t>2a032ff4d7748e5aa77a95f38389e681</t>
  </si>
  <si>
    <t>1221_A_S1_L002_R1_001.fastq.gz</t>
  </si>
  <si>
    <t>/mnt/data/projects/ASAP/ST/MTG/backups/data/novaseq_210604/reads/HCMVLDRXY/1221_A_S1_L002_R1_001.fastq.gz</t>
  </si>
  <si>
    <t>d28c068a3cb26748158c82b796732d8b</t>
  </si>
  <si>
    <t>1221_A_S1_L001_I1_001.fastq.gz</t>
  </si>
  <si>
    <t>/mnt/data/projects/ASAP/ST/MTG/backups/data/novaseq_210604/reads/HCMVLDRXY/1221_A_S1_L001_I1_001.fastq.gz</t>
  </si>
  <si>
    <t>241ab8d32cb445dde326e6e25c6dade9</t>
  </si>
  <si>
    <t>1221_B_S2_L002_I1_001.fastq.gz</t>
  </si>
  <si>
    <t>/mnt/data/projects/ASAP/ST/MTG/backups/data/novaseq_210604/reads/HCMVLDRXY/1221_B_S2_L002_I1_001.fastq.gz</t>
  </si>
  <si>
    <t>a6138b7b55c34591f2b9072efb354e4e</t>
  </si>
  <si>
    <t>1221_B_S2_L002_R1_001.fastq.gz</t>
  </si>
  <si>
    <t>/mnt/data/projects/ASAP/ST/MTG/backups/data/novaseq_210604/reads/HCMVLDRXY/1221_B_S2_L002_R1_001.fastq.gz</t>
  </si>
  <si>
    <t>f13863e00fac0e966bd27263243aab2b</t>
  </si>
  <si>
    <t>1221_B_S2_L001_I2_001.fastq.gz</t>
  </si>
  <si>
    <t>/mnt/data/projects/ASAP/ST/MTG/backups/data/novaseq_210604/reads/HCMVLDRXY/1221_B_S2_L001_I2_001.fastq.gz</t>
  </si>
  <si>
    <t>77862b7fc7d2dacaba9c359e087c9866</t>
  </si>
  <si>
    <t>1221_B_S2_L002_R2_001.fastq.gz</t>
  </si>
  <si>
    <t>/mnt/data/projects/ASAP/ST/MTG/backups/data/novaseq_210604/reads/HCMVLDRXY/1221_B_S2_L002_R2_001.fastq.gz</t>
  </si>
  <si>
    <t>7cd033745bd462fa336035442a430863</t>
  </si>
  <si>
    <t>1221_B_S2_L002_I2_001.fastq.gz</t>
  </si>
  <si>
    <t>/mnt/data/projects/ASAP/ST/MTG/backups/data/novaseq_210604/reads/HCMVLDRXY/1221_B_S2_L002_I2_001.fastq.gz</t>
  </si>
  <si>
    <t>b6d6e6104c4ac0dbd60d114f79337ab6</t>
  </si>
  <si>
    <t>1221_B_S2_L001_R2_001.fastq.gz</t>
  </si>
  <si>
    <t>/mnt/data/projects/ASAP/ST/MTG/backups/data/novaseq_210604/reads/HCMVLDRXY/1221_B_S2_L001_R2_001.fastq.gz</t>
  </si>
  <si>
    <t>8e9da825db7ae6fe1added1e114780c0</t>
  </si>
  <si>
    <t>1221_B_S2_L001_R1_001.fastq.gz</t>
  </si>
  <si>
    <t>/mnt/data/projects/ASAP/ST/MTG/backups/data/novaseq_210604/reads/HCMVLDRXY/1221_B_S2_L001_R1_001.fastq.gz</t>
  </si>
  <si>
    <t>6f76d5d741ed7bc71d31926ed339bca3</t>
  </si>
  <si>
    <t>1221_B_S2_L001_I1_001.fastq.gz</t>
  </si>
  <si>
    <t>/mnt/data/projects/ASAP/ST/MTG/backups/data/novaseq_210604/reads/HCMVLDRXY/1221_B_S2_L001_I1_001.fastq.gz</t>
  </si>
  <si>
    <t>a2fdb4ab5ce00411546a23d50cf0e35e</t>
  </si>
  <si>
    <t>/mnt/data/projects/ASAP/ST/MTG/backups/data/novaseq_211208b/fastq/BN1266_S1_L001_R2_001.fastq.gz</t>
  </si>
  <si>
    <t>f355c4889293514ece551c7c4b5cf546</t>
  </si>
  <si>
    <t>/mnt/data/projects/ASAP/ST/MTG/backups/data/novaseq_211208b/fastq/BN1266_S1_L002_I2_001.fastq.gz</t>
  </si>
  <si>
    <t>c2199856554f6bee470afb9e716b0a6c</t>
  </si>
  <si>
    <t>/mnt/data/projects/ASAP/ST/MTG/backups/data/novaseq_211208b/fastq/BN1266_S1_L001_I2_001.fastq.gz</t>
  </si>
  <si>
    <t>e26d573bfc8a8efeda788fcdb50ebbe3</t>
  </si>
  <si>
    <t>/mnt/data/projects/ASAP/ST/MTG/backups/data/novaseq_211208b/fastq/BN1266_S1_L002_R1_001.fastq.gz</t>
  </si>
  <si>
    <t>37ba12a1e0aa7ae5fab0716d0229579d</t>
  </si>
  <si>
    <t>/mnt/data/projects/ASAP/ST/MTG/backups/data/novaseq_211208b/fastq/BN1266_S1_L002_I1_001.fastq.gz</t>
  </si>
  <si>
    <t>59c9536b1e50704a8780a244ba4e341b</t>
  </si>
  <si>
    <t>/mnt/data/projects/ASAP/ST/MTG/backups/data/novaseq_211208b/fastq/BN1266_S1_L001_R1_001.fastq.gz</t>
  </si>
  <si>
    <t>466375be117190c4c004e675d275c3ee</t>
  </si>
  <si>
    <t>/mnt/data/projects/ASAP/ST/MTG/backups/data/novaseq_211208b/fastq/BN1266_S1_L001_I1_001.fastq.gz</t>
  </si>
  <si>
    <t>ddadb9a0958cc6d07591749c14981796</t>
  </si>
  <si>
    <t>/mnt/data/projects/ASAP/ST/MTG/backups/data/novaseq_211208b/fastq/BN1266_S1_L002_R2_001.fastq.gz</t>
  </si>
  <si>
    <t>050bbe0d133a4ae8a12cfd25a9bc0923</t>
  </si>
  <si>
    <t>BN1305_S1_L002_R1_001.fastq.gz</t>
  </si>
  <si>
    <t>/mnt/data/projects/ASAP/ST/MTG/backups/data/novaseq_211018b/fastq/BN1305_S1_L002_R1_001.fastq.gz</t>
  </si>
  <si>
    <t>2c761ed9d7c72c018eae47d6db002d9b</t>
  </si>
  <si>
    <t>BN1305_S1_L002_I1_001.fastq.gz</t>
  </si>
  <si>
    <t>/mnt/data/projects/ASAP/ST/MTG/backups/data/novaseq_211018b/fastq/BN1305_S1_L002_I1_001.fastq.gz</t>
  </si>
  <si>
    <t>fbe8dfce7094a7d4f5e6fdc6f076fcaa</t>
  </si>
  <si>
    <t>BN1305_S1_L002_R2_001.fastq.gz</t>
  </si>
  <si>
    <t>/mnt/data/projects/ASAP/ST/MTG/backups/data/novaseq_211018b/fastq/BN1305_S1_L002_R2_001.fastq.gz</t>
  </si>
  <si>
    <t>27e847ace8758757ab65f333a7737347</t>
  </si>
  <si>
    <t>BN1305_S1_L001_R1_001.fastq.gz</t>
  </si>
  <si>
    <t>/mnt/data/projects/ASAP/ST/MTG/backups/data/novaseq_211018b/fastq/BN1305_S1_L001_R1_001.fastq.gz</t>
  </si>
  <si>
    <t>b3d7cf43acf8880a45fc717c094f401c</t>
  </si>
  <si>
    <t>BN1305_S1_L001_R2_001.fastq.gz</t>
  </si>
  <si>
    <t>/mnt/data/projects/ASAP/ST/MTG/backups/data/novaseq_211018b/fastq/BN1305_S1_L001_R2_001.fastq.gz</t>
  </si>
  <si>
    <t>abee22ea19e32cbde36a0e33b4fa86b0</t>
  </si>
  <si>
    <t>BN1305_S1_L002_I2_001.fastq.gz</t>
  </si>
  <si>
    <t>/mnt/data/projects/ASAP/ST/MTG/backups/data/novaseq_211018b/fastq/BN1305_S1_L002_I2_001.fastq.gz</t>
  </si>
  <si>
    <t>11f51720e975dadd4073ef25631f05aa</t>
  </si>
  <si>
    <t>BN1305_S1_L001_I2_001.fastq.gz</t>
  </si>
  <si>
    <t>/mnt/data/projects/ASAP/ST/MTG/backups/data/novaseq_211018b/fastq/BN1305_S1_L001_I2_001.fastq.gz</t>
  </si>
  <si>
    <t>655e0bef41f0885c9a35110e8fe2a6aa</t>
  </si>
  <si>
    <t>BN1305_S1_L001_I1_001.fastq.gz</t>
  </si>
  <si>
    <t>/mnt/data/projects/ASAP/ST/MTG/backups/data/novaseq_211018b/fastq/BN1305_S1_L001_I1_001.fastq.gz</t>
  </si>
  <si>
    <t>2caa971875f02b834bc54c47426d9c00</t>
  </si>
  <si>
    <t>BN1308_S2_L002_R1_001.fastq.gz</t>
  </si>
  <si>
    <t>/mnt/data/projects/ASAP/ST/MTG/backups/data/novaseq_211029a/fastq/BN1308_S2_L002_R1_001.fastq.gz</t>
  </si>
  <si>
    <t>16c4a2f802c25c816baac5695a4bd187</t>
  </si>
  <si>
    <t>BN1308_S2_L001_R2_001.fastq.gz</t>
  </si>
  <si>
    <t>/mnt/data/projects/ASAP/ST/MTG/backups/data/novaseq_211029a/fastq/BN1308_S2_L001_R2_001.fastq.gz</t>
  </si>
  <si>
    <t>8f1dde6fcfc1149754511b9e064ec31d</t>
  </si>
  <si>
    <t>BN1308_S2_L002_R2_001.fastq.gz</t>
  </si>
  <si>
    <t>/mnt/data/projects/ASAP/ST/MTG/backups/data/novaseq_211029a/fastq/BN1308_S2_L002_R2_001.fastq.gz</t>
  </si>
  <si>
    <t>7925c9060978d455fcf2807c72d105da</t>
  </si>
  <si>
    <t>BN1308_S2_L001_R1_001.fastq.gz</t>
  </si>
  <si>
    <t>/mnt/data/projects/ASAP/ST/MTG/backups/data/novaseq_211029a/fastq/BN1308_S2_L001_R1_001.fastq.gz</t>
  </si>
  <si>
    <t>39b74d41946a739555c57b4df26a0b46</t>
  </si>
  <si>
    <t>BN1308_S2_L002_I1_001.fastq.gz</t>
  </si>
  <si>
    <t>/mnt/data/projects/ASAP/ST/MTG/backups/data/novaseq_211029a/fastq/BN1308_S2_L002_I1_001.fastq.gz</t>
  </si>
  <si>
    <t>0d8bcb18abd498a4de495ab9d25486e5</t>
  </si>
  <si>
    <t>BN1308_S2_L001_I1_001.fastq.gz</t>
  </si>
  <si>
    <t>/mnt/data/projects/ASAP/ST/MTG/backups/data/novaseq_211029a/fastq/BN1308_S2_L001_I1_001.fastq.gz</t>
  </si>
  <si>
    <t>5f38b063e8b91bfac18fcc12f6c4d097</t>
  </si>
  <si>
    <t>BN1308_S2_L002_I2_001.fastq.gz</t>
  </si>
  <si>
    <t>/mnt/data/projects/ASAP/ST/MTG/backups/data/novaseq_211029a/fastq/BN1308_S2_L002_I2_001.fastq.gz</t>
  </si>
  <si>
    <t>432842394dacfd45fcfe3fef6798678d</t>
  </si>
  <si>
    <t>BN1308_S2_L001_I2_001.fastq.gz</t>
  </si>
  <si>
    <t>/mnt/data/projects/ASAP/ST/MTG/backups/data/novaseq_211029a/fastq/BN1308_S2_L001_I2_001.fastq.gz</t>
  </si>
  <si>
    <t>2c5acf786ba3d9242a47d3a9a239814f</t>
  </si>
  <si>
    <t>BN1317_S4_L001_R1_001.fastq.gz</t>
  </si>
  <si>
    <t>/mnt/data/projects/ASAP/ST/MTG/backups/data/novaseq_211208b/fastq/BN1317_S4_L001_R1_001.fastq.gz</t>
  </si>
  <si>
    <t>791f20591a5ebeb57b13149063edb262</t>
  </si>
  <si>
    <t>BN1317_S4_L001_I1_001.fastq.gz</t>
  </si>
  <si>
    <t>/mnt/data/projects/ASAP/ST/MTG/backups/data/novaseq_211208b/fastq/BN1317_S4_L001_I1_001.fastq.gz</t>
  </si>
  <si>
    <t>fb6a4ade9e259c02c80cf673bfa85ebd</t>
  </si>
  <si>
    <t>BN1317_S4_L002_I2_001.fastq.gz</t>
  </si>
  <si>
    <t>/mnt/data/projects/ASAP/ST/MTG/backups/data/novaseq_211208b/fastq/BN1317_S4_L002_I2_001.fastq.gz</t>
  </si>
  <si>
    <t>783a996f2b88c86474e76a476ece9a12</t>
  </si>
  <si>
    <t>BN1317_S4_L001_I2_001.fastq.gz</t>
  </si>
  <si>
    <t>/mnt/data/projects/ASAP/ST/MTG/backups/data/novaseq_211208b/fastq/BN1317_S4_L001_I2_001.fastq.gz</t>
  </si>
  <si>
    <t>85a86ecbdf3ff958b89d69034be49614</t>
  </si>
  <si>
    <t>BN1317_S4_L002_R1_001.fastq.gz</t>
  </si>
  <si>
    <t>/mnt/data/projects/ASAP/ST/MTG/backups/data/novaseq_211208b/fastq/BN1317_S4_L002_R1_001.fastq.gz</t>
  </si>
  <si>
    <t>e3798a1b2a97f240b46306e5ad869f9d</t>
  </si>
  <si>
    <t>BN1317_S4_L002_R2_001.fastq.gz</t>
  </si>
  <si>
    <t>/mnt/data/projects/ASAP/ST/MTG/backups/data/novaseq_211208b/fastq/BN1317_S4_L002_R2_001.fastq.gz</t>
  </si>
  <si>
    <t>8a789188106b192af807dd69436c82d6</t>
  </si>
  <si>
    <t>BN1317_S4_L002_I1_001.fastq.gz</t>
  </si>
  <si>
    <t>/mnt/data/projects/ASAP/ST/MTG/backups/data/novaseq_211208b/fastq/BN1317_S4_L002_I1_001.fastq.gz</t>
  </si>
  <si>
    <t>6a9edc4e074705d6f34a576aa148e957</t>
  </si>
  <si>
    <t>BN1317_S4_L001_R2_001.fastq.gz</t>
  </si>
  <si>
    <t>/mnt/data/projects/ASAP/ST/MTG/backups/data/novaseq_211208b/fastq/BN1317_S4_L001_R2_001.fastq.gz</t>
  </si>
  <si>
    <t>a30b5987d5d13525f0af981af5ab4bb7</t>
  </si>
  <si>
    <t>BN1339_S1_L001_R2_001.fastq.gz</t>
  </si>
  <si>
    <t>/mnt/data/projects/ASAP/ST/MTG/backups/data/novaseq_211029b/fastq/BN1339_S1_L001_R2_001.fastq.gz</t>
  </si>
  <si>
    <t>522a7b5b3c90cfb6c61f3c791afd4a97</t>
  </si>
  <si>
    <t>BN1339_S1_L002_R1_001.fastq.gz</t>
  </si>
  <si>
    <t>/mnt/data/projects/ASAP/ST/MTG/backups/data/novaseq_211029b/fastq/BN1339_S1_L002_R1_001.fastq.gz</t>
  </si>
  <si>
    <t>8280c30b1d01733052438f04a008b49b</t>
  </si>
  <si>
    <t>BN1339_S1_L002_R2_001.fastq.gz</t>
  </si>
  <si>
    <t>/mnt/data/projects/ASAP/ST/MTG/backups/data/novaseq_211029b/fastq/BN1339_S1_L002_R2_001.fastq.gz</t>
  </si>
  <si>
    <t>3069e7485259d1d73ee4be8f4eec5710</t>
  </si>
  <si>
    <t>BN1339_S1_L002_I1_001.fastq.gz</t>
  </si>
  <si>
    <t>/mnt/data/projects/ASAP/ST/MTG/backups/data/novaseq_211029b/fastq/BN1339_S1_L002_I1_001.fastq.gz</t>
  </si>
  <si>
    <t>07822b867dbcf7ddeeb2eb0e55f2f82c</t>
  </si>
  <si>
    <t>BN1339_S1_L001_I2_001.fastq.gz</t>
  </si>
  <si>
    <t>/mnt/data/projects/ASAP/ST/MTG/backups/data/novaseq_211029b/fastq/BN1339_S1_L001_I2_001.fastq.gz</t>
  </si>
  <si>
    <t>fe6860c9491ff713e719b7267615ce51</t>
  </si>
  <si>
    <t>BN1339_S1_L002_I2_001.fastq.gz</t>
  </si>
  <si>
    <t>/mnt/data/projects/ASAP/ST/MTG/backups/data/novaseq_211029b/fastq/BN1339_S1_L002_I2_001.fastq.gz</t>
  </si>
  <si>
    <t>6411296eec3bcf7dc04b54367bf73913</t>
  </si>
  <si>
    <t>BN1339_S1_L001_I1_001.fastq.gz</t>
  </si>
  <si>
    <t>/mnt/data/projects/ASAP/ST/MTG/backups/data/novaseq_211029b/fastq/BN1339_S1_L001_I1_001.fastq.gz</t>
  </si>
  <si>
    <t>806e541a55d7f37991c8e0d3dabe15b7</t>
  </si>
  <si>
    <t>BN1339_S1_L001_R1_001.fastq.gz</t>
  </si>
  <si>
    <t>/mnt/data/projects/ASAP/ST/MTG/backups/data/novaseq_211029b/fastq/BN1339_S1_L001_R1_001.fastq.gz</t>
  </si>
  <si>
    <t>ab7b87bb669fef66a466a824587f0857</t>
  </si>
  <si>
    <t>/mnt/data/projects/ASAP/ST/MTG/backups/data/novaseq_210928b/fastq/BN1340_S2_L002_R2_001.fastq.gz</t>
  </si>
  <si>
    <t>7976bd1ddde709432973c6a41f64764b</t>
  </si>
  <si>
    <t>/mnt/data/projects/ASAP/ST/MTG/backups/data/novaseq_210928b/fastq/BN1340_S2_L001_R2_001.fastq.gz</t>
  </si>
  <si>
    <t>c2965912c649aabf8304b49b98c7840e</t>
  </si>
  <si>
    <t>/mnt/data/projects/ASAP/ST/MTG/backups/data/novaseq_210928b/fastq/BN1340_S2_L001_R1_001.fastq.gz</t>
  </si>
  <si>
    <t>a4b3c97b3ee9a50a34d0793ff314fc0a</t>
  </si>
  <si>
    <t>/mnt/data/projects/ASAP/ST/MTG/backups/data/novaseq_210928b/fastq/BN1340_S2_L002_I1_001.fastq.gz</t>
  </si>
  <si>
    <t>03764149ab229be5790e0bfada37d7d3</t>
  </si>
  <si>
    <t>/mnt/data/projects/ASAP/ST/MTG/backups/data/novaseq_210928b/fastq/BN1340_S2_L002_R1_001.fastq.gz</t>
  </si>
  <si>
    <t>207289f75ebbbd2cd80c59d1a395ef83</t>
  </si>
  <si>
    <t>/mnt/data/projects/ASAP/ST/MTG/backups/data/novaseq_210928b/fastq/BN1340_S2_L002_I2_001.fastq.gz</t>
  </si>
  <si>
    <t>be09b2e0aba948eedeb3a6eef7f220e4</t>
  </si>
  <si>
    <t>/mnt/data/projects/ASAP/ST/MTG/backups/data/novaseq_210928b/fastq/BN1340_S2_L001_I2_001.fastq.gz</t>
  </si>
  <si>
    <t>dbc95e7c03bb7f895b2441ee8d14a68c</t>
  </si>
  <si>
    <t>/mnt/data/projects/ASAP/ST/MTG/backups/data/novaseq_210928b/fastq/BN1340_S2_L001_I1_001.fastq.gz</t>
  </si>
  <si>
    <t>46f8da0994f927b528cdc51e6629115c</t>
  </si>
  <si>
    <t>BN1351_S4_L002_I2_001.fastq.gz</t>
  </si>
  <si>
    <t>/mnt/data/projects/ASAP/ST/MTG/backups/data/novaseq_211030b/fastq/BN1351_S4_L002_I2_001.fastq.gz</t>
  </si>
  <si>
    <t>0dac7c26ea73811fad740dc8122a942f</t>
  </si>
  <si>
    <t>BN1351_S4_L001_I1_001.fastq.gz</t>
  </si>
  <si>
    <t>/mnt/data/projects/ASAP/ST/MTG/backups/data/novaseq_211030b/fastq/BN1351_S4_L001_I1_001.fastq.gz</t>
  </si>
  <si>
    <t>1bdeb9b63d901aa7b4a75b9d17531387</t>
  </si>
  <si>
    <t>BN1351_S4_L002_R1_001.fastq.gz</t>
  </si>
  <si>
    <t>/mnt/data/projects/ASAP/ST/MTG/backups/data/novaseq_211030b/fastq/BN1351_S4_L002_R1_001.fastq.gz</t>
  </si>
  <si>
    <t>4d4d595bb3b65af35c78c2b8128c9511</t>
  </si>
  <si>
    <t>BN1351_S4_L001_R2_001.fastq.gz</t>
  </si>
  <si>
    <t>/mnt/data/projects/ASAP/ST/MTG/backups/data/novaseq_211030b/fastq/BN1351_S4_L001_R2_001.fastq.gz</t>
  </si>
  <si>
    <t>c75159c9fbfe583c0b60584c2fccc3fd</t>
  </si>
  <si>
    <t>BN1351_S4_L002_R2_001.fastq.gz</t>
  </si>
  <si>
    <t>/mnt/data/projects/ASAP/ST/MTG/backups/data/novaseq_211030b/fastq/BN1351_S4_L002_R2_001.fastq.gz</t>
  </si>
  <si>
    <t>0991259a17f4b9a373dee2e6294ca18d</t>
  </si>
  <si>
    <t>BN1351_S4_L002_I1_001.fastq.gz</t>
  </si>
  <si>
    <t>/mnt/data/projects/ASAP/ST/MTG/backups/data/novaseq_211030b/fastq/BN1351_S4_L002_I1_001.fastq.gz</t>
  </si>
  <si>
    <t>b2f60bb8765f950959ff6c1756952626</t>
  </si>
  <si>
    <t>BN1351_S4_L001_I2_001.fastq.gz</t>
  </si>
  <si>
    <t>/mnt/data/projects/ASAP/ST/MTG/backups/data/novaseq_211030b/fastq/BN1351_S4_L001_I2_001.fastq.gz</t>
  </si>
  <si>
    <t>1e96b70f6730ec9069e384653e211c90</t>
  </si>
  <si>
    <t>BN1351_S4_L001_R1_001.fastq.gz</t>
  </si>
  <si>
    <t>/mnt/data/projects/ASAP/ST/MTG/backups/data/novaseq_211030b/fastq/BN1351_S4_L001_R1_001.fastq.gz</t>
  </si>
  <si>
    <t>4bf89315aaacc905445b3982efd70348</t>
  </si>
  <si>
    <t>BN1361_S4_L002_I2_001.fastq.gz</t>
  </si>
  <si>
    <t>/mnt/data/projects/ASAP/ST/MTG/backups/data/novaseq_210907b/reads/v210907b/outs/fastq_path/HHYN2DRXY/BN1361_S4_L002_I2_001.fastq.gz</t>
  </si>
  <si>
    <t>1bf9cdfa1c6c9f23a20104d2b13b10b8</t>
  </si>
  <si>
    <t>BN1361_S4_L001_R2_001.fastq.gz</t>
  </si>
  <si>
    <t>/mnt/data/projects/ASAP/ST/MTG/backups/data/novaseq_210907b/reads/v210907b/outs/fastq_path/HHYN2DRXY/BN1361_S4_L001_R2_001.fastq.gz</t>
  </si>
  <si>
    <t>4dd7be3dd4c4472341e5f6813efc52d4</t>
  </si>
  <si>
    <t>BN1361_S4_L001_R1_001.fastq.gz</t>
  </si>
  <si>
    <t>/mnt/data/projects/ASAP/ST/MTG/backups/data/novaseq_210907b/reads/v210907b/outs/fastq_path/HHYN2DRXY/BN1361_S4_L001_R1_001.fastq.gz</t>
  </si>
  <si>
    <t>5681ceafaa55d719e8b23be2f2eb9bd2</t>
  </si>
  <si>
    <t>BN1361_S4_L001_I1_001.fastq.gz</t>
  </si>
  <si>
    <t>/mnt/data/projects/ASAP/ST/MTG/backups/data/novaseq_210907b/reads/v210907b/outs/fastq_path/HHYN2DRXY/BN1361_S4_L001_I1_001.fastq.gz</t>
  </si>
  <si>
    <t>bd058b52e6d55b066901e10357502e7f</t>
  </si>
  <si>
    <t>BN1361_S4_L001_I2_001.fastq.gz</t>
  </si>
  <si>
    <t>/mnt/data/projects/ASAP/ST/MTG/backups/data/novaseq_210907b/reads/v210907b/outs/fastq_path/HHYN2DRXY/BN1361_S4_L001_I2_001.fastq.gz</t>
  </si>
  <si>
    <t>7a6232db52573ccb93c73862a6456edd</t>
  </si>
  <si>
    <t>BN1361_S4_L002_R1_001.fastq.gz</t>
  </si>
  <si>
    <t>/mnt/data/projects/ASAP/ST/MTG/backups/data/novaseq_210907b/reads/v210907b/outs/fastq_path/HHYN2DRXY/BN1361_S4_L002_R1_001.fastq.gz</t>
  </si>
  <si>
    <t>f3582084c243e63d0fe2164287eeeabd</t>
  </si>
  <si>
    <t>BN1361_S4_L002_I1_001.fastq.gz</t>
  </si>
  <si>
    <t>/mnt/data/projects/ASAP/ST/MTG/backups/data/novaseq_210907b/reads/v210907b/outs/fastq_path/HHYN2DRXY/BN1361_S4_L002_I1_001.fastq.gz</t>
  </si>
  <si>
    <t>e6e5765385ed032e8f3d1f5f371e9f42</t>
  </si>
  <si>
    <t>BN1361_S4_L002_R2_001.fastq.gz</t>
  </si>
  <si>
    <t>/mnt/data/projects/ASAP/ST/MTG/backups/data/novaseq_210907b/reads/v210907b/outs/fastq_path/HHYN2DRXY/BN1361_S4_L002_R2_001.fastq.gz</t>
  </si>
  <si>
    <t>c9803c47184121184bf0c9c8f00050cc</t>
  </si>
  <si>
    <t>1412_C_S3_L001_R1_001.fastq.gz</t>
  </si>
  <si>
    <t>/mnt/data/projects/ASAP/ST/MTG/backups/data/novaseq_210604/reads/HCMVLDRXY/1412_C_S3_L001_R1_001.fastq.gz</t>
  </si>
  <si>
    <t>c87f0093dd4b6bb0dbc1545a7d86c96b</t>
  </si>
  <si>
    <t>1412_C_S3_L002_R1_001.fastq.gz</t>
  </si>
  <si>
    <t>/mnt/data/projects/ASAP/ST/MTG/backups/data/novaseq_210604/reads/HCMVLDRXY/1412_C_S3_L002_R1_001.fastq.gz</t>
  </si>
  <si>
    <t>98a8d66fb86323039d7b5521aaf622a3</t>
  </si>
  <si>
    <t>1412_C_S3_L002_I1_001.fastq.gz</t>
  </si>
  <si>
    <t>/mnt/data/projects/ASAP/ST/MTG/backups/data/novaseq_210604/reads/HCMVLDRXY/1412_C_S3_L002_I1_001.fastq.gz</t>
  </si>
  <si>
    <t>0c2304d3eae4157eed4393c0dbe2719b</t>
  </si>
  <si>
    <t>1412_C_S3_L002_R2_001.fastq.gz</t>
  </si>
  <si>
    <t>/mnt/data/projects/ASAP/ST/MTG/backups/data/novaseq_210604/reads/HCMVLDRXY/1412_C_S3_L002_R2_001.fastq.gz</t>
  </si>
  <si>
    <t>a4dc9bfe769e4a5050a4578a47b9fdc9</t>
  </si>
  <si>
    <t>1412_C_S3_L001_R2_001.fastq.gz</t>
  </si>
  <si>
    <t>/mnt/data/projects/ASAP/ST/MTG/backups/data/novaseq_210604/reads/HCMVLDRXY/1412_C_S3_L001_R2_001.fastq.gz</t>
  </si>
  <si>
    <t>7d32609db547f9d3b5435db0c2f3ad48</t>
  </si>
  <si>
    <t>1412_C_S3_L002_I2_001.fastq.gz</t>
  </si>
  <si>
    <t>/mnt/data/projects/ASAP/ST/MTG/backups/data/novaseq_210604/reads/HCMVLDRXY/1412_C_S3_L002_I2_001.fastq.gz</t>
  </si>
  <si>
    <t>d6dc1b91967184ef821a832607ad05b6</t>
  </si>
  <si>
    <t>1412_C_S3_L001_I2_001.fastq.gz</t>
  </si>
  <si>
    <t>/mnt/data/projects/ASAP/ST/MTG/backups/data/novaseq_210604/reads/HCMVLDRXY/1412_C_S3_L001_I2_001.fastq.gz</t>
  </si>
  <si>
    <t>9ad2296830e7fb05fe141ebd09660525</t>
  </si>
  <si>
    <t>1412_C_S3_L001_I1_001.fastq.gz</t>
  </si>
  <si>
    <t>/mnt/data/projects/ASAP/ST/MTG/backups/data/novaseq_210604/reads/HCMVLDRXY/1412_C_S3_L001_I1_001.fastq.gz</t>
  </si>
  <si>
    <t>0dc19f4f9fe733b351946fad5b642a99</t>
  </si>
  <si>
    <t>1412_D_S4_L001_I1_001.fastq.gz</t>
  </si>
  <si>
    <t>/mnt/data/projects/ASAP/ST/MTG/backups/data/novaseq_210604/reads/HCMVLDRXY/1412_D_S4_L001_I1_001.fastq.gz</t>
  </si>
  <si>
    <t>a5176340ad810d7c665d8587d65669b0</t>
  </si>
  <si>
    <t>1412_D_S4_L002_R2_001.fastq.gz</t>
  </si>
  <si>
    <t>/mnt/data/projects/ASAP/ST/MTG/backups/data/novaseq_210604/reads/HCMVLDRXY/1412_D_S4_L002_R2_001.fastq.gz</t>
  </si>
  <si>
    <t>17076d432906bcb1d85856958db96087</t>
  </si>
  <si>
    <t>1412_D_S4_L001_I2_001.fastq.gz</t>
  </si>
  <si>
    <t>/mnt/data/projects/ASAP/ST/MTG/backups/data/novaseq_210604/reads/HCMVLDRXY/1412_D_S4_L001_I2_001.fastq.gz</t>
  </si>
  <si>
    <t>e6424167ea1a7a31ae3880f321e6e48d</t>
  </si>
  <si>
    <t>1412_D_S4_L001_R1_001.fastq.gz</t>
  </si>
  <si>
    <t>/mnt/data/projects/ASAP/ST/MTG/backups/data/novaseq_210604/reads/HCMVLDRXY/1412_D_S4_L001_R1_001.fastq.gz</t>
  </si>
  <si>
    <t>44913fcb1f40d23a93137304d70e9244</t>
  </si>
  <si>
    <t>1412_D_S4_L002_I1_001.fastq.gz</t>
  </si>
  <si>
    <t>/mnt/data/projects/ASAP/ST/MTG/backups/data/novaseq_210604/reads/HCMVLDRXY/1412_D_S4_L002_I1_001.fastq.gz</t>
  </si>
  <si>
    <t>f557df9d5dc491ef656f540baf0ca9fe</t>
  </si>
  <si>
    <t>1412_D_S4_L002_R1_001.fastq.gz</t>
  </si>
  <si>
    <t>/mnt/data/projects/ASAP/ST/MTG/backups/data/novaseq_210604/reads/HCMVLDRXY/1412_D_S4_L002_R1_001.fastq.gz</t>
  </si>
  <si>
    <t>dc6ca2a059b49f17aaf48b7c5c8304ff</t>
  </si>
  <si>
    <t>1412_D_S4_L001_R2_001.fastq.gz</t>
  </si>
  <si>
    <t>/mnt/data/projects/ASAP/ST/MTG/backups/data/novaseq_210604/reads/HCMVLDRXY/1412_D_S4_L001_R2_001.fastq.gz</t>
  </si>
  <si>
    <t>bdd1c34f2e23f6c81316717a2714bef4</t>
  </si>
  <si>
    <t>1412_D_S4_L002_I2_001.fastq.gz</t>
  </si>
  <si>
    <t>/mnt/data/projects/ASAP/ST/MTG/backups/data/novaseq_210604/reads/HCMVLDRXY/1412_D_S4_L002_I2_001.fastq.gz</t>
  </si>
  <si>
    <t>3387b9895135869d11cf20097b2c3fc5</t>
  </si>
  <si>
    <t>BN1412_S4_L002_R1_001.fastq.gz</t>
  </si>
  <si>
    <t>/mnt/data/projects/ASAP/ST/MTG/backups/data/novaseq_230114/fastq/BN1412_S4_L002_R1_001.fastq.gz</t>
  </si>
  <si>
    <t>07ee2a9b051e0d8a167b769361e7c1f7</t>
  </si>
  <si>
    <t>BN1412_S4_L001_R2_001.fastq.gz</t>
  </si>
  <si>
    <t>/mnt/data/projects/ASAP/ST/MTG/backups/data/novaseq_230114/fastq/BN1412_S4_L001_R2_001.fastq.gz</t>
  </si>
  <si>
    <t>76dadc3af06a2dfd5008c0bbf31f1c57</t>
  </si>
  <si>
    <t>BN1412_S4_L001_I1_001.fastq.gz</t>
  </si>
  <si>
    <t>/mnt/data/projects/ASAP/ST/MTG/backups/data/novaseq_230114/fastq/BN1412_S4_L001_I1_001.fastq.gz</t>
  </si>
  <si>
    <t>00b006111eba6251cbd012e3863338e1</t>
  </si>
  <si>
    <t>BN1412_S4_L001_I2_001.fastq.gz</t>
  </si>
  <si>
    <t>/mnt/data/projects/ASAP/ST/MTG/backups/data/novaseq_230114/fastq/BN1412_S4_L001_I2_001.fastq.gz</t>
  </si>
  <si>
    <t>212e6d76bb9002b1a5208f4cddbbe83a</t>
  </si>
  <si>
    <t>BN1412_S4_L001_R1_001.fastq.gz</t>
  </si>
  <si>
    <t>/mnt/data/projects/ASAP/ST/MTG/backups/data/novaseq_230114/fastq/BN1412_S4_L001_R1_001.fastq.gz</t>
  </si>
  <si>
    <t>097280e9d13fc7911a1f4e1e21d94fa0</t>
  </si>
  <si>
    <t>BN1412_S4_L002_I2_001.fastq.gz</t>
  </si>
  <si>
    <t>/mnt/data/projects/ASAP/ST/MTG/backups/data/novaseq_230114/fastq/BN1412_S4_L002_I2_001.fastq.gz</t>
  </si>
  <si>
    <t>b9e8b9198a465a2a89c88906d8297c94</t>
  </si>
  <si>
    <t>BN1412_S4_L002_R2_001.fastq.gz</t>
  </si>
  <si>
    <t>/mnt/data/projects/ASAP/ST/MTG/backups/data/novaseq_230114/fastq/BN1412_S4_L002_R2_001.fastq.gz</t>
  </si>
  <si>
    <t>5217608cb76940a2413f2ae5615ac06a</t>
  </si>
  <si>
    <t>BN1412_S4_L002_I1_001.fastq.gz</t>
  </si>
  <si>
    <t>/mnt/data/projects/ASAP/ST/MTG/backups/data/novaseq_230114/fastq/BN1412_S4_L002_I1_001.fastq.gz</t>
  </si>
  <si>
    <t>d33de8ed29a49636bc93831a6f5630f5</t>
  </si>
  <si>
    <t>BN1424_S4_L001_R2_001.fastq.gz</t>
  </si>
  <si>
    <t>/mnt/data/projects/ASAP/ST/MTG/backups/data/novaseq_210831b/fastq/BN1424_S4_L001_R2_001.fastq.gz</t>
  </si>
  <si>
    <t>441d6ab01715e29c8c08dd8c4f942f8b</t>
  </si>
  <si>
    <t>BN1424_S4_L002_I2_001.fastq.gz</t>
  </si>
  <si>
    <t>/mnt/data/projects/ASAP/ST/MTG/backups/data/novaseq_210831b/fastq/BN1424_S4_L002_I2_001.fastq.gz</t>
  </si>
  <si>
    <t>67c0de319f8a797705e682b85eb2c39b</t>
  </si>
  <si>
    <t>BN1424_S4_L001_I2_001.fastq.gz</t>
  </si>
  <si>
    <t>/mnt/data/projects/ASAP/ST/MTG/backups/data/novaseq_210831b/fastq/BN1424_S4_L001_I2_001.fastq.gz</t>
  </si>
  <si>
    <t>25961df4386d2fa80ee14a672a5ce442</t>
  </si>
  <si>
    <t>BN1424_S4_L002_R1_001.fastq.gz</t>
  </si>
  <si>
    <t>/mnt/data/projects/ASAP/ST/MTG/backups/data/novaseq_210831b/fastq/BN1424_S4_L002_R1_001.fastq.gz</t>
  </si>
  <si>
    <t>143ae2f651668b573ae73b1f0c062c40</t>
  </si>
  <si>
    <t>BN1424_S4_L001_I1_001.fastq.gz</t>
  </si>
  <si>
    <t>/mnt/data/projects/ASAP/ST/MTG/backups/data/novaseq_210831b/fastq/BN1424_S4_L001_I1_001.fastq.gz</t>
  </si>
  <si>
    <t>636cee01f5c83d98b54dd31bb41010fb</t>
  </si>
  <si>
    <t>BN1424_S4_L001_R1_001.fastq.gz</t>
  </si>
  <si>
    <t>/mnt/data/projects/ASAP/ST/MTG/backups/data/novaseq_210831b/fastq/BN1424_S4_L001_R1_001.fastq.gz</t>
  </si>
  <si>
    <t>428355fbde33b47cb08042020559e28c</t>
  </si>
  <si>
    <t>BN1424_S4_L002_R2_001.fastq.gz</t>
  </si>
  <si>
    <t>/mnt/data/projects/ASAP/ST/MTG/backups/data/novaseq_210831b/fastq/BN1424_S4_L002_R2_001.fastq.gz</t>
  </si>
  <si>
    <t>96d6256d506aa6001cb26de8c11f9943</t>
  </si>
  <si>
    <t>BN1424_S4_L002_I1_001.fastq.gz</t>
  </si>
  <si>
    <t>/mnt/data/projects/ASAP/ST/MTG/backups/data/novaseq_210831b/fastq/BN1424_S4_L002_I1_001.fastq.gz</t>
  </si>
  <si>
    <t>87991d700b8b5abf8ae6838394a55319</t>
  </si>
  <si>
    <t>BN1430_S5_L001_I1_001.fastq.gz</t>
  </si>
  <si>
    <t>/mnt/data/projects/ASAP/ST/MTG/backups/data/novaseq_210918b/fastq/BN1430_S5_L001_I1_001.fastq.gz</t>
  </si>
  <si>
    <t>6c5b08d38ec75532c649d4e808246a23</t>
  </si>
  <si>
    <t>BN1430_S5_L002_I2_001.fastq.gz</t>
  </si>
  <si>
    <t>/mnt/data/projects/ASAP/ST/MTG/backups/data/novaseq_210918b/fastq/BN1430_S5_L002_I2_001.fastq.gz</t>
  </si>
  <si>
    <t>8ab79fbc0eeccc2a17f925719036d09d</t>
  </si>
  <si>
    <t>BN1430_S5_L002_R1_001.fastq.gz</t>
  </si>
  <si>
    <t>/mnt/data/projects/ASAP/ST/MTG/backups/data/novaseq_210918b/fastq/BN1430_S5_L002_R1_001.fastq.gz</t>
  </si>
  <si>
    <t>dd7427d05cbfcf766446e388ec42398a</t>
  </si>
  <si>
    <t>BN1430_S5_L001_R1_001.fastq.gz</t>
  </si>
  <si>
    <t>/mnt/data/projects/ASAP/ST/MTG/backups/data/novaseq_210918b/fastq/BN1430_S5_L001_R1_001.fastq.gz</t>
  </si>
  <si>
    <t>13ddada599ac3ede15f8ac09b318a576</t>
  </si>
  <si>
    <t>BN1430_S5_L001_I2_001.fastq.gz</t>
  </si>
  <si>
    <t>/mnt/data/projects/ASAP/ST/MTG/backups/data/novaseq_210918b/fastq/BN1430_S5_L001_I2_001.fastq.gz</t>
  </si>
  <si>
    <t>938117d2f5dbae2fc1d8ad66922b281a</t>
  </si>
  <si>
    <t>BN1430_S5_L002_R2_001.fastq.gz</t>
  </si>
  <si>
    <t>/mnt/data/projects/ASAP/ST/MTG/backups/data/novaseq_210918b/fastq/BN1430_S5_L002_R2_001.fastq.gz</t>
  </si>
  <si>
    <t>88001c6666988a5313b6d31fc894c1eb</t>
  </si>
  <si>
    <t>BN1430_S5_L001_R2_001.fastq.gz</t>
  </si>
  <si>
    <t>/mnt/data/projects/ASAP/ST/MTG/backups/data/novaseq_210918b/fastq/BN1430_S5_L001_R2_001.fastq.gz</t>
  </si>
  <si>
    <t>33a0e868519ec63b0e69b243cb0b30bb</t>
  </si>
  <si>
    <t>BN1430_S5_L002_I1_001.fastq.gz</t>
  </si>
  <si>
    <t>/mnt/data/projects/ASAP/ST/MTG/backups/data/novaseq_210918b/fastq/BN1430_S5_L002_I1_001.fastq.gz</t>
  </si>
  <si>
    <t>553706e4042264a9878ceab962f4f0da</t>
  </si>
  <si>
    <t>BN1504_S4_L002_R2_001.fastq.gz</t>
  </si>
  <si>
    <t>/mnt/data/projects/ASAP/ST/MTG/backups/data/novaseq_211018a/fastq/BN1504_S4_L002_R2_001.fastq.gz</t>
  </si>
  <si>
    <t>c4d6bdb37efd7eda63874a6af58a81c1</t>
  </si>
  <si>
    <t>BN1504_S4_L002_I1_001.fastq.gz</t>
  </si>
  <si>
    <t>/mnt/data/projects/ASAP/ST/MTG/backups/data/novaseq_211018a/fastq/BN1504_S4_L002_I1_001.fastq.gz</t>
  </si>
  <si>
    <t>f764f300be6f7a9e80ebc678f17a1faf</t>
  </si>
  <si>
    <t>BN1504_S4_L001_I2_001.fastq.gz</t>
  </si>
  <si>
    <t>/mnt/data/projects/ASAP/ST/MTG/backups/data/novaseq_211018a/fastq/BN1504_S4_L001_I2_001.fastq.gz</t>
  </si>
  <si>
    <t>406e1d6bf1924b5f696331409787b582</t>
  </si>
  <si>
    <t>BN1504_S4_L001_R2_001.fastq.gz</t>
  </si>
  <si>
    <t>/mnt/data/projects/ASAP/ST/MTG/backups/data/novaseq_211018a/fastq/BN1504_S4_L001_R2_001.fastq.gz</t>
  </si>
  <si>
    <t>c581584e441722af36f6b2b06044f939</t>
  </si>
  <si>
    <t>BN1504_S4_L002_I2_001.fastq.gz</t>
  </si>
  <si>
    <t>/mnt/data/projects/ASAP/ST/MTG/backups/data/novaseq_211018a/fastq/BN1504_S4_L002_I2_001.fastq.gz</t>
  </si>
  <si>
    <t>4646a00f47452008e22acbfc951ee2f2</t>
  </si>
  <si>
    <t>BN1504_S4_L001_I1_001.fastq.gz</t>
  </si>
  <si>
    <t>/mnt/data/projects/ASAP/ST/MTG/backups/data/novaseq_211018a/fastq/BN1504_S4_L001_I1_001.fastq.gz</t>
  </si>
  <si>
    <t>4d8496c0e27f7bc5056b9ef540b46904</t>
  </si>
  <si>
    <t>BN1504_S4_L001_R1_001.fastq.gz</t>
  </si>
  <si>
    <t>/mnt/data/projects/ASAP/ST/MTG/backups/data/novaseq_211018a/fastq/BN1504_S4_L001_R1_001.fastq.gz</t>
  </si>
  <si>
    <t>746ccef9893186726a930c2b920ba281</t>
  </si>
  <si>
    <t>BN1504_S4_L002_R1_001.fastq.gz</t>
  </si>
  <si>
    <t>/mnt/data/projects/ASAP/ST/MTG/backups/data/novaseq_211018a/fastq/BN1504_S4_L002_R1_001.fastq.gz</t>
  </si>
  <si>
    <t>ce2fdfe52de6f38d3112db1c66c5d527</t>
  </si>
  <si>
    <t>BN1506_S3_L001_R2_001.fastq.gz</t>
  </si>
  <si>
    <t>/mnt/data/projects/ASAP/ST/MTG/backups/data/novaseq_210831b/fastq/BN1506_S3_L001_R2_001.fastq.gz</t>
  </si>
  <si>
    <t>8c9618dd44a9a06a447c9b916f44a2ed</t>
  </si>
  <si>
    <t>BN1506_S3_L002_I2_001.fastq.gz</t>
  </si>
  <si>
    <t>/mnt/data/projects/ASAP/ST/MTG/backups/data/novaseq_210831b/fastq/BN1506_S3_L002_I2_001.fastq.gz</t>
  </si>
  <si>
    <t>d3153d8d4906c387b5493db534719a56</t>
  </si>
  <si>
    <t>BN1506_S3_L001_I1_001.fastq.gz</t>
  </si>
  <si>
    <t>/mnt/data/projects/ASAP/ST/MTG/backups/data/novaseq_210831b/fastq/BN1506_S3_L001_I1_001.fastq.gz</t>
  </si>
  <si>
    <t>c3295cf1bffbbf69630fa278d0967f56</t>
  </si>
  <si>
    <t>BN1506_S3_L002_R1_001.fastq.gz</t>
  </si>
  <si>
    <t>/mnt/data/projects/ASAP/ST/MTG/backups/data/novaseq_210831b/fastq/BN1506_S3_L002_R1_001.fastq.gz</t>
  </si>
  <si>
    <t>12b97b464aff2f46ddc3ec98dc8cefa8</t>
  </si>
  <si>
    <t>BN1506_S3_L001_R1_001.fastq.gz</t>
  </si>
  <si>
    <t>/mnt/data/projects/ASAP/ST/MTG/backups/data/novaseq_210831b/fastq/BN1506_S3_L001_R1_001.fastq.gz</t>
  </si>
  <si>
    <t>3ebded1db481cf505dc7ae798290f49d</t>
  </si>
  <si>
    <t>BN1506_S3_L002_R2_001.fastq.gz</t>
  </si>
  <si>
    <t>/mnt/data/projects/ASAP/ST/MTG/backups/data/novaseq_210831b/fastq/BN1506_S3_L002_R2_001.fastq.gz</t>
  </si>
  <si>
    <t>8eff593ab3b6327be26966e674c2b300</t>
  </si>
  <si>
    <t>BN1506_S3_L001_I2_001.fastq.gz</t>
  </si>
  <si>
    <t>/mnt/data/projects/ASAP/ST/MTG/backups/data/novaseq_210831b/fastq/BN1506_S3_L001_I2_001.fastq.gz</t>
  </si>
  <si>
    <t>c09b4530c50cdb267bf729cc09f7d4ba</t>
  </si>
  <si>
    <t>BN1506_S3_L002_I1_001.fastq.gz</t>
  </si>
  <si>
    <t>/mnt/data/projects/ASAP/ST/MTG/backups/data/novaseq_210831b/fastq/BN1506_S3_L002_I1_001.fastq.gz</t>
  </si>
  <si>
    <t>be07725d7c27bddd6c8a6c847194cb35</t>
  </si>
  <si>
    <t>/mnt/data/projects/ASAP/ST/MTG/backups/data/novaseq_211030a/fastq/BN1518_S2_L002_I2_001.fastq.gz</t>
  </si>
  <si>
    <t>81fcbf21372d45be98aa434d2a939244</t>
  </si>
  <si>
    <t>/mnt/data/projects/ASAP/ST/MTG/backups/data/novaseq_211030a/fastq/BN1518_S2_L002_I1_001.fastq.gz</t>
  </si>
  <si>
    <t>daba1253f9abcc6d69c987cb1abbf988</t>
  </si>
  <si>
    <t>/mnt/data/projects/ASAP/ST/MTG/backups/data/novaseq_211030a/fastq/BN1518_S2_L001_I1_001.fastq.gz</t>
  </si>
  <si>
    <t>b839a7658b25c87a9431c04424766f61</t>
  </si>
  <si>
    <t>/mnt/data/projects/ASAP/ST/MTG/backups/data/novaseq_211030a/fastq/BN1518_S2_L001_R1_001.fastq.gz</t>
  </si>
  <si>
    <t>ffaa5afa1370c4386ef94dbd554056a3</t>
  </si>
  <si>
    <t>/mnt/data/projects/ASAP/ST/MTG/backups/data/novaseq_211030a/fastq/BN1518_S2_L001_R2_001.fastq.gz</t>
  </si>
  <si>
    <t>60c0d8c08b993c8c1dc5f3492d83c38a</t>
  </si>
  <si>
    <t>/mnt/data/projects/ASAP/ST/MTG/backups/data/novaseq_211030a/fastq/BN1518_S2_L001_I2_001.fastq.gz</t>
  </si>
  <si>
    <t>d0c3d1461d293cf14a3621f911dfc8bb</t>
  </si>
  <si>
    <t>/mnt/data/projects/ASAP/ST/MTG/backups/data/novaseq_211030a/fastq/BN1518_S2_L002_R2_001.fastq.gz</t>
  </si>
  <si>
    <t>330179fb837fd384b08e5ce21372a0b2</t>
  </si>
  <si>
    <t>/mnt/data/projects/ASAP/ST/MTG/backups/data/novaseq_211030a/fastq/BN1518_S2_L002_R1_001.fastq.gz</t>
  </si>
  <si>
    <t>8b178ec1645879c2f9c320aa506cb938</t>
  </si>
  <si>
    <t>BN1535_S2_L002_I2_001.fastq.gz</t>
  </si>
  <si>
    <t>/mnt/data/projects/ASAP/ST/MTG/backups/data/novaseq_220115a/fastq/BN1535_S2_L002_I2_001.fastq.gz</t>
  </si>
  <si>
    <t>44f157a31d6283cbaed303b9f38b0d27</t>
  </si>
  <si>
    <t>BN1535_S2_L001_R1_001.fastq.gz</t>
  </si>
  <si>
    <t>/mnt/data/projects/ASAP/ST/MTG/backups/data/novaseq_220115a/fastq/BN1535_S2_L001_R1_001.fastq.gz</t>
  </si>
  <si>
    <t>7373a103e27acd3a2150c8800de8d4a1</t>
  </si>
  <si>
    <t>BN1535_S2_L001_I1_001.fastq.gz</t>
  </si>
  <si>
    <t>/mnt/data/projects/ASAP/ST/MTG/backups/data/novaseq_220115a/fastq/BN1535_S2_L001_I1_001.fastq.gz</t>
  </si>
  <si>
    <t>b63adfd60ea00ba0b87d936d4c734129</t>
  </si>
  <si>
    <t>BN1535_S2_L002_R1_001.fastq.gz</t>
  </si>
  <si>
    <t>/mnt/data/projects/ASAP/ST/MTG/backups/data/novaseq_220115a/fastq/BN1535_S2_L002_R1_001.fastq.gz</t>
  </si>
  <si>
    <t>9b73a5eca3687118434acd93adfb7577</t>
  </si>
  <si>
    <t>BN1535_S2_L002_I1_001.fastq.gz</t>
  </si>
  <si>
    <t>/mnt/data/projects/ASAP/ST/MTG/backups/data/novaseq_220115a/fastq/BN1535_S2_L002_I1_001.fastq.gz</t>
  </si>
  <si>
    <t>3250eea39f732ceaea41018754a6bc62</t>
  </si>
  <si>
    <t>BN1535_S2_L001_I2_001.fastq.gz</t>
  </si>
  <si>
    <t>/mnt/data/projects/ASAP/ST/MTG/backups/data/novaseq_220115a/fastq/BN1535_S2_L001_I2_001.fastq.gz</t>
  </si>
  <si>
    <t>469d0792932c429278d4a5cc4133557e</t>
  </si>
  <si>
    <t>BN1535_S2_L001_R2_001.fastq.gz</t>
  </si>
  <si>
    <t>/mnt/data/projects/ASAP/ST/MTG/backups/data/novaseq_220115a/fastq/BN1535_S2_L001_R2_001.fastq.gz</t>
  </si>
  <si>
    <t>3c4d343a5b6c861bc9989c1e31bd1262</t>
  </si>
  <si>
    <t>BN1535_S2_L002_R2_001.fastq.gz</t>
  </si>
  <si>
    <t>/mnt/data/projects/ASAP/ST/MTG/backups/data/novaseq_220115a/fastq/BN1535_S2_L002_R2_001.fastq.gz</t>
  </si>
  <si>
    <t>06f419f63303175dc146d3d35dfa9c77</t>
  </si>
  <si>
    <t>BN1546_S4_L001_I1_001.fastq.gz</t>
  </si>
  <si>
    <t>/mnt/data/projects/ASAP/ST/MTG/backups/data/novaseq_210918b/fastq/BN1546_S4_L001_I1_001.fastq.gz</t>
  </si>
  <si>
    <t>d9a25fb96473abf9c511867ba14aae21</t>
  </si>
  <si>
    <t>BN1546_S4_L002_I2_001.fastq.gz</t>
  </si>
  <si>
    <t>/mnt/data/projects/ASAP/ST/MTG/backups/data/novaseq_210918b/fastq/BN1546_S4_L002_I2_001.fastq.gz</t>
  </si>
  <si>
    <t>79089301d9df7467ab24fb6b27bb76f1</t>
  </si>
  <si>
    <t>BN1546_S4_L002_I1_001.fastq.gz</t>
  </si>
  <si>
    <t>/mnt/data/projects/ASAP/ST/MTG/backups/data/novaseq_210918b/fastq/BN1546_S4_L002_I1_001.fastq.gz</t>
  </si>
  <si>
    <t>2b3b2ec48657c17dc2315738a38a80fc</t>
  </si>
  <si>
    <t>BN1546_S4_L002_R2_001.fastq.gz</t>
  </si>
  <si>
    <t>/mnt/data/projects/ASAP/ST/MTG/backups/data/novaseq_210918b/fastq/BN1546_S4_L002_R2_001.fastq.gz</t>
  </si>
  <si>
    <t>04ccf01096f6025b6d24ee4f66c9c3e7</t>
  </si>
  <si>
    <t>BN1546_S4_L001_R2_001.fastq.gz</t>
  </si>
  <si>
    <t>/mnt/data/projects/ASAP/ST/MTG/backups/data/novaseq_210918b/fastq/BN1546_S4_L001_R2_001.fastq.gz</t>
  </si>
  <si>
    <t>d9f91cfe00635cfb6406e7d54f6abc4a</t>
  </si>
  <si>
    <t>BN1546_S4_L001_I2_001.fastq.gz</t>
  </si>
  <si>
    <t>/mnt/data/projects/ASAP/ST/MTG/backups/data/novaseq_210918b/fastq/BN1546_S4_L001_I2_001.fastq.gz</t>
  </si>
  <si>
    <t>4b3414853782563cdbb3d87ea4573584</t>
  </si>
  <si>
    <t>BN1546_S4_L002_R1_001.fastq.gz</t>
  </si>
  <si>
    <t>/mnt/data/projects/ASAP/ST/MTG/backups/data/novaseq_210918b/fastq/BN1546_S4_L002_R1_001.fastq.gz</t>
  </si>
  <si>
    <t>095eced92177343a2fa3cc77c649cc81</t>
  </si>
  <si>
    <t>BN1546_S4_L001_R1_001.fastq.gz</t>
  </si>
  <si>
    <t>/mnt/data/projects/ASAP/ST/MTG/backups/data/novaseq_210918b/fastq/BN1546_S4_L001_R1_001.fastq.gz</t>
  </si>
  <si>
    <t>42ce851a9568fd0dbe5a6c17889a8da8</t>
  </si>
  <si>
    <t>BN1554_S1_L001_I2_001.fastq.gz</t>
  </si>
  <si>
    <t>/mnt/data/projects/ASAP/ST/MTG/backups/data/novaseq_210831a/fastq/BN1554_S1_L001_I2_001.fastq.gz</t>
  </si>
  <si>
    <t>521914110baeb9a90574088d826e31d1</t>
  </si>
  <si>
    <t>BN1554_S1_L002_R2_001.fastq.gz</t>
  </si>
  <si>
    <t>/mnt/data/projects/ASAP/ST/MTG/backups/data/novaseq_210831a/fastq/BN1554_S1_L002_R2_001.fastq.gz</t>
  </si>
  <si>
    <t>f6d9aaf9e7f1102deb5472449b4de27e</t>
  </si>
  <si>
    <t>BN1554_S1_L001_I1_001.fastq.gz</t>
  </si>
  <si>
    <t>/mnt/data/projects/ASAP/ST/MTG/backups/data/novaseq_210831a/fastq/BN1554_S1_L001_I1_001.fastq.gz</t>
  </si>
  <si>
    <t>f9d3c92b675ede932165ccaa76dc26c9</t>
  </si>
  <si>
    <t>BN1554_S1_L001_R2_001.fastq.gz</t>
  </si>
  <si>
    <t>/mnt/data/projects/ASAP/ST/MTG/backups/data/novaseq_210831a/fastq/BN1554_S1_L001_R2_001.fastq.gz</t>
  </si>
  <si>
    <t>0e0402cd12740f3310801c3c570c8917</t>
  </si>
  <si>
    <t>BN1554_S1_L002_I1_001.fastq.gz</t>
  </si>
  <si>
    <t>/mnt/data/projects/ASAP/ST/MTG/backups/data/novaseq_210831a/fastq/BN1554_S1_L002_I1_001.fastq.gz</t>
  </si>
  <si>
    <t>8b616949b09ec01f45d3a4b15a96be5e</t>
  </si>
  <si>
    <t>BN1554_S1_L002_R1_001.fastq.gz</t>
  </si>
  <si>
    <t>/mnt/data/projects/ASAP/ST/MTG/backups/data/novaseq_210831a/fastq/BN1554_S1_L002_R1_001.fastq.gz</t>
  </si>
  <si>
    <t>d5f9be6257cb4360ea906c3c61be4ba2</t>
  </si>
  <si>
    <t>BN1554_S1_L002_I2_001.fastq.gz</t>
  </si>
  <si>
    <t>/mnt/data/projects/ASAP/ST/MTG/backups/data/novaseq_210831a/fastq/BN1554_S1_L002_I2_001.fastq.gz</t>
  </si>
  <si>
    <t>88f2d1341023f2405cbdbcc7afe22fdf</t>
  </si>
  <si>
    <t>BN1554_S1_L001_R1_001.fastq.gz</t>
  </si>
  <si>
    <t>/mnt/data/projects/ASAP/ST/MTG/backups/data/novaseq_210831a/fastq/BN1554_S1_L001_R1_001.fastq.gz</t>
  </si>
  <si>
    <t>310217911783c90187b221fa405f8ae9</t>
  </si>
  <si>
    <t>/mnt/data/projects/ASAP/ST/MTG/backups/data/novaseq_230114/fastq/BN1554_S1_L002_R2_001.fastq.gz</t>
  </si>
  <si>
    <t>2d8e759b19dd9f66e0fa7b2defa4ea85</t>
  </si>
  <si>
    <t>/mnt/data/projects/ASAP/ST/MTG/backups/data/novaseq_230114/fastq/BN1554_S1_L001_I2_001.fastq.gz</t>
  </si>
  <si>
    <t>810dc188195a51abbb369eaf784f7840</t>
  </si>
  <si>
    <t>/mnt/data/projects/ASAP/ST/MTG/backups/data/novaseq_230114/fastq/BN1554_S1_L001_R1_001.fastq.gz</t>
  </si>
  <si>
    <t>5f994bed5f71554d838e20f4fdaaa654</t>
  </si>
  <si>
    <t>/mnt/data/projects/ASAP/ST/MTG/backups/data/novaseq_230114/fastq/BN1554_S1_L002_R1_001.fastq.gz</t>
  </si>
  <si>
    <t>1ef59835c52231e32b1a6039c695a16f</t>
  </si>
  <si>
    <t>/mnt/data/projects/ASAP/ST/MTG/backups/data/novaseq_230114/fastq/BN1554_S1_L001_I1_001.fastq.gz</t>
  </si>
  <si>
    <t>6a73b12797cdf5c4e7dcb6190a2cc1c8</t>
  </si>
  <si>
    <t>/mnt/data/projects/ASAP/ST/MTG/backups/data/novaseq_230114/fastq/BN1554_S1_L002_I1_001.fastq.gz</t>
  </si>
  <si>
    <t>ed4d625f325f236b93aed12ca4d4862d</t>
  </si>
  <si>
    <t>/mnt/data/projects/ASAP/ST/MTG/backups/data/novaseq_230114/fastq/BN1554_S1_L002_I2_001.fastq.gz</t>
  </si>
  <si>
    <t>a45eab50b613f7a074f4fc2eb6d6184a</t>
  </si>
  <si>
    <t>/mnt/data/projects/ASAP/ST/MTG/backups/data/novaseq_230114/fastq/BN1554_S1_L001_R2_001.fastq.gz</t>
  </si>
  <si>
    <t>e4381675cc16d1ae5ec9047f62e75d36</t>
  </si>
  <si>
    <t>BN1567_S5_L001_I1_001.fastq.gz</t>
  </si>
  <si>
    <t>/mnt/data/projects/ASAP/ST/MTG/backups/data/novaseq_210928a/fastq/BN1567_S5_L001_I1_001.fastq.gz</t>
  </si>
  <si>
    <t>b9f0d5f537adfe8aefa8f06179595532</t>
  </si>
  <si>
    <t>BN1567_S5_L001_R1_001.fastq.gz</t>
  </si>
  <si>
    <t>/mnt/data/projects/ASAP/ST/MTG/backups/data/novaseq_210928a/fastq/BN1567_S5_L001_R1_001.fastq.gz</t>
  </si>
  <si>
    <t>b31b3938e2963b73f94ae6bc9ddd203c</t>
  </si>
  <si>
    <t>BN1567_S5_L002_I1_001.fastq.gz</t>
  </si>
  <si>
    <t>/mnt/data/projects/ASAP/ST/MTG/backups/data/novaseq_210928a/fastq/BN1567_S5_L002_I1_001.fastq.gz</t>
  </si>
  <si>
    <t>aa1a57e6f3244825c427084c1afb1760</t>
  </si>
  <si>
    <t>BN1567_S5_L001_R2_001.fastq.gz</t>
  </si>
  <si>
    <t>/mnt/data/projects/ASAP/ST/MTG/backups/data/novaseq_210928a/fastq/BN1567_S5_L001_R2_001.fastq.gz</t>
  </si>
  <si>
    <t>edfadbe89d698be1291f47501e952483</t>
  </si>
  <si>
    <t>BN1567_S5_L002_R1_001.fastq.gz</t>
  </si>
  <si>
    <t>/mnt/data/projects/ASAP/ST/MTG/backups/data/novaseq_210928a/fastq/BN1567_S5_L002_R1_001.fastq.gz</t>
  </si>
  <si>
    <t>0164965a0056692bbc36b10b572a4f5f</t>
  </si>
  <si>
    <t>BN1567_S5_L002_R2_001.fastq.gz</t>
  </si>
  <si>
    <t>/mnt/data/projects/ASAP/ST/MTG/backups/data/novaseq_210928a/fastq/BN1567_S5_L002_R2_001.fastq.gz</t>
  </si>
  <si>
    <t>074ebd938a4936ed490d90087241003f</t>
  </si>
  <si>
    <t>BN1567_S5_L002_I2_001.fastq.gz</t>
  </si>
  <si>
    <t>/mnt/data/projects/ASAP/ST/MTG/backups/data/novaseq_210928a/fastq/BN1567_S5_L002_I2_001.fastq.gz</t>
  </si>
  <si>
    <t>9ad723e6e312065331f6c2f6a821e037</t>
  </si>
  <si>
    <t>BN1567_S5_L001_I2_001.fastq.gz</t>
  </si>
  <si>
    <t>/mnt/data/projects/ASAP/ST/MTG/backups/data/novaseq_210928a/fastq/BN1567_S5_L001_I2_001.fastq.gz</t>
  </si>
  <si>
    <t>840c384204934851024a3f2fa657b834</t>
  </si>
  <si>
    <t>BN1578_S5_L001_R1_001.fastq.gz</t>
  </si>
  <si>
    <t>/mnt/data/projects/ASAP/ST/MTG/backups/data/novaseq_211018a/fastq/BN1578_S5_L001_R1_001.fastq.gz</t>
  </si>
  <si>
    <t>461f234f9c232130dfb5f4e3503bbe59</t>
  </si>
  <si>
    <t>BN1578_S5_L002_R1_001.fastq.gz</t>
  </si>
  <si>
    <t>/mnt/data/projects/ASAP/ST/MTG/backups/data/novaseq_211018a/fastq/BN1578_S5_L002_R1_001.fastq.gz</t>
  </si>
  <si>
    <t>c41fac6fbe74ff37975b01c75c3ba6d8</t>
  </si>
  <si>
    <t>BN1578_S5_L001_I2_001.fastq.gz</t>
  </si>
  <si>
    <t>/mnt/data/projects/ASAP/ST/MTG/backups/data/novaseq_211018a/fastq/BN1578_S5_L001_I2_001.fastq.gz</t>
  </si>
  <si>
    <t>e42b5286e7eecfeefc2d9366318025ca</t>
  </si>
  <si>
    <t>BN1578_S5_L001_R2_001.fastq.gz</t>
  </si>
  <si>
    <t>/mnt/data/projects/ASAP/ST/MTG/backups/data/novaseq_211018a/fastq/BN1578_S5_L001_R2_001.fastq.gz</t>
  </si>
  <si>
    <t>59214ec29b22ab41c21385e01f59226e</t>
  </si>
  <si>
    <t>BN1578_S5_L002_R2_001.fastq.gz</t>
  </si>
  <si>
    <t>/mnt/data/projects/ASAP/ST/MTG/backups/data/novaseq_211018a/fastq/BN1578_S5_L002_R2_001.fastq.gz</t>
  </si>
  <si>
    <t>0437b5bb278d5281a8d6a825d8d475e4</t>
  </si>
  <si>
    <t>BN1578_S5_L002_I2_001.fastq.gz</t>
  </si>
  <si>
    <t>/mnt/data/projects/ASAP/ST/MTG/backups/data/novaseq_211018a/fastq/BN1578_S5_L002_I2_001.fastq.gz</t>
  </si>
  <si>
    <t>92d3afe03f3eee3e333ae359bf630e37</t>
  </si>
  <si>
    <t>BN1578_S5_L002_I1_001.fastq.gz</t>
  </si>
  <si>
    <t>/mnt/data/projects/ASAP/ST/MTG/backups/data/novaseq_211018a/fastq/BN1578_S5_L002_I1_001.fastq.gz</t>
  </si>
  <si>
    <t>0a111a69279aa7df24d4d29307efd47b</t>
  </si>
  <si>
    <t>BN1578_S5_L001_I1_001.fastq.gz</t>
  </si>
  <si>
    <t>/mnt/data/projects/ASAP/ST/MTG/backups/data/novaseq_211018a/fastq/BN1578_S5_L001_I1_001.fastq.gz</t>
  </si>
  <si>
    <t>ef47d6ea59b5272bff928cc730a734ed</t>
  </si>
  <si>
    <t>BN1585_S2_L001_R1_001.fastq.gz</t>
  </si>
  <si>
    <t>/mnt/data/projects/ASAP/ST/MTG/backups/data/novaseq_211018b/fastq/BN1585_S2_L001_R1_001.fastq.gz</t>
  </si>
  <si>
    <t>b45df8c15d31fedb74279b4221be902e</t>
  </si>
  <si>
    <t>BN1585_S2_L001_I2_001.fastq.gz</t>
  </si>
  <si>
    <t>/mnt/data/projects/ASAP/ST/MTG/backups/data/novaseq_211018b/fastq/BN1585_S2_L001_I2_001.fastq.gz</t>
  </si>
  <si>
    <t>63deee12336f666dde792f89e156df84</t>
  </si>
  <si>
    <t>BN1585_S2_L001_R2_001.fastq.gz</t>
  </si>
  <si>
    <t>/mnt/data/projects/ASAP/ST/MTG/backups/data/novaseq_211018b/fastq/BN1585_S2_L001_R2_001.fastq.gz</t>
  </si>
  <si>
    <t>6c31cc58ad2c6e88d837c2a27dc96950</t>
  </si>
  <si>
    <t>BN1585_S2_L002_I2_001.fastq.gz</t>
  </si>
  <si>
    <t>/mnt/data/projects/ASAP/ST/MTG/backups/data/novaseq_211018b/fastq/BN1585_S2_L002_I2_001.fastq.gz</t>
  </si>
  <si>
    <t>d93375a3cba670d70f639ee921f41cd5</t>
  </si>
  <si>
    <t>BN1585_S2_L002_I1_001.fastq.gz</t>
  </si>
  <si>
    <t>/mnt/data/projects/ASAP/ST/MTG/backups/data/novaseq_211018b/fastq/BN1585_S2_L002_I1_001.fastq.gz</t>
  </si>
  <si>
    <t>6595cc847692ecf3f9e663b756b2eea7</t>
  </si>
  <si>
    <t>BN1585_S2_L002_R1_001.fastq.gz</t>
  </si>
  <si>
    <t>/mnt/data/projects/ASAP/ST/MTG/backups/data/novaseq_211018b/fastq/BN1585_S2_L002_R1_001.fastq.gz</t>
  </si>
  <si>
    <t>2038bae255fee8f3150aceca76eac842</t>
  </si>
  <si>
    <t>BN1585_S2_L001_I1_001.fastq.gz</t>
  </si>
  <si>
    <t>/mnt/data/projects/ASAP/ST/MTG/backups/data/novaseq_211018b/fastq/BN1585_S2_L001_I1_001.fastq.gz</t>
  </si>
  <si>
    <t>d12306a769c82be2661a99d5d9d0cdd3</t>
  </si>
  <si>
    <t>BN1585_S2_L002_R2_001.fastq.gz</t>
  </si>
  <si>
    <t>/mnt/data/projects/ASAP/ST/MTG/backups/data/novaseq_211018b/fastq/BN1585_S2_L002_R2_001.fastq.gz</t>
  </si>
  <si>
    <t>1020d3f9c77ee890ece4b74dbddea4f1</t>
  </si>
  <si>
    <t>BN1614_S4_L001_R2_001.fastq.gz</t>
  </si>
  <si>
    <t>/mnt/data/projects/ASAP/ST/MTG/backups/data/novaseq_211002a/reads/v211002a/outs/fastq_path/HK3NNDRXY/BN1614_S4_L001_R2_001.fastq.gz</t>
  </si>
  <si>
    <t>b55035fe3a7913fb353de417e872f95e</t>
  </si>
  <si>
    <t>BN1614_S4_L001_I1_001.fastq.gz</t>
  </si>
  <si>
    <t>/mnt/data/projects/ASAP/ST/MTG/backups/data/novaseq_211002a/reads/v211002a/outs/fastq_path/HK3NNDRXY/BN1614_S4_L001_I1_001.fastq.gz</t>
  </si>
  <si>
    <t>3f1de72896d5f01740c14c7ed5c16c50</t>
  </si>
  <si>
    <t>BN1614_S4_L001_R1_001.fastq.gz</t>
  </si>
  <si>
    <t>/mnt/data/projects/ASAP/ST/MTG/backups/data/novaseq_211002a/reads/v211002a/outs/fastq_path/HK3NNDRXY/BN1614_S4_L001_R1_001.fastq.gz</t>
  </si>
  <si>
    <t>2306070ad703ca6d70b5b18c51ba990d</t>
  </si>
  <si>
    <t>BN1614_S4_L002_R2_001.fastq.gz</t>
  </si>
  <si>
    <t>/mnt/data/projects/ASAP/ST/MTG/backups/data/novaseq_211002a/reads/v211002a/outs/fastq_path/HK3NNDRXY/BN1614_S4_L002_R2_001.fastq.gz</t>
  </si>
  <si>
    <t>db79748542261572ffd8b530deaad82a</t>
  </si>
  <si>
    <t>BN1614_S4_L002_I2_001.fastq.gz</t>
  </si>
  <si>
    <t>/mnt/data/projects/ASAP/ST/MTG/backups/data/novaseq_211002a/reads/v211002a/outs/fastq_path/HK3NNDRXY/BN1614_S4_L002_I2_001.fastq.gz</t>
  </si>
  <si>
    <t>89ede7c767ea79c4ec4b738caf793e65</t>
  </si>
  <si>
    <t>BN1614_S4_L002_R1_001.fastq.gz</t>
  </si>
  <si>
    <t>/mnt/data/projects/ASAP/ST/MTG/backups/data/novaseq_211002a/reads/v211002a/outs/fastq_path/HK3NNDRXY/BN1614_S4_L002_R1_001.fastq.gz</t>
  </si>
  <si>
    <t>53a578140ec4bee36cad3a16da89f701</t>
  </si>
  <si>
    <t>BN1614_S4_L002_I1_001.fastq.gz</t>
  </si>
  <si>
    <t>/mnt/data/projects/ASAP/ST/MTG/backups/data/novaseq_211002a/reads/v211002a/outs/fastq_path/HK3NNDRXY/BN1614_S4_L002_I1_001.fastq.gz</t>
  </si>
  <si>
    <t>65fefe3466186a1d64c79dff245a406e</t>
  </si>
  <si>
    <t>BN1614_S4_L001_I2_001.fastq.gz</t>
  </si>
  <si>
    <t>/mnt/data/projects/ASAP/ST/MTG/backups/data/novaseq_211002a/reads/v211002a/outs/fastq_path/HK3NNDRXY/BN1614_S4_L001_I2_001.fastq.gz</t>
  </si>
  <si>
    <t>ce08a75381ff087f13ceb4cdec0d4f33</t>
  </si>
  <si>
    <t>BN1644_S4_L001_I1_001.fastq.gz</t>
  </si>
  <si>
    <t>/mnt/data/projects/ASAP/ST/MTG/backups/data/novaseq_210928a/fastq/BN1644_S4_L001_I1_001.fastq.gz</t>
  </si>
  <si>
    <t>0e6f8027ce2d6d04d8fc3237515778d3</t>
  </si>
  <si>
    <t>BN1644_S4_L002_R2_001.fastq.gz</t>
  </si>
  <si>
    <t>/mnt/data/projects/ASAP/ST/MTG/backups/data/novaseq_210928a/fastq/BN1644_S4_L002_R2_001.fastq.gz</t>
  </si>
  <si>
    <t>34ae075a610c85002d42a2fb05fec075</t>
  </si>
  <si>
    <t>BN1644_S4_L001_R2_001.fastq.gz</t>
  </si>
  <si>
    <t>/mnt/data/projects/ASAP/ST/MTG/backups/data/novaseq_210928a/fastq/BN1644_S4_L001_R2_001.fastq.gz</t>
  </si>
  <si>
    <t>4c164f0c47d17b4d40a8c302ab8ab190</t>
  </si>
  <si>
    <t>BN1644_S4_L001_I2_001.fastq.gz</t>
  </si>
  <si>
    <t>/mnt/data/projects/ASAP/ST/MTG/backups/data/novaseq_210928a/fastq/BN1644_S4_L001_I2_001.fastq.gz</t>
  </si>
  <si>
    <t>ba0a3ff503cb6403ab25ed664e48b165</t>
  </si>
  <si>
    <t>BN1644_S4_L001_R1_001.fastq.gz</t>
  </si>
  <si>
    <t>/mnt/data/projects/ASAP/ST/MTG/backups/data/novaseq_210928a/fastq/BN1644_S4_L001_R1_001.fastq.gz</t>
  </si>
  <si>
    <t>a5edbf0c39c351847d49983fec5b5d33</t>
  </si>
  <si>
    <t>BN1644_S4_L002_I2_001.fastq.gz</t>
  </si>
  <si>
    <t>/mnt/data/projects/ASAP/ST/MTG/backups/data/novaseq_210928a/fastq/BN1644_S4_L002_I2_001.fastq.gz</t>
  </si>
  <si>
    <t>f551836802a7a9117cf666de58acf013</t>
  </si>
  <si>
    <t>BN1644_S4_L002_I1_001.fastq.gz</t>
  </si>
  <si>
    <t>/mnt/data/projects/ASAP/ST/MTG/backups/data/novaseq_210928a/fastq/BN1644_S4_L002_I1_001.fastq.gz</t>
  </si>
  <si>
    <t>4d519afeda8f0217edd8180f5e7a4f18</t>
  </si>
  <si>
    <t>BN1644_S4_L002_R1_001.fastq.gz</t>
  </si>
  <si>
    <t>/mnt/data/projects/ASAP/ST/MTG/backups/data/novaseq_210928a/fastq/BN1644_S4_L002_R1_001.fastq.gz</t>
  </si>
  <si>
    <t>458defb09014d82f07c1a4a7b7b5fb07</t>
  </si>
  <si>
    <t>BN1719_S5_L002_R2_001.fastq.gz</t>
  </si>
  <si>
    <t>/mnt/data/projects/ASAP/ST/MTG/backups/data/novaseq_220129b/fastq/BN1719_S5_L002_R2_001.fastq.gz</t>
  </si>
  <si>
    <t>fe60b961745ac644a7e7fed98a78cc04</t>
  </si>
  <si>
    <t>BN1719_S5_L001_R1_001.fastq.gz</t>
  </si>
  <si>
    <t>/mnt/data/projects/ASAP/ST/MTG/backups/data/novaseq_220129b/fastq/BN1719_S5_L001_R1_001.fastq.gz</t>
  </si>
  <si>
    <t>01bedfb028c04c0150390ebef855c9cb</t>
  </si>
  <si>
    <t>BN1719_S5_L001_R2_001.fastq.gz</t>
  </si>
  <si>
    <t>/mnt/data/projects/ASAP/ST/MTG/backups/data/novaseq_220129b/fastq/BN1719_S5_L001_R2_001.fastq.gz</t>
  </si>
  <si>
    <t>cc7248f55f04784ea16d0bd6b57e8901</t>
  </si>
  <si>
    <t>BN1719_S5_L002_I2_001.fastq.gz</t>
  </si>
  <si>
    <t>/mnt/data/projects/ASAP/ST/MTG/backups/data/novaseq_220129b/fastq/BN1719_S5_L002_I2_001.fastq.gz</t>
  </si>
  <si>
    <t>19d2be89c30428bf35143cce96fec2b2</t>
  </si>
  <si>
    <t>BN1719_S5_L001_I2_001.fastq.gz</t>
  </si>
  <si>
    <t>/mnt/data/projects/ASAP/ST/MTG/backups/data/novaseq_220129b/fastq/BN1719_S5_L001_I2_001.fastq.gz</t>
  </si>
  <si>
    <t>ce3a543451dfae6140bcd144248e031a</t>
  </si>
  <si>
    <t>BN1719_S5_L001_I1_001.fastq.gz</t>
  </si>
  <si>
    <t>/mnt/data/projects/ASAP/ST/MTG/backups/data/novaseq_220129b/fastq/BN1719_S5_L001_I1_001.fastq.gz</t>
  </si>
  <si>
    <t>c9e257ab3cc2703a330e8430239fe5e2</t>
  </si>
  <si>
    <t>BN1719_S5_L002_R1_001.fastq.gz</t>
  </si>
  <si>
    <t>/mnt/data/projects/ASAP/ST/MTG/backups/data/novaseq_220129b/fastq/BN1719_S5_L002_R1_001.fastq.gz</t>
  </si>
  <si>
    <t>be20d04cdfdd83455cddfa0c7a2167bb</t>
  </si>
  <si>
    <t>BN1719_S5_L002_I1_001.fastq.gz</t>
  </si>
  <si>
    <t>/mnt/data/projects/ASAP/ST/MTG/backups/data/novaseq_220129b/fastq/BN1719_S5_L002_I1_001.fastq.gz</t>
  </si>
  <si>
    <t>64a852fe0ae337370af2242bf06eb1e5</t>
  </si>
  <si>
    <t>BN1722_S3_L001_I2_001.fastq.gz</t>
  </si>
  <si>
    <t>/mnt/data/projects/ASAP/ST/MTG/backups/data/novaseq_211018a/fastq/BN1722_S3_L001_I2_001.fastq.gz</t>
  </si>
  <si>
    <t>371ef1ac248ff5f6fd07fc805ff4b1b1</t>
  </si>
  <si>
    <t>BN1722_S3_L002_R2_001.fastq.gz</t>
  </si>
  <si>
    <t>/mnt/data/projects/ASAP/ST/MTG/backups/data/novaseq_211018a/fastq/BN1722_S3_L002_R2_001.fastq.gz</t>
  </si>
  <si>
    <t>0137ff0670e7aa799620e008f8995ba7</t>
  </si>
  <si>
    <t>BN1722_S3_L001_I1_001.fastq.gz</t>
  </si>
  <si>
    <t>/mnt/data/projects/ASAP/ST/MTG/backups/data/novaseq_211018a/fastq/BN1722_S3_L001_I1_001.fastq.gz</t>
  </si>
  <si>
    <t>f441f41781e99abdc38e891a822269fc</t>
  </si>
  <si>
    <t>BN1722_S3_L002_I1_001.fastq.gz</t>
  </si>
  <si>
    <t>/mnt/data/projects/ASAP/ST/MTG/backups/data/novaseq_211018a/fastq/BN1722_S3_L002_I1_001.fastq.gz</t>
  </si>
  <si>
    <t>8a3a059f00abc8f3a3e54109a12b04d3</t>
  </si>
  <si>
    <t>BN1722_S3_L001_R2_001.fastq.gz</t>
  </si>
  <si>
    <t>/mnt/data/projects/ASAP/ST/MTG/backups/data/novaseq_211018a/fastq/BN1722_S3_L001_R2_001.fastq.gz</t>
  </si>
  <si>
    <t>8b9f9036595b1080d274c66a8f61e916</t>
  </si>
  <si>
    <t>BN1722_S3_L001_R1_001.fastq.gz</t>
  </si>
  <si>
    <t>/mnt/data/projects/ASAP/ST/MTG/backups/data/novaseq_211018a/fastq/BN1722_S3_L001_R1_001.fastq.gz</t>
  </si>
  <si>
    <t>9f4bb7a4250943e5ab3f89410d9f2a27</t>
  </si>
  <si>
    <t>BN1722_S3_L002_I2_001.fastq.gz</t>
  </si>
  <si>
    <t>/mnt/data/projects/ASAP/ST/MTG/backups/data/novaseq_211018a/fastq/BN1722_S3_L002_I2_001.fastq.gz</t>
  </si>
  <si>
    <t>b907550ad0694f2d472dc759795dd9ad</t>
  </si>
  <si>
    <t>BN1722_S3_L002_R1_001.fastq.gz</t>
  </si>
  <si>
    <t>/mnt/data/projects/ASAP/ST/MTG/backups/data/novaseq_211018a/fastq/BN1722_S3_L002_R1_001.fastq.gz</t>
  </si>
  <si>
    <t>4126caa0854e2502d346fe59f424f4cf</t>
  </si>
  <si>
    <t>BN1726_S3_L001_I1_001.fastq.gz</t>
  </si>
  <si>
    <t>/mnt/data/projects/ASAP/ST/MTG/backups/data/novaseq_210928a/fastq/BN1726_S3_L001_I1_001.fastq.gz</t>
  </si>
  <si>
    <t>240acff74d249150e5dadf9e0b4b06ea</t>
  </si>
  <si>
    <t>BN1726_S3_L002_R1_001.fastq.gz</t>
  </si>
  <si>
    <t>/mnt/data/projects/ASAP/ST/MTG/backups/data/novaseq_210928a/fastq/BN1726_S3_L002_R1_001.fastq.gz</t>
  </si>
  <si>
    <t>276c63fb1db89a5e97badf87dd743573</t>
  </si>
  <si>
    <t>BN1726_S3_L002_R2_001.fastq.gz</t>
  </si>
  <si>
    <t>/mnt/data/projects/ASAP/ST/MTG/backups/data/novaseq_210928a/fastq/BN1726_S3_L002_R2_001.fastq.gz</t>
  </si>
  <si>
    <t>e222df00eb51874e453a0b0b0a9642e7</t>
  </si>
  <si>
    <t>BN1726_S3_L002_I2_001.fastq.gz</t>
  </si>
  <si>
    <t>/mnt/data/projects/ASAP/ST/MTG/backups/data/novaseq_210928a/fastq/BN1726_S3_L002_I2_001.fastq.gz</t>
  </si>
  <si>
    <t>3f538ffa4948127d6ef78bfd1752e5ac</t>
  </si>
  <si>
    <t>BN1726_S3_L002_I1_001.fastq.gz</t>
  </si>
  <si>
    <t>/mnt/data/projects/ASAP/ST/MTG/backups/data/novaseq_210928a/fastq/BN1726_S3_L002_I1_001.fastq.gz</t>
  </si>
  <si>
    <t>10b4e306a1c1e9ae850746e8bfabdff3</t>
  </si>
  <si>
    <t>BN1726_S3_L001_R1_001.fastq.gz</t>
  </si>
  <si>
    <t>/mnt/data/projects/ASAP/ST/MTG/backups/data/novaseq_210928a/fastq/BN1726_S3_L001_R1_001.fastq.gz</t>
  </si>
  <si>
    <t>6aeb67f25a73d0eb225440b4fd417d2b</t>
  </si>
  <si>
    <t>BN1726_S3_L001_I2_001.fastq.gz</t>
  </si>
  <si>
    <t>/mnt/data/projects/ASAP/ST/MTG/backups/data/novaseq_210928a/fastq/BN1726_S3_L001_I2_001.fastq.gz</t>
  </si>
  <si>
    <t>9352502897e3c7f3ab870dafd5a891fe</t>
  </si>
  <si>
    <t>BN1726_S3_L001_R2_001.fastq.gz</t>
  </si>
  <si>
    <t>/mnt/data/projects/ASAP/ST/MTG/backups/data/novaseq_210928a/fastq/BN1726_S3_L001_R2_001.fastq.gz</t>
  </si>
  <si>
    <t>8fe240a63f9d0d485fc0212b7ac991fc</t>
  </si>
  <si>
    <t>/mnt/data/projects/ASAP/ST/MTG/backups/data/novaseq_211208b/fastq/BN1730_S3_L002_I2_001.fastq.gz</t>
  </si>
  <si>
    <t>4fa25cee68c6e55a7136417ae275edc1</t>
  </si>
  <si>
    <t>/mnt/data/projects/ASAP/ST/MTG/backups/data/novaseq_211208b/fastq/BN1730_S3_L001_I1_001.fastq.gz</t>
  </si>
  <si>
    <t>28397c626010678a1c2bea8402ade4a6</t>
  </si>
  <si>
    <t>/mnt/data/projects/ASAP/ST/MTG/backups/data/novaseq_211208b/fastq/BN1730_S3_L001_I2_001.fastq.gz</t>
  </si>
  <si>
    <t>b3c78cd37f8a74ce0981d3a3be326ad9</t>
  </si>
  <si>
    <t>/mnt/data/projects/ASAP/ST/MTG/backups/data/novaseq_211208b/fastq/BN1730_S3_L002_R2_001.fastq.gz</t>
  </si>
  <si>
    <t>7f639045562f1bf72738e5ce1947a7fc</t>
  </si>
  <si>
    <t>/mnt/data/projects/ASAP/ST/MTG/backups/data/novaseq_211208b/fastq/BN1730_S3_L002_R1_001.fastq.gz</t>
  </si>
  <si>
    <t>0580bb3295649cbf99a233dcbe7720c2</t>
  </si>
  <si>
    <t>/mnt/data/projects/ASAP/ST/MTG/backups/data/novaseq_211208b/fastq/BN1730_S3_L001_R1_001.fastq.gz</t>
  </si>
  <si>
    <t>69f9d8efd1f20a8f54c6d6aebb3b6de4</t>
  </si>
  <si>
    <t>/mnt/data/projects/ASAP/ST/MTG/backups/data/novaseq_211208b/fastq/BN1730_S3_L002_I1_001.fastq.gz</t>
  </si>
  <si>
    <t>5833e4f442dfbfd7aa43f316dce6d65d</t>
  </si>
  <si>
    <t>/mnt/data/projects/ASAP/ST/MTG/backups/data/novaseq_211208b/fastq/BN1730_S3_L001_R2_001.fastq.gz</t>
  </si>
  <si>
    <t>1494e65c487dfb1b757bbe47459acd42</t>
  </si>
  <si>
    <t>/mnt/data/projects/ASAP/ST/MTG/backups/data/novaseq_210918a/fastq/BN1737_S1_L002_I2_001.fastq.gz</t>
  </si>
  <si>
    <t>1ac3a84fca3ef82e947ec24724c24a50</t>
  </si>
  <si>
    <t>/mnt/data/projects/ASAP/ST/MTG/backups/data/novaseq_210918a/fastq/BN1737_S1_L001_I1_001.fastq.gz</t>
  </si>
  <si>
    <t>0d76b187599a48b2bdbc8edf25c1ba4e</t>
  </si>
  <si>
    <t>/mnt/data/projects/ASAP/ST/MTG/backups/data/novaseq_210918a/fastq/BN1737_S1_L001_I2_001.fastq.gz</t>
  </si>
  <si>
    <t>612a2f2587e1892a74be231b1afa9177</t>
  </si>
  <si>
    <t>/mnt/data/projects/ASAP/ST/MTG/backups/data/novaseq_210918a/fastq/BN1737_S1_L002_R2_001.fastq.gz</t>
  </si>
  <si>
    <t>19e5d8050ed6e28579cfbd6dcb29634f</t>
  </si>
  <si>
    <t>/mnt/data/projects/ASAP/ST/MTG/backups/data/novaseq_210918a/fastq/BN1737_S1_L002_R1_001.fastq.gz</t>
  </si>
  <si>
    <t>7d0de6ee7389445b48e15fca7172306b</t>
  </si>
  <si>
    <t>/mnt/data/projects/ASAP/ST/MTG/backups/data/novaseq_210918a/fastq/BN1737_S1_L001_R2_001.fastq.gz</t>
  </si>
  <si>
    <t>242dc3f49f962709d719614e440525fd</t>
  </si>
  <si>
    <t>/mnt/data/projects/ASAP/ST/MTG/backups/data/novaseq_210918a/fastq/BN1737_S1_L001_R1_001.fastq.gz</t>
  </si>
  <si>
    <t>036d733a157a5c1de4649855b2f592ab</t>
  </si>
  <si>
    <t>/mnt/data/projects/ASAP/ST/MTG/backups/data/novaseq_210918a/fastq/BN1737_S1_L002_I1_001.fastq.gz</t>
  </si>
  <si>
    <t>6f629b1e7aed0a3ad5988ee17cb70318</t>
  </si>
  <si>
    <t>BN1741_S1_L001_I1_001.fastq.gz</t>
  </si>
  <si>
    <t>/mnt/data/projects/ASAP/ST/MTG/backups/data/novaseq_211018a/fastq/BN1741_S1_L001_I1_001.fastq.gz</t>
  </si>
  <si>
    <t>8f6d3d470b029b9464d6a91fb3d8aa76</t>
  </si>
  <si>
    <t>BN1741_S1_L002_I2_001.fastq.gz</t>
  </si>
  <si>
    <t>/mnt/data/projects/ASAP/ST/MTG/backups/data/novaseq_211018a/fastq/BN1741_S1_L002_I2_001.fastq.gz</t>
  </si>
  <si>
    <t>e434405f2c54d4dd187e12325c585868</t>
  </si>
  <si>
    <t>BN1741_S1_L002_R2_001.fastq.gz</t>
  </si>
  <si>
    <t>/mnt/data/projects/ASAP/ST/MTG/backups/data/novaseq_211018a/fastq/BN1741_S1_L002_R2_001.fastq.gz</t>
  </si>
  <si>
    <t>7b3ef90075c89a6dbc14d2a998539095</t>
  </si>
  <si>
    <t>BN1741_S1_L001_R2_001.fastq.gz</t>
  </si>
  <si>
    <t>/mnt/data/projects/ASAP/ST/MTG/backups/data/novaseq_211018a/fastq/BN1741_S1_L001_R2_001.fastq.gz</t>
  </si>
  <si>
    <t>f35b99c31f71168284e62547ce340a7d</t>
  </si>
  <si>
    <t>BN1741_S1_L002_R1_001.fastq.gz</t>
  </si>
  <si>
    <t>/mnt/data/projects/ASAP/ST/MTG/backups/data/novaseq_211018a/fastq/BN1741_S1_L002_R1_001.fastq.gz</t>
  </si>
  <si>
    <t>0b5f39cf393127a429030f8f7e57215c</t>
  </si>
  <si>
    <t>BN1741_S1_L001_R1_001.fastq.gz</t>
  </si>
  <si>
    <t>/mnt/data/projects/ASAP/ST/MTG/backups/data/novaseq_211018a/fastq/BN1741_S1_L001_R1_001.fastq.gz</t>
  </si>
  <si>
    <t>e7269bf26007f968d70e77a3f8329ffd</t>
  </si>
  <si>
    <t>BN1741_S1_L002_I1_001.fastq.gz</t>
  </si>
  <si>
    <t>/mnt/data/projects/ASAP/ST/MTG/backups/data/novaseq_211018a/fastq/BN1741_S1_L002_I1_001.fastq.gz</t>
  </si>
  <si>
    <t>4ff4de3a1893baf153ef3f9960493298</t>
  </si>
  <si>
    <t>BN1741_S1_L001_I2_001.fastq.gz</t>
  </si>
  <si>
    <t>/mnt/data/projects/ASAP/ST/MTG/backups/data/novaseq_211018a/fastq/BN1741_S1_L001_I2_001.fastq.gz</t>
  </si>
  <si>
    <t>5926f813a1df837bfbb88bf9603cde5e</t>
  </si>
  <si>
    <t>BN1747_S2_L002_I1_001.fastq.gz</t>
  </si>
  <si>
    <t>/mnt/data/projects/ASAP/ST/MTG/backups/data/novaseq_210918a/fastq/BN1747_S2_L002_I1_001.fastq.gz</t>
  </si>
  <si>
    <t>09ce29fbf00ddb6e6af8f4bcd59fbe28</t>
  </si>
  <si>
    <t>BN1747_S2_L001_R1_001.fastq.gz</t>
  </si>
  <si>
    <t>/mnt/data/projects/ASAP/ST/MTG/backups/data/novaseq_210918a/fastq/BN1747_S2_L001_R1_001.fastq.gz</t>
  </si>
  <si>
    <t>62d665938672ce79d1abd9efd0e527e0</t>
  </si>
  <si>
    <t>BN1747_S2_L001_R2_001.fastq.gz</t>
  </si>
  <si>
    <t>/mnt/data/projects/ASAP/ST/MTG/backups/data/novaseq_210918a/fastq/BN1747_S2_L001_R2_001.fastq.gz</t>
  </si>
  <si>
    <t>823329b0ca57f04e19a06f1f4efd11b9</t>
  </si>
  <si>
    <t>BN1747_S2_L001_I2_001.fastq.gz</t>
  </si>
  <si>
    <t>/mnt/data/projects/ASAP/ST/MTG/backups/data/novaseq_210918a/fastq/BN1747_S2_L001_I2_001.fastq.gz</t>
  </si>
  <si>
    <t>0b29c89457446ac9b2e6b4580703cd4a</t>
  </si>
  <si>
    <t>BN1747_S2_L002_R2_001.fastq.gz</t>
  </si>
  <si>
    <t>/mnt/data/projects/ASAP/ST/MTG/backups/data/novaseq_210918a/fastq/BN1747_S2_L002_R2_001.fastq.gz</t>
  </si>
  <si>
    <t>5bfa82749c8242244edcacfb23300340</t>
  </si>
  <si>
    <t>BN1747_S2_L002_I2_001.fastq.gz</t>
  </si>
  <si>
    <t>/mnt/data/projects/ASAP/ST/MTG/backups/data/novaseq_210918a/fastq/BN1747_S2_L002_I2_001.fastq.gz</t>
  </si>
  <si>
    <t>eb7489499ec5357adcbd5d7d60f8b580</t>
  </si>
  <si>
    <t>BN1747_S2_L001_I1_001.fastq.gz</t>
  </si>
  <si>
    <t>/mnt/data/projects/ASAP/ST/MTG/backups/data/novaseq_210918a/fastq/BN1747_S2_L001_I1_001.fastq.gz</t>
  </si>
  <si>
    <t>9274ed4897c4059019e34e09164d3d13</t>
  </si>
  <si>
    <t>BN1747_S2_L002_R1_001.fastq.gz</t>
  </si>
  <si>
    <t>/mnt/data/projects/ASAP/ST/MTG/backups/data/novaseq_210918a/fastq/BN1747_S2_L002_R1_001.fastq.gz</t>
  </si>
  <si>
    <t>33323c159187c120057cd09c4a86aa8d</t>
  </si>
  <si>
    <t>/mnt/data/projects/ASAP/ST/MTG/backups/data/novaseq_211002a/reads/v211002a/outs/fastq_path/HK3NNDRXY/BN1749_S3_L001_R1_001.fastq.gz</t>
  </si>
  <si>
    <t>f0e01ae68681685b8ae98d3bb68fa9d8</t>
  </si>
  <si>
    <t>/mnt/data/projects/ASAP/ST/MTG/backups/data/novaseq_211002a/reads/v211002a/outs/fastq_path/HK3NNDRXY/BN1749_S3_L001_I2_001.fastq.gz</t>
  </si>
  <si>
    <t>205381e0936186243f204539cabad48b</t>
  </si>
  <si>
    <t>/mnt/data/projects/ASAP/ST/MTG/backups/data/novaseq_211002a/reads/v211002a/outs/fastq_path/HK3NNDRXY/BN1749_S3_L002_I1_001.fastq.gz</t>
  </si>
  <si>
    <t>3b9a33b9775c3fcef6d750a27a059db2</t>
  </si>
  <si>
    <t>/mnt/data/projects/ASAP/ST/MTG/backups/data/novaseq_211002a/reads/v211002a/outs/fastq_path/HK3NNDRXY/BN1749_S3_L002_R2_001.fastq.gz</t>
  </si>
  <si>
    <t>ec94068cddf1ba037bdc775872172cca</t>
  </si>
  <si>
    <t>/mnt/data/projects/ASAP/ST/MTG/backups/data/novaseq_211002a/reads/v211002a/outs/fastq_path/HK3NNDRXY/BN1749_S3_L001_R2_001.fastq.gz</t>
  </si>
  <si>
    <t>b3a49409507c18b993681618ee56b2b2</t>
  </si>
  <si>
    <t>/mnt/data/projects/ASAP/ST/MTG/backups/data/novaseq_211002a/reads/v211002a/outs/fastq_path/HK3NNDRXY/BN1749_S3_L001_I1_001.fastq.gz</t>
  </si>
  <si>
    <t>40971f2af64da661c917274c65a4c1cb</t>
  </si>
  <si>
    <t>/mnt/data/projects/ASAP/ST/MTG/backups/data/novaseq_211002a/reads/v211002a/outs/fastq_path/HK3NNDRXY/BN1749_S3_L002_R1_001.fastq.gz</t>
  </si>
  <si>
    <t>5f26aad6260da8c0672a2e15e15fca2f</t>
  </si>
  <si>
    <t>/mnt/data/projects/ASAP/ST/MTG/backups/data/novaseq_211002a/reads/v211002a/outs/fastq_path/HK3NNDRXY/BN1749_S3_L002_I2_001.fastq.gz</t>
  </si>
  <si>
    <t>ab24bbff18065cdc9f3db2beebc94394</t>
  </si>
  <si>
    <t>BN1749_S4_L001_R1_001.fastq.gz</t>
  </si>
  <si>
    <t>/mnt/data/projects/ASAP/ST/MTG/backups/data/novaseq_220115b/fastq/BN1749_S4_L001_R1_001.fastq.gz</t>
  </si>
  <si>
    <t>001045e03e574ca663d846c98effac0a</t>
  </si>
  <si>
    <t>BN1749_S4_L002_R2_001.fastq.gz</t>
  </si>
  <si>
    <t>/mnt/data/projects/ASAP/ST/MTG/backups/data/novaseq_220115b/fastq/BN1749_S4_L002_R2_001.fastq.gz</t>
  </si>
  <si>
    <t>81858a825019d21dcb63273a257567cc</t>
  </si>
  <si>
    <t>BN1749_S4_L001_R2_001.fastq.gz</t>
  </si>
  <si>
    <t>/mnt/data/projects/ASAP/ST/MTG/backups/data/novaseq_220115b/fastq/BN1749_S4_L001_R2_001.fastq.gz</t>
  </si>
  <si>
    <t>bcb37778eccae5aadd40de240806b277</t>
  </si>
  <si>
    <t>BN1749_S4_L002_I1_001.fastq.gz</t>
  </si>
  <si>
    <t>/mnt/data/projects/ASAP/ST/MTG/backups/data/novaseq_220115b/fastq/BN1749_S4_L002_I1_001.fastq.gz</t>
  </si>
  <si>
    <t>def991ee5078217859f6c1c136d86ccd</t>
  </si>
  <si>
    <t>BN1749_S4_L002_I2_001.fastq.gz</t>
  </si>
  <si>
    <t>/mnt/data/projects/ASAP/ST/MTG/backups/data/novaseq_220115b/fastq/BN1749_S4_L002_I2_001.fastq.gz</t>
  </si>
  <si>
    <t>1fdcc74f6f09da98d82f069ad3095e36</t>
  </si>
  <si>
    <t>BN1749_S4_L001_I1_001.fastq.gz</t>
  </si>
  <si>
    <t>/mnt/data/projects/ASAP/ST/MTG/backups/data/novaseq_220115b/fastq/BN1749_S4_L001_I1_001.fastq.gz</t>
  </si>
  <si>
    <t>315281267966c9305268e6dd82e3107d</t>
  </si>
  <si>
    <t>BN1749_S4_L002_R1_001.fastq.gz</t>
  </si>
  <si>
    <t>/mnt/data/projects/ASAP/ST/MTG/backups/data/novaseq_220115b/fastq/BN1749_S4_L002_R1_001.fastq.gz</t>
  </si>
  <si>
    <t>0aa724f205dd3c24d585e8b51fd137ac</t>
  </si>
  <si>
    <t>BN1749_S4_L001_I2_001.fastq.gz</t>
  </si>
  <si>
    <t>/mnt/data/projects/ASAP/ST/MTG/backups/data/novaseq_220115b/fastq/BN1749_S4_L001_I2_001.fastq.gz</t>
  </si>
  <si>
    <t>7fe73cfd47265c78b825b32cfe3f8669</t>
  </si>
  <si>
    <t>/mnt/data/projects/ASAP/ST/MTG/backups/data/novaseq_211002b/reads/v211002b/outs/fastq_path/HK3WVDRXY/BN1752_S1_L001_I2_001.fastq.gz</t>
  </si>
  <si>
    <t>c09825f8be0b36be39d5ac29c63ba5ac</t>
  </si>
  <si>
    <t>/mnt/data/projects/ASAP/ST/MTG/backups/data/novaseq_211002b/reads/v211002b/outs/fastq_path/HK3WVDRXY/BN1752_S1_L002_I1_001.fastq.gz</t>
  </si>
  <si>
    <t>2bf1a6430c02e5f2496c1484055ac439</t>
  </si>
  <si>
    <t>/mnt/data/projects/ASAP/ST/MTG/backups/data/novaseq_211002b/reads/v211002b/outs/fastq_path/HK3WVDRXY/BN1752_S1_L002_I2_001.fastq.gz</t>
  </si>
  <si>
    <t>d8872751f5598660d00ebfc48f453f9e</t>
  </si>
  <si>
    <t>/mnt/data/projects/ASAP/ST/MTG/backups/data/novaseq_211002b/reads/v211002b/outs/fastq_path/HK3WVDRXY/BN1752_S1_L001_R1_001.fastq.gz</t>
  </si>
  <si>
    <t>f29b72fac6ed5d7e0f53d1ec42d51f07</t>
  </si>
  <si>
    <t>/mnt/data/projects/ASAP/ST/MTG/backups/data/novaseq_211002b/reads/v211002b/outs/fastq_path/HK3WVDRXY/BN1752_S1_L002_R1_001.fastq.gz</t>
  </si>
  <si>
    <t>12f458bdd19e3c4a64a2045ecaa133bc</t>
  </si>
  <si>
    <t>/mnt/data/projects/ASAP/ST/MTG/backups/data/novaseq_211002b/reads/v211002b/outs/fastq_path/HK3WVDRXY/BN1752_S1_L002_R2_001.fastq.gz</t>
  </si>
  <si>
    <t>02a251a20898100cb0ddb8482424e000</t>
  </si>
  <si>
    <t>/mnt/data/projects/ASAP/ST/MTG/backups/data/novaseq_211002b/reads/v211002b/outs/fastq_path/HK3WVDRXY/BN1752_S1_L001_R2_001.fastq.gz</t>
  </si>
  <si>
    <t>1ab18c396f985407ecaa76a83b6b3407</t>
  </si>
  <si>
    <t>/mnt/data/projects/ASAP/ST/MTG/backups/data/novaseq_211002b/reads/v211002b/outs/fastq_path/HK3WVDRXY/BN1752_S1_L001_I1_001.fastq.gz</t>
  </si>
  <si>
    <t>b81480355e8c35b10b5e42f9c67e9c50</t>
  </si>
  <si>
    <t>BN1756_S1_L001_R2_001.fastq.gz</t>
  </si>
  <si>
    <t>/mnt/data/projects/ASAP/ST/MTG/backups/data/novaseq_210928a/fastq/BN1756_S1_L001_R2_001.fastq.gz</t>
  </si>
  <si>
    <t>a6bc57c092e248853184252cbc262d35</t>
  </si>
  <si>
    <t>BN1756_S1_L001_I1_001.fastq.gz</t>
  </si>
  <si>
    <t>/mnt/data/projects/ASAP/ST/MTG/backups/data/novaseq_210928a/fastq/BN1756_S1_L001_I1_001.fastq.gz</t>
  </si>
  <si>
    <t>1e60982cbf552634c169a1e56ee9167d</t>
  </si>
  <si>
    <t>BN1756_S1_L002_I1_001.fastq.gz</t>
  </si>
  <si>
    <t>/mnt/data/projects/ASAP/ST/MTG/backups/data/novaseq_210928a/fastq/BN1756_S1_L002_I1_001.fastq.gz</t>
  </si>
  <si>
    <t>e488a3a582d398d05f1f6d391b30ebbd</t>
  </si>
  <si>
    <t>BN1756_S1_L001_I2_001.fastq.gz</t>
  </si>
  <si>
    <t>/mnt/data/projects/ASAP/ST/MTG/backups/data/novaseq_210928a/fastq/BN1756_S1_L001_I2_001.fastq.gz</t>
  </si>
  <si>
    <t>eda3dc55f4246e53974bcd6f041a3c41</t>
  </si>
  <si>
    <t>BN1756_S1_L001_R1_001.fastq.gz</t>
  </si>
  <si>
    <t>/mnt/data/projects/ASAP/ST/MTG/backups/data/novaseq_210928a/fastq/BN1756_S1_L001_R1_001.fastq.gz</t>
  </si>
  <si>
    <t>cefc69544dab7476f9e739f9b3848999</t>
  </si>
  <si>
    <t>BN1756_S1_L002_I2_001.fastq.gz</t>
  </si>
  <si>
    <t>/mnt/data/projects/ASAP/ST/MTG/backups/data/novaseq_210928a/fastq/BN1756_S1_L002_I2_001.fastq.gz</t>
  </si>
  <si>
    <t>759aff175188366f92b10bf10ca8eec7</t>
  </si>
  <si>
    <t>BN1756_S1_L002_R1_001.fastq.gz</t>
  </si>
  <si>
    <t>/mnt/data/projects/ASAP/ST/MTG/backups/data/novaseq_210928a/fastq/BN1756_S1_L002_R1_001.fastq.gz</t>
  </si>
  <si>
    <t>b90c378efe091bdb6df53d99cef2b1b8</t>
  </si>
  <si>
    <t>BN1756_S1_L002_R2_001.fastq.gz</t>
  </si>
  <si>
    <t>/mnt/data/projects/ASAP/ST/MTG/backups/data/novaseq_210928a/fastq/BN1756_S1_L002_R2_001.fastq.gz</t>
  </si>
  <si>
    <t>921504665eee2d252b452f0517ea3611</t>
  </si>
  <si>
    <t>BN1762_S2_L001_I1_001.fastq.gz</t>
  </si>
  <si>
    <t>/mnt/data/projects/ASAP/ST/MTG/backups/data/novaseq_211208b/fastq/BN1762_S2_L001_I1_001.fastq.gz</t>
  </si>
  <si>
    <t>f2b1ac8654740832a03089e842d6afe0</t>
  </si>
  <si>
    <t>BN1762_S2_L001_R2_001.fastq.gz</t>
  </si>
  <si>
    <t>/mnt/data/projects/ASAP/ST/MTG/backups/data/novaseq_211208b/fastq/BN1762_S2_L001_R2_001.fastq.gz</t>
  </si>
  <si>
    <t>3db1353665226a24e017d8f9e25d4eaa</t>
  </si>
  <si>
    <t>BN1762_S2_L002_R1_001.fastq.gz</t>
  </si>
  <si>
    <t>/mnt/data/projects/ASAP/ST/MTG/backups/data/novaseq_211208b/fastq/BN1762_S2_L002_R1_001.fastq.gz</t>
  </si>
  <si>
    <t>9ad531ea68dbfb79c9b5b1e4f92522eb</t>
  </si>
  <si>
    <t>BN1762_S2_L002_I1_001.fastq.gz</t>
  </si>
  <si>
    <t>/mnt/data/projects/ASAP/ST/MTG/backups/data/novaseq_211208b/fastq/BN1762_S2_L002_I1_001.fastq.gz</t>
  </si>
  <si>
    <t>fae87ff1f2459ef92b1a4dd026178f0b</t>
  </si>
  <si>
    <t>BN1762_S2_L001_I2_001.fastq.gz</t>
  </si>
  <si>
    <t>/mnt/data/projects/ASAP/ST/MTG/backups/data/novaseq_211208b/fastq/BN1762_S2_L001_I2_001.fastq.gz</t>
  </si>
  <si>
    <t>21fe7f3b4244312f00816bb45a24dddd</t>
  </si>
  <si>
    <t>BN1762_S2_L002_I2_001.fastq.gz</t>
  </si>
  <si>
    <t>/mnt/data/projects/ASAP/ST/MTG/backups/data/novaseq_211208b/fastq/BN1762_S2_L002_I2_001.fastq.gz</t>
  </si>
  <si>
    <t>165f820e15fe505798ed3bd15c4e1159</t>
  </si>
  <si>
    <t>BN1762_S2_L001_R1_001.fastq.gz</t>
  </si>
  <si>
    <t>/mnt/data/projects/ASAP/ST/MTG/backups/data/novaseq_211208b/fastq/BN1762_S2_L001_R1_001.fastq.gz</t>
  </si>
  <si>
    <t>f2fac985795992032e428c2ce8b451b1</t>
  </si>
  <si>
    <t>BN1762_S2_L002_R2_001.fastq.gz</t>
  </si>
  <si>
    <t>/mnt/data/projects/ASAP/ST/MTG/backups/data/novaseq_211208b/fastq/BN1762_S2_L002_R2_001.fastq.gz</t>
  </si>
  <si>
    <t>807be7f63d715211ede40823c0aa4a68</t>
  </si>
  <si>
    <t>BN1805_S4_L001_R2_001.fastq.gz</t>
  </si>
  <si>
    <t>/mnt/data/projects/ASAP/ST/MTG/backups/data/novaseq_210918a/fastq/BN1805_S4_L001_R2_001.fastq.gz</t>
  </si>
  <si>
    <t>8e1faf0a0b6a8d46c5bd1eeab95ebed0</t>
  </si>
  <si>
    <t>BN1805_S4_L002_R1_001.fastq.gz</t>
  </si>
  <si>
    <t>/mnt/data/projects/ASAP/ST/MTG/backups/data/novaseq_210918a/fastq/BN1805_S4_L002_R1_001.fastq.gz</t>
  </si>
  <si>
    <t>03db2838146c1188f155e603dc5dde37</t>
  </si>
  <si>
    <t>BN1805_S4_L002_R2_001.fastq.gz</t>
  </si>
  <si>
    <t>/mnt/data/projects/ASAP/ST/MTG/backups/data/novaseq_210918a/fastq/BN1805_S4_L002_R2_001.fastq.gz</t>
  </si>
  <si>
    <t>1e7f503ad4575de5584eb1e00461649d</t>
  </si>
  <si>
    <t>BN1805_S4_L001_I1_001.fastq.gz</t>
  </si>
  <si>
    <t>/mnt/data/projects/ASAP/ST/MTG/backups/data/novaseq_210918a/fastq/BN1805_S4_L001_I1_001.fastq.gz</t>
  </si>
  <si>
    <t>0a99a96f080e8b8f6ec4c03709161181</t>
  </si>
  <si>
    <t>BN1805_S4_L002_I1_001.fastq.gz</t>
  </si>
  <si>
    <t>/mnt/data/projects/ASAP/ST/MTG/backups/data/novaseq_210918a/fastq/BN1805_S4_L002_I1_001.fastq.gz</t>
  </si>
  <si>
    <t>c98136efbe74227af3e3ad7c09900b60</t>
  </si>
  <si>
    <t>BN1805_S4_L001_I2_001.fastq.gz</t>
  </si>
  <si>
    <t>/mnt/data/projects/ASAP/ST/MTG/backups/data/novaseq_210918a/fastq/BN1805_S4_L001_I2_001.fastq.gz</t>
  </si>
  <si>
    <t>8db317ecbdc526568b32d845d1ba4cf3</t>
  </si>
  <si>
    <t>BN1805_S4_L002_I2_001.fastq.gz</t>
  </si>
  <si>
    <t>/mnt/data/projects/ASAP/ST/MTG/backups/data/novaseq_210918a/fastq/BN1805_S4_L002_I2_001.fastq.gz</t>
  </si>
  <si>
    <t>11f7c0992f029486368088314cdfae63</t>
  </si>
  <si>
    <t>BN1805_S4_L001_R1_001.fastq.gz</t>
  </si>
  <si>
    <t>/mnt/data/projects/ASAP/ST/MTG/backups/data/novaseq_210918a/fastq/BN1805_S4_L001_R1_001.fastq.gz</t>
  </si>
  <si>
    <t>428035aa825fa35c10b6c776ff076766</t>
  </si>
  <si>
    <t>BN1809_S6_L002_R2_001.fastq.gz</t>
  </si>
  <si>
    <t>/mnt/data/projects/ASAP/ST/MTG/backups/data/novaseq_220129b/fastq/BN1809_S6_L002_R2_001.fastq.gz</t>
  </si>
  <si>
    <t>860432f0b1b5d9e4f9f413d3dae837b9</t>
  </si>
  <si>
    <t>BN1809_S6_L001_R1_001.fastq.gz</t>
  </si>
  <si>
    <t>/mnt/data/projects/ASAP/ST/MTG/backups/data/novaseq_220129b/fastq/BN1809_S6_L001_R1_001.fastq.gz</t>
  </si>
  <si>
    <t>573573b410ce65e42415fa3c42d97d35</t>
  </si>
  <si>
    <t>BN1809_S6_L002_I1_001.fastq.gz</t>
  </si>
  <si>
    <t>/mnt/data/projects/ASAP/ST/MTG/backups/data/novaseq_220129b/fastq/BN1809_S6_L002_I1_001.fastq.gz</t>
  </si>
  <si>
    <t>47d6b04c119cc3ef0ee1d3e5da494ec4</t>
  </si>
  <si>
    <t>BN1809_S6_L002_I2_001.fastq.gz</t>
  </si>
  <si>
    <t>/mnt/data/projects/ASAP/ST/MTG/backups/data/novaseq_220129b/fastq/BN1809_S6_L002_I2_001.fastq.gz</t>
  </si>
  <si>
    <t>a21f6ba2d58cba0f7eee3696d6a83f66</t>
  </si>
  <si>
    <t>BN1809_S6_L001_R2_001.fastq.gz</t>
  </si>
  <si>
    <t>/mnt/data/projects/ASAP/ST/MTG/backups/data/novaseq_220129b/fastq/BN1809_S6_L001_R2_001.fastq.gz</t>
  </si>
  <si>
    <t>f1eb05757ce8fc38d47f9473fc724dc6</t>
  </si>
  <si>
    <t>BN1809_S6_L001_I2_001.fastq.gz</t>
  </si>
  <si>
    <t>/mnt/data/projects/ASAP/ST/MTG/backups/data/novaseq_220129b/fastq/BN1809_S6_L001_I2_001.fastq.gz</t>
  </si>
  <si>
    <t>4480f3efc09a323ae1e2a006f1d0d5b2</t>
  </si>
  <si>
    <t>BN1809_S6_L001_I1_001.fastq.gz</t>
  </si>
  <si>
    <t>/mnt/data/projects/ASAP/ST/MTG/backups/data/novaseq_220129b/fastq/BN1809_S6_L001_I1_001.fastq.gz</t>
  </si>
  <si>
    <t>6d2894960df10ea8d20188553f2c16dc</t>
  </si>
  <si>
    <t>BN1809_S6_L002_R1_001.fastq.gz</t>
  </si>
  <si>
    <t>/mnt/data/projects/ASAP/ST/MTG/backups/data/novaseq_220129b/fastq/BN1809_S6_L002_R1_001.fastq.gz</t>
  </si>
  <si>
    <t>105fa980c28b1fdde94b92f951105ccb</t>
  </si>
  <si>
    <t>/mnt/data/projects/ASAP/ST/MTG/backups/data/novaseq_220115b/fastq/BN1812_S2_L001_R1_001.fastq.gz</t>
  </si>
  <si>
    <t>19d49af6ab1a884e61664d97b5fe2807</t>
  </si>
  <si>
    <t>/mnt/data/projects/ASAP/ST/MTG/backups/data/novaseq_220115b/fastq/BN1812_S2_L002_R2_001.fastq.gz</t>
  </si>
  <si>
    <t>9a841765e5cea4aa46307331b57b8606</t>
  </si>
  <si>
    <t>/mnt/data/projects/ASAP/ST/MTG/backups/data/novaseq_220115b/fastq/BN1812_S2_L001_I2_001.fastq.gz</t>
  </si>
  <si>
    <t>1e302fdc3e3e1701c7e28a224178f16b</t>
  </si>
  <si>
    <t>/mnt/data/projects/ASAP/ST/MTG/backups/data/novaseq_220115b/fastq/BN1812_S2_L002_R1_001.fastq.gz</t>
  </si>
  <si>
    <t>b9630c1bc498806ed09f4076db8909c1</t>
  </si>
  <si>
    <t>/mnt/data/projects/ASAP/ST/MTG/backups/data/novaseq_220115b/fastq/BN1812_S2_L002_I1_001.fastq.gz</t>
  </si>
  <si>
    <t>05f3eb41f51ece7a6f3b53a158be12ac</t>
  </si>
  <si>
    <t>/mnt/data/projects/ASAP/ST/MTG/backups/data/novaseq_220115b/fastq/BN1812_S2_L001_I1_001.fastq.gz</t>
  </si>
  <si>
    <t>dfd5a97f3db1cb132cc2a275a87011a1</t>
  </si>
  <si>
    <t>/mnt/data/projects/ASAP/ST/MTG/backups/data/novaseq_220115b/fastq/BN1812_S2_L001_R2_001.fastq.gz</t>
  </si>
  <si>
    <t>b89281b03e9414475beedcf71145d6c7</t>
  </si>
  <si>
    <t>/mnt/data/projects/ASAP/ST/MTG/backups/data/novaseq_220115b/fastq/BN1812_S2_L002_I2_001.fastq.gz</t>
  </si>
  <si>
    <t>8aaaabe6566bfb4e3f0640d163750ce6</t>
  </si>
  <si>
    <t>BN1814_S3_L001_R2_001.fastq.gz</t>
  </si>
  <si>
    <t>/mnt/data/projects/ASAP/ST/MTG/backups/data/novaseq_210831a/fastq/BN1814_S3_L001_R2_001.fastq.gz</t>
  </si>
  <si>
    <t>a527e3395735a54a9b4ae8f191fd1b32</t>
  </si>
  <si>
    <t>BN1814_S3_L002_I2_001.fastq.gz</t>
  </si>
  <si>
    <t>/mnt/data/projects/ASAP/ST/MTG/backups/data/novaseq_210831a/fastq/BN1814_S3_L002_I2_001.fastq.gz</t>
  </si>
  <si>
    <t>ef89e73af0f37c1dedc161bab3173e0b</t>
  </si>
  <si>
    <t>BN1814_S3_L001_I2_001.fastq.gz</t>
  </si>
  <si>
    <t>/mnt/data/projects/ASAP/ST/MTG/backups/data/novaseq_210831a/fastq/BN1814_S3_L001_I2_001.fastq.gz</t>
  </si>
  <si>
    <t>5804756316d25ea847f07276abd10e55</t>
  </si>
  <si>
    <t>BN1814_S3_L001_R1_001.fastq.gz</t>
  </si>
  <si>
    <t>/mnt/data/projects/ASAP/ST/MTG/backups/data/novaseq_210831a/fastq/BN1814_S3_L001_R1_001.fastq.gz</t>
  </si>
  <si>
    <t>e35c3b8a02a691f17ddc4534ad44d5cc</t>
  </si>
  <si>
    <t>BN1814_S3_L002_R1_001.fastq.gz</t>
  </si>
  <si>
    <t>/mnt/data/projects/ASAP/ST/MTG/backups/data/novaseq_210831a/fastq/BN1814_S3_L002_R1_001.fastq.gz</t>
  </si>
  <si>
    <t>41509b06f27bf63d552dd42c76e4bdd1</t>
  </si>
  <si>
    <t>BN1814_S3_L002_R2_001.fastq.gz</t>
  </si>
  <si>
    <t>/mnt/data/projects/ASAP/ST/MTG/backups/data/novaseq_210831a/fastq/BN1814_S3_L002_R2_001.fastq.gz</t>
  </si>
  <si>
    <t>b03d1c78545e2b6e18bb4981ec5a7a9b</t>
  </si>
  <si>
    <t>BN1814_S3_L002_I1_001.fastq.gz</t>
  </si>
  <si>
    <t>/mnt/data/projects/ASAP/ST/MTG/backups/data/novaseq_210831a/fastq/BN1814_S3_L002_I1_001.fastq.gz</t>
  </si>
  <si>
    <t>8e1333462a0168d2c1eca26f49284ec9</t>
  </si>
  <si>
    <t>BN1814_S3_L001_I1_001.fastq.gz</t>
  </si>
  <si>
    <t>/mnt/data/projects/ASAP/ST/MTG/backups/data/novaseq_210831a/fastq/BN1814_S3_L001_I1_001.fastq.gz</t>
  </si>
  <si>
    <t>f06ded626a4cae8869f0b970fb0dc1c5</t>
  </si>
  <si>
    <t>BN1817_S3_L001_R1_001.fastq.gz</t>
  </si>
  <si>
    <t>/mnt/data/projects/ASAP/ST/MTG/backups/data/novaseq_211002b/reads/v211002b/outs/fastq_path/HK3WVDRXY/BN1817_S3_L001_R1_001.fastq.gz</t>
  </si>
  <si>
    <t>caf279005c02afdcaee28c7acb5fc772</t>
  </si>
  <si>
    <t>BN1817_S3_L001_R2_001.fastq.gz</t>
  </si>
  <si>
    <t>/mnt/data/projects/ASAP/ST/MTG/backups/data/novaseq_211002b/reads/v211002b/outs/fastq_path/HK3WVDRXY/BN1817_S3_L001_R2_001.fastq.gz</t>
  </si>
  <si>
    <t>51b229db78d4cf01a9156d33861ca63e</t>
  </si>
  <si>
    <t>BN1817_S3_L001_I1_001.fastq.gz</t>
  </si>
  <si>
    <t>/mnt/data/projects/ASAP/ST/MTG/backups/data/novaseq_211002b/reads/v211002b/outs/fastq_path/HK3WVDRXY/BN1817_S3_L001_I1_001.fastq.gz</t>
  </si>
  <si>
    <t>f3cbd512e164b664c36b2209822d13d0</t>
  </si>
  <si>
    <t>BN1817_S3_L002_I2_001.fastq.gz</t>
  </si>
  <si>
    <t>/mnt/data/projects/ASAP/ST/MTG/backups/data/novaseq_211002b/reads/v211002b/outs/fastq_path/HK3WVDRXY/BN1817_S3_L002_I2_001.fastq.gz</t>
  </si>
  <si>
    <t>0bf03f39ae0ab64480c2390711265229</t>
  </si>
  <si>
    <t>BN1817_S3_L002_I1_001.fastq.gz</t>
  </si>
  <si>
    <t>/mnt/data/projects/ASAP/ST/MTG/backups/data/novaseq_211002b/reads/v211002b/outs/fastq_path/HK3WVDRXY/BN1817_S3_L002_I1_001.fastq.gz</t>
  </si>
  <si>
    <t>6f500b8c3d22b65be1b392a54b35e1f5</t>
  </si>
  <si>
    <t>BN1817_S3_L002_R1_001.fastq.gz</t>
  </si>
  <si>
    <t>/mnt/data/projects/ASAP/ST/MTG/backups/data/novaseq_211002b/reads/v211002b/outs/fastq_path/HK3WVDRXY/BN1817_S3_L002_R1_001.fastq.gz</t>
  </si>
  <si>
    <t>3bf53cb03aa11fa00b9b7b8a34477c78</t>
  </si>
  <si>
    <t>BN1817_S3_L001_I2_001.fastq.gz</t>
  </si>
  <si>
    <t>/mnt/data/projects/ASAP/ST/MTG/backups/data/novaseq_211002b/reads/v211002b/outs/fastq_path/HK3WVDRXY/BN1817_S3_L001_I2_001.fastq.gz</t>
  </si>
  <si>
    <t>a3b6110282f2e7b6314c1fd7269ff90b</t>
  </si>
  <si>
    <t>BN1817_S3_L002_R2_001.fastq.gz</t>
  </si>
  <si>
    <t>/mnt/data/projects/ASAP/ST/MTG/backups/data/novaseq_211002b/reads/v211002b/outs/fastq_path/HK3WVDRXY/BN1817_S3_L002_R2_001.fastq.gz</t>
  </si>
  <si>
    <t>4a185849fe915aa066acc00e88d222c8</t>
  </si>
  <si>
    <t>/mnt/data/projects/ASAP/ST/MTG/backups/data/novaseq_211030b/fastq/BN1822_S2_L002_I1_001.fastq.gz</t>
  </si>
  <si>
    <t>b4d6960fc24a3122053ceaa70608c43b</t>
  </si>
  <si>
    <t>/mnt/data/projects/ASAP/ST/MTG/backups/data/novaseq_211030b/fastq/BN1822_S2_L002_R2_001.fastq.gz</t>
  </si>
  <si>
    <t>d297f9764be5ec5a7711c104c47e40f4</t>
  </si>
  <si>
    <t>/mnt/data/projects/ASAP/ST/MTG/backups/data/novaseq_211030b/fastq/BN1822_S2_L001_R2_001.fastq.gz</t>
  </si>
  <si>
    <t>06106e73a785480c47c316659b448f99</t>
  </si>
  <si>
    <t>/mnt/data/projects/ASAP/ST/MTG/backups/data/novaseq_211030b/fastq/BN1822_S2_L002_I2_001.fastq.gz</t>
  </si>
  <si>
    <t>494f5867d518903ea4dfcf08d4077a0e</t>
  </si>
  <si>
    <t>/mnt/data/projects/ASAP/ST/MTG/backups/data/novaseq_211030b/fastq/BN1822_S2_L001_I2_001.fastq.gz</t>
  </si>
  <si>
    <t>6047a08271dff839473877ebd4b15255</t>
  </si>
  <si>
    <t>/mnt/data/projects/ASAP/ST/MTG/backups/data/novaseq_211030b/fastq/BN1822_S2_L001_I1_001.fastq.gz</t>
  </si>
  <si>
    <t>5767b07a8b3e0072c7d882480050f061</t>
  </si>
  <si>
    <t>/mnt/data/projects/ASAP/ST/MTG/backups/data/novaseq_211030b/fastq/BN1822_S2_L001_R1_001.fastq.gz</t>
  </si>
  <si>
    <t>7814de16f351c9b67d52b9b2690a9089</t>
  </si>
  <si>
    <t>/mnt/data/projects/ASAP/ST/MTG/backups/data/novaseq_211030b/fastq/BN1822_S2_L002_R1_001.fastq.gz</t>
  </si>
  <si>
    <t>af595bd346ab34954691dd5bb03ecf13</t>
  </si>
  <si>
    <t>/mnt/data/projects/ASAP/ST/MTG/backups/data/novaseq_210928b/fastq/BN1827_S1_L001_I1_001.fastq.gz</t>
  </si>
  <si>
    <t>b26fe8bde5f51a3fa2c94885adba07e5</t>
  </si>
  <si>
    <t>/mnt/data/projects/ASAP/ST/MTG/backups/data/novaseq_210928b/fastq/BN1827_S1_L002_R1_001.fastq.gz</t>
  </si>
  <si>
    <t>f5391987140ae7767da47068c72d2b75</t>
  </si>
  <si>
    <t>/mnt/data/projects/ASAP/ST/MTG/backups/data/novaseq_210928b/fastq/BN1827_S1_L001_I2_001.fastq.gz</t>
  </si>
  <si>
    <t>74ac31e201740c3e292aa59ee4d0824b</t>
  </si>
  <si>
    <t>/mnt/data/projects/ASAP/ST/MTG/backups/data/novaseq_210928b/fastq/BN1827_S1_L001_R1_001.fastq.gz</t>
  </si>
  <si>
    <t>9599b980c9505629676f0c30a52ac19f</t>
  </si>
  <si>
    <t>/mnt/data/projects/ASAP/ST/MTG/backups/data/novaseq_210928b/fastq/BN1827_S1_L001_R2_001.fastq.gz</t>
  </si>
  <si>
    <t>507d889059ff9d59a54d71f0e9f85582</t>
  </si>
  <si>
    <t>/mnt/data/projects/ASAP/ST/MTG/backups/data/novaseq_210928b/fastq/BN1827_S1_L002_I2_001.fastq.gz</t>
  </si>
  <si>
    <t>7705447f5231da4c396d780b02f82593</t>
  </si>
  <si>
    <t>/mnt/data/projects/ASAP/ST/MTG/backups/data/novaseq_210928b/fastq/BN1827_S1_L002_I1_001.fastq.gz</t>
  </si>
  <si>
    <t>63566870386743003123cd9719f536d0</t>
  </si>
  <si>
    <t>/mnt/data/projects/ASAP/ST/MTG/backups/data/novaseq_210928b/fastq/BN1827_S1_L002_R2_001.fastq.gz</t>
  </si>
  <si>
    <t>a5b374690b85ed1a3aa0077664db7e75</t>
  </si>
  <si>
    <t>BN1836_S2_L001_I2_001.fastq.gz</t>
  </si>
  <si>
    <t>/mnt/data/projects/ASAP/ST/MTG/backups/data/novaseq_211002a/reads/v211002a/outs/fastq_path/HK3NNDRXY/BN1836_S2_L001_I2_001.fastq.gz</t>
  </si>
  <si>
    <t>e6852f9111ecd583335da7d8b5438a29</t>
  </si>
  <si>
    <t>BN1836_S2_L002_R2_001.fastq.gz</t>
  </si>
  <si>
    <t>/mnt/data/projects/ASAP/ST/MTG/backups/data/novaseq_211002a/reads/v211002a/outs/fastq_path/HK3NNDRXY/BN1836_S2_L002_R2_001.fastq.gz</t>
  </si>
  <si>
    <t>db96b3d3313736f9378c7199e2884e23</t>
  </si>
  <si>
    <t>BN1836_S2_L001_I1_001.fastq.gz</t>
  </si>
  <si>
    <t>/mnt/data/projects/ASAP/ST/MTG/backups/data/novaseq_211002a/reads/v211002a/outs/fastq_path/HK3NNDRXY/BN1836_S2_L001_I1_001.fastq.gz</t>
  </si>
  <si>
    <t>029014e6a98b5630a3ebfb7a3eea7f8a</t>
  </si>
  <si>
    <t>BN1836_S2_L002_I1_001.fastq.gz</t>
  </si>
  <si>
    <t>/mnt/data/projects/ASAP/ST/MTG/backups/data/novaseq_211002a/reads/v211002a/outs/fastq_path/HK3NNDRXY/BN1836_S2_L002_I1_001.fastq.gz</t>
  </si>
  <si>
    <t>48ff6e3a4c992817a86b15d8df9b2cc9</t>
  </si>
  <si>
    <t>BN1836_S2_L001_R2_001.fastq.gz</t>
  </si>
  <si>
    <t>/mnt/data/projects/ASAP/ST/MTG/backups/data/novaseq_211002a/reads/v211002a/outs/fastq_path/HK3NNDRXY/BN1836_S2_L001_R2_001.fastq.gz</t>
  </si>
  <si>
    <t>3f605380149982e5cd9cb6b18dc1e46b</t>
  </si>
  <si>
    <t>BN1836_S2_L002_I2_001.fastq.gz</t>
  </si>
  <si>
    <t>/mnt/data/projects/ASAP/ST/MTG/backups/data/novaseq_211002a/reads/v211002a/outs/fastq_path/HK3NNDRXY/BN1836_S2_L002_I2_001.fastq.gz</t>
  </si>
  <si>
    <t>72106e2108b509533b55161406af5ce2</t>
  </si>
  <si>
    <t>BN1836_S2_L002_R1_001.fastq.gz</t>
  </si>
  <si>
    <t>/mnt/data/projects/ASAP/ST/MTG/backups/data/novaseq_211002a/reads/v211002a/outs/fastq_path/HK3NNDRXY/BN1836_S2_L002_R1_001.fastq.gz</t>
  </si>
  <si>
    <t>84466117dfb4a50ad0ba68f8451a2975</t>
  </si>
  <si>
    <t>BN1836_S2_L001_R1_001.fastq.gz</t>
  </si>
  <si>
    <t>/mnt/data/projects/ASAP/ST/MTG/backups/data/novaseq_211002a/reads/v211002a/outs/fastq_path/HK3NNDRXY/BN1836_S2_L001_R1_001.fastq.gz</t>
  </si>
  <si>
    <t>2a6a9a7cf7195a71d57ed55a1c75777a</t>
  </si>
  <si>
    <t>/mnt/data/projects/ASAP/ST/MTG/backups/data/novaseq_210928b/fastq/BN1839_S4_L001_R2_001.fastq.gz</t>
  </si>
  <si>
    <t>95b06e5d7a327d7cb7b23b8013ca97de</t>
  </si>
  <si>
    <t>/mnt/data/projects/ASAP/ST/MTG/backups/data/novaseq_210928b/fastq/BN1839_S4_L001_R1_001.fastq.gz</t>
  </si>
  <si>
    <t>4cbaecf23da91ad2a53229c75930bac7</t>
  </si>
  <si>
    <t>/mnt/data/projects/ASAP/ST/MTG/backups/data/novaseq_210928b/fastq/BN1839_S4_L001_I2_001.fastq.gz</t>
  </si>
  <si>
    <t>49a507b37f9b8253b895665d0ab327b4</t>
  </si>
  <si>
    <t>/mnt/data/projects/ASAP/ST/MTG/backups/data/novaseq_210928b/fastq/BN1839_S4_L002_R1_001.fastq.gz</t>
  </si>
  <si>
    <t>28b9a2f9f9b177703e5b844ce1e761a2</t>
  </si>
  <si>
    <t>/mnt/data/projects/ASAP/ST/MTG/backups/data/novaseq_210928b/fastq/BN1839_S4_L002_I2_001.fastq.gz</t>
  </si>
  <si>
    <t>548ec529302b851fabc1c3eb9e3ee3a7</t>
  </si>
  <si>
    <t>/mnt/data/projects/ASAP/ST/MTG/backups/data/novaseq_210928b/fastq/BN1839_S4_L001_I1_001.fastq.gz</t>
  </si>
  <si>
    <t>280862a70efb00923f52c9ac9a16ccd9</t>
  </si>
  <si>
    <t>/mnt/data/projects/ASAP/ST/MTG/backups/data/novaseq_210928b/fastq/BN1839_S4_L002_R2_001.fastq.gz</t>
  </si>
  <si>
    <t>0f9d26d2fb858f78257c2dce6242b459</t>
  </si>
  <si>
    <t>/mnt/data/projects/ASAP/ST/MTG/backups/data/novaseq_210928b/fastq/BN1839_S4_L002_I1_001.fastq.gz</t>
  </si>
  <si>
    <t>ee0c15d48fa36682a852473fa5de413a</t>
  </si>
  <si>
    <t>BN1842_S3_L001_R2_001.fastq.gz</t>
  </si>
  <si>
    <t>/mnt/data/projects/ASAP/ST/MTG/backups/data/novaseq_211208a/fastq/BN1842_S3_L001_R2_001.fastq.gz</t>
  </si>
  <si>
    <t>b5b03517aeb653c2e53743889a354431</t>
  </si>
  <si>
    <t>BN1842_S3_L002_I2_001.fastq.gz</t>
  </si>
  <si>
    <t>/mnt/data/projects/ASAP/ST/MTG/backups/data/novaseq_211208a/fastq/BN1842_S3_L002_I2_001.fastq.gz</t>
  </si>
  <si>
    <t>845fb8253127425ab3812e74343eaf10</t>
  </si>
  <si>
    <t>BN1842_S3_L002_R2_001.fastq.gz</t>
  </si>
  <si>
    <t>/mnt/data/projects/ASAP/ST/MTG/backups/data/novaseq_211208a/fastq/BN1842_S3_L002_R2_001.fastq.gz</t>
  </si>
  <si>
    <t>23a04b723f3164c3e0538dd341211693</t>
  </si>
  <si>
    <t>BN1842_S3_L001_R1_001.fastq.gz</t>
  </si>
  <si>
    <t>/mnt/data/projects/ASAP/ST/MTG/backups/data/novaseq_211208a/fastq/BN1842_S3_L001_R1_001.fastq.gz</t>
  </si>
  <si>
    <t>ac913006e45487074be81ba6b48c46b5</t>
  </si>
  <si>
    <t>BN1842_S3_L002_I1_001.fastq.gz</t>
  </si>
  <si>
    <t>/mnt/data/projects/ASAP/ST/MTG/backups/data/novaseq_211208a/fastq/BN1842_S3_L002_I1_001.fastq.gz</t>
  </si>
  <si>
    <t>7c94d4198b5daf915d5b303fb8b1145d</t>
  </si>
  <si>
    <t>BN1842_S3_L001_I1_001.fastq.gz</t>
  </si>
  <si>
    <t>/mnt/data/projects/ASAP/ST/MTG/backups/data/novaseq_211208a/fastq/BN1842_S3_L001_I1_001.fastq.gz</t>
  </si>
  <si>
    <t>bcfb72356e9c199a9f612da91120678d</t>
  </si>
  <si>
    <t>BN1842_S3_L001_I2_001.fastq.gz</t>
  </si>
  <si>
    <t>/mnt/data/projects/ASAP/ST/MTG/backups/data/novaseq_211208a/fastq/BN1842_S3_L001_I2_001.fastq.gz</t>
  </si>
  <si>
    <t>9227f619f5f0848281515b3e8cfff2c0</t>
  </si>
  <si>
    <t>BN1842_S3_L002_R1_001.fastq.gz</t>
  </si>
  <si>
    <t>/mnt/data/projects/ASAP/ST/MTG/backups/data/novaseq_211208a/fastq/BN1842_S3_L002_R1_001.fastq.gz</t>
  </si>
  <si>
    <t>98db1d9ea1c73bd6f3ff76206a88a887</t>
  </si>
  <si>
    <t>BN1848_S3_L002_I1_001.fastq.gz</t>
  </si>
  <si>
    <t>/mnt/data/projects/ASAP/ST/MTG/backups/data/novaseq_210928b/fastq/BN1848_S3_L002_I1_001.fastq.gz</t>
  </si>
  <si>
    <t>2136d73e141a1e24af94e5f75774283c</t>
  </si>
  <si>
    <t>BN1848_S3_L002_I2_001.fastq.gz</t>
  </si>
  <si>
    <t>/mnt/data/projects/ASAP/ST/MTG/backups/data/novaseq_210928b/fastq/BN1848_S3_L002_I2_001.fastq.gz</t>
  </si>
  <si>
    <t>fffffbd4bc7ce0d5033065fc808d230e</t>
  </si>
  <si>
    <t>BN1848_S3_L001_I1_001.fastq.gz</t>
  </si>
  <si>
    <t>/mnt/data/projects/ASAP/ST/MTG/backups/data/novaseq_210928b/fastq/BN1848_S3_L001_I1_001.fastq.gz</t>
  </si>
  <si>
    <t>f1542e3e5552ace6f1def38750452b74</t>
  </si>
  <si>
    <t>BN1848_S3_L002_R1_001.fastq.gz</t>
  </si>
  <si>
    <t>/mnt/data/projects/ASAP/ST/MTG/backups/data/novaseq_210928b/fastq/BN1848_S3_L002_R1_001.fastq.gz</t>
  </si>
  <si>
    <t>d1722784db36f485ccdd172217d18d35</t>
  </si>
  <si>
    <t>BN1848_S3_L001_R2_001.fastq.gz</t>
  </si>
  <si>
    <t>/mnt/data/projects/ASAP/ST/MTG/backups/data/novaseq_210928b/fastq/BN1848_S3_L001_R2_001.fastq.gz</t>
  </si>
  <si>
    <t>14599004263f0f114f15509445ad79b6</t>
  </si>
  <si>
    <t>BN1848_S3_L001_I2_001.fastq.gz</t>
  </si>
  <si>
    <t>/mnt/data/projects/ASAP/ST/MTG/backups/data/novaseq_210928b/fastq/BN1848_S3_L001_I2_001.fastq.gz</t>
  </si>
  <si>
    <t>e0a78db9d4e75679439036b319ea877e</t>
  </si>
  <si>
    <t>BN1848_S3_L002_R2_001.fastq.gz</t>
  </si>
  <si>
    <t>/mnt/data/projects/ASAP/ST/MTG/backups/data/novaseq_210928b/fastq/BN1848_S3_L002_R2_001.fastq.gz</t>
  </si>
  <si>
    <t>91a3040f05e6f65d50d506760b28f4d6</t>
  </si>
  <si>
    <t>BN1848_S3_L001_R1_001.fastq.gz</t>
  </si>
  <si>
    <t>/mnt/data/projects/ASAP/ST/MTG/backups/data/novaseq_210928b/fastq/BN1848_S3_L001_R1_001.fastq.gz</t>
  </si>
  <si>
    <t>302bdb5d877e9c1598e2353ef3f86151</t>
  </si>
  <si>
    <t>BN1849_S4_L001_R2_001.fastq.gz</t>
  </si>
  <si>
    <t>/mnt/data/projects/ASAP/ST/MTG/backups/data/novaseq_211018b/fastq/BN1849_S4_L001_R2_001.fastq.gz</t>
  </si>
  <si>
    <t>d662566272c0f4b5d9d634db55fc4c3b</t>
  </si>
  <si>
    <t>BN1849_S4_L001_R1_001.fastq.gz</t>
  </si>
  <si>
    <t>/mnt/data/projects/ASAP/ST/MTG/backups/data/novaseq_211018b/fastq/BN1849_S4_L001_R1_001.fastq.gz</t>
  </si>
  <si>
    <t>a99e053f6a879009b1f01c92ebec890e</t>
  </si>
  <si>
    <t>BN1849_S4_L001_I1_001.fastq.gz</t>
  </si>
  <si>
    <t>/mnt/data/projects/ASAP/ST/MTG/backups/data/novaseq_211018b/fastq/BN1849_S4_L001_I1_001.fastq.gz</t>
  </si>
  <si>
    <t>9c6c3677afe16fd9cb19cabb6f8f0fe5</t>
  </si>
  <si>
    <t>BN1849_S4_L001_I2_001.fastq.gz</t>
  </si>
  <si>
    <t>/mnt/data/projects/ASAP/ST/MTG/backups/data/novaseq_211018b/fastq/BN1849_S4_L001_I2_001.fastq.gz</t>
  </si>
  <si>
    <t>2100dd60bdfee0163936f2298cdac8b7</t>
  </si>
  <si>
    <t>BN1849_S4_L002_R1_001.fastq.gz</t>
  </si>
  <si>
    <t>/mnt/data/projects/ASAP/ST/MTG/backups/data/novaseq_211018b/fastq/BN1849_S4_L002_R1_001.fastq.gz</t>
  </si>
  <si>
    <t>cc4bb545e9a604a761df5ba6ff9c0d0d</t>
  </si>
  <si>
    <t>BN1849_S4_L002_I1_001.fastq.gz</t>
  </si>
  <si>
    <t>/mnt/data/projects/ASAP/ST/MTG/backups/data/novaseq_211018b/fastq/BN1849_S4_L002_I1_001.fastq.gz</t>
  </si>
  <si>
    <t>27f29519efcafc0d472145032eb8ec07</t>
  </si>
  <si>
    <t>BN1849_S4_L002_I2_001.fastq.gz</t>
  </si>
  <si>
    <t>/mnt/data/projects/ASAP/ST/MTG/backups/data/novaseq_211018b/fastq/BN1849_S4_L002_I2_001.fastq.gz</t>
  </si>
  <si>
    <t>1a677780c828b3806520f631d4b255ee</t>
  </si>
  <si>
    <t>BN1849_S4_L002_R2_001.fastq.gz</t>
  </si>
  <si>
    <t>/mnt/data/projects/ASAP/ST/MTG/backups/data/novaseq_211018b/fastq/BN1849_S4_L002_R2_001.fastq.gz</t>
  </si>
  <si>
    <t>fc5188cdf144ee24023aa97d4da3fcac</t>
  </si>
  <si>
    <t>BN1855_S2_L002_I1_001.fastq.gz</t>
  </si>
  <si>
    <t>/mnt/data/projects/ASAP/ST/MTG/backups/data/novaseq_210507/reads/HCFCHDRXY/BN1855_S2_L002_I1_001.fastq.gz</t>
  </si>
  <si>
    <t>6cba6d6d6fe7a2702087b882d38c1ece</t>
  </si>
  <si>
    <t>BN1855_S2_L001_I1_001.fastq.gz</t>
  </si>
  <si>
    <t>/mnt/data/projects/ASAP/ST/MTG/backups/data/novaseq_210507/reads/HCFCHDRXY/BN1855_S2_L001_I1_001.fastq.gz</t>
  </si>
  <si>
    <t>255118eba882f72734a89b7c323e0d19</t>
  </si>
  <si>
    <t>BN1855_S2_L001_R1_001.fastq.gz</t>
  </si>
  <si>
    <t>/mnt/data/projects/ASAP/ST/MTG/backups/data/novaseq_210507/reads/HCFCHDRXY/BN1855_S2_L001_R1_001.fastq.gz</t>
  </si>
  <si>
    <t>3512cad233947d24cbb0ca938a1b770e</t>
  </si>
  <si>
    <t>BN1855_S2_L002_R2_001.fastq.gz</t>
  </si>
  <si>
    <t>/mnt/data/projects/ASAP/ST/MTG/backups/data/novaseq_210507/reads/HCFCHDRXY/BN1855_S2_L002_R2_001.fastq.gz</t>
  </si>
  <si>
    <t>baaef797eac8bb60ba184368890e59f7</t>
  </si>
  <si>
    <t>BN1855_S2_L002_R1_001.fastq.gz</t>
  </si>
  <si>
    <t>/mnt/data/projects/ASAP/ST/MTG/backups/data/novaseq_210507/reads/HCFCHDRXY/BN1855_S2_L002_R1_001.fastq.gz</t>
  </si>
  <si>
    <t>d2a635fc90ca07919cce79ce4e84e189</t>
  </si>
  <si>
    <t>BN1855_S2_L001_R2_001.fastq.gz</t>
  </si>
  <si>
    <t>/mnt/data/projects/ASAP/ST/MTG/backups/data/novaseq_210507/reads/HCFCHDRXY/BN1855_S2_L001_R2_001.fastq.gz</t>
  </si>
  <si>
    <t>022c71f0ae8137274a3b4ee8355e0ac5</t>
  </si>
  <si>
    <t>BN1855_S2_L001_I2_001.fastq.gz</t>
  </si>
  <si>
    <t>/mnt/data/projects/ASAP/ST/MTG/backups/data/novaseq_210507/reads/HCFCHDRXY/BN1855_S2_L001_I2_001.fastq.gz</t>
  </si>
  <si>
    <t>7ca09e1b3fb292d0a1c9c52be3e69e86</t>
  </si>
  <si>
    <t>BN1855_S2_L002_I2_001.fastq.gz</t>
  </si>
  <si>
    <t>/mnt/data/projects/ASAP/ST/MTG/backups/data/novaseq_210507/reads/HCFCHDRXY/BN1855_S2_L002_I2_001.fastq.gz</t>
  </si>
  <si>
    <t>c83f71318a50ee43b87f5080a4ee33a6</t>
  </si>
  <si>
    <t>BN1862_S4_L001_I2_001.fastq.gz</t>
  </si>
  <si>
    <t>/mnt/data/projects/ASAP/ST/MTG/backups/data/novaseq_210831a/fastq/BN1862_S4_L001_I2_001.fastq.gz</t>
  </si>
  <si>
    <t>4ccf7f9d2a43f9e0c9f2e01110d2072b</t>
  </si>
  <si>
    <t>BN1862_S4_L002_I1_001.fastq.gz</t>
  </si>
  <si>
    <t>/mnt/data/projects/ASAP/ST/MTG/backups/data/novaseq_210831a/fastq/BN1862_S4_L002_I1_001.fastq.gz</t>
  </si>
  <si>
    <t>6d52da2421228f7846368ad495c14456</t>
  </si>
  <si>
    <t>BN1862_S4_L002_I2_001.fastq.gz</t>
  </si>
  <si>
    <t>/mnt/data/projects/ASAP/ST/MTG/backups/data/novaseq_210831a/fastq/BN1862_S4_L002_I2_001.fastq.gz</t>
  </si>
  <si>
    <t>9f8d595e48d4ba68abfb1bea7cc8c22f</t>
  </si>
  <si>
    <t>BN1862_S4_L002_R2_001.fastq.gz</t>
  </si>
  <si>
    <t>/mnt/data/projects/ASAP/ST/MTG/backups/data/novaseq_210831a/fastq/BN1862_S4_L002_R2_001.fastq.gz</t>
  </si>
  <si>
    <t>557a2f617b85bda52a193cc35ef1d1b0</t>
  </si>
  <si>
    <t>BN1862_S4_L002_R1_001.fastq.gz</t>
  </si>
  <si>
    <t>/mnt/data/projects/ASAP/ST/MTG/backups/data/novaseq_210831a/fastq/BN1862_S4_L002_R1_001.fastq.gz</t>
  </si>
  <si>
    <t>20157b75f73479dbde7fe2ede5b6412c</t>
  </si>
  <si>
    <t>BN1862_S4_L001_I1_001.fastq.gz</t>
  </si>
  <si>
    <t>/mnt/data/projects/ASAP/ST/MTG/backups/data/novaseq_210831a/fastq/BN1862_S4_L001_I1_001.fastq.gz</t>
  </si>
  <si>
    <t>d33efe8f3b072243cf492277e98a25b6</t>
  </si>
  <si>
    <t>BN1862_S4_L001_R2_001.fastq.gz</t>
  </si>
  <si>
    <t>/mnt/data/projects/ASAP/ST/MTG/backups/data/novaseq_210831a/fastq/BN1862_S4_L001_R2_001.fastq.gz</t>
  </si>
  <si>
    <t>32b425416f3de4c36f3a60612e30d0d9</t>
  </si>
  <si>
    <t>BN1862_S4_L001_R1_001.fastq.gz</t>
  </si>
  <si>
    <t>/mnt/data/projects/ASAP/ST/MTG/backups/data/novaseq_210831a/fastq/BN1862_S4_L001_R1_001.fastq.gz</t>
  </si>
  <si>
    <t>2b0fa0683138fba2e68ca28e35b266b7</t>
  </si>
  <si>
    <t>/mnt/data/projects/ASAP/ST/MTG/backups/data/novaseq_211002b/reads/v211002b/outs/fastq_path/HK3WVDRXY/BN1865_S2_L001_R2_001.fastq.gz</t>
  </si>
  <si>
    <t>9e0ef87c0570e6a56e4e6288ef8e106b</t>
  </si>
  <si>
    <t>/mnt/data/projects/ASAP/ST/MTG/backups/data/novaseq_211002b/reads/v211002b/outs/fastq_path/HK3WVDRXY/BN1865_S2_L001_I1_001.fastq.gz</t>
  </si>
  <si>
    <t>9b71e22b357b88a47e406b15bb987044</t>
  </si>
  <si>
    <t>/mnt/data/projects/ASAP/ST/MTG/backups/data/novaseq_211002b/reads/v211002b/outs/fastq_path/HK3WVDRXY/BN1865_S2_L002_I2_001.fastq.gz</t>
  </si>
  <si>
    <t>89026ba8a7a16776f7060ea8e195224c</t>
  </si>
  <si>
    <t>/mnt/data/projects/ASAP/ST/MTG/backups/data/novaseq_211002b/reads/v211002b/outs/fastq_path/HK3WVDRXY/BN1865_S2_L001_I2_001.fastq.gz</t>
  </si>
  <si>
    <t>42371017528b5967f8c832a0375d53a8</t>
  </si>
  <si>
    <t>/mnt/data/projects/ASAP/ST/MTG/backups/data/novaseq_211002b/reads/v211002b/outs/fastq_path/HK3WVDRXY/BN1865_S2_L001_R1_001.fastq.gz</t>
  </si>
  <si>
    <t>76fff5ab245323a4725333722cfe86cc</t>
  </si>
  <si>
    <t>/mnt/data/projects/ASAP/ST/MTG/backups/data/novaseq_211002b/reads/v211002b/outs/fastq_path/HK3WVDRXY/BN1865_S2_L002_R1_001.fastq.gz</t>
  </si>
  <si>
    <t>7aa23485a85cb4a4f775cf128b5ba196</t>
  </si>
  <si>
    <t>/mnt/data/projects/ASAP/ST/MTG/backups/data/novaseq_211002b/reads/v211002b/outs/fastq_path/HK3WVDRXY/BN1865_S2_L002_R2_001.fastq.gz</t>
  </si>
  <si>
    <t>81e9d0a133cff519a2848d8dbf883051</t>
  </si>
  <si>
    <t>/mnt/data/projects/ASAP/ST/MTG/backups/data/novaseq_211002b/reads/v211002b/outs/fastq_path/HK3WVDRXY/BN1865_S2_L002_I1_001.fastq.gz</t>
  </si>
  <si>
    <t>bd7077d7d1e7001b4ed3e4c2616fbb42</t>
  </si>
  <si>
    <t>BN1878_S4_L002_I1_001.fastq.gz</t>
  </si>
  <si>
    <t>/mnt/data/projects/ASAP/ST/MTG/backups/data/novaseq_211124/fastq/BN1878_S4_L002_I1_001.fastq.gz</t>
  </si>
  <si>
    <t>261e3250b366fdb8cfcc528bb3e1e0bf</t>
  </si>
  <si>
    <t>BN1878_S4_L001_I1_001.fastq.gz</t>
  </si>
  <si>
    <t>/mnt/data/projects/ASAP/ST/MTG/backups/data/novaseq_211124/fastq/BN1878_S4_L001_I1_001.fastq.gz</t>
  </si>
  <si>
    <t>ae53966ffe1ad2ac6333e411a1700f11</t>
  </si>
  <si>
    <t>BN1878_S4_L002_R2_001.fastq.gz</t>
  </si>
  <si>
    <t>/mnt/data/projects/ASAP/ST/MTG/backups/data/novaseq_211124/fastq/BN1878_S4_L002_R2_001.fastq.gz</t>
  </si>
  <si>
    <t>0fc1de7da121a18ce3178ffae0ec215d</t>
  </si>
  <si>
    <t>BN1878_S4_L001_I2_001.fastq.gz</t>
  </si>
  <si>
    <t>/mnt/data/projects/ASAP/ST/MTG/backups/data/novaseq_211124/fastq/BN1878_S4_L001_I2_001.fastq.gz</t>
  </si>
  <si>
    <t>ec179bae95c9e4da4e206314b9a68c93</t>
  </si>
  <si>
    <t>BN1878_S4_L002_I2_001.fastq.gz</t>
  </si>
  <si>
    <t>/mnt/data/projects/ASAP/ST/MTG/backups/data/novaseq_211124/fastq/BN1878_S4_L002_I2_001.fastq.gz</t>
  </si>
  <si>
    <t>776ee112693c8bf0a2c4e34526cee1b2</t>
  </si>
  <si>
    <t>BN1878_S4_L001_R1_001.fastq.gz</t>
  </si>
  <si>
    <t>/mnt/data/projects/ASAP/ST/MTG/backups/data/novaseq_211124/fastq/BN1878_S4_L001_R1_001.fastq.gz</t>
  </si>
  <si>
    <t>7f2769aecaa7817a5795ef8777896196</t>
  </si>
  <si>
    <t>BN1878_S4_L001_R2_001.fastq.gz</t>
  </si>
  <si>
    <t>/mnt/data/projects/ASAP/ST/MTG/backups/data/novaseq_211124/fastq/BN1878_S4_L001_R2_001.fastq.gz</t>
  </si>
  <si>
    <t>5d80be96eed1cf7af4a24d86ad96200a</t>
  </si>
  <si>
    <t>BN1878_S4_L002_R1_001.fastq.gz</t>
  </si>
  <si>
    <t>/mnt/data/projects/ASAP/ST/MTG/backups/data/novaseq_211124/fastq/BN1878_S4_L002_R1_001.fastq.gz</t>
  </si>
  <si>
    <t>8fc0dad9fe4fa835e9ca411786623e46</t>
  </si>
  <si>
    <t>BN1902_S4_L001_R2_001.fastq.gz</t>
  </si>
  <si>
    <t>/mnt/data/projects/ASAP/ST/MTG/backups/data/novaseq_211029a/fastq/BN1902_S4_L001_R2_001.fastq.gz</t>
  </si>
  <si>
    <t>00bd4cc6959027276029f40cf2dabe8d</t>
  </si>
  <si>
    <t>BN1902_S4_L001_R1_001.fastq.gz</t>
  </si>
  <si>
    <t>/mnt/data/projects/ASAP/ST/MTG/backups/data/novaseq_211029a/fastq/BN1902_S4_L001_R1_001.fastq.gz</t>
  </si>
  <si>
    <t>08e77f502d33d3a62d53c2aba4e21c19</t>
  </si>
  <si>
    <t>BN1902_S4_L001_I1_001.fastq.gz</t>
  </si>
  <si>
    <t>/mnt/data/projects/ASAP/ST/MTG/backups/data/novaseq_211029a/fastq/BN1902_S4_L001_I1_001.fastq.gz</t>
  </si>
  <si>
    <t>aa5a0b3784b967d5c876703a13967cc1</t>
  </si>
  <si>
    <t>BN1902_S4_L001_I2_001.fastq.gz</t>
  </si>
  <si>
    <t>/mnt/data/projects/ASAP/ST/MTG/backups/data/novaseq_211029a/fastq/BN1902_S4_L001_I2_001.fastq.gz</t>
  </si>
  <si>
    <t>c4c38a1979057adfa9e3c3bb4f4f740c</t>
  </si>
  <si>
    <t>BN1902_S4_L002_I2_001.fastq.gz</t>
  </si>
  <si>
    <t>/mnt/data/projects/ASAP/ST/MTG/backups/data/novaseq_211029a/fastq/BN1902_S4_L002_I2_001.fastq.gz</t>
  </si>
  <si>
    <t>2774293b2041b2a95dc1747ff83a105c</t>
  </si>
  <si>
    <t>BN1902_S4_L002_R1_001.fastq.gz</t>
  </si>
  <si>
    <t>/mnt/data/projects/ASAP/ST/MTG/backups/data/novaseq_211029a/fastq/BN1902_S4_L002_R1_001.fastq.gz</t>
  </si>
  <si>
    <t>70608173601f1f5440dbf02d53aecdfe</t>
  </si>
  <si>
    <t>BN1902_S4_L002_R2_001.fastq.gz</t>
  </si>
  <si>
    <t>/mnt/data/projects/ASAP/ST/MTG/backups/data/novaseq_211029a/fastq/BN1902_S4_L002_R2_001.fastq.gz</t>
  </si>
  <si>
    <t>34d2ee84982b2e9e98a29b38493be992</t>
  </si>
  <si>
    <t>BN1902_S4_L002_I1_001.fastq.gz</t>
  </si>
  <si>
    <t>/mnt/data/projects/ASAP/ST/MTG/backups/data/novaseq_211029a/fastq/BN1902_S4_L002_I1_001.fastq.gz</t>
  </si>
  <si>
    <t>d0bee99a9a4cdb8f37b1daf34603a6d4</t>
  </si>
  <si>
    <t>/mnt/data/projects/ASAP/ST/MTG/backups/data/novaseq_211002b/reads/v211002b/outs/fastq_path/HK3WVDRXY/BN1910_S4_L002_I2_001.fastq.gz</t>
  </si>
  <si>
    <t>643bd60540dbf260a1cd943f3ff33fa0</t>
  </si>
  <si>
    <t>/mnt/data/projects/ASAP/ST/MTG/backups/data/novaseq_211002b/reads/v211002b/outs/fastq_path/HK3WVDRXY/BN1910_S4_L002_I1_001.fastq.gz</t>
  </si>
  <si>
    <t>8f43eeb2f118930e09318d3e7b2c486a</t>
  </si>
  <si>
    <t>/mnt/data/projects/ASAP/ST/MTG/backups/data/novaseq_211002b/reads/v211002b/outs/fastq_path/HK3WVDRXY/BN1910_S4_L001_I1_001.fastq.gz</t>
  </si>
  <si>
    <t>67a80a7ffadf67b5870b192ae588305a</t>
  </si>
  <si>
    <t>/mnt/data/projects/ASAP/ST/MTG/backups/data/novaseq_211002b/reads/v211002b/outs/fastq_path/HK3WVDRXY/BN1910_S4_L001_R2_001.fastq.gz</t>
  </si>
  <si>
    <t>912ee8e5ef1a933a8f4e35af19df38ee</t>
  </si>
  <si>
    <t>/mnt/data/projects/ASAP/ST/MTG/backups/data/novaseq_211002b/reads/v211002b/outs/fastq_path/HK3WVDRXY/BN1910_S4_L001_R1_001.fastq.gz</t>
  </si>
  <si>
    <t>a326c509f765655cc8a9954ebbf3a978</t>
  </si>
  <si>
    <t>/mnt/data/projects/ASAP/ST/MTG/backups/data/novaseq_211002b/reads/v211002b/outs/fastq_path/HK3WVDRXY/BN1910_S4_L002_R1_001.fastq.gz</t>
  </si>
  <si>
    <t>18052e1f360418ac9eeba16f2085d889</t>
  </si>
  <si>
    <t>/mnt/data/projects/ASAP/ST/MTG/backups/data/novaseq_211002b/reads/v211002b/outs/fastq_path/HK3WVDRXY/BN1910_S4_L001_I2_001.fastq.gz</t>
  </si>
  <si>
    <t>9e7b9bc965c774f5f58b6fa1a45bf0e7</t>
  </si>
  <si>
    <t>/mnt/data/projects/ASAP/ST/MTG/backups/data/novaseq_211002b/reads/v211002b/outs/fastq_path/HK3WVDRXY/BN1910_S4_L002_R2_001.fastq.gz</t>
  </si>
  <si>
    <t>0d6655fc358c74515237352da1ac4434</t>
  </si>
  <si>
    <t>BN1934_S1_L001_R1_001.fastq.gz</t>
  </si>
  <si>
    <t>/mnt/data/projects/ASAP/ST/MTG/backups/data/novaseq_211127/fastq/BN1934_S1_L001_R1_001.fastq.gz</t>
  </si>
  <si>
    <t>f1b0579608887711781fb4478561f07a</t>
  </si>
  <si>
    <t>BN1934_S1_L001_I2_001.fastq.gz</t>
  </si>
  <si>
    <t>/mnt/data/projects/ASAP/ST/MTG/backups/data/novaseq_211127/fastq/BN1934_S1_L001_I2_001.fastq.gz</t>
  </si>
  <si>
    <t>9ee76d349c86c6096ef3ade3af61ac34</t>
  </si>
  <si>
    <t>BN1934_S1_L002_R2_001.fastq.gz</t>
  </si>
  <si>
    <t>/mnt/data/projects/ASAP/ST/MTG/backups/data/novaseq_211127/fastq/BN1934_S1_L002_R2_001.fastq.gz</t>
  </si>
  <si>
    <t>f609dfc3a854aa52eba8257ebafccf22</t>
  </si>
  <si>
    <t>BN1934_S1_L001_I1_001.fastq.gz</t>
  </si>
  <si>
    <t>/mnt/data/projects/ASAP/ST/MTG/backups/data/novaseq_211127/fastq/BN1934_S1_L001_I1_001.fastq.gz</t>
  </si>
  <si>
    <t>dac16537c75b819aa161c72a711faf6b</t>
  </si>
  <si>
    <t>BN1934_S1_L001_R2_001.fastq.gz</t>
  </si>
  <si>
    <t>/mnt/data/projects/ASAP/ST/MTG/backups/data/novaseq_211127/fastq/BN1934_S1_L001_R2_001.fastq.gz</t>
  </si>
  <si>
    <t>7f85f3d62d9872f39836d9a41944c806</t>
  </si>
  <si>
    <t>BN1934_S1_L002_R1_001.fastq.gz</t>
  </si>
  <si>
    <t>/mnt/data/projects/ASAP/ST/MTG/backups/data/novaseq_211127/fastq/BN1934_S1_L002_R1_001.fastq.gz</t>
  </si>
  <si>
    <t>27815198c15da9214eac2305e580a94b</t>
  </si>
  <si>
    <t>BN1934_S1_L002_I1_001.fastq.gz</t>
  </si>
  <si>
    <t>/mnt/data/projects/ASAP/ST/MTG/backups/data/novaseq_211127/fastq/BN1934_S1_L002_I1_001.fastq.gz</t>
  </si>
  <si>
    <t>d223e25552248c9217f799f39e8c6bd8</t>
  </si>
  <si>
    <t>BN1934_S1_L002_I2_001.fastq.gz</t>
  </si>
  <si>
    <t>/mnt/data/projects/ASAP/ST/MTG/backups/data/novaseq_211127/fastq/BN1934_S1_L002_I2_001.fastq.gz</t>
  </si>
  <si>
    <t>7efdf2e0483075615617650a3985e85e</t>
  </si>
  <si>
    <t>BN1939_S4_L002_R2_001.fastq.gz</t>
  </si>
  <si>
    <t>/mnt/data/projects/ASAP/ST/MTG/backups/data/novaseq_211030a/fastq/BN1939_S4_L002_R2_001.fastq.gz</t>
  </si>
  <si>
    <t>41959894a3327d13d91bf4414667d917</t>
  </si>
  <si>
    <t>BN1939_S4_L002_I2_001.fastq.gz</t>
  </si>
  <si>
    <t>/mnt/data/projects/ASAP/ST/MTG/backups/data/novaseq_211030a/fastq/BN1939_S4_L002_I2_001.fastq.gz</t>
  </si>
  <si>
    <t>50724ec1e90a5db47fb731c259a56e6f</t>
  </si>
  <si>
    <t>BN1939_S4_L002_R1_001.fastq.gz</t>
  </si>
  <si>
    <t>/mnt/data/projects/ASAP/ST/MTG/backups/data/novaseq_211030a/fastq/BN1939_S4_L002_R1_001.fastq.gz</t>
  </si>
  <si>
    <t>7d0bfe760d487601e3ac71757f6fd4e8</t>
  </si>
  <si>
    <t>BN1939_S4_L002_I1_001.fastq.gz</t>
  </si>
  <si>
    <t>/mnt/data/projects/ASAP/ST/MTG/backups/data/novaseq_211030a/fastq/BN1939_S4_L002_I1_001.fastq.gz</t>
  </si>
  <si>
    <t>7de5b46c0ae9592a448d7e928616d50f</t>
  </si>
  <si>
    <t>BN1939_S4_L001_I1_001.fastq.gz</t>
  </si>
  <si>
    <t>/mnt/data/projects/ASAP/ST/MTG/backups/data/novaseq_211030a/fastq/BN1939_S4_L001_I1_001.fastq.gz</t>
  </si>
  <si>
    <t>dc52e1de010ca2bc0e69919eb5feeb9c</t>
  </si>
  <si>
    <t>BN1939_S4_L001_I2_001.fastq.gz</t>
  </si>
  <si>
    <t>/mnt/data/projects/ASAP/ST/MTG/backups/data/novaseq_211030a/fastq/BN1939_S4_L001_I2_001.fastq.gz</t>
  </si>
  <si>
    <t>5ce3c1f12d41bb955d34fbbb223495ed</t>
  </si>
  <si>
    <t>BN1939_S4_L001_R1_001.fastq.gz</t>
  </si>
  <si>
    <t>/mnt/data/projects/ASAP/ST/MTG/backups/data/novaseq_211030a/fastq/BN1939_S4_L001_R1_001.fastq.gz</t>
  </si>
  <si>
    <t>811620c5723013d69dd12ba75be5aefe</t>
  </si>
  <si>
    <t>BN1939_S4_L001_R2_001.fastq.gz</t>
  </si>
  <si>
    <t>/mnt/data/projects/ASAP/ST/MTG/backups/data/novaseq_211030a/fastq/BN1939_S4_L001_R2_001.fastq.gz</t>
  </si>
  <si>
    <t>31fa81963cf018a8cde080cd0b325b6c</t>
  </si>
  <si>
    <t>BN1957_S1_L001_I1_001.fastq.gz</t>
  </si>
  <si>
    <t>/mnt/data/projects/ASAP/ST/MTG/backups/data/novaseq_211030a/fastq/BN1957_S1_L001_I1_001.fastq.gz</t>
  </si>
  <si>
    <t>59289e40ac3739d1eba08e5f949aef6b</t>
  </si>
  <si>
    <t>BN1957_S1_L002_R2_001.fastq.gz</t>
  </si>
  <si>
    <t>/mnt/data/projects/ASAP/ST/MTG/backups/data/novaseq_211030a/fastq/BN1957_S1_L002_R2_001.fastq.gz</t>
  </si>
  <si>
    <t>19454af7c97cd84ab5f9d696bd213e91</t>
  </si>
  <si>
    <t>BN1957_S1_L001_R2_001.fastq.gz</t>
  </si>
  <si>
    <t>/mnt/data/projects/ASAP/ST/MTG/backups/data/novaseq_211030a/fastq/BN1957_S1_L001_R2_001.fastq.gz</t>
  </si>
  <si>
    <t>9a824afbda76d2894c3b7f9484e5be41</t>
  </si>
  <si>
    <t>BN1957_S1_L002_I1_001.fastq.gz</t>
  </si>
  <si>
    <t>/mnt/data/projects/ASAP/ST/MTG/backups/data/novaseq_211030a/fastq/BN1957_S1_L002_I1_001.fastq.gz</t>
  </si>
  <si>
    <t>2f22bf0fede3cce45a03f4fb3e17c861</t>
  </si>
  <si>
    <t>BN1957_S1_L001_I2_001.fastq.gz</t>
  </si>
  <si>
    <t>/mnt/data/projects/ASAP/ST/MTG/backups/data/novaseq_211030a/fastq/BN1957_S1_L001_I2_001.fastq.gz</t>
  </si>
  <si>
    <t>3cd338b5e1b3e018a55fbf1179bf1598</t>
  </si>
  <si>
    <t>BN1957_S1_L002_I2_001.fastq.gz</t>
  </si>
  <si>
    <t>/mnt/data/projects/ASAP/ST/MTG/backups/data/novaseq_211030a/fastq/BN1957_S1_L002_I2_001.fastq.gz</t>
  </si>
  <si>
    <t>ca20a27b0351994c248611205e75eedb</t>
  </si>
  <si>
    <t>BN1957_S1_L002_R1_001.fastq.gz</t>
  </si>
  <si>
    <t>/mnt/data/projects/ASAP/ST/MTG/backups/data/novaseq_211030a/fastq/BN1957_S1_L002_R1_001.fastq.gz</t>
  </si>
  <si>
    <t>b1791db6c7b9110933cd13bfdb220839</t>
  </si>
  <si>
    <t>BN1957_S1_L001_R1_001.fastq.gz</t>
  </si>
  <si>
    <t>/mnt/data/projects/ASAP/ST/MTG/backups/data/novaseq_211030a/fastq/BN1957_S1_L001_R1_001.fastq.gz</t>
  </si>
  <si>
    <t>2923f71a03f451d47160cef2629bae49</t>
  </si>
  <si>
    <t>BN1957_S3_L002_R2_001.fastq.gz</t>
  </si>
  <si>
    <t>/mnt/data/projects/ASAP/ST/MTG/backups/data/novaseq_220115b/fastq/BN1957_S3_L002_R2_001.fastq.gz</t>
  </si>
  <si>
    <t>e8d1a88b8c20dc262b20ae64fd058b4c</t>
  </si>
  <si>
    <t>BN1957_S3_L001_R2_001.fastq.gz</t>
  </si>
  <si>
    <t>/mnt/data/projects/ASAP/ST/MTG/backups/data/novaseq_220115b/fastq/BN1957_S3_L001_R2_001.fastq.gz</t>
  </si>
  <si>
    <t>0fe41456427be5dab0aae60175b086ad</t>
  </si>
  <si>
    <t>BN1957_S3_L002_I1_001.fastq.gz</t>
  </si>
  <si>
    <t>/mnt/data/projects/ASAP/ST/MTG/backups/data/novaseq_220115b/fastq/BN1957_S3_L002_I1_001.fastq.gz</t>
  </si>
  <si>
    <t>b68eab0ff35721dcf4832895620098b7</t>
  </si>
  <si>
    <t>BN1957_S3_L001_R1_001.fastq.gz</t>
  </si>
  <si>
    <t>/mnt/data/projects/ASAP/ST/MTG/backups/data/novaseq_220115b/fastq/BN1957_S3_L001_R1_001.fastq.gz</t>
  </si>
  <si>
    <t>c8533aa2756c9fded1d28b62db595c7a</t>
  </si>
  <si>
    <t>BN1957_S3_L001_I1_001.fastq.gz</t>
  </si>
  <si>
    <t>/mnt/data/projects/ASAP/ST/MTG/backups/data/novaseq_220115b/fastq/BN1957_S3_L001_I1_001.fastq.gz</t>
  </si>
  <si>
    <t>408a88d0c046847ae7be8c46ca06e9a6</t>
  </si>
  <si>
    <t>BN1957_S3_L002_I2_001.fastq.gz</t>
  </si>
  <si>
    <t>/mnt/data/projects/ASAP/ST/MTG/backups/data/novaseq_220115b/fastq/BN1957_S3_L002_I2_001.fastq.gz</t>
  </si>
  <si>
    <t>f4f1855ab92c28e93ca8e0ffdd80e324</t>
  </si>
  <si>
    <t>BN1957_S3_L001_I2_001.fastq.gz</t>
  </si>
  <si>
    <t>/mnt/data/projects/ASAP/ST/MTG/backups/data/novaseq_220115b/fastq/BN1957_S3_L001_I2_001.fastq.gz</t>
  </si>
  <si>
    <t>8a032f269242c8bc29cd49da053ba1e5</t>
  </si>
  <si>
    <t>BN1957_S3_L002_R1_001.fastq.gz</t>
  </si>
  <si>
    <t>/mnt/data/projects/ASAP/ST/MTG/backups/data/novaseq_220115b/fastq/BN1957_S3_L002_R1_001.fastq.gz</t>
  </si>
  <si>
    <t>8b7403fc46420c303fd56b409c5d3643</t>
  </si>
  <si>
    <t>BN1959_S3_L001_R2_001.fastq.gz</t>
  </si>
  <si>
    <t>/mnt/data/projects/ASAP/ST/MTG/backups/data/novaseq_211124/fastq/BN1959_S3_L001_R2_001.fastq.gz</t>
  </si>
  <si>
    <t>62f291831efa207d82f5a5e84404eddf</t>
  </si>
  <si>
    <t>BN1959_S3_L002_I2_001.fastq.gz</t>
  </si>
  <si>
    <t>/mnt/data/projects/ASAP/ST/MTG/backups/data/novaseq_211124/fastq/BN1959_S3_L002_I2_001.fastq.gz</t>
  </si>
  <si>
    <t>cdac99d639d3dbecec73ca05c6d2128f</t>
  </si>
  <si>
    <t>BN1959_S3_L002_I1_001.fastq.gz</t>
  </si>
  <si>
    <t>/mnt/data/projects/ASAP/ST/MTG/backups/data/novaseq_211124/fastq/BN1959_S3_L002_I1_001.fastq.gz</t>
  </si>
  <si>
    <t>5209d27172caceebdcd8e0d13ab1bde2</t>
  </si>
  <si>
    <t>BN1959_S3_L002_R2_001.fastq.gz</t>
  </si>
  <si>
    <t>/mnt/data/projects/ASAP/ST/MTG/backups/data/novaseq_211124/fastq/BN1959_S3_L002_R2_001.fastq.gz</t>
  </si>
  <si>
    <t>1df483da8aeb01ed66259398f96fb5be</t>
  </si>
  <si>
    <t>BN1959_S3_L001_I1_001.fastq.gz</t>
  </si>
  <si>
    <t>/mnt/data/projects/ASAP/ST/MTG/backups/data/novaseq_211124/fastq/BN1959_S3_L001_I1_001.fastq.gz</t>
  </si>
  <si>
    <t>ed837315cb1d0af1cef65257565993fe</t>
  </si>
  <si>
    <t>BN1959_S3_L002_R1_001.fastq.gz</t>
  </si>
  <si>
    <t>/mnt/data/projects/ASAP/ST/MTG/backups/data/novaseq_211124/fastq/BN1959_S3_L002_R1_001.fastq.gz</t>
  </si>
  <si>
    <t>e9ee527a4b07a640fe127c6eb3f52831</t>
  </si>
  <si>
    <t>BN1959_S3_L001_R1_001.fastq.gz</t>
  </si>
  <si>
    <t>/mnt/data/projects/ASAP/ST/MTG/backups/data/novaseq_211124/fastq/BN1959_S3_L001_R1_001.fastq.gz</t>
  </si>
  <si>
    <t>5fa1a315999bf805fdc8672971e478d1</t>
  </si>
  <si>
    <t>BN1959_S3_L001_I2_001.fastq.gz</t>
  </si>
  <si>
    <t>/mnt/data/projects/ASAP/ST/MTG/backups/data/novaseq_211124/fastq/BN1959_S3_L001_I2_001.fastq.gz</t>
  </si>
  <si>
    <t>9aba13760a0369f3e90399e67bec56db</t>
  </si>
  <si>
    <t>BN1960_S4_L002_I2_001.fastq.gz</t>
  </si>
  <si>
    <t>/mnt/data/projects/ASAP/ST/MTG/backups/data/novaseq_211127/fastq/BN1960_S4_L002_I2_001.fastq.gz</t>
  </si>
  <si>
    <t>e2360a764a6f5a308715920d5d6bbc84</t>
  </si>
  <si>
    <t>BN1960_S4_L001_I2_001.fastq.gz</t>
  </si>
  <si>
    <t>/mnt/data/projects/ASAP/ST/MTG/backups/data/novaseq_211127/fastq/BN1960_S4_L001_I2_001.fastq.gz</t>
  </si>
  <si>
    <t>c511c3bf4c39df3f9c9e21618e3a52db</t>
  </si>
  <si>
    <t>BN1960_S4_L002_R2_001.fastq.gz</t>
  </si>
  <si>
    <t>/mnt/data/projects/ASAP/ST/MTG/backups/data/novaseq_211127/fastq/BN1960_S4_L002_R2_001.fastq.gz</t>
  </si>
  <si>
    <t>bebe2f44dafef69e00612febe4d46cf6</t>
  </si>
  <si>
    <t>BN1960_S4_L002_R1_001.fastq.gz</t>
  </si>
  <si>
    <t>/mnt/data/projects/ASAP/ST/MTG/backups/data/novaseq_211127/fastq/BN1960_S4_L002_R1_001.fastq.gz</t>
  </si>
  <si>
    <t>05d3bb5716fb47c357e6317ecdc9c7b3</t>
  </si>
  <si>
    <t>BN1960_S4_L001_R1_001.fastq.gz</t>
  </si>
  <si>
    <t>/mnt/data/projects/ASAP/ST/MTG/backups/data/novaseq_211127/fastq/BN1960_S4_L001_R1_001.fastq.gz</t>
  </si>
  <si>
    <t>d45fe0d3d9c21f9242b1452fb7844632</t>
  </si>
  <si>
    <t>BN1960_S4_L001_I1_001.fastq.gz</t>
  </si>
  <si>
    <t>/mnt/data/projects/ASAP/ST/MTG/backups/data/novaseq_211127/fastq/BN1960_S4_L001_I1_001.fastq.gz</t>
  </si>
  <si>
    <t>73e9bb392cfc9d83ea6cba2549797d0e</t>
  </si>
  <si>
    <t>BN1960_S4_L001_R2_001.fastq.gz</t>
  </si>
  <si>
    <t>/mnt/data/projects/ASAP/ST/MTG/backups/data/novaseq_211127/fastq/BN1960_S4_L001_R2_001.fastq.gz</t>
  </si>
  <si>
    <t>7ffb95887a775dc056dfbc6ab14bd073</t>
  </si>
  <si>
    <t>BN1960_S4_L002_I1_001.fastq.gz</t>
  </si>
  <si>
    <t>/mnt/data/projects/ASAP/ST/MTG/backups/data/novaseq_211127/fastq/BN1960_S4_L002_I1_001.fastq.gz</t>
  </si>
  <si>
    <t>8093b6a271a6ae2ac0f66ed6cd538ebb</t>
  </si>
  <si>
    <t>BN1974_S2_L001_I2_001.fastq.gz</t>
  </si>
  <si>
    <t>/mnt/data/projects/ASAP/ST/MTG/backups/data/novaseq_210918b/fastq/BN1974_S2_L001_I2_001.fastq.gz</t>
  </si>
  <si>
    <t>2b70d4f33fc620eca7977e6c4d8954b8</t>
  </si>
  <si>
    <t>BN1974_S2_L001_R2_001.fastq.gz</t>
  </si>
  <si>
    <t>/mnt/data/projects/ASAP/ST/MTG/backups/data/novaseq_210918b/fastq/BN1974_S2_L001_R2_001.fastq.gz</t>
  </si>
  <si>
    <t>95a5660b3625d1e6532d97ef72f247c9</t>
  </si>
  <si>
    <t>BN1974_S2_L002_R2_001.fastq.gz</t>
  </si>
  <si>
    <t>/mnt/data/projects/ASAP/ST/MTG/backups/data/novaseq_210918b/fastq/BN1974_S2_L002_R2_001.fastq.gz</t>
  </si>
  <si>
    <t>cda0be1fd8948ccbbfa0a12780af352c</t>
  </si>
  <si>
    <t>BN1974_S2_L002_I2_001.fastq.gz</t>
  </si>
  <si>
    <t>/mnt/data/projects/ASAP/ST/MTG/backups/data/novaseq_210918b/fastq/BN1974_S2_L002_I2_001.fastq.gz</t>
  </si>
  <si>
    <t>d89e6bb7d4ab8a0833ad99782b5e72b2</t>
  </si>
  <si>
    <t>BN1974_S2_L001_R1_001.fastq.gz</t>
  </si>
  <si>
    <t>/mnt/data/projects/ASAP/ST/MTG/backups/data/novaseq_210918b/fastq/BN1974_S2_L001_R1_001.fastq.gz</t>
  </si>
  <si>
    <t>ea8a96c05acc789eb6744ded94d13754</t>
  </si>
  <si>
    <t>BN1974_S2_L002_R1_001.fastq.gz</t>
  </si>
  <si>
    <t>/mnt/data/projects/ASAP/ST/MTG/backups/data/novaseq_210918b/fastq/BN1974_S2_L002_R1_001.fastq.gz</t>
  </si>
  <si>
    <t>6db986f965c631186e58f57587c648ee</t>
  </si>
  <si>
    <t>BN1974_S2_L001_I1_001.fastq.gz</t>
  </si>
  <si>
    <t>/mnt/data/projects/ASAP/ST/MTG/backups/data/novaseq_210918b/fastq/BN1974_S2_L001_I1_001.fastq.gz</t>
  </si>
  <si>
    <t>f6b1a57ad6c82d7b4303534d67784252</t>
  </si>
  <si>
    <t>BN1974_S2_L002_I1_001.fastq.gz</t>
  </si>
  <si>
    <t>/mnt/data/projects/ASAP/ST/MTG/backups/data/novaseq_210918b/fastq/BN1974_S2_L002_I1_001.fastq.gz</t>
  </si>
  <si>
    <t>f0fc2e6baa23aee0a4c887797ba14f50</t>
  </si>
  <si>
    <t>/mnt/data/projects/ASAP/ST/MTG/backups/data/novaseq_211127/fastq/BN2003_S3_L001_R1_001.fastq.gz</t>
  </si>
  <si>
    <t>e63ca3341c8e33a2e95d166f515a925f</t>
  </si>
  <si>
    <t>/mnt/data/projects/ASAP/ST/MTG/backups/data/novaseq_211127/fastq/BN2003_S3_L002_I2_001.fastq.gz</t>
  </si>
  <si>
    <t>a84f6be510683613e0ed6cf336798ad8</t>
  </si>
  <si>
    <t>/mnt/data/projects/ASAP/ST/MTG/backups/data/novaseq_211127/fastq/BN2003_S3_L002_I1_001.fastq.gz</t>
  </si>
  <si>
    <t>88a025ee97ce603731f6fed1b292ad61</t>
  </si>
  <si>
    <t>/mnt/data/projects/ASAP/ST/MTG/backups/data/novaseq_211127/fastq/BN2003_S3_L001_R2_001.fastq.gz</t>
  </si>
  <si>
    <t>fe3a8ce0c9005925c7ac7ed4514b91a7</t>
  </si>
  <si>
    <t>/mnt/data/projects/ASAP/ST/MTG/backups/data/novaseq_211127/fastq/BN2003_S3_L002_R1_001.fastq.gz</t>
  </si>
  <si>
    <t>408b5fcd52ffe7e40236c6e011edcf33</t>
  </si>
  <si>
    <t>/mnt/data/projects/ASAP/ST/MTG/backups/data/novaseq_211127/fastq/BN2003_S3_L001_I2_001.fastq.gz</t>
  </si>
  <si>
    <t>3817f73e67597e3edcad23d65cb88d79</t>
  </si>
  <si>
    <t>/mnt/data/projects/ASAP/ST/MTG/backups/data/novaseq_211127/fastq/BN2003_S3_L002_R2_001.fastq.gz</t>
  </si>
  <si>
    <t>df4427fd09f85afe804c55e712afed63</t>
  </si>
  <si>
    <t>/mnt/data/projects/ASAP/ST/MTG/backups/data/novaseq_211127/fastq/BN2003_S3_L001_I1_001.fastq.gz</t>
  </si>
  <si>
    <t>0fd1af3389cbecf47170309bb08f3c64</t>
  </si>
  <si>
    <t>BN2015_S3_L002_I1_001.fastq.gz</t>
  </si>
  <si>
    <t>/mnt/data/projects/ASAP/ST/MTG/backups/data/novaseq_211029b/fastq/BN2015_S3_L002_I1_001.fastq.gz</t>
  </si>
  <si>
    <t>9911a6fe6bc34a21a6898fa541e7bc2e</t>
  </si>
  <si>
    <t>BN2015_S3_L002_R1_001.fastq.gz</t>
  </si>
  <si>
    <t>/mnt/data/projects/ASAP/ST/MTG/backups/data/novaseq_211029b/fastq/BN2015_S3_L002_R1_001.fastq.gz</t>
  </si>
  <si>
    <t>96c67f6c4ad7b09ed8163bc76cd6ad8b</t>
  </si>
  <si>
    <t>BN2015_S3_L001_R2_001.fastq.gz</t>
  </si>
  <si>
    <t>/mnt/data/projects/ASAP/ST/MTG/backups/data/novaseq_211029b/fastq/BN2015_S3_L001_R2_001.fastq.gz</t>
  </si>
  <si>
    <t>278308281d8e4459dc121396ad9379a3</t>
  </si>
  <si>
    <t>BN2015_S3_L001_R1_001.fastq.gz</t>
  </si>
  <si>
    <t>/mnt/data/projects/ASAP/ST/MTG/backups/data/novaseq_211029b/fastq/BN2015_S3_L001_R1_001.fastq.gz</t>
  </si>
  <si>
    <t>6285c15aa3ccf9651e9e6355a6b56021</t>
  </si>
  <si>
    <t>BN2015_S3_L001_I1_001.fastq.gz</t>
  </si>
  <si>
    <t>/mnt/data/projects/ASAP/ST/MTG/backups/data/novaseq_211029b/fastq/BN2015_S3_L001_I1_001.fastq.gz</t>
  </si>
  <si>
    <t>e9a1129b10942df6c2b175008338c562</t>
  </si>
  <si>
    <t>BN2015_S3_L002_R2_001.fastq.gz</t>
  </si>
  <si>
    <t>/mnt/data/projects/ASAP/ST/MTG/backups/data/novaseq_211029b/fastq/BN2015_S3_L002_R2_001.fastq.gz</t>
  </si>
  <si>
    <t>15fd930792ec36bdc9ed9abc4e020c9f</t>
  </si>
  <si>
    <t>BN2015_S3_L001_I2_001.fastq.gz</t>
  </si>
  <si>
    <t>/mnt/data/projects/ASAP/ST/MTG/backups/data/novaseq_211029b/fastq/BN2015_S3_L001_I2_001.fastq.gz</t>
  </si>
  <si>
    <t>137725a650ccf577e7ccebe7b5393a68</t>
  </si>
  <si>
    <t>BN2015_S3_L002_I2_001.fastq.gz</t>
  </si>
  <si>
    <t>/mnt/data/projects/ASAP/ST/MTG/backups/data/novaseq_211029b/fastq/BN2015_S3_L002_I2_001.fastq.gz</t>
  </si>
  <si>
    <t>075820fddc5164f2d3d9417235a3e597</t>
  </si>
  <si>
    <t>BN9944_S2_L001_R1_001.fastq.gz</t>
  </si>
  <si>
    <t>/mnt/data/projects/ASAP/ST/MTG/backups/data/novaseq_211208a/fastq/BN9944_S2_L001_R1_001.fastq.gz</t>
  </si>
  <si>
    <t>db4fc99d3f48b3b3d2996681fff8b56d</t>
  </si>
  <si>
    <t>BN9944_S2_L002_R2_001.fastq.gz</t>
  </si>
  <si>
    <t>/mnt/data/projects/ASAP/ST/MTG/backups/data/novaseq_211208a/fastq/BN9944_S2_L002_R2_001.fastq.gz</t>
  </si>
  <si>
    <t>ea844b86fce662f39f2946afe2ee57d3</t>
  </si>
  <si>
    <t>BN9944_S2_L001_R2_001.fastq.gz</t>
  </si>
  <si>
    <t>/mnt/data/projects/ASAP/ST/MTG/backups/data/novaseq_211208a/fastq/BN9944_S2_L001_R2_001.fastq.gz</t>
  </si>
  <si>
    <t>8a6213bf45f2a1a40fd3f6df91d34e88</t>
  </si>
  <si>
    <t>BN9944_S2_L002_I1_001.fastq.gz</t>
  </si>
  <si>
    <t>/mnt/data/projects/ASAP/ST/MTG/backups/data/novaseq_211208a/fastq/BN9944_S2_L002_I1_001.fastq.gz</t>
  </si>
  <si>
    <t>8022cd2ad1ba26271118098aaac313b3</t>
  </si>
  <si>
    <t>BN9944_S2_L001_I1_001.fastq.gz</t>
  </si>
  <si>
    <t>/mnt/data/projects/ASAP/ST/MTG/backups/data/novaseq_211208a/fastq/BN9944_S2_L001_I1_001.fastq.gz</t>
  </si>
  <si>
    <t>370561fe73bb97a0aa074531ad392bcd</t>
  </si>
  <si>
    <t>BN9944_S2_L001_I2_001.fastq.gz</t>
  </si>
  <si>
    <t>/mnt/data/projects/ASAP/ST/MTG/backups/data/novaseq_211208a/fastq/BN9944_S2_L001_I2_001.fastq.gz</t>
  </si>
  <si>
    <t>0b8947a806c2bf074d2857d1ce4b5c9c</t>
  </si>
  <si>
    <t>BN9944_S2_L002_R1_001.fastq.gz</t>
  </si>
  <si>
    <t>/mnt/data/projects/ASAP/ST/MTG/backups/data/novaseq_211208a/fastq/BN9944_S2_L002_R1_001.fastq.gz</t>
  </si>
  <si>
    <t>600c0fd4bd67f62f6f34e678b6abe015</t>
  </si>
  <si>
    <t>BN9944_S2_L002_I2_001.fastq.gz</t>
  </si>
  <si>
    <t>/mnt/data/projects/ASAP/ST/MTG/backups/data/novaseq_211208a/fastq/BN9944_S2_L002_I2_001.fastq.gz</t>
  </si>
  <si>
    <t>f6b7c42d2ea49a5168014c34484ed047</t>
  </si>
  <si>
    <t>BN9947_S2_L001_R1_001.fastq.gz</t>
  </si>
  <si>
    <t>/mnt/data/projects/ASAP/ST/MTG/backups/data/novaseq_211127/fastq/BN9947_S2_L001_R1_001.fastq.gz</t>
  </si>
  <si>
    <t>6cda9815425497b42da929044a44ab98</t>
  </si>
  <si>
    <t>BN9947_S2_L002_R2_001.fastq.gz</t>
  </si>
  <si>
    <t>/mnt/data/projects/ASAP/ST/MTG/backups/data/novaseq_211127/fastq/BN9947_S2_L002_R2_001.fastq.gz</t>
  </si>
  <si>
    <t>c9b5ea621efaab3f45da0003f706a723</t>
  </si>
  <si>
    <t>BN9947_S2_L002_R1_001.fastq.gz</t>
  </si>
  <si>
    <t>/mnt/data/projects/ASAP/ST/MTG/backups/data/novaseq_211127/fastq/BN9947_S2_L002_R1_001.fastq.gz</t>
  </si>
  <si>
    <t>3f5d92affca04950d4268af0bf6274c1</t>
  </si>
  <si>
    <t>BN9947_S2_L001_I1_001.fastq.gz</t>
  </si>
  <si>
    <t>/mnt/data/projects/ASAP/ST/MTG/backups/data/novaseq_211127/fastq/BN9947_S2_L001_I1_001.fastq.gz</t>
  </si>
  <si>
    <t>84fcd4f07bb018b559b46f36a0308b0c</t>
  </si>
  <si>
    <t>BN9947_S2_L001_I2_001.fastq.gz</t>
  </si>
  <si>
    <t>/mnt/data/projects/ASAP/ST/MTG/backups/data/novaseq_211127/fastq/BN9947_S2_L001_I2_001.fastq.gz</t>
  </si>
  <si>
    <t>3f83f934f050e3b573fbd82811031732</t>
  </si>
  <si>
    <t>BN9947_S2_L002_I2_001.fastq.gz</t>
  </si>
  <si>
    <t>/mnt/data/projects/ASAP/ST/MTG/backups/data/novaseq_211127/fastq/BN9947_S2_L002_I2_001.fastq.gz</t>
  </si>
  <si>
    <t>01d5ae7000e7b27bbc1e01dfec3b8de5</t>
  </si>
  <si>
    <t>BN9947_S2_L002_I1_001.fastq.gz</t>
  </si>
  <si>
    <t>/mnt/data/projects/ASAP/ST/MTG/backups/data/novaseq_211127/fastq/BN9947_S2_L002_I1_001.fastq.gz</t>
  </si>
  <si>
    <t>c557adce7150873930a583d032bc330c</t>
  </si>
  <si>
    <t>BN9947_S2_L001_R2_001.fastq.gz</t>
  </si>
  <si>
    <t>/mnt/data/projects/ASAP/ST/MTG/backups/data/novaseq_211127/fastq/BN9947_S2_L001_R2_001.fastq.gz</t>
  </si>
  <si>
    <t>2621ad2b75718c29776b4686adc1cf62</t>
  </si>
  <si>
    <t>/mnt/data/projects/ASAP/ST/MTG/backups/data/novaseq_211124/fastq/BN9966_S1_L002_R1_001.fastq.gz</t>
  </si>
  <si>
    <t>2a981519298add3ea19d71125f36c624</t>
  </si>
  <si>
    <t>/mnt/data/projects/ASAP/ST/MTG/backups/data/novaseq_211124/fastq/BN9966_S1_L001_I1_001.fastq.gz</t>
  </si>
  <si>
    <t>9c52c064cc4b9aabea69283d5f6365fb</t>
  </si>
  <si>
    <t>/mnt/data/projects/ASAP/ST/MTG/backups/data/novaseq_211124/fastq/BN9966_S1_L001_I2_001.fastq.gz</t>
  </si>
  <si>
    <t>225417f92a939f68ba7625e78ff2950e</t>
  </si>
  <si>
    <t>/mnt/data/projects/ASAP/ST/MTG/backups/data/novaseq_211124/fastq/BN9966_S1_L001_R1_001.fastq.gz</t>
  </si>
  <si>
    <t>d298fd379d706cea851824a5113b7425</t>
  </si>
  <si>
    <t>/mnt/data/projects/ASAP/ST/MTG/backups/data/novaseq_211124/fastq/BN9966_S1_L002_I1_001.fastq.gz</t>
  </si>
  <si>
    <t>ac831e0e73d15423a2140609deb16b72</t>
  </si>
  <si>
    <t>/mnt/data/projects/ASAP/ST/MTG/backups/data/novaseq_211124/fastq/BN9966_S1_L002_R2_001.fastq.gz</t>
  </si>
  <si>
    <t>1b592a76fe202cef1e5220af6106d77a</t>
  </si>
  <si>
    <t>/mnt/data/projects/ASAP/ST/MTG/backups/data/novaseq_211124/fastq/BN9966_S1_L001_R2_001.fastq.gz</t>
  </si>
  <si>
    <t>d4b0b642671646802164519ea7346154</t>
  </si>
  <si>
    <t>/mnt/data/projects/ASAP/ST/MTG/backups/data/novaseq_211124/fastq/BN9966_S1_L002_I2_001.fastq.gz</t>
  </si>
  <si>
    <t>494b130b9df75874e660b6f6a5df3f50</t>
  </si>
  <si>
    <t>dataset_id</t>
  </si>
  <si>
    <t>BN1867</t>
  </si>
  <si>
    <t>BN9950</t>
  </si>
  <si>
    <t>BN1864</t>
  </si>
  <si>
    <t>BN1750</t>
  </si>
  <si>
    <t>BN1975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</si>
</sst>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
    <numFmt numFmtId="165" formatCode="m\-d"/>
  </numFmts>
  <fonts count="26">
    <font>
      <sz val="12"/>
      <color theme="1"/>
      <name val="Aptos Narrow"/>
      <family val="2"/>
      <scheme val="minor"/>
    </font>
    <font>
      <sz val="11"/>
      <color theme="1"/>
      <name val="Calibri"/>
      <family val="2"/>
    </font>
    <font>
      <sz val="11"/>
      <color rgb="FF1F1F1F"/>
      <name val="Calibri"/>
      <family val="2"/>
    </font>
    <font>
      <sz val="10"/>
      <color theme="1"/>
      <name val="Arial"/>
      <family val="2"/>
    </font>
    <font>
      <sz val="10.5"/>
      <color rgb="FF080808"/>
      <name val="JetBrains Mono"/>
      <family val="3"/>
    </font>
    <font>
      <u/>
      <sz val="12"/>
      <color theme="10"/>
      <name val="Aptos Narrow"/>
      <family val="2"/>
      <scheme val="minor"/>
    </font>
    <font>
      <sz val="11"/>
      <color rgb="FF000000"/>
      <name val="Calibri"/>
      <family val="2"/>
    </font>
    <font>
      <sz val="10"/>
      <color rgb="FF000000"/>
      <name val="Aptos Narrow"/>
      <family val="2"/>
      <scheme val="minor"/>
    </font>
    <font>
      <sz val="12"/>
      <color rgb="FF000000"/>
      <name val="Calibri"/>
      <family val="2"/>
    </font>
    <font>
      <sz val="12"/>
      <color rgb="FFFF0000"/>
      <name val="Calibri"/>
      <family val="2"/>
    </font>
    <font>
      <sz val="10"/>
      <color rgb="FFFF0000"/>
      <name val="Aptos Narrow"/>
      <family val="2"/>
      <scheme val="minor"/>
    </font>
    <font>
      <sz val="10"/>
      <color rgb="FF000000"/>
      <name val="Arial"/>
      <family val="2"/>
    </font>
    <font>
      <sz val="11"/>
      <color rgb="FF080808"/>
      <name val="JetBrains Mono"/>
      <family val="3"/>
    </font>
    <font>
      <sz val="11"/>
      <color theme="1"/>
      <name val="Aptos Narrow"/>
      <family val="2"/>
      <scheme val="minor"/>
    </font>
    <font>
      <sz val="11"/>
      <color rgb="FF474747"/>
      <name val="Arial"/>
      <family val="2"/>
    </font>
    <font>
      <u/>
      <sz val="11"/>
      <color theme="10"/>
      <name val="Aptos Narrow"/>
      <family val="2"/>
      <scheme val="minor"/>
    </font>
    <font>
      <sz val="11"/>
      <color theme="1"/>
      <name val="Arial"/>
      <family val="2"/>
    </font>
    <font>
      <sz val="11"/>
      <color rgb="FF000000"/>
      <name val="Arial"/>
      <family val="2"/>
    </font>
    <font>
      <sz val="11"/>
      <name val="Arial"/>
      <family val="2"/>
    </font>
    <font>
      <b/>
      <sz val="11"/>
      <color theme="1"/>
      <name val="Calibri"/>
      <family val="2"/>
    </font>
    <font>
      <sz val="8"/>
      <name val="Aptos Narrow"/>
      <family val="2"/>
      <scheme val="minor"/>
    </font>
    <font>
      <sz val="10"/>
      <color theme="1"/>
      <name val="Aptos Narrow"/>
      <family val="2"/>
      <scheme val="minor"/>
    </font>
    <font>
      <sz val="12"/>
      <color rgb="FF000000"/>
      <name val="Aptos Narrow"/>
    </font>
    <font>
      <sz val="12"/>
      <color rgb="FFFF0000"/>
      <name val="Aptos Narrow"/>
      <family val="2"/>
      <scheme val="minor"/>
    </font>
    <font>
      <sz val="10"/>
      <color rgb="FFFF0000"/>
      <name val="Arial"/>
      <family val="2"/>
    </font>
    <font>
      <sz val="12"/>
      <name val="Aptos Narrow"/>
      <family val="2"/>
      <scheme val="minor"/>
    </font>
  </fonts>
  <fills count="12">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E06666"/>
        <bgColor rgb="FFE06666"/>
      </patternFill>
    </fill>
    <fill>
      <patternFill patternType="solid">
        <fgColor rgb="FFB7B7B7"/>
        <bgColor rgb="FFB7B7B7"/>
      </patternFill>
    </fill>
    <fill>
      <patternFill patternType="solid">
        <fgColor rgb="FFFFFF00"/>
        <bgColor indexed="64"/>
      </patternFill>
    </fill>
    <fill>
      <patternFill patternType="solid">
        <fgColor rgb="FF92D050"/>
        <bgColor indexed="64"/>
      </patternFill>
    </fill>
    <fill>
      <patternFill patternType="solid">
        <fgColor rgb="FFFFE599"/>
        <bgColor rgb="FFFFE599"/>
      </patternFill>
    </fill>
    <fill>
      <patternFill patternType="solid">
        <fgColor rgb="FFFBBC04"/>
        <bgColor rgb="FFFBBC04"/>
      </patternFill>
    </fill>
    <fill>
      <patternFill patternType="solid">
        <fgColor rgb="FF00B050"/>
        <bgColor indexed="64"/>
      </patternFill>
    </fill>
  </fills>
  <borders count="3">
    <border>
      <left/>
      <right/>
      <top/>
      <bottom/>
      <diagonal/>
    </border>
    <border>
      <left/>
      <right style="thin">
        <color rgb="FF000000"/>
      </right>
      <top/>
      <bottom style="thin">
        <color rgb="FF000000"/>
      </bottom>
      <diagonal/>
    </border>
    <border>
      <left/>
      <right style="thin">
        <color rgb="FF000000"/>
      </right>
      <top/>
      <bottom/>
      <diagonal/>
    </border>
  </borders>
  <cellStyleXfs count="2">
    <xf numFmtId="0" fontId="0" fillId="0" borderId="0"/>
    <xf numFmtId="0" fontId="5" fillId="0" borderId="0" applyNumberFormat="0" applyFill="0" applyBorder="0" applyAlignment="0" applyProtection="0"/>
  </cellStyleXfs>
  <cellXfs count="5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1"/>
    <xf numFmtId="0" fontId="6" fillId="2" borderId="0" xfId="0" applyFont="1" applyFill="1" applyAlignment="1">
      <alignment horizontal="left"/>
    </xf>
    <xf numFmtId="0" fontId="6" fillId="3" borderId="0" xfId="0" applyFont="1" applyFill="1" applyAlignment="1">
      <alignment horizontal="left"/>
    </xf>
    <xf numFmtId="164" fontId="6" fillId="3" borderId="0" xfId="0" applyNumberFormat="1" applyFont="1" applyFill="1" applyAlignment="1">
      <alignment horizontal="left"/>
    </xf>
    <xf numFmtId="164" fontId="6" fillId="2" borderId="0" xfId="0" applyNumberFormat="1" applyFont="1" applyFill="1" applyAlignment="1">
      <alignment horizontal="left"/>
    </xf>
    <xf numFmtId="49" fontId="6" fillId="2" borderId="0" xfId="0" applyNumberFormat="1" applyFont="1" applyFill="1" applyAlignment="1">
      <alignment horizontal="left"/>
    </xf>
    <xf numFmtId="165" fontId="6" fillId="3" borderId="0" xfId="0" applyNumberFormat="1" applyFont="1" applyFill="1" applyAlignment="1">
      <alignment horizontal="left"/>
    </xf>
    <xf numFmtId="49" fontId="6" fillId="3" borderId="0" xfId="0" applyNumberFormat="1" applyFont="1" applyFill="1" applyAlignment="1">
      <alignment horizontal="left"/>
    </xf>
    <xf numFmtId="165" fontId="6" fillId="2" borderId="0" xfId="0" applyNumberFormat="1" applyFont="1" applyFill="1" applyAlignment="1">
      <alignment horizontal="left"/>
    </xf>
    <xf numFmtId="0" fontId="1" fillId="4" borderId="0" xfId="0" applyFont="1" applyFill="1" applyAlignment="1">
      <alignment vertical="top"/>
    </xf>
    <xf numFmtId="0" fontId="6" fillId="0" borderId="0" xfId="0" applyFont="1" applyAlignment="1">
      <alignment horizontal="left"/>
    </xf>
    <xf numFmtId="0" fontId="1" fillId="0" borderId="0" xfId="0" applyFont="1" applyAlignment="1">
      <alignment horizontal="left" vertical="center"/>
    </xf>
    <xf numFmtId="0" fontId="1" fillId="5" borderId="0" xfId="0" applyFont="1" applyFill="1" applyAlignment="1">
      <alignment horizontal="left" vertical="center"/>
    </xf>
    <xf numFmtId="0" fontId="1" fillId="6" borderId="0" xfId="0" applyFont="1" applyFill="1" applyAlignment="1">
      <alignment horizontal="left" vertical="center"/>
    </xf>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xf>
    <xf numFmtId="0" fontId="7" fillId="7" borderId="0" xfId="0" applyFont="1" applyFill="1"/>
    <xf numFmtId="0" fontId="7" fillId="0" borderId="0" xfId="0" applyFont="1"/>
    <xf numFmtId="0" fontId="8" fillId="8" borderId="0" xfId="0" applyFont="1" applyFill="1"/>
    <xf numFmtId="3" fontId="8" fillId="8" borderId="0" xfId="0" applyNumberFormat="1" applyFont="1" applyFill="1"/>
    <xf numFmtId="0" fontId="7" fillId="8" borderId="0" xfId="0" applyFont="1" applyFill="1"/>
    <xf numFmtId="0" fontId="9" fillId="8" borderId="0" xfId="0" applyFont="1" applyFill="1"/>
    <xf numFmtId="3" fontId="9" fillId="8" borderId="0" xfId="0" applyNumberFormat="1" applyFont="1" applyFill="1"/>
    <xf numFmtId="0" fontId="10" fillId="8" borderId="0" xfId="0" applyFont="1" applyFill="1"/>
    <xf numFmtId="0" fontId="10" fillId="0" borderId="0" xfId="0" applyFont="1"/>
    <xf numFmtId="3" fontId="7" fillId="0" borderId="0" xfId="0" applyNumberFormat="1" applyFont="1"/>
    <xf numFmtId="0" fontId="12" fillId="0" borderId="0" xfId="0" applyFont="1"/>
    <xf numFmtId="0" fontId="13" fillId="0" borderId="0" xfId="0" applyFont="1"/>
    <xf numFmtId="0" fontId="14" fillId="0" borderId="0" xfId="0" applyFont="1"/>
    <xf numFmtId="0" fontId="15" fillId="0" borderId="0" xfId="1" applyFont="1"/>
    <xf numFmtId="0" fontId="16" fillId="0" borderId="0" xfId="0" applyFont="1"/>
    <xf numFmtId="0" fontId="17" fillId="0" borderId="0" xfId="0" applyFont="1"/>
    <xf numFmtId="0" fontId="18" fillId="0" borderId="0" xfId="0" applyFont="1"/>
    <xf numFmtId="0" fontId="19" fillId="0" borderId="0" xfId="0" applyFont="1"/>
    <xf numFmtId="0" fontId="1" fillId="0" borderId="0" xfId="0" applyFont="1" applyAlignment="1">
      <alignment wrapText="1"/>
    </xf>
    <xf numFmtId="0" fontId="1" fillId="9" borderId="1" xfId="0" applyFont="1" applyFill="1" applyBorder="1" applyAlignment="1">
      <alignment vertical="top"/>
    </xf>
    <xf numFmtId="0" fontId="1" fillId="6" borderId="2" xfId="0" applyFont="1" applyFill="1" applyBorder="1" applyAlignment="1">
      <alignment vertical="top"/>
    </xf>
    <xf numFmtId="0" fontId="1" fillId="6" borderId="2" xfId="0" applyFont="1" applyFill="1" applyBorder="1"/>
    <xf numFmtId="0" fontId="1" fillId="10" borderId="2" xfId="0" applyFont="1" applyFill="1" applyBorder="1"/>
    <xf numFmtId="0" fontId="6" fillId="6" borderId="2" xfId="0" applyFont="1" applyFill="1" applyBorder="1" applyAlignment="1">
      <alignment horizontal="left"/>
    </xf>
    <xf numFmtId="0" fontId="21" fillId="0" borderId="0" xfId="0" applyFont="1"/>
    <xf numFmtId="11" fontId="11" fillId="0" borderId="0" xfId="0" applyNumberFormat="1" applyFont="1"/>
    <xf numFmtId="0" fontId="22" fillId="11" borderId="0" xfId="0" applyFont="1" applyFill="1"/>
    <xf numFmtId="11" fontId="22" fillId="11" borderId="0" xfId="0" applyNumberFormat="1" applyFont="1" applyFill="1"/>
    <xf numFmtId="0" fontId="24" fillId="0" borderId="0" xfId="0" applyFont="1"/>
    <xf numFmtId="0" fontId="23" fillId="0" borderId="0" xfId="0" applyFont="1"/>
    <xf numFmtId="0" fontId="25" fillId="0" borderId="0" xfId="0" applyFont="1"/>
  </cellXfs>
  <cellStyles count="2">
    <cellStyle name="Hyperlink" xfId="1" builtinId="8"/>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CLINPATH-style" pivot="0" count="3" xr9:uid="{5BD9F13E-46E9-694C-A205-1D4840C67AC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D0E996-4A1B-5A47-BB33-E00C2DB4B5B5}" name="Table_5" displayName="Table_5" ref="A1:AJ95">
  <tableColumns count="36">
    <tableColumn id="1" xr3:uid="{28932950-D710-8C4E-8618-7629E3E6D267}" name="subject_id"/>
    <tableColumn id="2" xr3:uid="{DE45FE61-4166-424F-944B-8E6037196AA1}" name="source_subject_id"/>
    <tableColumn id="3" xr3:uid="{ACB8CDC2-EA4A-E341-BC64-4BE5EEDFE294}" name="duration_pmi"/>
    <tableColumn id="4" xr3:uid="{D847C33B-927F-E94D-9292-88D010DC4648}" name="path_autopsy_dx_main"/>
    <tableColumn id="5" xr3:uid="{7061FD33-F742-1D4A-AFF3-CA0E0B5877C8}" name="path_autopsy_second_dx"/>
    <tableColumn id="6" xr3:uid="{64C91F19-82B0-8242-A941-81CC9528CFDB}" name="path_autopsy_third_dx"/>
    <tableColumn id="7" xr3:uid="{F102F692-3471-3B43-A01E-A7D4B6873F4A}" name="path_autopsy_fourth_dx"/>
    <tableColumn id="8" xr3:uid="{C391F782-9923-7647-AAB4-3FC114FE9743}" name="path_autopsy_fifth_dx"/>
    <tableColumn id="9" xr3:uid="{CDCB7175-A0A6-5D44-967A-2156B0AF81DB}" name="path_autopsy_sixth_dx"/>
    <tableColumn id="10" xr3:uid="{DCE70665-A012-814F-94B6-6B2A01BDEA0E}" name="path_autopsy_seventh_dx"/>
    <tableColumn id="11" xr3:uid="{4235D468-0488-3E4D-A20A-26DBEE595E6D}" name="path_autopsy_eight_dx"/>
    <tableColumn id="12" xr3:uid="{53AB2949-8CC8-4C41-AC44-9D3D375B760B}" name="path_year_death"/>
    <tableColumn id="13" xr3:uid="{14379F19-0944-044E-85E5-7044D18FB61E}" name="age_at_death"/>
    <tableColumn id="14" xr3:uid="{3F73C5EF-0529-6442-A39B-BDD5BF9E0E17}" name="cause_death"/>
    <tableColumn id="15" xr3:uid="{6705A7F9-11A6-EE45-A514-7FC8C797E480}" name="other_cause_death_1"/>
    <tableColumn id="16" xr3:uid="{0CD55E4C-A453-E840-9781-675FC3A74825}" name="other_cause_death_2"/>
    <tableColumn id="17" xr3:uid="{868EA9B0-D26A-A946-B761-5845F9672B6B}" name="brain_weight"/>
    <tableColumn id="18" xr3:uid="{0C25A475-BF4F-7A4C-9A2E-D897F986C095}" name="path_braak_nft"/>
    <tableColumn id="19" xr3:uid="{DFA59997-489D-564B-AF3C-7C0B6EA148C3}" name="path_braak_asyn"/>
    <tableColumn id="20" xr3:uid="{8DF94A1B-F005-1349-99A4-CCD5E8ACB36A}" name="path_cerad"/>
    <tableColumn id="21" xr3:uid="{55031215-F0A0-7944-84E4-F765BB669DA7}" name="path_thal"/>
    <tableColumn id="22" xr3:uid="{9CE866DE-B14D-7541-8BB7-9EA4EA2EAC61}" name="known_pathogenic_mutation"/>
    <tableColumn id="23" xr3:uid="{4E222BBC-B2DC-B941-9E67-9FDB3F5DD029}" name="PD_pathogenic_mutation"/>
    <tableColumn id="24" xr3:uid="{A439F88A-7494-1D4F-A440-E419A31F3F78}" name="path_mckeith"/>
    <tableColumn id="25" xr3:uid="{CA9CDF85-988F-3D40-A2B6-49512B8B7E72}" name="sn_neuronal_loss"/>
    <tableColumn id="26" xr3:uid="{A7C27E7B-BE56-DC4E-B981-50FD1CC5CFC4}" name="path_infarcs"/>
    <tableColumn id="27" xr3:uid="{727098EE-9418-9340-B2B5-9C52FFC787D1}" name="path_nia_ri"/>
    <tableColumn id="28" xr3:uid="{2F754ECD-3FC1-4643-A957-604A07694692}" name="path_nia_aa_a"/>
    <tableColumn id="29" xr3:uid="{4BD50F77-2E9B-3944-8D17-1457D9337D97}" name="path_nia_aa_b"/>
    <tableColumn id="30" xr3:uid="{43FF052C-523C-1343-B089-A1D530031531}" name="path_nia_aa_c"/>
    <tableColumn id="31" xr3:uid="{706C5660-FD88-DB45-8B3C-A9039262B93D}" name="TDP43"/>
    <tableColumn id="32" xr3:uid="{03432770-2AE7-6742-BB6B-9849FAAEA676}" name="arteriolosclerosis_severity_scale"/>
    <tableColumn id="33" xr3:uid="{0EFC8CA0-87A5-2345-B4F5-50AD79241883}" name="amyloid_angiopathy_severity_scale"/>
    <tableColumn id="34" xr3:uid="{A6A32214-9B9B-1944-BCC3-23AA20F89EDC}" name="path_ad_level"/>
    <tableColumn id="35" xr3:uid="{F906E36C-B638-C44B-9D6E-ED005BE2E016}" name="dig_slide_avail"/>
    <tableColumn id="36" xr3:uid="{362172F2-7300-C545-BC69-B8591050F168}" name="quant_path_avail"/>
  </tableColumns>
  <tableStyleInfo name="CLINPATH-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jie.yuan@yale.edu" TargetMode="External"/><Relationship Id="rId2" Type="http://schemas.openxmlformats.org/officeDocument/2006/relationships/hyperlink" Target="mailto:mingming.lu@yale.edu" TargetMode="External"/><Relationship Id="rId1" Type="http://schemas.openxmlformats.org/officeDocument/2006/relationships/hyperlink" Target="mailto:jacob.parker@yale.edu"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hyperlink" Target="https://cdn.10xgenomics.com/image/upload/v1660261285/support-documents/CG000204_ChromiumNextGEMSingleCell3_v3.1_Rev_D.pdf" TargetMode="External"/><Relationship Id="rId2" Type="http://schemas.openxmlformats.org/officeDocument/2006/relationships/hyperlink" Target="https://dx.doi.org/10.17504/protocols.io.j8nlk4k55g5r/v1" TargetMode="External"/><Relationship Id="rId1" Type="http://schemas.openxmlformats.org/officeDocument/2006/relationships/hyperlink" Target="https://github.com/NeurogenomicsLab/PD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091E-A301-C34C-AC25-3E3E2985AD00}">
  <dimension ref="A1:X2"/>
  <sheetViews>
    <sheetView workbookViewId="0">
      <selection activeCell="A2" sqref="A2"/>
    </sheetView>
  </sheetViews>
  <sheetFormatPr baseColWidth="10" defaultRowHeight="16"/>
  <cols>
    <col min="3" max="3" width="16.33203125" customWidth="1"/>
  </cols>
  <sheetData>
    <row r="1" spans="1:24">
      <c r="A1" t="s">
        <v>35</v>
      </c>
      <c r="B1" t="s">
        <v>36</v>
      </c>
      <c r="C1" s="4" t="s">
        <v>37</v>
      </c>
      <c r="D1" s="1" t="s">
        <v>0</v>
      </c>
      <c r="E1" s="1" t="s">
        <v>1</v>
      </c>
      <c r="F1" s="1" t="s">
        <v>2</v>
      </c>
      <c r="G1" s="4" t="s">
        <v>39</v>
      </c>
      <c r="H1" s="1" t="s">
        <v>3</v>
      </c>
      <c r="I1" s="1" t="s">
        <v>4</v>
      </c>
      <c r="J1" s="1" t="s">
        <v>5</v>
      </c>
      <c r="K1" s="1" t="s">
        <v>6</v>
      </c>
      <c r="L1" s="1" t="s">
        <v>7</v>
      </c>
      <c r="M1" s="1" t="s">
        <v>8</v>
      </c>
      <c r="N1" s="1" t="s">
        <v>9</v>
      </c>
      <c r="O1" s="1" t="s">
        <v>10</v>
      </c>
      <c r="P1" s="1" t="s">
        <v>11</v>
      </c>
      <c r="Q1" s="1" t="s">
        <v>40</v>
      </c>
      <c r="R1" s="1" t="s">
        <v>12</v>
      </c>
      <c r="S1" s="1" t="s">
        <v>13</v>
      </c>
      <c r="T1" s="1" t="s">
        <v>14</v>
      </c>
      <c r="U1" s="1" t="s">
        <v>15</v>
      </c>
      <c r="V1" s="1" t="s">
        <v>16</v>
      </c>
      <c r="W1" s="1" t="s">
        <v>17</v>
      </c>
      <c r="X1" s="1" t="s">
        <v>18</v>
      </c>
    </row>
    <row r="2" spans="1:24">
      <c r="A2" t="s">
        <v>38</v>
      </c>
      <c r="B2" s="1" t="s">
        <v>21</v>
      </c>
      <c r="C2" s="1" t="s">
        <v>24</v>
      </c>
      <c r="D2" s="2" t="s">
        <v>19</v>
      </c>
      <c r="E2" s="1" t="s">
        <v>20</v>
      </c>
      <c r="F2" s="1" t="s">
        <v>22</v>
      </c>
      <c r="G2" s="1" t="s">
        <v>23</v>
      </c>
      <c r="H2" s="1" t="s">
        <v>25</v>
      </c>
      <c r="I2" s="1" t="s">
        <v>26</v>
      </c>
      <c r="J2" s="1" t="s">
        <v>27</v>
      </c>
      <c r="K2" s="1" t="s">
        <v>28</v>
      </c>
      <c r="L2" s="1" t="s">
        <v>29</v>
      </c>
      <c r="M2" s="1" t="s">
        <v>30</v>
      </c>
      <c r="N2" s="1" t="s">
        <v>31</v>
      </c>
      <c r="O2" s="1" t="s">
        <v>31</v>
      </c>
      <c r="P2" s="1" t="s">
        <v>31</v>
      </c>
      <c r="Q2" s="1">
        <v>94</v>
      </c>
      <c r="R2" s="1" t="s">
        <v>32</v>
      </c>
      <c r="S2" s="1" t="s">
        <v>33</v>
      </c>
      <c r="T2" s="3"/>
      <c r="U2" s="3"/>
      <c r="V2" s="1" t="s">
        <v>34</v>
      </c>
      <c r="W2" s="3"/>
      <c r="X2" s="3"/>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1E2D9-7EFA-4D43-800F-33CE5E6B2D5A}">
  <dimension ref="A1:R4"/>
  <sheetViews>
    <sheetView workbookViewId="0">
      <selection activeCell="D8" sqref="D8"/>
    </sheetView>
  </sheetViews>
  <sheetFormatPr baseColWidth="10" defaultRowHeight="16"/>
  <cols>
    <col min="2" max="2" width="28.33203125" customWidth="1"/>
    <col min="4" max="4" width="45.1640625" customWidth="1"/>
    <col min="5" max="5" width="30.6640625" customWidth="1"/>
    <col min="9" max="9" width="22.5" customWidth="1"/>
  </cols>
  <sheetData>
    <row r="1" spans="1:18">
      <c r="A1" t="s">
        <v>35</v>
      </c>
      <c r="B1" s="32" t="s">
        <v>6727</v>
      </c>
      <c r="C1" s="33" t="s">
        <v>36</v>
      </c>
      <c r="D1" s="32" t="s">
        <v>37</v>
      </c>
      <c r="E1" s="32" t="s">
        <v>39</v>
      </c>
      <c r="F1" s="1" t="s">
        <v>3</v>
      </c>
      <c r="G1" s="1" t="s">
        <v>4</v>
      </c>
      <c r="H1" s="1" t="s">
        <v>42</v>
      </c>
      <c r="I1" s="32" t="s">
        <v>50</v>
      </c>
      <c r="J1" s="32" t="s">
        <v>44</v>
      </c>
      <c r="K1" s="1" t="s">
        <v>45</v>
      </c>
      <c r="L1" s="1" t="s">
        <v>9</v>
      </c>
      <c r="M1" s="1" t="s">
        <v>10</v>
      </c>
      <c r="N1" s="1" t="s">
        <v>11</v>
      </c>
      <c r="O1" s="1" t="s">
        <v>46</v>
      </c>
      <c r="P1" s="1" t="s">
        <v>12</v>
      </c>
      <c r="Q1" s="1" t="s">
        <v>47</v>
      </c>
      <c r="R1" s="1" t="s">
        <v>48</v>
      </c>
    </row>
    <row r="2" spans="1:18">
      <c r="A2" t="s">
        <v>38</v>
      </c>
      <c r="B2" s="33" t="s">
        <v>23</v>
      </c>
      <c r="C2" s="34" t="s">
        <v>41</v>
      </c>
      <c r="D2" s="1"/>
      <c r="E2" s="1" t="s">
        <v>23</v>
      </c>
      <c r="F2" s="1" t="s">
        <v>25</v>
      </c>
      <c r="G2" s="1" t="s">
        <v>26</v>
      </c>
      <c r="H2" s="1" t="s">
        <v>43</v>
      </c>
      <c r="I2" s="35" t="s">
        <v>51</v>
      </c>
      <c r="J2" s="1" t="s">
        <v>28</v>
      </c>
      <c r="K2" s="1" t="s">
        <v>30</v>
      </c>
      <c r="L2" s="1" t="s">
        <v>31</v>
      </c>
      <c r="M2" s="1" t="s">
        <v>31</v>
      </c>
      <c r="N2" s="1" t="s">
        <v>31</v>
      </c>
      <c r="O2" s="1">
        <v>94</v>
      </c>
      <c r="P2" s="1" t="s">
        <v>32</v>
      </c>
      <c r="Q2" s="1" t="s">
        <v>33</v>
      </c>
      <c r="R2" s="36" t="s">
        <v>49</v>
      </c>
    </row>
    <row r="3" spans="1:18">
      <c r="A3" t="s">
        <v>38</v>
      </c>
      <c r="B3" s="33" t="s">
        <v>1260</v>
      </c>
      <c r="C3" s="37" t="s">
        <v>811</v>
      </c>
      <c r="D3" s="1"/>
      <c r="E3" s="1" t="s">
        <v>1262</v>
      </c>
      <c r="F3" s="1" t="s">
        <v>25</v>
      </c>
      <c r="G3" s="1" t="s">
        <v>26</v>
      </c>
      <c r="H3" s="1" t="s">
        <v>43</v>
      </c>
      <c r="I3" s="35" t="s">
        <v>1267</v>
      </c>
      <c r="J3" s="1" t="s">
        <v>28</v>
      </c>
      <c r="K3" s="1" t="s">
        <v>30</v>
      </c>
      <c r="L3" s="1" t="s">
        <v>31</v>
      </c>
      <c r="M3" s="1" t="s">
        <v>31</v>
      </c>
      <c r="N3" s="1" t="s">
        <v>31</v>
      </c>
      <c r="O3" s="1">
        <v>94</v>
      </c>
      <c r="P3" s="1" t="s">
        <v>1268</v>
      </c>
      <c r="Q3" s="1" t="s">
        <v>33</v>
      </c>
      <c r="R3" s="36" t="s">
        <v>1269</v>
      </c>
    </row>
    <row r="4" spans="1:18">
      <c r="A4" t="s">
        <v>38</v>
      </c>
      <c r="B4" s="33" t="s">
        <v>1261</v>
      </c>
      <c r="C4" s="34" t="s">
        <v>1264</v>
      </c>
      <c r="D4" s="38" t="s">
        <v>1265</v>
      </c>
      <c r="E4" s="1" t="s">
        <v>1261</v>
      </c>
      <c r="F4" s="1" t="s">
        <v>25</v>
      </c>
      <c r="G4" s="1" t="s">
        <v>26</v>
      </c>
      <c r="H4" s="1" t="s">
        <v>43</v>
      </c>
      <c r="I4" s="35" t="s">
        <v>1266</v>
      </c>
      <c r="J4" s="1" t="s">
        <v>28</v>
      </c>
      <c r="K4" s="1" t="s">
        <v>30</v>
      </c>
      <c r="L4" s="1" t="s">
        <v>31</v>
      </c>
      <c r="M4" s="1" t="s">
        <v>31</v>
      </c>
      <c r="N4" s="1" t="s">
        <v>31</v>
      </c>
      <c r="O4" s="1">
        <v>94</v>
      </c>
      <c r="P4" s="1" t="s">
        <v>32</v>
      </c>
      <c r="Q4" s="1" t="s">
        <v>33</v>
      </c>
      <c r="R4" s="34" t="s">
        <v>1264</v>
      </c>
    </row>
  </sheetData>
  <hyperlinks>
    <hyperlink ref="I2" r:id="rId1" xr:uid="{D1975C0C-34CB-3848-B093-7B38C5D5F1A4}"/>
    <hyperlink ref="I3" r:id="rId2" xr:uid="{9B557201-9462-EE49-8000-C8AB7CBA091F}"/>
    <hyperlink ref="I4" r:id="rId3" xr:uid="{BD37C751-132D-BF46-A398-DF2050B45BF4}"/>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53DE-21EB-8F44-98D4-580ABF84B2FE}">
  <dimension ref="A1:Y95"/>
  <sheetViews>
    <sheetView topLeftCell="A62" workbookViewId="0">
      <selection activeCell="AC10" sqref="AC10"/>
    </sheetView>
  </sheetViews>
  <sheetFormatPr baseColWidth="10" defaultRowHeight="16"/>
  <sheetData>
    <row r="1" spans="1:25" ht="15.75" customHeight="1">
      <c r="A1" s="14" t="s">
        <v>251</v>
      </c>
      <c r="B1" s="15" t="s">
        <v>252</v>
      </c>
      <c r="C1" s="15" t="s">
        <v>253</v>
      </c>
      <c r="D1" s="15" t="s">
        <v>254</v>
      </c>
      <c r="E1" s="15" t="s">
        <v>255</v>
      </c>
      <c r="F1" s="15" t="s">
        <v>256</v>
      </c>
      <c r="G1" s="15" t="s">
        <v>257</v>
      </c>
      <c r="H1" s="15" t="s">
        <v>258</v>
      </c>
      <c r="I1" s="15" t="s">
        <v>259</v>
      </c>
      <c r="J1" s="15" t="s">
        <v>260</v>
      </c>
      <c r="K1" s="15" t="s">
        <v>261</v>
      </c>
      <c r="L1" s="15" t="s">
        <v>262</v>
      </c>
      <c r="M1" s="15" t="s">
        <v>263</v>
      </c>
      <c r="N1" s="15" t="s">
        <v>264</v>
      </c>
      <c r="O1" s="15" t="s">
        <v>265</v>
      </c>
      <c r="P1" s="15" t="s">
        <v>266</v>
      </c>
      <c r="Q1" s="15" t="s">
        <v>267</v>
      </c>
      <c r="R1" s="15" t="s">
        <v>268</v>
      </c>
      <c r="S1" s="15" t="s">
        <v>269</v>
      </c>
      <c r="T1" s="15" t="s">
        <v>270</v>
      </c>
      <c r="U1" s="15" t="s">
        <v>271</v>
      </c>
      <c r="V1" s="15" t="s">
        <v>272</v>
      </c>
      <c r="W1" t="s">
        <v>273</v>
      </c>
      <c r="X1" t="s">
        <v>274</v>
      </c>
      <c r="Y1" t="s">
        <v>275</v>
      </c>
    </row>
    <row r="2" spans="1:25">
      <c r="A2" s="6" t="s">
        <v>52</v>
      </c>
      <c r="B2" s="6" t="s">
        <v>53</v>
      </c>
      <c r="C2" s="6"/>
      <c r="D2" s="6"/>
      <c r="E2" s="6" t="s">
        <v>54</v>
      </c>
      <c r="F2" s="6" t="s">
        <v>55</v>
      </c>
      <c r="G2" s="6" t="s">
        <v>56</v>
      </c>
      <c r="H2" s="6">
        <v>64</v>
      </c>
      <c r="I2" s="6" t="s">
        <v>57</v>
      </c>
      <c r="J2" s="6" t="s">
        <v>58</v>
      </c>
      <c r="K2" s="6" t="s">
        <v>58</v>
      </c>
      <c r="L2" s="6" t="s">
        <v>59</v>
      </c>
      <c r="M2" s="6">
        <v>49</v>
      </c>
      <c r="N2" s="6">
        <v>49</v>
      </c>
      <c r="O2" s="6" t="s">
        <v>58</v>
      </c>
      <c r="P2" s="6" t="s">
        <v>60</v>
      </c>
      <c r="Q2" s="6" t="s">
        <v>58</v>
      </c>
      <c r="R2" s="6" t="s">
        <v>61</v>
      </c>
      <c r="S2" s="6" t="s">
        <v>62</v>
      </c>
      <c r="T2" s="6">
        <v>30</v>
      </c>
      <c r="U2" s="6">
        <v>33</v>
      </c>
      <c r="V2" s="6" t="s">
        <v>63</v>
      </c>
      <c r="W2" t="s">
        <v>58</v>
      </c>
      <c r="X2" t="s">
        <v>64</v>
      </c>
    </row>
    <row r="3" spans="1:25">
      <c r="A3" s="7" t="s">
        <v>65</v>
      </c>
      <c r="B3" s="8">
        <v>45014</v>
      </c>
      <c r="C3" s="7"/>
      <c r="D3" s="7"/>
      <c r="E3" s="7" t="s">
        <v>54</v>
      </c>
      <c r="F3" s="7" t="s">
        <v>55</v>
      </c>
      <c r="G3" s="7" t="s">
        <v>56</v>
      </c>
      <c r="H3" s="7">
        <v>79</v>
      </c>
      <c r="I3" s="7" t="s">
        <v>57</v>
      </c>
      <c r="J3" s="7" t="s">
        <v>58</v>
      </c>
      <c r="K3" s="7" t="s">
        <v>58</v>
      </c>
      <c r="L3" s="7" t="s">
        <v>59</v>
      </c>
      <c r="M3" s="7">
        <v>56</v>
      </c>
      <c r="N3" s="7">
        <v>56</v>
      </c>
      <c r="O3" s="7" t="s">
        <v>58</v>
      </c>
      <c r="P3" s="7" t="s">
        <v>60</v>
      </c>
      <c r="Q3" s="7" t="s">
        <v>58</v>
      </c>
      <c r="R3" s="7">
        <v>14</v>
      </c>
      <c r="S3" s="7" t="s">
        <v>58</v>
      </c>
      <c r="T3" s="7" t="s">
        <v>58</v>
      </c>
      <c r="U3" s="7">
        <v>23</v>
      </c>
      <c r="V3" s="7" t="s">
        <v>63</v>
      </c>
      <c r="W3" t="s">
        <v>58</v>
      </c>
      <c r="X3" t="s">
        <v>64</v>
      </c>
    </row>
    <row r="4" spans="1:25">
      <c r="A4" s="6" t="s">
        <v>66</v>
      </c>
      <c r="B4" s="6" t="s">
        <v>67</v>
      </c>
      <c r="C4" s="6"/>
      <c r="D4" s="6"/>
      <c r="E4" s="6" t="s">
        <v>54</v>
      </c>
      <c r="F4" s="6" t="s">
        <v>55</v>
      </c>
      <c r="G4" s="6" t="s">
        <v>56</v>
      </c>
      <c r="H4" s="6">
        <v>86</v>
      </c>
      <c r="I4" s="6" t="s">
        <v>57</v>
      </c>
      <c r="J4" s="6" t="s">
        <v>58</v>
      </c>
      <c r="K4" s="6" t="s">
        <v>58</v>
      </c>
      <c r="L4" s="6" t="s">
        <v>68</v>
      </c>
      <c r="M4" s="6" t="s">
        <v>58</v>
      </c>
      <c r="N4" s="6" t="s">
        <v>58</v>
      </c>
      <c r="O4" s="6" t="s">
        <v>58</v>
      </c>
      <c r="P4" s="6" t="s">
        <v>69</v>
      </c>
      <c r="Q4" s="6" t="s">
        <v>58</v>
      </c>
      <c r="R4" s="6">
        <v>12</v>
      </c>
      <c r="S4" s="6" t="s">
        <v>62</v>
      </c>
      <c r="T4" s="6">
        <v>50</v>
      </c>
      <c r="U4" s="6">
        <v>33</v>
      </c>
      <c r="V4" s="6" t="s">
        <v>70</v>
      </c>
      <c r="W4" t="s">
        <v>58</v>
      </c>
      <c r="X4" t="s">
        <v>68</v>
      </c>
    </row>
    <row r="5" spans="1:25">
      <c r="A5" s="7" t="s">
        <v>71</v>
      </c>
      <c r="B5" s="7" t="s">
        <v>72</v>
      </c>
      <c r="C5" s="7"/>
      <c r="D5" s="7"/>
      <c r="E5" s="7" t="s">
        <v>54</v>
      </c>
      <c r="F5" s="7" t="s">
        <v>55</v>
      </c>
      <c r="G5" s="7" t="s">
        <v>56</v>
      </c>
      <c r="H5" s="7">
        <v>89</v>
      </c>
      <c r="I5" s="7" t="s">
        <v>57</v>
      </c>
      <c r="J5" s="7" t="s">
        <v>58</v>
      </c>
      <c r="K5" s="7" t="s">
        <v>58</v>
      </c>
      <c r="L5" s="7" t="s">
        <v>68</v>
      </c>
      <c r="M5" s="7" t="s">
        <v>58</v>
      </c>
      <c r="N5" s="7" t="s">
        <v>58</v>
      </c>
      <c r="O5" s="7" t="s">
        <v>58</v>
      </c>
      <c r="P5" s="7" t="s">
        <v>69</v>
      </c>
      <c r="Q5" s="7" t="s">
        <v>58</v>
      </c>
      <c r="R5" s="7">
        <v>16</v>
      </c>
      <c r="S5" s="7" t="s">
        <v>73</v>
      </c>
      <c r="T5" s="7">
        <v>0</v>
      </c>
      <c r="U5" s="7">
        <v>34</v>
      </c>
      <c r="V5" s="7" t="s">
        <v>70</v>
      </c>
      <c r="W5" t="s">
        <v>58</v>
      </c>
      <c r="X5" t="s">
        <v>68</v>
      </c>
    </row>
    <row r="6" spans="1:25">
      <c r="A6" s="6" t="s">
        <v>74</v>
      </c>
      <c r="B6" s="6" t="s">
        <v>75</v>
      </c>
      <c r="C6" s="6"/>
      <c r="D6" s="6"/>
      <c r="E6" s="6" t="s">
        <v>54</v>
      </c>
      <c r="F6" s="6" t="s">
        <v>55</v>
      </c>
      <c r="G6" s="6" t="s">
        <v>76</v>
      </c>
      <c r="H6" s="6">
        <v>95</v>
      </c>
      <c r="I6" s="6" t="s">
        <v>57</v>
      </c>
      <c r="J6" s="6" t="s">
        <v>58</v>
      </c>
      <c r="K6" s="6" t="s">
        <v>58</v>
      </c>
      <c r="L6" s="6" t="s">
        <v>68</v>
      </c>
      <c r="M6" s="6" t="s">
        <v>58</v>
      </c>
      <c r="N6" s="6" t="s">
        <v>58</v>
      </c>
      <c r="O6" s="6" t="s">
        <v>58</v>
      </c>
      <c r="P6" s="6" t="s">
        <v>69</v>
      </c>
      <c r="Q6" s="6" t="s">
        <v>58</v>
      </c>
      <c r="R6" s="6">
        <v>12</v>
      </c>
      <c r="S6" s="6" t="s">
        <v>62</v>
      </c>
      <c r="T6" s="6" t="s">
        <v>58</v>
      </c>
      <c r="U6" s="6">
        <v>33</v>
      </c>
      <c r="V6" s="6" t="s">
        <v>77</v>
      </c>
      <c r="W6" t="s">
        <v>58</v>
      </c>
      <c r="X6" t="s">
        <v>68</v>
      </c>
    </row>
    <row r="7" spans="1:25">
      <c r="A7" s="7" t="s">
        <v>78</v>
      </c>
      <c r="B7" s="7" t="s">
        <v>79</v>
      </c>
      <c r="C7" s="7"/>
      <c r="D7" s="7"/>
      <c r="E7" s="7" t="s">
        <v>54</v>
      </c>
      <c r="F7" s="7" t="s">
        <v>55</v>
      </c>
      <c r="G7" s="7" t="s">
        <v>56</v>
      </c>
      <c r="H7" s="7">
        <v>90</v>
      </c>
      <c r="I7" s="7" t="s">
        <v>57</v>
      </c>
      <c r="J7" s="7" t="s">
        <v>58</v>
      </c>
      <c r="K7" s="7" t="s">
        <v>58</v>
      </c>
      <c r="L7" s="7" t="s">
        <v>59</v>
      </c>
      <c r="M7" s="7">
        <v>75</v>
      </c>
      <c r="N7" s="7">
        <v>75</v>
      </c>
      <c r="O7" s="7" t="s">
        <v>58</v>
      </c>
      <c r="P7" s="7" t="s">
        <v>69</v>
      </c>
      <c r="Q7" s="7" t="s">
        <v>58</v>
      </c>
      <c r="R7" s="7">
        <v>12</v>
      </c>
      <c r="S7" s="7" t="s">
        <v>62</v>
      </c>
      <c r="T7" s="7" t="s">
        <v>58</v>
      </c>
      <c r="U7" s="7">
        <v>33</v>
      </c>
      <c r="V7" s="7" t="s">
        <v>58</v>
      </c>
      <c r="W7" t="s">
        <v>58</v>
      </c>
      <c r="X7" t="s">
        <v>64</v>
      </c>
    </row>
    <row r="8" spans="1:25">
      <c r="A8" s="6" t="s">
        <v>80</v>
      </c>
      <c r="B8" s="9">
        <v>45031</v>
      </c>
      <c r="C8" s="6"/>
      <c r="D8" s="6"/>
      <c r="E8" s="6" t="s">
        <v>54</v>
      </c>
      <c r="F8" s="6" t="s">
        <v>55</v>
      </c>
      <c r="G8" s="6" t="s">
        <v>56</v>
      </c>
      <c r="H8" s="6">
        <v>89</v>
      </c>
      <c r="I8" s="6" t="s">
        <v>57</v>
      </c>
      <c r="J8" s="6" t="s">
        <v>58</v>
      </c>
      <c r="K8" s="6" t="s">
        <v>58</v>
      </c>
      <c r="L8" s="6" t="s">
        <v>81</v>
      </c>
      <c r="M8" s="6">
        <v>88</v>
      </c>
      <c r="N8" s="6">
        <v>88</v>
      </c>
      <c r="O8" s="6">
        <v>88</v>
      </c>
      <c r="P8" s="6" t="s">
        <v>69</v>
      </c>
      <c r="Q8" s="6" t="s">
        <v>58</v>
      </c>
      <c r="R8" s="6">
        <v>18</v>
      </c>
      <c r="S8" s="6" t="s">
        <v>58</v>
      </c>
      <c r="T8" s="6" t="s">
        <v>58</v>
      </c>
      <c r="U8" s="6">
        <v>34</v>
      </c>
      <c r="V8" s="6" t="s">
        <v>58</v>
      </c>
      <c r="W8" t="s">
        <v>58</v>
      </c>
      <c r="X8" t="s">
        <v>82</v>
      </c>
    </row>
    <row r="9" spans="1:25">
      <c r="A9" s="7" t="s">
        <v>83</v>
      </c>
      <c r="B9" s="7" t="s">
        <v>84</v>
      </c>
      <c r="C9" s="7"/>
      <c r="D9" s="7"/>
      <c r="E9" s="7" t="s">
        <v>54</v>
      </c>
      <c r="F9" s="7" t="s">
        <v>55</v>
      </c>
      <c r="G9" s="7" t="s">
        <v>56</v>
      </c>
      <c r="H9" s="7">
        <v>85</v>
      </c>
      <c r="I9" s="7" t="s">
        <v>57</v>
      </c>
      <c r="J9" s="7" t="s">
        <v>58</v>
      </c>
      <c r="K9" s="7" t="s">
        <v>58</v>
      </c>
      <c r="L9" s="7" t="s">
        <v>68</v>
      </c>
      <c r="M9" s="7">
        <v>84</v>
      </c>
      <c r="N9" s="7" t="s">
        <v>58</v>
      </c>
      <c r="O9" s="7" t="s">
        <v>58</v>
      </c>
      <c r="P9" s="7" t="s">
        <v>69</v>
      </c>
      <c r="Q9" s="7" t="s">
        <v>58</v>
      </c>
      <c r="R9" s="7">
        <v>13</v>
      </c>
      <c r="S9" s="7" t="s">
        <v>62</v>
      </c>
      <c r="T9" s="7">
        <v>20</v>
      </c>
      <c r="U9" s="7">
        <v>34</v>
      </c>
      <c r="V9" s="7" t="s">
        <v>77</v>
      </c>
      <c r="W9" t="s">
        <v>58</v>
      </c>
      <c r="X9" t="s">
        <v>68</v>
      </c>
    </row>
    <row r="10" spans="1:25">
      <c r="A10" s="6" t="s">
        <v>85</v>
      </c>
      <c r="B10" s="6" t="s">
        <v>86</v>
      </c>
      <c r="C10" s="6"/>
      <c r="D10" s="6"/>
      <c r="E10" s="6" t="s">
        <v>54</v>
      </c>
      <c r="F10" s="6" t="s">
        <v>55</v>
      </c>
      <c r="G10" s="6" t="s">
        <v>76</v>
      </c>
      <c r="H10" s="6">
        <v>90</v>
      </c>
      <c r="I10" s="6" t="s">
        <v>57</v>
      </c>
      <c r="J10" s="6" t="s">
        <v>58</v>
      </c>
      <c r="K10" s="6" t="s">
        <v>58</v>
      </c>
      <c r="L10" s="6" t="s">
        <v>81</v>
      </c>
      <c r="M10" s="6" t="s">
        <v>58</v>
      </c>
      <c r="N10" s="6" t="s">
        <v>58</v>
      </c>
      <c r="O10" s="6" t="s">
        <v>58</v>
      </c>
      <c r="P10" s="6" t="s">
        <v>69</v>
      </c>
      <c r="Q10" s="6" t="s">
        <v>58</v>
      </c>
      <c r="R10" s="6">
        <v>16</v>
      </c>
      <c r="S10" s="6" t="s">
        <v>62</v>
      </c>
      <c r="T10" s="6">
        <v>53</v>
      </c>
      <c r="U10" s="6">
        <v>33</v>
      </c>
      <c r="V10" s="6" t="s">
        <v>70</v>
      </c>
      <c r="W10" t="s">
        <v>58</v>
      </c>
      <c r="X10" t="s">
        <v>82</v>
      </c>
    </row>
    <row r="11" spans="1:25">
      <c r="A11" s="7" t="s">
        <v>87</v>
      </c>
      <c r="B11" s="7" t="s">
        <v>88</v>
      </c>
      <c r="C11" s="7"/>
      <c r="D11" s="7"/>
      <c r="E11" s="7" t="s">
        <v>54</v>
      </c>
      <c r="F11" s="7" t="s">
        <v>55</v>
      </c>
      <c r="G11" s="7" t="s">
        <v>56</v>
      </c>
      <c r="H11" s="7">
        <v>82</v>
      </c>
      <c r="I11" s="7" t="s">
        <v>57</v>
      </c>
      <c r="J11" s="7" t="s">
        <v>58</v>
      </c>
      <c r="K11" s="7" t="s">
        <v>58</v>
      </c>
      <c r="L11" s="7" t="s">
        <v>68</v>
      </c>
      <c r="M11" s="7" t="s">
        <v>58</v>
      </c>
      <c r="N11" s="7" t="s">
        <v>58</v>
      </c>
      <c r="O11" s="7">
        <v>75</v>
      </c>
      <c r="P11" s="7" t="s">
        <v>69</v>
      </c>
      <c r="Q11" s="7" t="s">
        <v>58</v>
      </c>
      <c r="R11" s="7">
        <v>8</v>
      </c>
      <c r="S11" s="7" t="s">
        <v>73</v>
      </c>
      <c r="T11" s="7">
        <v>0</v>
      </c>
      <c r="U11" s="7">
        <v>33</v>
      </c>
      <c r="V11" s="7" t="s">
        <v>70</v>
      </c>
      <c r="W11" t="s">
        <v>58</v>
      </c>
      <c r="X11" t="s">
        <v>68</v>
      </c>
    </row>
    <row r="12" spans="1:25">
      <c r="A12" s="6" t="s">
        <v>89</v>
      </c>
      <c r="B12" s="9">
        <v>45079</v>
      </c>
      <c r="C12" s="6"/>
      <c r="D12" s="6"/>
      <c r="E12" s="6" t="s">
        <v>54</v>
      </c>
      <c r="F12" s="6" t="s">
        <v>55</v>
      </c>
      <c r="G12" s="6" t="s">
        <v>56</v>
      </c>
      <c r="H12" s="6">
        <v>84</v>
      </c>
      <c r="I12" s="6" t="s">
        <v>57</v>
      </c>
      <c r="J12" s="6" t="s">
        <v>58</v>
      </c>
      <c r="K12" s="6" t="s">
        <v>58</v>
      </c>
      <c r="L12" s="6" t="s">
        <v>81</v>
      </c>
      <c r="M12" s="6">
        <v>81</v>
      </c>
      <c r="N12" s="6" t="s">
        <v>58</v>
      </c>
      <c r="O12" s="6" t="s">
        <v>58</v>
      </c>
      <c r="P12" s="6" t="s">
        <v>69</v>
      </c>
      <c r="Q12" s="6" t="s">
        <v>58</v>
      </c>
      <c r="R12" s="6">
        <v>16</v>
      </c>
      <c r="S12" s="6" t="s">
        <v>62</v>
      </c>
      <c r="T12" s="6">
        <v>30</v>
      </c>
      <c r="U12" s="6">
        <v>34</v>
      </c>
      <c r="V12" s="6" t="s">
        <v>77</v>
      </c>
      <c r="W12" t="s">
        <v>58</v>
      </c>
      <c r="X12" t="s">
        <v>82</v>
      </c>
    </row>
    <row r="13" spans="1:25">
      <c r="A13" s="7" t="s">
        <v>90</v>
      </c>
      <c r="B13" s="8">
        <v>45092</v>
      </c>
      <c r="C13" s="7"/>
      <c r="D13" s="7"/>
      <c r="E13" s="7" t="s">
        <v>54</v>
      </c>
      <c r="F13" s="7" t="s">
        <v>55</v>
      </c>
      <c r="G13" s="7" t="s">
        <v>76</v>
      </c>
      <c r="H13" s="7">
        <v>87</v>
      </c>
      <c r="I13" s="7" t="s">
        <v>57</v>
      </c>
      <c r="J13" s="7" t="s">
        <v>58</v>
      </c>
      <c r="K13" s="7" t="s">
        <v>58</v>
      </c>
      <c r="L13" s="7" t="s">
        <v>68</v>
      </c>
      <c r="M13" s="7" t="s">
        <v>58</v>
      </c>
      <c r="N13" s="7" t="s">
        <v>58</v>
      </c>
      <c r="O13" s="7" t="s">
        <v>58</v>
      </c>
      <c r="P13" s="7" t="s">
        <v>69</v>
      </c>
      <c r="Q13" s="7" t="s">
        <v>58</v>
      </c>
      <c r="R13" s="7">
        <v>15</v>
      </c>
      <c r="S13" s="7" t="s">
        <v>62</v>
      </c>
      <c r="T13" s="7">
        <v>34</v>
      </c>
      <c r="U13" s="7">
        <v>23</v>
      </c>
      <c r="V13" s="7" t="s">
        <v>70</v>
      </c>
      <c r="W13" t="s">
        <v>58</v>
      </c>
      <c r="X13" t="s">
        <v>68</v>
      </c>
    </row>
    <row r="14" spans="1:25">
      <c r="A14" s="6" t="s">
        <v>91</v>
      </c>
      <c r="B14" s="6" t="s">
        <v>92</v>
      </c>
      <c r="C14" s="6"/>
      <c r="D14" s="6"/>
      <c r="E14" s="6" t="s">
        <v>54</v>
      </c>
      <c r="F14" s="6" t="s">
        <v>55</v>
      </c>
      <c r="G14" s="6" t="s">
        <v>56</v>
      </c>
      <c r="H14" s="6">
        <v>89</v>
      </c>
      <c r="I14" s="6" t="s">
        <v>57</v>
      </c>
      <c r="J14" s="6" t="s">
        <v>58</v>
      </c>
      <c r="K14" s="6" t="s">
        <v>58</v>
      </c>
      <c r="L14" s="6" t="s">
        <v>68</v>
      </c>
      <c r="M14" s="6" t="s">
        <v>58</v>
      </c>
      <c r="N14" s="6" t="s">
        <v>58</v>
      </c>
      <c r="O14" s="6" t="s">
        <v>58</v>
      </c>
      <c r="P14" s="6" t="s">
        <v>69</v>
      </c>
      <c r="Q14" s="6" t="s">
        <v>58</v>
      </c>
      <c r="R14" s="6">
        <v>13</v>
      </c>
      <c r="S14" s="6" t="s">
        <v>58</v>
      </c>
      <c r="T14" s="6" t="s">
        <v>58</v>
      </c>
      <c r="U14" s="6">
        <v>33</v>
      </c>
      <c r="V14" s="6" t="s">
        <v>70</v>
      </c>
      <c r="W14" t="s">
        <v>58</v>
      </c>
      <c r="X14" t="s">
        <v>68</v>
      </c>
    </row>
    <row r="15" spans="1:25">
      <c r="A15" s="7" t="s">
        <v>93</v>
      </c>
      <c r="B15" s="7" t="s">
        <v>94</v>
      </c>
      <c r="C15" s="7"/>
      <c r="D15" s="7"/>
      <c r="E15" s="7" t="s">
        <v>54</v>
      </c>
      <c r="F15" s="7" t="s">
        <v>55</v>
      </c>
      <c r="G15" s="7" t="s">
        <v>56</v>
      </c>
      <c r="H15" s="7">
        <v>79</v>
      </c>
      <c r="I15" s="7" t="s">
        <v>57</v>
      </c>
      <c r="J15" s="7" t="s">
        <v>58</v>
      </c>
      <c r="K15" s="7" t="s">
        <v>58</v>
      </c>
      <c r="L15" s="7" t="s">
        <v>59</v>
      </c>
      <c r="M15" s="7">
        <v>75</v>
      </c>
      <c r="N15" s="7">
        <v>75</v>
      </c>
      <c r="O15" s="7" t="s">
        <v>58</v>
      </c>
      <c r="P15" s="7" t="s">
        <v>60</v>
      </c>
      <c r="Q15" s="7" t="s">
        <v>58</v>
      </c>
      <c r="R15" s="7">
        <v>12</v>
      </c>
      <c r="S15" s="7" t="s">
        <v>62</v>
      </c>
      <c r="T15" s="7">
        <v>40</v>
      </c>
      <c r="U15" s="7">
        <v>33</v>
      </c>
      <c r="V15" s="7" t="s">
        <v>63</v>
      </c>
      <c r="W15" t="s">
        <v>58</v>
      </c>
      <c r="X15" t="s">
        <v>64</v>
      </c>
    </row>
    <row r="16" spans="1:25">
      <c r="A16" s="6" t="s">
        <v>95</v>
      </c>
      <c r="B16" s="6" t="s">
        <v>96</v>
      </c>
      <c r="C16" s="6"/>
      <c r="D16" s="6"/>
      <c r="E16" s="6" t="s">
        <v>54</v>
      </c>
      <c r="F16" s="6" t="s">
        <v>55</v>
      </c>
      <c r="G16" s="6" t="s">
        <v>76</v>
      </c>
      <c r="H16" s="6">
        <v>87</v>
      </c>
      <c r="I16" s="6" t="s">
        <v>57</v>
      </c>
      <c r="J16" s="6" t="s">
        <v>58</v>
      </c>
      <c r="K16" s="6" t="s">
        <v>58</v>
      </c>
      <c r="L16" s="6" t="s">
        <v>59</v>
      </c>
      <c r="M16" s="6">
        <v>78</v>
      </c>
      <c r="N16" s="6">
        <v>78</v>
      </c>
      <c r="O16" s="6">
        <v>79</v>
      </c>
      <c r="P16" s="6" t="s">
        <v>69</v>
      </c>
      <c r="Q16" s="6" t="s">
        <v>58</v>
      </c>
      <c r="R16" s="6">
        <v>14</v>
      </c>
      <c r="S16" s="6" t="s">
        <v>73</v>
      </c>
      <c r="T16" s="6">
        <v>0</v>
      </c>
      <c r="U16" s="6">
        <v>23</v>
      </c>
      <c r="V16" s="6" t="s">
        <v>58</v>
      </c>
      <c r="W16" t="s">
        <v>58</v>
      </c>
      <c r="X16" t="s">
        <v>64</v>
      </c>
    </row>
    <row r="17" spans="1:24">
      <c r="A17" s="7" t="s">
        <v>97</v>
      </c>
      <c r="B17" s="7" t="s">
        <v>98</v>
      </c>
      <c r="C17" s="7"/>
      <c r="D17" s="7"/>
      <c r="E17" s="7" t="s">
        <v>54</v>
      </c>
      <c r="F17" s="7" t="s">
        <v>55</v>
      </c>
      <c r="G17" s="7" t="s">
        <v>56</v>
      </c>
      <c r="H17" s="7">
        <v>83</v>
      </c>
      <c r="I17" s="7" t="s">
        <v>57</v>
      </c>
      <c r="J17" s="7" t="s">
        <v>58</v>
      </c>
      <c r="K17" s="7" t="s">
        <v>58</v>
      </c>
      <c r="L17" s="7" t="s">
        <v>59</v>
      </c>
      <c r="M17" s="7">
        <v>67</v>
      </c>
      <c r="N17" s="7">
        <v>67</v>
      </c>
      <c r="O17" s="7">
        <v>73</v>
      </c>
      <c r="P17" s="7" t="s">
        <v>60</v>
      </c>
      <c r="Q17" s="7" t="s">
        <v>58</v>
      </c>
      <c r="R17" s="7">
        <v>20</v>
      </c>
      <c r="S17" s="7" t="s">
        <v>62</v>
      </c>
      <c r="T17" s="7">
        <v>22</v>
      </c>
      <c r="U17" s="7">
        <v>23</v>
      </c>
      <c r="V17" s="7" t="s">
        <v>63</v>
      </c>
      <c r="W17" t="s">
        <v>58</v>
      </c>
      <c r="X17" t="s">
        <v>64</v>
      </c>
    </row>
    <row r="18" spans="1:24">
      <c r="A18" s="6" t="s">
        <v>99</v>
      </c>
      <c r="B18" s="6" t="s">
        <v>100</v>
      </c>
      <c r="C18" s="6"/>
      <c r="D18" s="6"/>
      <c r="E18" s="6" t="s">
        <v>54</v>
      </c>
      <c r="F18" s="6" t="s">
        <v>55</v>
      </c>
      <c r="G18" s="6" t="s">
        <v>76</v>
      </c>
      <c r="H18" s="6">
        <v>82</v>
      </c>
      <c r="I18" s="6" t="s">
        <v>57</v>
      </c>
      <c r="J18" s="6" t="s">
        <v>58</v>
      </c>
      <c r="K18" s="6" t="s">
        <v>58</v>
      </c>
      <c r="L18" s="6" t="s">
        <v>59</v>
      </c>
      <c r="M18" s="6">
        <v>63</v>
      </c>
      <c r="N18" s="6">
        <v>63</v>
      </c>
      <c r="O18" s="6">
        <v>63</v>
      </c>
      <c r="P18" s="6" t="s">
        <v>60</v>
      </c>
      <c r="Q18" s="6" t="s">
        <v>58</v>
      </c>
      <c r="R18" s="6">
        <v>12</v>
      </c>
      <c r="S18" s="6" t="s">
        <v>73</v>
      </c>
      <c r="T18" s="6">
        <v>0</v>
      </c>
      <c r="U18" s="6">
        <v>33</v>
      </c>
      <c r="V18" s="6" t="s">
        <v>63</v>
      </c>
      <c r="W18" t="s">
        <v>58</v>
      </c>
      <c r="X18" t="s">
        <v>64</v>
      </c>
    </row>
    <row r="19" spans="1:24">
      <c r="A19" s="7" t="s">
        <v>101</v>
      </c>
      <c r="B19" s="8">
        <v>45111</v>
      </c>
      <c r="C19" s="7"/>
      <c r="D19" s="7"/>
      <c r="E19" s="7" t="s">
        <v>54</v>
      </c>
      <c r="F19" s="7" t="s">
        <v>55</v>
      </c>
      <c r="G19" s="7" t="s">
        <v>56</v>
      </c>
      <c r="H19" s="7">
        <v>97</v>
      </c>
      <c r="I19" s="7" t="s">
        <v>57</v>
      </c>
      <c r="J19" s="7" t="s">
        <v>58</v>
      </c>
      <c r="K19" s="7" t="s">
        <v>58</v>
      </c>
      <c r="L19" s="7" t="s">
        <v>68</v>
      </c>
      <c r="M19" s="7" t="s">
        <v>58</v>
      </c>
      <c r="N19" s="7" t="s">
        <v>58</v>
      </c>
      <c r="O19" s="7" t="s">
        <v>58</v>
      </c>
      <c r="P19" s="7" t="s">
        <v>69</v>
      </c>
      <c r="Q19" s="7" t="s">
        <v>58</v>
      </c>
      <c r="R19" s="7">
        <v>16</v>
      </c>
      <c r="S19" s="7" t="s">
        <v>62</v>
      </c>
      <c r="T19" s="7">
        <v>25</v>
      </c>
      <c r="U19" s="7">
        <v>23</v>
      </c>
      <c r="V19" s="7" t="s">
        <v>70</v>
      </c>
      <c r="W19" t="s">
        <v>58</v>
      </c>
      <c r="X19" t="s">
        <v>68</v>
      </c>
    </row>
    <row r="20" spans="1:24">
      <c r="A20" s="6" t="s">
        <v>102</v>
      </c>
      <c r="B20" s="10" t="s">
        <v>103</v>
      </c>
      <c r="C20" s="6"/>
      <c r="D20" s="6"/>
      <c r="E20" s="6" t="s">
        <v>54</v>
      </c>
      <c r="F20" s="6" t="s">
        <v>55</v>
      </c>
      <c r="G20" s="6" t="s">
        <v>56</v>
      </c>
      <c r="H20" s="6">
        <v>89</v>
      </c>
      <c r="I20" s="6" t="s">
        <v>57</v>
      </c>
      <c r="J20" s="6" t="s">
        <v>58</v>
      </c>
      <c r="K20" s="6" t="s">
        <v>58</v>
      </c>
      <c r="L20" s="6" t="s">
        <v>68</v>
      </c>
      <c r="M20" s="6" t="s">
        <v>58</v>
      </c>
      <c r="N20" s="6" t="s">
        <v>58</v>
      </c>
      <c r="O20" s="6" t="s">
        <v>58</v>
      </c>
      <c r="P20" s="6" t="s">
        <v>69</v>
      </c>
      <c r="Q20" s="6" t="s">
        <v>58</v>
      </c>
      <c r="R20" s="6">
        <v>12</v>
      </c>
      <c r="S20" s="6" t="s">
        <v>62</v>
      </c>
      <c r="T20" s="6">
        <v>40</v>
      </c>
      <c r="U20" s="6">
        <v>33</v>
      </c>
      <c r="V20" s="6" t="s">
        <v>70</v>
      </c>
      <c r="W20" t="s">
        <v>58</v>
      </c>
      <c r="X20" t="s">
        <v>68</v>
      </c>
    </row>
    <row r="21" spans="1:24">
      <c r="A21" s="7" t="s">
        <v>104</v>
      </c>
      <c r="B21" s="7" t="s">
        <v>105</v>
      </c>
      <c r="C21" s="7"/>
      <c r="D21" s="7"/>
      <c r="E21" s="7" t="s">
        <v>54</v>
      </c>
      <c r="F21" s="7" t="s">
        <v>55</v>
      </c>
      <c r="G21" s="7" t="s">
        <v>76</v>
      </c>
      <c r="H21" s="7">
        <v>91</v>
      </c>
      <c r="I21" s="7" t="s">
        <v>57</v>
      </c>
      <c r="J21" s="7" t="s">
        <v>58</v>
      </c>
      <c r="K21" s="7" t="s">
        <v>58</v>
      </c>
      <c r="L21" s="7" t="s">
        <v>68</v>
      </c>
      <c r="M21" s="7" t="s">
        <v>58</v>
      </c>
      <c r="N21" s="7" t="s">
        <v>58</v>
      </c>
      <c r="O21" s="7">
        <v>82</v>
      </c>
      <c r="P21" s="7" t="s">
        <v>69</v>
      </c>
      <c r="Q21" s="7" t="s">
        <v>58</v>
      </c>
      <c r="R21" s="7" t="s">
        <v>58</v>
      </c>
      <c r="S21" s="7" t="s">
        <v>58</v>
      </c>
      <c r="T21" s="7" t="s">
        <v>58</v>
      </c>
      <c r="U21" s="7">
        <v>23</v>
      </c>
      <c r="V21" s="7" t="s">
        <v>70</v>
      </c>
      <c r="W21" t="s">
        <v>58</v>
      </c>
      <c r="X21" t="s">
        <v>68</v>
      </c>
    </row>
    <row r="22" spans="1:24">
      <c r="A22" s="6" t="s">
        <v>106</v>
      </c>
      <c r="B22" s="6" t="s">
        <v>107</v>
      </c>
      <c r="C22" s="6"/>
      <c r="D22" s="6"/>
      <c r="E22" s="6" t="s">
        <v>54</v>
      </c>
      <c r="F22" s="6" t="s">
        <v>55</v>
      </c>
      <c r="G22" s="6" t="s">
        <v>56</v>
      </c>
      <c r="H22" s="6">
        <v>71</v>
      </c>
      <c r="I22" s="6" t="s">
        <v>57</v>
      </c>
      <c r="J22" s="6" t="s">
        <v>58</v>
      </c>
      <c r="K22" s="6" t="s">
        <v>58</v>
      </c>
      <c r="L22" s="6" t="s">
        <v>68</v>
      </c>
      <c r="M22" s="6" t="s">
        <v>58</v>
      </c>
      <c r="N22" s="6" t="s">
        <v>58</v>
      </c>
      <c r="O22" s="6" t="s">
        <v>58</v>
      </c>
      <c r="P22" s="6" t="s">
        <v>69</v>
      </c>
      <c r="Q22" s="6" t="s">
        <v>58</v>
      </c>
      <c r="R22" s="6">
        <v>13</v>
      </c>
      <c r="S22" s="6" t="s">
        <v>62</v>
      </c>
      <c r="T22" s="6">
        <v>46</v>
      </c>
      <c r="U22" s="6">
        <v>33</v>
      </c>
      <c r="V22" s="6" t="s">
        <v>70</v>
      </c>
      <c r="W22" t="s">
        <v>58</v>
      </c>
      <c r="X22" t="s">
        <v>68</v>
      </c>
    </row>
    <row r="23" spans="1:24">
      <c r="A23" s="7" t="s">
        <v>108</v>
      </c>
      <c r="B23" s="7" t="s">
        <v>109</v>
      </c>
      <c r="C23" s="7"/>
      <c r="D23" s="7"/>
      <c r="E23" s="7" t="s">
        <v>54</v>
      </c>
      <c r="F23" s="7" t="s">
        <v>55</v>
      </c>
      <c r="G23" s="7" t="s">
        <v>56</v>
      </c>
      <c r="H23" s="7">
        <v>80</v>
      </c>
      <c r="I23" s="7" t="s">
        <v>57</v>
      </c>
      <c r="J23" s="7" t="s">
        <v>58</v>
      </c>
      <c r="K23" s="7" t="s">
        <v>58</v>
      </c>
      <c r="L23" s="7" t="s">
        <v>81</v>
      </c>
      <c r="M23" s="7" t="s">
        <v>58</v>
      </c>
      <c r="N23" s="7" t="s">
        <v>58</v>
      </c>
      <c r="O23" s="7" t="s">
        <v>58</v>
      </c>
      <c r="P23" s="7" t="s">
        <v>69</v>
      </c>
      <c r="Q23" s="7" t="s">
        <v>58</v>
      </c>
      <c r="R23" s="7">
        <v>12</v>
      </c>
      <c r="S23" s="7" t="s">
        <v>62</v>
      </c>
      <c r="T23" s="7">
        <v>82</v>
      </c>
      <c r="U23" s="7">
        <v>33</v>
      </c>
      <c r="V23" s="7" t="s">
        <v>70</v>
      </c>
      <c r="W23" t="s">
        <v>58</v>
      </c>
      <c r="X23" t="s">
        <v>82</v>
      </c>
    </row>
    <row r="24" spans="1:24">
      <c r="A24" s="6" t="s">
        <v>110</v>
      </c>
      <c r="B24" s="6" t="s">
        <v>111</v>
      </c>
      <c r="C24" s="6"/>
      <c r="D24" s="6"/>
      <c r="E24" s="6" t="s">
        <v>54</v>
      </c>
      <c r="F24" s="6" t="s">
        <v>55</v>
      </c>
      <c r="G24" s="6" t="s">
        <v>76</v>
      </c>
      <c r="H24" s="6">
        <v>87</v>
      </c>
      <c r="I24" s="6" t="s">
        <v>57</v>
      </c>
      <c r="J24" s="6" t="s">
        <v>58</v>
      </c>
      <c r="K24" s="6" t="s">
        <v>58</v>
      </c>
      <c r="L24" s="6" t="s">
        <v>59</v>
      </c>
      <c r="M24" s="6">
        <v>66</v>
      </c>
      <c r="N24" s="6">
        <v>66</v>
      </c>
      <c r="O24" s="6">
        <v>71</v>
      </c>
      <c r="P24" s="6" t="s">
        <v>60</v>
      </c>
      <c r="Q24" s="6" t="s">
        <v>58</v>
      </c>
      <c r="R24" s="6">
        <v>12</v>
      </c>
      <c r="S24" s="6" t="s">
        <v>73</v>
      </c>
      <c r="T24" s="6">
        <v>0</v>
      </c>
      <c r="U24" s="6">
        <v>33</v>
      </c>
      <c r="V24" s="6" t="s">
        <v>63</v>
      </c>
      <c r="W24" t="s">
        <v>58</v>
      </c>
      <c r="X24" t="s">
        <v>64</v>
      </c>
    </row>
    <row r="25" spans="1:24">
      <c r="A25" s="7" t="s">
        <v>112</v>
      </c>
      <c r="B25" s="11">
        <v>45221</v>
      </c>
      <c r="C25" s="7"/>
      <c r="D25" s="7"/>
      <c r="E25" s="7" t="s">
        <v>54</v>
      </c>
      <c r="F25" s="7" t="s">
        <v>55</v>
      </c>
      <c r="G25" s="7" t="s">
        <v>76</v>
      </c>
      <c r="H25" s="7">
        <v>59</v>
      </c>
      <c r="I25" s="7" t="s">
        <v>57</v>
      </c>
      <c r="J25" s="7" t="s">
        <v>58</v>
      </c>
      <c r="K25" s="7" t="s">
        <v>58</v>
      </c>
      <c r="L25" s="7" t="s">
        <v>68</v>
      </c>
      <c r="M25" s="7" t="s">
        <v>58</v>
      </c>
      <c r="N25" s="7" t="s">
        <v>58</v>
      </c>
      <c r="O25" s="7" t="s">
        <v>58</v>
      </c>
      <c r="P25" s="7" t="s">
        <v>69</v>
      </c>
      <c r="Q25" s="7" t="s">
        <v>58</v>
      </c>
      <c r="R25" s="7">
        <v>19</v>
      </c>
      <c r="S25" s="7" t="s">
        <v>73</v>
      </c>
      <c r="T25" s="7">
        <v>0</v>
      </c>
      <c r="U25" s="7">
        <v>33</v>
      </c>
      <c r="V25" s="7" t="s">
        <v>70</v>
      </c>
      <c r="W25" t="s">
        <v>58</v>
      </c>
      <c r="X25" t="s">
        <v>68</v>
      </c>
    </row>
    <row r="26" spans="1:24">
      <c r="A26" s="6" t="s">
        <v>113</v>
      </c>
      <c r="B26" s="6" t="s">
        <v>114</v>
      </c>
      <c r="C26" s="6"/>
      <c r="D26" s="6"/>
      <c r="E26" s="6" t="s">
        <v>54</v>
      </c>
      <c r="F26" s="6" t="s">
        <v>55</v>
      </c>
      <c r="G26" s="6" t="s">
        <v>76</v>
      </c>
      <c r="H26" s="6">
        <v>67</v>
      </c>
      <c r="I26" s="6" t="s">
        <v>57</v>
      </c>
      <c r="J26" s="6" t="s">
        <v>58</v>
      </c>
      <c r="K26" s="6" t="s">
        <v>58</v>
      </c>
      <c r="L26" s="6" t="s">
        <v>59</v>
      </c>
      <c r="M26" s="6">
        <v>54</v>
      </c>
      <c r="N26" s="6">
        <v>54</v>
      </c>
      <c r="O26" s="6">
        <v>55</v>
      </c>
      <c r="P26" s="6" t="s">
        <v>69</v>
      </c>
      <c r="Q26" s="6" t="s">
        <v>58</v>
      </c>
      <c r="R26" s="6">
        <v>19</v>
      </c>
      <c r="S26" s="6" t="s">
        <v>73</v>
      </c>
      <c r="T26" s="6">
        <v>0</v>
      </c>
      <c r="U26" s="6">
        <v>34</v>
      </c>
      <c r="V26" s="6" t="s">
        <v>58</v>
      </c>
      <c r="W26" t="s">
        <v>58</v>
      </c>
      <c r="X26" t="s">
        <v>64</v>
      </c>
    </row>
    <row r="27" spans="1:24">
      <c r="A27" s="7" t="s">
        <v>115</v>
      </c>
      <c r="B27" s="11">
        <v>45258</v>
      </c>
      <c r="C27" s="7"/>
      <c r="D27" s="7"/>
      <c r="E27" s="7" t="s">
        <v>54</v>
      </c>
      <c r="F27" s="7" t="s">
        <v>55</v>
      </c>
      <c r="G27" s="7" t="s">
        <v>76</v>
      </c>
      <c r="H27" s="7">
        <v>79</v>
      </c>
      <c r="I27" s="7" t="s">
        <v>57</v>
      </c>
      <c r="J27" s="7" t="s">
        <v>58</v>
      </c>
      <c r="K27" s="7" t="s">
        <v>58</v>
      </c>
      <c r="L27" s="7" t="s">
        <v>81</v>
      </c>
      <c r="M27" s="7" t="s">
        <v>58</v>
      </c>
      <c r="N27" s="7" t="s">
        <v>58</v>
      </c>
      <c r="O27" s="7" t="s">
        <v>58</v>
      </c>
      <c r="P27" s="7" t="s">
        <v>69</v>
      </c>
      <c r="Q27" s="7" t="s">
        <v>58</v>
      </c>
      <c r="R27" s="7">
        <v>12</v>
      </c>
      <c r="S27" s="7" t="s">
        <v>62</v>
      </c>
      <c r="T27" s="7">
        <v>26</v>
      </c>
      <c r="U27" s="7">
        <v>23</v>
      </c>
      <c r="V27" s="7" t="s">
        <v>70</v>
      </c>
      <c r="W27" t="s">
        <v>58</v>
      </c>
      <c r="X27" t="s">
        <v>82</v>
      </c>
    </row>
    <row r="28" spans="1:24">
      <c r="A28" s="6" t="s">
        <v>116</v>
      </c>
      <c r="B28" s="6" t="s">
        <v>117</v>
      </c>
      <c r="C28" s="6"/>
      <c r="D28" s="6"/>
      <c r="E28" s="6" t="s">
        <v>54</v>
      </c>
      <c r="F28" s="6" t="s">
        <v>55</v>
      </c>
      <c r="G28" s="6" t="s">
        <v>56</v>
      </c>
      <c r="H28" s="6">
        <v>92</v>
      </c>
      <c r="I28" s="6" t="s">
        <v>57</v>
      </c>
      <c r="J28" s="6" t="s">
        <v>58</v>
      </c>
      <c r="K28" s="6" t="s">
        <v>58</v>
      </c>
      <c r="L28" s="6" t="s">
        <v>68</v>
      </c>
      <c r="M28" s="6">
        <v>87</v>
      </c>
      <c r="N28" s="6" t="s">
        <v>58</v>
      </c>
      <c r="O28" s="6" t="s">
        <v>58</v>
      </c>
      <c r="P28" s="6" t="s">
        <v>69</v>
      </c>
      <c r="Q28" s="6" t="s">
        <v>118</v>
      </c>
      <c r="R28" s="6">
        <v>12</v>
      </c>
      <c r="S28" s="6" t="s">
        <v>62</v>
      </c>
      <c r="T28" s="6">
        <v>14</v>
      </c>
      <c r="U28" s="6">
        <v>23</v>
      </c>
      <c r="V28" s="6" t="s">
        <v>77</v>
      </c>
      <c r="W28" t="s">
        <v>58</v>
      </c>
      <c r="X28" t="s">
        <v>68</v>
      </c>
    </row>
    <row r="29" spans="1:24">
      <c r="A29" s="7" t="s">
        <v>119</v>
      </c>
      <c r="B29" s="7" t="s">
        <v>120</v>
      </c>
      <c r="C29" s="7"/>
      <c r="D29" s="7"/>
      <c r="E29" s="7" t="s">
        <v>54</v>
      </c>
      <c r="F29" s="7" t="s">
        <v>55</v>
      </c>
      <c r="G29" s="7" t="s">
        <v>76</v>
      </c>
      <c r="H29" s="7">
        <v>91</v>
      </c>
      <c r="I29" s="7" t="s">
        <v>57</v>
      </c>
      <c r="J29" s="7" t="s">
        <v>58</v>
      </c>
      <c r="K29" s="7" t="s">
        <v>58</v>
      </c>
      <c r="L29" s="7" t="s">
        <v>81</v>
      </c>
      <c r="M29" s="7" t="s">
        <v>58</v>
      </c>
      <c r="N29" s="7" t="s">
        <v>58</v>
      </c>
      <c r="O29" s="7" t="s">
        <v>58</v>
      </c>
      <c r="P29" s="7" t="s">
        <v>69</v>
      </c>
      <c r="Q29" s="7" t="s">
        <v>58</v>
      </c>
      <c r="R29" s="7">
        <v>12</v>
      </c>
      <c r="S29" s="7" t="s">
        <v>73</v>
      </c>
      <c r="T29" s="7">
        <v>0</v>
      </c>
      <c r="U29" s="7">
        <v>22</v>
      </c>
      <c r="V29" s="7" t="s">
        <v>70</v>
      </c>
      <c r="W29" t="s">
        <v>58</v>
      </c>
      <c r="X29" t="s">
        <v>82</v>
      </c>
    </row>
    <row r="30" spans="1:24">
      <c r="A30" s="6" t="s">
        <v>121</v>
      </c>
      <c r="B30" s="9">
        <v>45264</v>
      </c>
      <c r="C30" s="6"/>
      <c r="D30" s="6"/>
      <c r="E30" s="6" t="s">
        <v>54</v>
      </c>
      <c r="F30" s="6" t="s">
        <v>55</v>
      </c>
      <c r="G30" s="6" t="s">
        <v>56</v>
      </c>
      <c r="H30" s="6">
        <v>79</v>
      </c>
      <c r="I30" s="6" t="s">
        <v>57</v>
      </c>
      <c r="J30" s="6" t="s">
        <v>58</v>
      </c>
      <c r="K30" s="6" t="s">
        <v>58</v>
      </c>
      <c r="L30" s="6" t="s">
        <v>59</v>
      </c>
      <c r="M30" s="6">
        <v>56</v>
      </c>
      <c r="N30" s="6">
        <v>56</v>
      </c>
      <c r="O30" s="6">
        <v>61</v>
      </c>
      <c r="P30" s="6" t="s">
        <v>60</v>
      </c>
      <c r="Q30" s="6" t="s">
        <v>58</v>
      </c>
      <c r="R30" s="6">
        <v>14</v>
      </c>
      <c r="S30" s="6" t="s">
        <v>73</v>
      </c>
      <c r="T30" s="6">
        <v>0</v>
      </c>
      <c r="U30" s="6">
        <v>33</v>
      </c>
      <c r="V30" s="6" t="s">
        <v>63</v>
      </c>
      <c r="W30" t="s">
        <v>58</v>
      </c>
      <c r="X30" t="s">
        <v>64</v>
      </c>
    </row>
    <row r="31" spans="1:24">
      <c r="A31" s="7" t="s">
        <v>122</v>
      </c>
      <c r="B31" s="12" t="s">
        <v>123</v>
      </c>
      <c r="C31" s="7"/>
      <c r="D31" s="7"/>
      <c r="E31" s="7" t="s">
        <v>54</v>
      </c>
      <c r="F31" s="7" t="s">
        <v>55</v>
      </c>
      <c r="G31" s="7" t="s">
        <v>76</v>
      </c>
      <c r="H31" s="7">
        <v>74</v>
      </c>
      <c r="I31" s="7" t="s">
        <v>57</v>
      </c>
      <c r="J31" s="7" t="s">
        <v>58</v>
      </c>
      <c r="K31" s="7" t="s">
        <v>58</v>
      </c>
      <c r="L31" s="7" t="s">
        <v>68</v>
      </c>
      <c r="M31" s="7" t="s">
        <v>58</v>
      </c>
      <c r="N31" s="7" t="s">
        <v>58</v>
      </c>
      <c r="O31" s="7" t="s">
        <v>58</v>
      </c>
      <c r="P31" s="7" t="s">
        <v>69</v>
      </c>
      <c r="Q31" s="7" t="s">
        <v>58</v>
      </c>
      <c r="R31" s="7">
        <v>20</v>
      </c>
      <c r="S31" s="7" t="s">
        <v>73</v>
      </c>
      <c r="T31" s="7">
        <v>0</v>
      </c>
      <c r="U31" s="7">
        <v>34</v>
      </c>
      <c r="V31" s="7" t="s">
        <v>77</v>
      </c>
      <c r="W31" t="s">
        <v>58</v>
      </c>
      <c r="X31" t="s">
        <v>68</v>
      </c>
    </row>
    <row r="32" spans="1:24">
      <c r="A32" s="6" t="s">
        <v>124</v>
      </c>
      <c r="B32" s="13">
        <v>45281</v>
      </c>
      <c r="C32" s="6"/>
      <c r="D32" s="6"/>
      <c r="E32" s="6" t="s">
        <v>54</v>
      </c>
      <c r="F32" s="6" t="s">
        <v>55</v>
      </c>
      <c r="G32" s="6" t="s">
        <v>76</v>
      </c>
      <c r="H32" s="6">
        <v>88</v>
      </c>
      <c r="I32" s="6" t="s">
        <v>57</v>
      </c>
      <c r="J32" s="6" t="s">
        <v>58</v>
      </c>
      <c r="K32" s="6" t="s">
        <v>58</v>
      </c>
      <c r="L32" s="6" t="s">
        <v>68</v>
      </c>
      <c r="M32" s="6" t="s">
        <v>58</v>
      </c>
      <c r="N32" s="6" t="s">
        <v>58</v>
      </c>
      <c r="O32" s="6" t="s">
        <v>58</v>
      </c>
      <c r="P32" s="6" t="s">
        <v>69</v>
      </c>
      <c r="Q32" s="6" t="s">
        <v>58</v>
      </c>
      <c r="R32" s="6">
        <v>14</v>
      </c>
      <c r="S32" s="6" t="s">
        <v>62</v>
      </c>
      <c r="T32" s="6" t="s">
        <v>58</v>
      </c>
      <c r="U32" s="6">
        <v>34</v>
      </c>
      <c r="V32" s="6" t="s">
        <v>70</v>
      </c>
      <c r="W32" t="s">
        <v>58</v>
      </c>
      <c r="X32" t="s">
        <v>68</v>
      </c>
    </row>
    <row r="33" spans="1:24">
      <c r="A33" s="7" t="s">
        <v>125</v>
      </c>
      <c r="B33" s="7" t="s">
        <v>126</v>
      </c>
      <c r="C33" s="7"/>
      <c r="D33" s="7"/>
      <c r="E33" s="7" t="s">
        <v>54</v>
      </c>
      <c r="F33" s="7" t="s">
        <v>55</v>
      </c>
      <c r="G33" s="7" t="s">
        <v>56</v>
      </c>
      <c r="H33" s="7">
        <v>76</v>
      </c>
      <c r="I33" s="7" t="s">
        <v>57</v>
      </c>
      <c r="J33" s="7" t="s">
        <v>58</v>
      </c>
      <c r="K33" s="7" t="s">
        <v>58</v>
      </c>
      <c r="L33" s="7" t="s">
        <v>59</v>
      </c>
      <c r="M33" s="7">
        <v>64</v>
      </c>
      <c r="N33" s="7">
        <v>64</v>
      </c>
      <c r="O33" s="7">
        <v>64</v>
      </c>
      <c r="P33" s="7" t="s">
        <v>60</v>
      </c>
      <c r="Q33" s="7" t="s">
        <v>58</v>
      </c>
      <c r="R33" s="7">
        <v>20</v>
      </c>
      <c r="S33" s="7" t="s">
        <v>73</v>
      </c>
      <c r="T33" s="7">
        <v>0</v>
      </c>
      <c r="U33" s="7">
        <v>23</v>
      </c>
      <c r="V33" s="7" t="s">
        <v>63</v>
      </c>
      <c r="W33" t="s">
        <v>58</v>
      </c>
      <c r="X33" t="s">
        <v>64</v>
      </c>
    </row>
    <row r="34" spans="1:24">
      <c r="A34" s="6" t="s">
        <v>127</v>
      </c>
      <c r="B34" s="6" t="s">
        <v>128</v>
      </c>
      <c r="C34" s="6"/>
      <c r="D34" s="6"/>
      <c r="E34" s="6" t="s">
        <v>54</v>
      </c>
      <c r="F34" s="6" t="s">
        <v>55</v>
      </c>
      <c r="G34" s="6" t="s">
        <v>56</v>
      </c>
      <c r="H34" s="6">
        <v>80</v>
      </c>
      <c r="I34" s="6" t="s">
        <v>57</v>
      </c>
      <c r="J34" s="6" t="s">
        <v>58</v>
      </c>
      <c r="K34" s="6" t="s">
        <v>118</v>
      </c>
      <c r="L34" s="6" t="s">
        <v>59</v>
      </c>
      <c r="M34" s="6">
        <v>70</v>
      </c>
      <c r="N34" s="6">
        <v>70</v>
      </c>
      <c r="O34" s="6">
        <v>75</v>
      </c>
      <c r="P34" s="6" t="s">
        <v>69</v>
      </c>
      <c r="Q34" s="6" t="s">
        <v>58</v>
      </c>
      <c r="R34" s="6">
        <v>17</v>
      </c>
      <c r="S34" s="6" t="s">
        <v>62</v>
      </c>
      <c r="T34" s="6" t="s">
        <v>58</v>
      </c>
      <c r="U34" s="6">
        <v>33</v>
      </c>
      <c r="V34" s="6" t="s">
        <v>58</v>
      </c>
      <c r="W34" t="s">
        <v>58</v>
      </c>
      <c r="X34" t="s">
        <v>64</v>
      </c>
    </row>
    <row r="35" spans="1:24">
      <c r="A35" s="7" t="s">
        <v>129</v>
      </c>
      <c r="B35" s="7" t="s">
        <v>130</v>
      </c>
      <c r="C35" s="7"/>
      <c r="D35" s="7"/>
      <c r="E35" s="7" t="s">
        <v>54</v>
      </c>
      <c r="F35" s="7" t="s">
        <v>55</v>
      </c>
      <c r="G35" s="7" t="s">
        <v>56</v>
      </c>
      <c r="H35" s="7">
        <v>87</v>
      </c>
      <c r="I35" s="7" t="s">
        <v>57</v>
      </c>
      <c r="J35" s="7" t="s">
        <v>58</v>
      </c>
      <c r="K35" s="7" t="s">
        <v>118</v>
      </c>
      <c r="L35" s="7" t="s">
        <v>81</v>
      </c>
      <c r="M35" s="7" t="s">
        <v>58</v>
      </c>
      <c r="N35" s="7" t="s">
        <v>58</v>
      </c>
      <c r="O35" s="7" t="s">
        <v>58</v>
      </c>
      <c r="P35" s="7" t="s">
        <v>69</v>
      </c>
      <c r="Q35" s="7" t="s">
        <v>58</v>
      </c>
      <c r="R35" s="7">
        <v>16</v>
      </c>
      <c r="S35" s="7" t="s">
        <v>62</v>
      </c>
      <c r="T35" s="7" t="s">
        <v>58</v>
      </c>
      <c r="U35" s="7">
        <v>33</v>
      </c>
      <c r="V35" s="7" t="s">
        <v>70</v>
      </c>
      <c r="W35" t="s">
        <v>58</v>
      </c>
      <c r="X35" t="s">
        <v>82</v>
      </c>
    </row>
    <row r="36" spans="1:24">
      <c r="A36" s="6" t="s">
        <v>131</v>
      </c>
      <c r="B36" s="6" t="s">
        <v>132</v>
      </c>
      <c r="C36" s="6"/>
      <c r="D36" s="6"/>
      <c r="E36" s="6" t="s">
        <v>54</v>
      </c>
      <c r="F36" s="6" t="s">
        <v>55</v>
      </c>
      <c r="G36" s="6" t="s">
        <v>56</v>
      </c>
      <c r="H36" s="6">
        <v>83</v>
      </c>
      <c r="I36" s="6" t="s">
        <v>57</v>
      </c>
      <c r="J36" s="6" t="s">
        <v>58</v>
      </c>
      <c r="K36" s="6" t="s">
        <v>58</v>
      </c>
      <c r="L36" s="6" t="s">
        <v>59</v>
      </c>
      <c r="M36" s="6">
        <v>70</v>
      </c>
      <c r="N36" s="6">
        <v>70</v>
      </c>
      <c r="O36" s="6">
        <v>69</v>
      </c>
      <c r="P36" s="6" t="s">
        <v>69</v>
      </c>
      <c r="Q36" s="6" t="s">
        <v>58</v>
      </c>
      <c r="R36" s="6">
        <v>18</v>
      </c>
      <c r="S36" s="6" t="s">
        <v>62</v>
      </c>
      <c r="T36" s="6" t="s">
        <v>58</v>
      </c>
      <c r="U36" s="6">
        <v>44</v>
      </c>
      <c r="V36" s="6" t="s">
        <v>58</v>
      </c>
      <c r="W36" t="s">
        <v>58</v>
      </c>
      <c r="X36" t="s">
        <v>64</v>
      </c>
    </row>
    <row r="37" spans="1:24">
      <c r="A37" s="7" t="s">
        <v>133</v>
      </c>
      <c r="B37" s="7" t="s">
        <v>134</v>
      </c>
      <c r="C37" s="7"/>
      <c r="D37" s="7"/>
      <c r="E37" s="7" t="s">
        <v>54</v>
      </c>
      <c r="F37" s="7" t="s">
        <v>55</v>
      </c>
      <c r="G37" s="7" t="s">
        <v>56</v>
      </c>
      <c r="H37" s="7">
        <v>91</v>
      </c>
      <c r="I37" s="7" t="s">
        <v>57</v>
      </c>
      <c r="J37" s="7" t="s">
        <v>58</v>
      </c>
      <c r="K37" s="7" t="s">
        <v>58</v>
      </c>
      <c r="L37" s="7" t="s">
        <v>81</v>
      </c>
      <c r="M37" s="7">
        <v>89</v>
      </c>
      <c r="N37" s="7" t="s">
        <v>58</v>
      </c>
      <c r="O37" s="7" t="s">
        <v>58</v>
      </c>
      <c r="P37" s="7" t="s">
        <v>69</v>
      </c>
      <c r="Q37" s="7" t="s">
        <v>58</v>
      </c>
      <c r="R37" s="7">
        <v>12</v>
      </c>
      <c r="S37" s="7" t="s">
        <v>62</v>
      </c>
      <c r="T37" s="7" t="s">
        <v>58</v>
      </c>
      <c r="U37" s="7">
        <v>33</v>
      </c>
      <c r="V37" s="7" t="s">
        <v>77</v>
      </c>
      <c r="W37" t="s">
        <v>58</v>
      </c>
      <c r="X37" t="s">
        <v>82</v>
      </c>
    </row>
    <row r="38" spans="1:24">
      <c r="A38" s="6" t="s">
        <v>135</v>
      </c>
      <c r="B38" s="6" t="s">
        <v>136</v>
      </c>
      <c r="C38" s="6"/>
      <c r="D38" s="6"/>
      <c r="E38" s="6" t="s">
        <v>54</v>
      </c>
      <c r="F38" s="6" t="s">
        <v>55</v>
      </c>
      <c r="G38" s="6" t="s">
        <v>56</v>
      </c>
      <c r="H38" s="6">
        <v>73</v>
      </c>
      <c r="I38" s="6" t="s">
        <v>57</v>
      </c>
      <c r="J38" s="6" t="s">
        <v>58</v>
      </c>
      <c r="K38" s="6" t="s">
        <v>58</v>
      </c>
      <c r="L38" s="6" t="s">
        <v>68</v>
      </c>
      <c r="M38" s="6" t="s">
        <v>58</v>
      </c>
      <c r="N38" s="6" t="s">
        <v>58</v>
      </c>
      <c r="O38" s="6" t="s">
        <v>58</v>
      </c>
      <c r="P38" s="6" t="s">
        <v>69</v>
      </c>
      <c r="Q38" s="6" t="s">
        <v>58</v>
      </c>
      <c r="R38" s="6">
        <v>11</v>
      </c>
      <c r="S38" s="6" t="s">
        <v>62</v>
      </c>
      <c r="T38" s="6" t="s">
        <v>58</v>
      </c>
      <c r="U38" s="6">
        <v>33</v>
      </c>
      <c r="V38" s="6" t="s">
        <v>70</v>
      </c>
      <c r="W38" t="s">
        <v>58</v>
      </c>
      <c r="X38" t="s">
        <v>68</v>
      </c>
    </row>
    <row r="39" spans="1:24">
      <c r="A39" s="7" t="s">
        <v>137</v>
      </c>
      <c r="B39" s="7" t="s">
        <v>138</v>
      </c>
      <c r="C39" s="7"/>
      <c r="D39" s="7"/>
      <c r="E39" s="7" t="s">
        <v>54</v>
      </c>
      <c r="F39" s="7" t="s">
        <v>55</v>
      </c>
      <c r="G39" s="7" t="s">
        <v>76</v>
      </c>
      <c r="H39" s="7">
        <v>88</v>
      </c>
      <c r="I39" s="7" t="s">
        <v>57</v>
      </c>
      <c r="J39" s="7" t="s">
        <v>58</v>
      </c>
      <c r="K39" s="7" t="s">
        <v>58</v>
      </c>
      <c r="L39" s="7" t="s">
        <v>81</v>
      </c>
      <c r="M39" s="7" t="s">
        <v>58</v>
      </c>
      <c r="N39" s="7" t="s">
        <v>58</v>
      </c>
      <c r="O39" s="7" t="s">
        <v>58</v>
      </c>
      <c r="P39" s="7" t="s">
        <v>69</v>
      </c>
      <c r="Q39" s="7" t="s">
        <v>58</v>
      </c>
      <c r="R39" s="7">
        <v>16</v>
      </c>
      <c r="S39" s="7" t="s">
        <v>73</v>
      </c>
      <c r="T39" s="7">
        <v>0</v>
      </c>
      <c r="U39" s="7">
        <v>33</v>
      </c>
      <c r="V39" s="7" t="s">
        <v>77</v>
      </c>
      <c r="W39" t="s">
        <v>58</v>
      </c>
      <c r="X39" t="s">
        <v>82</v>
      </c>
    </row>
    <row r="40" spans="1:24">
      <c r="A40" s="6" t="s">
        <v>139</v>
      </c>
      <c r="B40" s="6" t="s">
        <v>140</v>
      </c>
      <c r="C40" s="6"/>
      <c r="D40" s="6"/>
      <c r="E40" s="6" t="s">
        <v>54</v>
      </c>
      <c r="F40" s="6" t="s">
        <v>55</v>
      </c>
      <c r="G40" s="6" t="s">
        <v>56</v>
      </c>
      <c r="H40" s="6">
        <v>86</v>
      </c>
      <c r="I40" s="6" t="s">
        <v>57</v>
      </c>
      <c r="J40" s="6" t="s">
        <v>58</v>
      </c>
      <c r="K40" s="6" t="s">
        <v>58</v>
      </c>
      <c r="L40" s="6" t="s">
        <v>81</v>
      </c>
      <c r="M40" s="6" t="s">
        <v>58</v>
      </c>
      <c r="N40" s="6" t="s">
        <v>58</v>
      </c>
      <c r="O40" s="6" t="s">
        <v>58</v>
      </c>
      <c r="P40" s="6" t="s">
        <v>69</v>
      </c>
      <c r="Q40" s="6" t="s">
        <v>58</v>
      </c>
      <c r="R40" s="6">
        <v>14</v>
      </c>
      <c r="S40" s="6" t="s">
        <v>62</v>
      </c>
      <c r="T40" s="6" t="s">
        <v>58</v>
      </c>
      <c r="U40" s="6">
        <v>33</v>
      </c>
      <c r="V40" s="6" t="s">
        <v>77</v>
      </c>
      <c r="W40" t="s">
        <v>58</v>
      </c>
      <c r="X40" t="s">
        <v>82</v>
      </c>
    </row>
    <row r="41" spans="1:24">
      <c r="A41" s="7" t="s">
        <v>141</v>
      </c>
      <c r="B41" s="7" t="s">
        <v>142</v>
      </c>
      <c r="C41" s="7"/>
      <c r="D41" s="7"/>
      <c r="E41" s="7" t="s">
        <v>54</v>
      </c>
      <c r="F41" s="7" t="s">
        <v>55</v>
      </c>
      <c r="G41" s="7" t="s">
        <v>56</v>
      </c>
      <c r="H41" s="7">
        <v>82</v>
      </c>
      <c r="I41" s="7" t="s">
        <v>57</v>
      </c>
      <c r="J41" s="7" t="s">
        <v>58</v>
      </c>
      <c r="K41" s="7" t="s">
        <v>58</v>
      </c>
      <c r="L41" s="7" t="s">
        <v>59</v>
      </c>
      <c r="M41" s="7">
        <v>60</v>
      </c>
      <c r="N41" s="7">
        <v>60</v>
      </c>
      <c r="O41" s="7">
        <v>61</v>
      </c>
      <c r="P41" s="7" t="s">
        <v>60</v>
      </c>
      <c r="Q41" s="7" t="s">
        <v>58</v>
      </c>
      <c r="R41" s="7">
        <v>15</v>
      </c>
      <c r="S41" s="7" t="s">
        <v>73</v>
      </c>
      <c r="T41" s="7" t="s">
        <v>58</v>
      </c>
      <c r="U41" s="7">
        <v>23</v>
      </c>
      <c r="V41" s="7" t="s">
        <v>63</v>
      </c>
      <c r="W41" t="s">
        <v>58</v>
      </c>
      <c r="X41" t="s">
        <v>64</v>
      </c>
    </row>
    <row r="42" spans="1:24">
      <c r="A42" s="6" t="s">
        <v>143</v>
      </c>
      <c r="B42" s="6" t="s">
        <v>144</v>
      </c>
      <c r="C42" s="6"/>
      <c r="D42" s="6"/>
      <c r="E42" s="6" t="s">
        <v>54</v>
      </c>
      <c r="F42" s="6" t="s">
        <v>55</v>
      </c>
      <c r="G42" s="6" t="s">
        <v>56</v>
      </c>
      <c r="H42" s="6">
        <v>87</v>
      </c>
      <c r="I42" s="6" t="s">
        <v>57</v>
      </c>
      <c r="J42" s="6" t="s">
        <v>58</v>
      </c>
      <c r="K42" s="6" t="s">
        <v>58</v>
      </c>
      <c r="L42" s="6" t="s">
        <v>81</v>
      </c>
      <c r="M42" s="6" t="s">
        <v>58</v>
      </c>
      <c r="N42" s="6" t="s">
        <v>58</v>
      </c>
      <c r="O42" s="6" t="s">
        <v>58</v>
      </c>
      <c r="P42" s="6" t="s">
        <v>69</v>
      </c>
      <c r="Q42" s="6" t="s">
        <v>58</v>
      </c>
      <c r="R42" s="6">
        <v>22</v>
      </c>
      <c r="S42" s="6" t="s">
        <v>73</v>
      </c>
      <c r="T42" s="6" t="s">
        <v>58</v>
      </c>
      <c r="U42" s="6">
        <v>34</v>
      </c>
      <c r="V42" s="6" t="s">
        <v>70</v>
      </c>
      <c r="W42" t="s">
        <v>58</v>
      </c>
      <c r="X42" t="s">
        <v>82</v>
      </c>
    </row>
    <row r="43" spans="1:24">
      <c r="A43" s="7" t="s">
        <v>145</v>
      </c>
      <c r="B43" s="7" t="s">
        <v>146</v>
      </c>
      <c r="C43" s="7"/>
      <c r="D43" s="7"/>
      <c r="E43" s="7" t="s">
        <v>54</v>
      </c>
      <c r="F43" s="7" t="s">
        <v>55</v>
      </c>
      <c r="G43" s="7" t="s">
        <v>56</v>
      </c>
      <c r="H43" s="7">
        <v>87</v>
      </c>
      <c r="I43" s="7" t="s">
        <v>57</v>
      </c>
      <c r="J43" s="7" t="s">
        <v>58</v>
      </c>
      <c r="K43" s="7" t="s">
        <v>58</v>
      </c>
      <c r="L43" s="7" t="s">
        <v>68</v>
      </c>
      <c r="M43" s="7" t="s">
        <v>58</v>
      </c>
      <c r="N43" s="7" t="s">
        <v>58</v>
      </c>
      <c r="O43" s="7" t="s">
        <v>58</v>
      </c>
      <c r="P43" s="7" t="s">
        <v>69</v>
      </c>
      <c r="Q43" s="7" t="s">
        <v>58</v>
      </c>
      <c r="R43" s="7">
        <v>16</v>
      </c>
      <c r="S43" s="7" t="s">
        <v>73</v>
      </c>
      <c r="T43" s="7" t="s">
        <v>58</v>
      </c>
      <c r="U43" s="7">
        <v>23</v>
      </c>
      <c r="V43" s="7" t="s">
        <v>70</v>
      </c>
      <c r="W43" t="s">
        <v>58</v>
      </c>
      <c r="X43" t="s">
        <v>68</v>
      </c>
    </row>
    <row r="44" spans="1:24">
      <c r="A44" s="6" t="s">
        <v>147</v>
      </c>
      <c r="B44" s="6" t="s">
        <v>148</v>
      </c>
      <c r="C44" s="6"/>
      <c r="D44" s="6"/>
      <c r="E44" s="6" t="s">
        <v>54</v>
      </c>
      <c r="F44" s="6" t="s">
        <v>55</v>
      </c>
      <c r="G44" s="6" t="s">
        <v>76</v>
      </c>
      <c r="H44" s="6">
        <v>72</v>
      </c>
      <c r="I44" s="6" t="s">
        <v>57</v>
      </c>
      <c r="J44" s="6" t="s">
        <v>58</v>
      </c>
      <c r="K44" s="6" t="s">
        <v>118</v>
      </c>
      <c r="L44" s="6" t="s">
        <v>59</v>
      </c>
      <c r="M44" s="6">
        <v>54</v>
      </c>
      <c r="N44" s="6">
        <v>54</v>
      </c>
      <c r="O44" s="6">
        <v>55</v>
      </c>
      <c r="P44" s="6" t="s">
        <v>60</v>
      </c>
      <c r="Q44" s="6" t="s">
        <v>58</v>
      </c>
      <c r="R44" s="6">
        <v>16</v>
      </c>
      <c r="S44" s="6" t="s">
        <v>62</v>
      </c>
      <c r="T44" s="6" t="s">
        <v>58</v>
      </c>
      <c r="U44" s="6">
        <v>23</v>
      </c>
      <c r="V44" s="6" t="s">
        <v>63</v>
      </c>
      <c r="W44" t="s">
        <v>58</v>
      </c>
      <c r="X44" t="s">
        <v>64</v>
      </c>
    </row>
    <row r="45" spans="1:24">
      <c r="A45" s="7" t="s">
        <v>149</v>
      </c>
      <c r="B45" s="12" t="s">
        <v>150</v>
      </c>
      <c r="C45" s="7"/>
      <c r="D45" s="7"/>
      <c r="E45" s="7" t="s">
        <v>54</v>
      </c>
      <c r="F45" s="7" t="s">
        <v>55</v>
      </c>
      <c r="G45" s="7" t="s">
        <v>56</v>
      </c>
      <c r="H45" s="7">
        <v>79</v>
      </c>
      <c r="I45" s="7" t="s">
        <v>57</v>
      </c>
      <c r="J45" s="7" t="s">
        <v>58</v>
      </c>
      <c r="K45" s="7" t="s">
        <v>58</v>
      </c>
      <c r="L45" s="7" t="s">
        <v>59</v>
      </c>
      <c r="M45" s="7">
        <v>66</v>
      </c>
      <c r="N45" s="7">
        <v>66</v>
      </c>
      <c r="O45" s="7">
        <v>65</v>
      </c>
      <c r="P45" s="7" t="s">
        <v>60</v>
      </c>
      <c r="Q45" s="7" t="s">
        <v>58</v>
      </c>
      <c r="R45" s="7">
        <v>16</v>
      </c>
      <c r="S45" s="7" t="s">
        <v>62</v>
      </c>
      <c r="T45" s="7" t="s">
        <v>58</v>
      </c>
      <c r="U45" s="7" t="s">
        <v>58</v>
      </c>
      <c r="V45" s="7" t="s">
        <v>58</v>
      </c>
      <c r="W45" t="s">
        <v>58</v>
      </c>
      <c r="X45" t="s">
        <v>64</v>
      </c>
    </row>
    <row r="46" spans="1:24">
      <c r="A46" s="6" t="s">
        <v>151</v>
      </c>
      <c r="B46" s="10" t="s">
        <v>152</v>
      </c>
      <c r="C46" s="6"/>
      <c r="D46" s="6"/>
      <c r="E46" s="6" t="s">
        <v>54</v>
      </c>
      <c r="F46" s="6" t="s">
        <v>55</v>
      </c>
      <c r="G46" s="6" t="s">
        <v>76</v>
      </c>
      <c r="H46" s="6">
        <v>101</v>
      </c>
      <c r="I46" s="6" t="s">
        <v>57</v>
      </c>
      <c r="J46" s="6" t="s">
        <v>58</v>
      </c>
      <c r="K46" s="6" t="s">
        <v>58</v>
      </c>
      <c r="L46" s="6" t="s">
        <v>81</v>
      </c>
      <c r="M46" s="6">
        <v>100</v>
      </c>
      <c r="N46" s="6" t="s">
        <v>58</v>
      </c>
      <c r="O46" s="6" t="s">
        <v>58</v>
      </c>
      <c r="P46" s="6" t="s">
        <v>69</v>
      </c>
      <c r="Q46" s="6" t="s">
        <v>58</v>
      </c>
      <c r="R46" s="6">
        <v>16</v>
      </c>
      <c r="S46" s="6" t="s">
        <v>73</v>
      </c>
      <c r="T46" s="6" t="s">
        <v>58</v>
      </c>
      <c r="U46" s="6">
        <v>33</v>
      </c>
      <c r="V46" s="6" t="s">
        <v>77</v>
      </c>
      <c r="W46" t="s">
        <v>58</v>
      </c>
      <c r="X46" t="s">
        <v>82</v>
      </c>
    </row>
    <row r="47" spans="1:24">
      <c r="A47" s="7" t="s">
        <v>153</v>
      </c>
      <c r="B47" s="7" t="s">
        <v>154</v>
      </c>
      <c r="C47" s="7"/>
      <c r="D47" s="7"/>
      <c r="E47" s="7" t="s">
        <v>54</v>
      </c>
      <c r="F47" s="7" t="s">
        <v>55</v>
      </c>
      <c r="G47" s="7" t="s">
        <v>76</v>
      </c>
      <c r="H47" s="7">
        <v>80</v>
      </c>
      <c r="I47" s="7" t="s">
        <v>57</v>
      </c>
      <c r="J47" s="7" t="s">
        <v>58</v>
      </c>
      <c r="K47" s="7" t="s">
        <v>58</v>
      </c>
      <c r="L47" s="7" t="s">
        <v>81</v>
      </c>
      <c r="M47" s="7">
        <v>76</v>
      </c>
      <c r="N47" s="7" t="s">
        <v>58</v>
      </c>
      <c r="O47" s="7" t="s">
        <v>58</v>
      </c>
      <c r="P47" s="7" t="s">
        <v>69</v>
      </c>
      <c r="Q47" s="7" t="s">
        <v>58</v>
      </c>
      <c r="R47" s="7">
        <v>12</v>
      </c>
      <c r="S47" s="7" t="s">
        <v>62</v>
      </c>
      <c r="T47" s="7" t="s">
        <v>58</v>
      </c>
      <c r="U47" s="7">
        <v>23</v>
      </c>
      <c r="V47" s="7" t="s">
        <v>77</v>
      </c>
      <c r="W47" t="s">
        <v>58</v>
      </c>
      <c r="X47" t="s">
        <v>82</v>
      </c>
    </row>
    <row r="48" spans="1:24">
      <c r="A48" s="6" t="s">
        <v>155</v>
      </c>
      <c r="B48" s="6" t="s">
        <v>156</v>
      </c>
      <c r="C48" s="6"/>
      <c r="D48" s="6"/>
      <c r="E48" s="6" t="s">
        <v>54</v>
      </c>
      <c r="F48" s="6" t="s">
        <v>55</v>
      </c>
      <c r="G48" s="6" t="s">
        <v>76</v>
      </c>
      <c r="H48" s="6">
        <v>82</v>
      </c>
      <c r="I48" s="6" t="s">
        <v>57</v>
      </c>
      <c r="J48" s="6" t="s">
        <v>58</v>
      </c>
      <c r="K48" s="6" t="s">
        <v>58</v>
      </c>
      <c r="L48" s="6" t="s">
        <v>68</v>
      </c>
      <c r="M48" s="6" t="s">
        <v>58</v>
      </c>
      <c r="N48" s="6" t="s">
        <v>58</v>
      </c>
      <c r="O48" s="6" t="s">
        <v>58</v>
      </c>
      <c r="P48" s="6" t="s">
        <v>69</v>
      </c>
      <c r="Q48" s="6" t="s">
        <v>58</v>
      </c>
      <c r="R48" s="6">
        <v>12</v>
      </c>
      <c r="S48" s="6" t="s">
        <v>62</v>
      </c>
      <c r="T48" s="6" t="s">
        <v>58</v>
      </c>
      <c r="U48" s="6">
        <v>23</v>
      </c>
      <c r="V48" s="6" t="s">
        <v>70</v>
      </c>
      <c r="W48" t="s">
        <v>58</v>
      </c>
      <c r="X48" t="s">
        <v>68</v>
      </c>
    </row>
    <row r="49" spans="1:24">
      <c r="A49" s="7" t="s">
        <v>157</v>
      </c>
      <c r="B49" s="7" t="s">
        <v>158</v>
      </c>
      <c r="C49" s="7"/>
      <c r="D49" s="7"/>
      <c r="E49" s="7" t="s">
        <v>54</v>
      </c>
      <c r="F49" s="7" t="s">
        <v>55</v>
      </c>
      <c r="G49" s="7" t="s">
        <v>56</v>
      </c>
      <c r="H49" s="7">
        <v>85</v>
      </c>
      <c r="I49" s="7" t="s">
        <v>57</v>
      </c>
      <c r="J49" s="7" t="s">
        <v>58</v>
      </c>
      <c r="K49" s="7" t="s">
        <v>58</v>
      </c>
      <c r="L49" s="7" t="s">
        <v>59</v>
      </c>
      <c r="M49" s="7">
        <v>71</v>
      </c>
      <c r="N49" s="7">
        <v>71</v>
      </c>
      <c r="O49" s="7">
        <v>71</v>
      </c>
      <c r="P49" s="7" t="s">
        <v>60</v>
      </c>
      <c r="Q49" s="7" t="s">
        <v>58</v>
      </c>
      <c r="R49" s="7">
        <v>18</v>
      </c>
      <c r="S49" s="7" t="s">
        <v>73</v>
      </c>
      <c r="T49" s="7" t="s">
        <v>58</v>
      </c>
      <c r="U49" s="7">
        <v>33</v>
      </c>
      <c r="V49" s="7" t="s">
        <v>63</v>
      </c>
      <c r="W49" t="s">
        <v>58</v>
      </c>
      <c r="X49" t="s">
        <v>64</v>
      </c>
    </row>
    <row r="50" spans="1:24">
      <c r="A50" s="6" t="s">
        <v>159</v>
      </c>
      <c r="B50" s="6" t="s">
        <v>160</v>
      </c>
      <c r="C50" s="6"/>
      <c r="D50" s="6"/>
      <c r="E50" s="6" t="s">
        <v>54</v>
      </c>
      <c r="F50" s="6" t="s">
        <v>55</v>
      </c>
      <c r="G50" s="6" t="s">
        <v>56</v>
      </c>
      <c r="H50" s="6">
        <v>79</v>
      </c>
      <c r="I50" s="6" t="s">
        <v>57</v>
      </c>
      <c r="J50" s="6" t="s">
        <v>58</v>
      </c>
      <c r="K50" s="6" t="s">
        <v>58</v>
      </c>
      <c r="L50" s="6" t="s">
        <v>81</v>
      </c>
      <c r="M50" s="6" t="s">
        <v>58</v>
      </c>
      <c r="N50" s="6" t="s">
        <v>58</v>
      </c>
      <c r="O50" s="6" t="s">
        <v>58</v>
      </c>
      <c r="P50" s="6" t="s">
        <v>69</v>
      </c>
      <c r="Q50" s="6" t="s">
        <v>58</v>
      </c>
      <c r="R50" s="6">
        <v>16</v>
      </c>
      <c r="S50" s="6" t="s">
        <v>62</v>
      </c>
      <c r="T50" s="6" t="s">
        <v>58</v>
      </c>
      <c r="U50" s="6">
        <v>23</v>
      </c>
      <c r="V50" s="6" t="s">
        <v>77</v>
      </c>
      <c r="W50" t="s">
        <v>58</v>
      </c>
      <c r="X50" t="s">
        <v>82</v>
      </c>
    </row>
    <row r="51" spans="1:24">
      <c r="A51" s="7" t="s">
        <v>161</v>
      </c>
      <c r="B51" s="7" t="s">
        <v>162</v>
      </c>
      <c r="C51" s="7"/>
      <c r="D51" s="7"/>
      <c r="E51" s="7" t="s">
        <v>54</v>
      </c>
      <c r="F51" s="7" t="s">
        <v>55</v>
      </c>
      <c r="G51" s="7" t="s">
        <v>76</v>
      </c>
      <c r="H51" s="7">
        <v>93</v>
      </c>
      <c r="I51" s="7" t="s">
        <v>57</v>
      </c>
      <c r="J51" s="7" t="s">
        <v>58</v>
      </c>
      <c r="K51" s="7" t="s">
        <v>58</v>
      </c>
      <c r="L51" s="7" t="s">
        <v>68</v>
      </c>
      <c r="M51" s="7" t="s">
        <v>58</v>
      </c>
      <c r="N51" s="7" t="s">
        <v>58</v>
      </c>
      <c r="O51" s="7" t="s">
        <v>58</v>
      </c>
      <c r="P51" s="7" t="s">
        <v>69</v>
      </c>
      <c r="Q51" s="7" t="s">
        <v>58</v>
      </c>
      <c r="R51" s="7">
        <v>10</v>
      </c>
      <c r="S51" s="7" t="s">
        <v>73</v>
      </c>
      <c r="T51" s="7" t="s">
        <v>58</v>
      </c>
      <c r="U51" s="7">
        <v>33</v>
      </c>
      <c r="V51" s="7" t="s">
        <v>70</v>
      </c>
      <c r="W51" t="s">
        <v>58</v>
      </c>
      <c r="X51" t="s">
        <v>68</v>
      </c>
    </row>
    <row r="52" spans="1:24">
      <c r="A52" s="6" t="s">
        <v>163</v>
      </c>
      <c r="B52" s="6" t="s">
        <v>164</v>
      </c>
      <c r="C52" s="6"/>
      <c r="D52" s="6"/>
      <c r="E52" s="6" t="s">
        <v>54</v>
      </c>
      <c r="F52" s="6" t="s">
        <v>55</v>
      </c>
      <c r="G52" s="6" t="s">
        <v>56</v>
      </c>
      <c r="H52" s="6">
        <v>86</v>
      </c>
      <c r="I52" s="6" t="s">
        <v>57</v>
      </c>
      <c r="J52" s="6" t="s">
        <v>58</v>
      </c>
      <c r="K52" s="6" t="s">
        <v>58</v>
      </c>
      <c r="L52" s="6" t="s">
        <v>81</v>
      </c>
      <c r="M52" s="6">
        <v>78</v>
      </c>
      <c r="N52" s="6" t="s">
        <v>58</v>
      </c>
      <c r="O52" s="6" t="s">
        <v>58</v>
      </c>
      <c r="P52" s="6" t="s">
        <v>69</v>
      </c>
      <c r="Q52" s="6" t="s">
        <v>58</v>
      </c>
      <c r="R52" s="6">
        <v>18</v>
      </c>
      <c r="S52" s="6" t="s">
        <v>62</v>
      </c>
      <c r="T52" s="6" t="s">
        <v>58</v>
      </c>
      <c r="U52" s="6">
        <v>24</v>
      </c>
      <c r="V52" s="6" t="s">
        <v>77</v>
      </c>
      <c r="W52" t="s">
        <v>58</v>
      </c>
      <c r="X52" t="s">
        <v>82</v>
      </c>
    </row>
    <row r="53" spans="1:24">
      <c r="A53" s="7" t="s">
        <v>165</v>
      </c>
      <c r="B53" s="7" t="s">
        <v>166</v>
      </c>
      <c r="C53" s="7"/>
      <c r="D53" s="7"/>
      <c r="E53" s="7" t="s">
        <v>54</v>
      </c>
      <c r="F53" s="7" t="s">
        <v>55</v>
      </c>
      <c r="G53" s="7" t="s">
        <v>56</v>
      </c>
      <c r="H53" s="7">
        <v>80</v>
      </c>
      <c r="I53" s="7" t="s">
        <v>57</v>
      </c>
      <c r="J53" s="7" t="s">
        <v>58</v>
      </c>
      <c r="K53" s="7" t="s">
        <v>118</v>
      </c>
      <c r="L53" s="7" t="s">
        <v>59</v>
      </c>
      <c r="M53" s="7">
        <v>59</v>
      </c>
      <c r="N53" s="7">
        <v>59</v>
      </c>
      <c r="O53" s="7">
        <v>60</v>
      </c>
      <c r="P53" s="7" t="s">
        <v>69</v>
      </c>
      <c r="Q53" s="7" t="s">
        <v>58</v>
      </c>
      <c r="R53" s="7">
        <v>8</v>
      </c>
      <c r="S53" s="7" t="s">
        <v>73</v>
      </c>
      <c r="T53" s="7" t="s">
        <v>58</v>
      </c>
      <c r="U53" s="7">
        <v>33</v>
      </c>
      <c r="V53" s="7" t="s">
        <v>77</v>
      </c>
      <c r="W53" t="s">
        <v>58</v>
      </c>
      <c r="X53" t="s">
        <v>64</v>
      </c>
    </row>
    <row r="54" spans="1:24">
      <c r="A54" s="6" t="s">
        <v>167</v>
      </c>
      <c r="B54" s="6" t="s">
        <v>168</v>
      </c>
      <c r="C54" s="6"/>
      <c r="D54" s="6"/>
      <c r="E54" s="6" t="s">
        <v>54</v>
      </c>
      <c r="F54" s="6" t="s">
        <v>55</v>
      </c>
      <c r="G54" s="6" t="s">
        <v>56</v>
      </c>
      <c r="H54" s="6">
        <v>92</v>
      </c>
      <c r="I54" s="6" t="s">
        <v>57</v>
      </c>
      <c r="J54" s="6" t="s">
        <v>58</v>
      </c>
      <c r="K54" s="6" t="s">
        <v>58</v>
      </c>
      <c r="L54" s="6" t="s">
        <v>59</v>
      </c>
      <c r="M54" s="6">
        <v>91</v>
      </c>
      <c r="N54" s="6">
        <v>91</v>
      </c>
      <c r="O54" s="6" t="s">
        <v>58</v>
      </c>
      <c r="P54" s="6" t="s">
        <v>69</v>
      </c>
      <c r="Q54" s="6" t="s">
        <v>58</v>
      </c>
      <c r="R54" s="6">
        <v>16</v>
      </c>
      <c r="S54" s="6" t="s">
        <v>73</v>
      </c>
      <c r="T54" s="6" t="s">
        <v>58</v>
      </c>
      <c r="U54" s="6">
        <v>33</v>
      </c>
      <c r="V54" s="6" t="s">
        <v>77</v>
      </c>
      <c r="W54" t="s">
        <v>58</v>
      </c>
      <c r="X54" t="s">
        <v>64</v>
      </c>
    </row>
    <row r="55" spans="1:24">
      <c r="A55" s="7" t="s">
        <v>169</v>
      </c>
      <c r="B55" s="7" t="s">
        <v>170</v>
      </c>
      <c r="C55" s="7"/>
      <c r="D55" s="7"/>
      <c r="E55" s="7" t="s">
        <v>54</v>
      </c>
      <c r="F55" s="7" t="s">
        <v>55</v>
      </c>
      <c r="G55" s="7" t="s">
        <v>76</v>
      </c>
      <c r="H55" s="7">
        <v>53</v>
      </c>
      <c r="I55" s="7" t="s">
        <v>57</v>
      </c>
      <c r="J55" s="7" t="s">
        <v>58</v>
      </c>
      <c r="K55" s="7" t="s">
        <v>58</v>
      </c>
      <c r="L55" s="7" t="s">
        <v>68</v>
      </c>
      <c r="M55" s="7" t="s">
        <v>58</v>
      </c>
      <c r="N55" s="7" t="s">
        <v>58</v>
      </c>
      <c r="O55" s="7" t="s">
        <v>58</v>
      </c>
      <c r="P55" s="7" t="s">
        <v>69</v>
      </c>
      <c r="Q55" s="7" t="s">
        <v>58</v>
      </c>
      <c r="R55" s="7">
        <v>12</v>
      </c>
      <c r="S55" s="7" t="s">
        <v>62</v>
      </c>
      <c r="T55" s="7" t="s">
        <v>58</v>
      </c>
      <c r="U55" s="7">
        <v>33</v>
      </c>
      <c r="V55" s="7" t="s">
        <v>70</v>
      </c>
      <c r="W55" t="s">
        <v>58</v>
      </c>
      <c r="X55" t="s">
        <v>68</v>
      </c>
    </row>
    <row r="56" spans="1:24">
      <c r="A56" s="6" t="s">
        <v>171</v>
      </c>
      <c r="B56" s="6" t="s">
        <v>172</v>
      </c>
      <c r="C56" s="6"/>
      <c r="D56" s="6"/>
      <c r="E56" s="6" t="s">
        <v>54</v>
      </c>
      <c r="F56" s="6" t="s">
        <v>55</v>
      </c>
      <c r="G56" s="6" t="s">
        <v>76</v>
      </c>
      <c r="H56" s="6">
        <v>91</v>
      </c>
      <c r="I56" s="6" t="s">
        <v>57</v>
      </c>
      <c r="J56" s="6" t="s">
        <v>58</v>
      </c>
      <c r="K56" s="6" t="s">
        <v>58</v>
      </c>
      <c r="L56" s="6" t="s">
        <v>81</v>
      </c>
      <c r="M56" s="6">
        <v>84</v>
      </c>
      <c r="N56" s="6" t="s">
        <v>58</v>
      </c>
      <c r="O56" s="6" t="s">
        <v>58</v>
      </c>
      <c r="P56" s="6" t="s">
        <v>69</v>
      </c>
      <c r="Q56" s="6" t="s">
        <v>58</v>
      </c>
      <c r="R56" s="6">
        <v>18</v>
      </c>
      <c r="S56" s="6" t="s">
        <v>62</v>
      </c>
      <c r="T56" s="6" t="s">
        <v>58</v>
      </c>
      <c r="U56" s="6">
        <v>33</v>
      </c>
      <c r="V56" s="6" t="s">
        <v>77</v>
      </c>
      <c r="W56" t="s">
        <v>58</v>
      </c>
      <c r="X56" t="s">
        <v>82</v>
      </c>
    </row>
    <row r="57" spans="1:24">
      <c r="A57" s="7" t="s">
        <v>173</v>
      </c>
      <c r="B57" s="7" t="s">
        <v>174</v>
      </c>
      <c r="C57" s="7"/>
      <c r="D57" s="7"/>
      <c r="E57" s="7" t="s">
        <v>54</v>
      </c>
      <c r="F57" s="7" t="s">
        <v>55</v>
      </c>
      <c r="G57" s="7" t="s">
        <v>56</v>
      </c>
      <c r="H57" s="7">
        <v>90</v>
      </c>
      <c r="I57" s="7" t="s">
        <v>57</v>
      </c>
      <c r="J57" s="7" t="s">
        <v>58</v>
      </c>
      <c r="K57" s="7" t="s">
        <v>58</v>
      </c>
      <c r="L57" s="7" t="s">
        <v>81</v>
      </c>
      <c r="M57" s="7">
        <v>81</v>
      </c>
      <c r="N57" s="7" t="s">
        <v>58</v>
      </c>
      <c r="O57" s="7" t="s">
        <v>58</v>
      </c>
      <c r="P57" s="7" t="s">
        <v>69</v>
      </c>
      <c r="Q57" s="7" t="s">
        <v>58</v>
      </c>
      <c r="R57" s="7">
        <v>12</v>
      </c>
      <c r="S57" s="7" t="s">
        <v>62</v>
      </c>
      <c r="T57" s="7" t="s">
        <v>58</v>
      </c>
      <c r="U57" s="7">
        <v>33</v>
      </c>
      <c r="V57" s="7" t="s">
        <v>77</v>
      </c>
      <c r="W57" t="s">
        <v>58</v>
      </c>
      <c r="X57" t="s">
        <v>82</v>
      </c>
    </row>
    <row r="58" spans="1:24">
      <c r="A58" s="6" t="s">
        <v>175</v>
      </c>
      <c r="B58" s="6" t="s">
        <v>176</v>
      </c>
      <c r="C58" s="6"/>
      <c r="D58" s="6"/>
      <c r="E58" s="6" t="s">
        <v>54</v>
      </c>
      <c r="F58" s="6" t="s">
        <v>55</v>
      </c>
      <c r="G58" s="6" t="s">
        <v>76</v>
      </c>
      <c r="H58" s="6">
        <v>76</v>
      </c>
      <c r="I58" s="6" t="s">
        <v>57</v>
      </c>
      <c r="J58" s="6" t="s">
        <v>58</v>
      </c>
      <c r="K58" s="6" t="s">
        <v>58</v>
      </c>
      <c r="L58" s="6" t="s">
        <v>68</v>
      </c>
      <c r="M58" s="6" t="s">
        <v>58</v>
      </c>
      <c r="N58" s="6" t="s">
        <v>58</v>
      </c>
      <c r="O58" s="6" t="s">
        <v>58</v>
      </c>
      <c r="P58" s="6" t="s">
        <v>69</v>
      </c>
      <c r="Q58" s="6" t="s">
        <v>58</v>
      </c>
      <c r="R58" s="6">
        <v>12</v>
      </c>
      <c r="S58" s="6" t="s">
        <v>62</v>
      </c>
      <c r="T58" s="6" t="s">
        <v>58</v>
      </c>
      <c r="U58" s="6">
        <v>23</v>
      </c>
      <c r="V58" s="6" t="s">
        <v>77</v>
      </c>
      <c r="W58" t="s">
        <v>58</v>
      </c>
      <c r="X58" t="s">
        <v>68</v>
      </c>
    </row>
    <row r="59" spans="1:24">
      <c r="A59" s="7" t="s">
        <v>177</v>
      </c>
      <c r="B59" s="7" t="s">
        <v>178</v>
      </c>
      <c r="C59" s="7"/>
      <c r="D59" s="7"/>
      <c r="E59" s="7" t="s">
        <v>54</v>
      </c>
      <c r="F59" s="7" t="s">
        <v>55</v>
      </c>
      <c r="G59" s="7" t="s">
        <v>76</v>
      </c>
      <c r="H59" s="7">
        <v>52</v>
      </c>
      <c r="I59" s="7" t="s">
        <v>57</v>
      </c>
      <c r="J59" s="7" t="s">
        <v>58</v>
      </c>
      <c r="K59" s="7" t="s">
        <v>58</v>
      </c>
      <c r="L59" s="7" t="s">
        <v>68</v>
      </c>
      <c r="M59" s="7" t="s">
        <v>58</v>
      </c>
      <c r="N59" s="7" t="s">
        <v>58</v>
      </c>
      <c r="O59" s="7" t="s">
        <v>58</v>
      </c>
      <c r="P59" s="7" t="s">
        <v>69</v>
      </c>
      <c r="Q59" s="7" t="s">
        <v>58</v>
      </c>
      <c r="R59" s="7">
        <v>16</v>
      </c>
      <c r="S59" s="7" t="s">
        <v>58</v>
      </c>
      <c r="T59" s="7" t="s">
        <v>58</v>
      </c>
      <c r="U59" s="7">
        <v>33</v>
      </c>
      <c r="V59" s="7" t="s">
        <v>70</v>
      </c>
      <c r="W59" t="s">
        <v>58</v>
      </c>
      <c r="X59" t="s">
        <v>68</v>
      </c>
    </row>
    <row r="60" spans="1:24">
      <c r="A60" s="6" t="s">
        <v>179</v>
      </c>
      <c r="B60" s="6" t="s">
        <v>180</v>
      </c>
      <c r="C60" s="6"/>
      <c r="D60" s="6"/>
      <c r="E60" s="6" t="s">
        <v>54</v>
      </c>
      <c r="F60" s="6" t="s">
        <v>55</v>
      </c>
      <c r="G60" s="6" t="s">
        <v>76</v>
      </c>
      <c r="H60" s="6">
        <v>101</v>
      </c>
      <c r="I60" s="6" t="s">
        <v>57</v>
      </c>
      <c r="J60" s="6" t="s">
        <v>58</v>
      </c>
      <c r="K60" s="6" t="s">
        <v>58</v>
      </c>
      <c r="L60" s="6" t="s">
        <v>81</v>
      </c>
      <c r="M60" s="6" t="s">
        <v>58</v>
      </c>
      <c r="N60" s="6" t="s">
        <v>58</v>
      </c>
      <c r="O60" s="6" t="s">
        <v>58</v>
      </c>
      <c r="P60" s="6" t="s">
        <v>69</v>
      </c>
      <c r="Q60" s="6" t="s">
        <v>58</v>
      </c>
      <c r="R60" s="6">
        <v>18</v>
      </c>
      <c r="S60" s="6" t="s">
        <v>62</v>
      </c>
      <c r="T60" s="6" t="s">
        <v>58</v>
      </c>
      <c r="U60" s="6">
        <v>33</v>
      </c>
      <c r="V60" s="6" t="s">
        <v>77</v>
      </c>
      <c r="W60" t="s">
        <v>58</v>
      </c>
      <c r="X60" t="s">
        <v>82</v>
      </c>
    </row>
    <row r="61" spans="1:24">
      <c r="A61" s="7" t="s">
        <v>181</v>
      </c>
      <c r="B61" s="7" t="s">
        <v>182</v>
      </c>
      <c r="C61" s="7"/>
      <c r="D61" s="7"/>
      <c r="E61" s="7" t="s">
        <v>54</v>
      </c>
      <c r="F61" s="7" t="s">
        <v>55</v>
      </c>
      <c r="G61" s="7" t="s">
        <v>56</v>
      </c>
      <c r="H61" s="7">
        <v>95</v>
      </c>
      <c r="I61" s="7" t="s">
        <v>57</v>
      </c>
      <c r="J61" s="7" t="s">
        <v>58</v>
      </c>
      <c r="K61" s="7" t="s">
        <v>58</v>
      </c>
      <c r="L61" s="7" t="s">
        <v>59</v>
      </c>
      <c r="M61" s="7" t="s">
        <v>58</v>
      </c>
      <c r="N61" s="7" t="s">
        <v>58</v>
      </c>
      <c r="O61" s="7">
        <v>91</v>
      </c>
      <c r="P61" s="7" t="s">
        <v>69</v>
      </c>
      <c r="Q61" s="7" t="s">
        <v>58</v>
      </c>
      <c r="R61" s="7">
        <v>20</v>
      </c>
      <c r="S61" s="7" t="s">
        <v>62</v>
      </c>
      <c r="T61" s="7" t="s">
        <v>58</v>
      </c>
      <c r="U61" s="7">
        <v>33</v>
      </c>
      <c r="V61" s="7" t="s">
        <v>58</v>
      </c>
      <c r="W61" t="s">
        <v>58</v>
      </c>
      <c r="X61" t="s">
        <v>64</v>
      </c>
    </row>
    <row r="62" spans="1:24">
      <c r="A62" s="6" t="s">
        <v>183</v>
      </c>
      <c r="B62" s="6" t="s">
        <v>184</v>
      </c>
      <c r="C62" s="6"/>
      <c r="D62" s="6"/>
      <c r="E62" s="6" t="s">
        <v>54</v>
      </c>
      <c r="F62" s="6" t="s">
        <v>55</v>
      </c>
      <c r="G62" s="6" t="s">
        <v>56</v>
      </c>
      <c r="H62" s="6">
        <v>77</v>
      </c>
      <c r="I62" s="6" t="s">
        <v>57</v>
      </c>
      <c r="J62" s="6" t="s">
        <v>58</v>
      </c>
      <c r="K62" s="6" t="s">
        <v>58</v>
      </c>
      <c r="L62" s="6" t="s">
        <v>59</v>
      </c>
      <c r="M62" s="6">
        <v>62</v>
      </c>
      <c r="N62" s="6">
        <v>62</v>
      </c>
      <c r="O62" s="6">
        <v>68</v>
      </c>
      <c r="P62" s="6" t="s">
        <v>69</v>
      </c>
      <c r="Q62" s="6" t="s">
        <v>58</v>
      </c>
      <c r="R62" s="6">
        <v>21</v>
      </c>
      <c r="S62" s="6" t="s">
        <v>62</v>
      </c>
      <c r="T62" s="6" t="s">
        <v>58</v>
      </c>
      <c r="U62" s="6">
        <v>33</v>
      </c>
      <c r="V62" s="6" t="s">
        <v>58</v>
      </c>
      <c r="W62" t="s">
        <v>58</v>
      </c>
      <c r="X62" t="s">
        <v>64</v>
      </c>
    </row>
    <row r="63" spans="1:24">
      <c r="A63" s="7" t="s">
        <v>185</v>
      </c>
      <c r="B63" s="7" t="s">
        <v>186</v>
      </c>
      <c r="C63" s="7"/>
      <c r="D63" s="7"/>
      <c r="E63" s="7" t="s">
        <v>54</v>
      </c>
      <c r="F63" s="7" t="s">
        <v>55</v>
      </c>
      <c r="G63" s="7" t="s">
        <v>56</v>
      </c>
      <c r="H63" s="7">
        <v>96</v>
      </c>
      <c r="I63" s="7" t="s">
        <v>57</v>
      </c>
      <c r="J63" s="7" t="s">
        <v>58</v>
      </c>
      <c r="K63" s="7" t="s">
        <v>58</v>
      </c>
      <c r="L63" s="7" t="s">
        <v>81</v>
      </c>
      <c r="M63" s="7" t="s">
        <v>58</v>
      </c>
      <c r="N63" s="7" t="s">
        <v>58</v>
      </c>
      <c r="O63" s="7" t="s">
        <v>58</v>
      </c>
      <c r="P63" s="7" t="s">
        <v>69</v>
      </c>
      <c r="Q63" s="7" t="s">
        <v>58</v>
      </c>
      <c r="R63" s="7">
        <v>16</v>
      </c>
      <c r="S63" s="7" t="s">
        <v>62</v>
      </c>
      <c r="T63" s="7" t="s">
        <v>58</v>
      </c>
      <c r="U63" s="7">
        <v>33</v>
      </c>
      <c r="V63" s="7" t="s">
        <v>70</v>
      </c>
      <c r="W63" t="s">
        <v>58</v>
      </c>
      <c r="X63" t="s">
        <v>82</v>
      </c>
    </row>
    <row r="64" spans="1:24">
      <c r="A64" s="6" t="s">
        <v>187</v>
      </c>
      <c r="B64" s="6" t="s">
        <v>188</v>
      </c>
      <c r="C64" s="6"/>
      <c r="D64" s="6"/>
      <c r="E64" s="6" t="s">
        <v>54</v>
      </c>
      <c r="F64" s="6" t="s">
        <v>55</v>
      </c>
      <c r="G64" s="6" t="s">
        <v>56</v>
      </c>
      <c r="H64" s="6">
        <v>79</v>
      </c>
      <c r="I64" s="6" t="s">
        <v>57</v>
      </c>
      <c r="J64" s="6" t="s">
        <v>58</v>
      </c>
      <c r="K64" s="6" t="s">
        <v>58</v>
      </c>
      <c r="L64" s="6" t="s">
        <v>59</v>
      </c>
      <c r="M64" s="6">
        <v>65</v>
      </c>
      <c r="N64" s="6">
        <v>65</v>
      </c>
      <c r="O64" s="6">
        <v>65</v>
      </c>
      <c r="P64" s="6" t="s">
        <v>60</v>
      </c>
      <c r="Q64" s="6" t="s">
        <v>58</v>
      </c>
      <c r="R64" s="6">
        <v>21</v>
      </c>
      <c r="S64" s="6" t="s">
        <v>73</v>
      </c>
      <c r="T64" s="6">
        <v>0</v>
      </c>
      <c r="U64" s="6">
        <v>33</v>
      </c>
      <c r="V64" s="6" t="s">
        <v>63</v>
      </c>
      <c r="W64" t="s">
        <v>58</v>
      </c>
      <c r="X64" t="s">
        <v>64</v>
      </c>
    </row>
    <row r="65" spans="1:24">
      <c r="A65" s="7" t="s">
        <v>189</v>
      </c>
      <c r="B65" s="7" t="s">
        <v>190</v>
      </c>
      <c r="C65" s="7"/>
      <c r="D65" s="7"/>
      <c r="E65" s="7" t="s">
        <v>54</v>
      </c>
      <c r="F65" s="7" t="s">
        <v>55</v>
      </c>
      <c r="G65" s="7" t="s">
        <v>56</v>
      </c>
      <c r="H65" s="7">
        <v>86</v>
      </c>
      <c r="I65" s="7" t="s">
        <v>57</v>
      </c>
      <c r="J65" s="7" t="s">
        <v>58</v>
      </c>
      <c r="K65" s="7" t="s">
        <v>58</v>
      </c>
      <c r="L65" s="7" t="s">
        <v>68</v>
      </c>
      <c r="M65" s="7" t="s">
        <v>58</v>
      </c>
      <c r="N65" s="7" t="s">
        <v>58</v>
      </c>
      <c r="O65" s="7" t="s">
        <v>58</v>
      </c>
      <c r="P65" s="7" t="s">
        <v>69</v>
      </c>
      <c r="Q65" s="7" t="s">
        <v>58</v>
      </c>
      <c r="R65" s="7">
        <v>16</v>
      </c>
      <c r="S65" s="7" t="s">
        <v>73</v>
      </c>
      <c r="T65" s="7">
        <v>0</v>
      </c>
      <c r="U65" s="7">
        <v>33</v>
      </c>
      <c r="V65" s="7" t="s">
        <v>70</v>
      </c>
      <c r="W65" t="s">
        <v>58</v>
      </c>
      <c r="X65" t="s">
        <v>68</v>
      </c>
    </row>
    <row r="66" spans="1:24">
      <c r="A66" s="6" t="s">
        <v>191</v>
      </c>
      <c r="B66" s="6" t="s">
        <v>192</v>
      </c>
      <c r="C66" s="6"/>
      <c r="D66" s="6"/>
      <c r="E66" s="6" t="s">
        <v>54</v>
      </c>
      <c r="F66" s="6" t="s">
        <v>55</v>
      </c>
      <c r="G66" s="6" t="s">
        <v>56</v>
      </c>
      <c r="H66" s="6">
        <v>83</v>
      </c>
      <c r="I66" s="6" t="s">
        <v>57</v>
      </c>
      <c r="J66" s="6" t="s">
        <v>58</v>
      </c>
      <c r="K66" s="6" t="s">
        <v>58</v>
      </c>
      <c r="L66" s="6" t="s">
        <v>59</v>
      </c>
      <c r="M66" s="6">
        <v>67</v>
      </c>
      <c r="N66" s="6">
        <v>67</v>
      </c>
      <c r="O66" s="6" t="s">
        <v>58</v>
      </c>
      <c r="P66" s="6" t="s">
        <v>60</v>
      </c>
      <c r="Q66" s="6" t="s">
        <v>58</v>
      </c>
      <c r="R66" s="6">
        <v>14</v>
      </c>
      <c r="S66" s="6" t="s">
        <v>73</v>
      </c>
      <c r="T66" s="6">
        <v>0</v>
      </c>
      <c r="U66" s="6">
        <v>33</v>
      </c>
      <c r="V66" s="6" t="s">
        <v>63</v>
      </c>
      <c r="W66" t="s">
        <v>58</v>
      </c>
      <c r="X66" t="s">
        <v>64</v>
      </c>
    </row>
    <row r="67" spans="1:24">
      <c r="A67" s="7" t="s">
        <v>193</v>
      </c>
      <c r="B67" s="7" t="s">
        <v>194</v>
      </c>
      <c r="C67" s="7"/>
      <c r="D67" s="7"/>
      <c r="E67" s="7" t="s">
        <v>54</v>
      </c>
      <c r="F67" s="7" t="s">
        <v>55</v>
      </c>
      <c r="G67" s="7" t="s">
        <v>76</v>
      </c>
      <c r="H67" s="7">
        <v>71</v>
      </c>
      <c r="I67" s="7" t="s">
        <v>57</v>
      </c>
      <c r="J67" s="7" t="s">
        <v>58</v>
      </c>
      <c r="K67" s="7" t="s">
        <v>118</v>
      </c>
      <c r="L67" s="7" t="s">
        <v>59</v>
      </c>
      <c r="M67" s="7">
        <v>48</v>
      </c>
      <c r="N67" s="7">
        <v>48</v>
      </c>
      <c r="O67" s="7">
        <v>38</v>
      </c>
      <c r="P67" s="7" t="s">
        <v>69</v>
      </c>
      <c r="Q67" s="7" t="s">
        <v>58</v>
      </c>
      <c r="R67" s="7">
        <v>19</v>
      </c>
      <c r="S67" s="7" t="s">
        <v>73</v>
      </c>
      <c r="T67" s="7">
        <v>0</v>
      </c>
      <c r="U67" s="7">
        <v>33</v>
      </c>
      <c r="V67" s="7" t="s">
        <v>63</v>
      </c>
      <c r="W67" t="s">
        <v>58</v>
      </c>
      <c r="X67" t="s">
        <v>64</v>
      </c>
    </row>
    <row r="68" spans="1:24">
      <c r="A68" s="6" t="s">
        <v>195</v>
      </c>
      <c r="B68" s="6" t="s">
        <v>196</v>
      </c>
      <c r="C68" s="6"/>
      <c r="D68" s="6"/>
      <c r="E68" s="6" t="s">
        <v>54</v>
      </c>
      <c r="F68" s="6" t="s">
        <v>55</v>
      </c>
      <c r="G68" s="6" t="s">
        <v>56</v>
      </c>
      <c r="H68" s="6">
        <v>81</v>
      </c>
      <c r="I68" s="6" t="s">
        <v>57</v>
      </c>
      <c r="J68" s="6" t="s">
        <v>58</v>
      </c>
      <c r="K68" s="6" t="s">
        <v>58</v>
      </c>
      <c r="L68" s="6" t="s">
        <v>59</v>
      </c>
      <c r="M68" s="6">
        <v>65</v>
      </c>
      <c r="N68" s="6">
        <v>65</v>
      </c>
      <c r="O68" s="6" t="s">
        <v>58</v>
      </c>
      <c r="P68" s="6" t="s">
        <v>60</v>
      </c>
      <c r="Q68" s="6" t="s">
        <v>58</v>
      </c>
      <c r="R68" s="6">
        <v>16</v>
      </c>
      <c r="S68" s="6" t="s">
        <v>62</v>
      </c>
      <c r="T68" s="6" t="s">
        <v>58</v>
      </c>
      <c r="U68" s="6">
        <v>34</v>
      </c>
      <c r="V68" s="6" t="s">
        <v>63</v>
      </c>
      <c r="W68" t="s">
        <v>58</v>
      </c>
      <c r="X68" t="s">
        <v>64</v>
      </c>
    </row>
    <row r="69" spans="1:24">
      <c r="A69" s="7" t="s">
        <v>197</v>
      </c>
      <c r="B69" s="7" t="s">
        <v>198</v>
      </c>
      <c r="C69" s="7"/>
      <c r="D69" s="7"/>
      <c r="E69" s="7" t="s">
        <v>54</v>
      </c>
      <c r="F69" s="7" t="s">
        <v>55</v>
      </c>
      <c r="G69" s="7" t="s">
        <v>56</v>
      </c>
      <c r="H69" s="7">
        <v>84</v>
      </c>
      <c r="I69" s="7" t="s">
        <v>57</v>
      </c>
      <c r="J69" s="7" t="s">
        <v>58</v>
      </c>
      <c r="K69" s="7" t="s">
        <v>58</v>
      </c>
      <c r="L69" s="7" t="s">
        <v>59</v>
      </c>
      <c r="M69" s="7">
        <v>83</v>
      </c>
      <c r="N69" s="7">
        <v>83</v>
      </c>
      <c r="O69" s="7">
        <v>84</v>
      </c>
      <c r="P69" s="7" t="s">
        <v>69</v>
      </c>
      <c r="Q69" s="7" t="s">
        <v>58</v>
      </c>
      <c r="R69" s="7">
        <v>12</v>
      </c>
      <c r="S69" s="7" t="s">
        <v>62</v>
      </c>
      <c r="T69" s="7" t="s">
        <v>58</v>
      </c>
      <c r="U69" s="7">
        <v>33</v>
      </c>
      <c r="V69" s="7" t="s">
        <v>77</v>
      </c>
      <c r="W69" t="s">
        <v>58</v>
      </c>
      <c r="X69" t="s">
        <v>64</v>
      </c>
    </row>
    <row r="70" spans="1:24">
      <c r="A70" s="6" t="s">
        <v>199</v>
      </c>
      <c r="B70" s="6" t="s">
        <v>200</v>
      </c>
      <c r="C70" s="6"/>
      <c r="D70" s="6"/>
      <c r="E70" s="6" t="s">
        <v>54</v>
      </c>
      <c r="F70" s="6" t="s">
        <v>55</v>
      </c>
      <c r="G70" s="6" t="s">
        <v>76</v>
      </c>
      <c r="H70" s="6">
        <v>87</v>
      </c>
      <c r="I70" s="6" t="s">
        <v>57</v>
      </c>
      <c r="J70" s="6" t="s">
        <v>58</v>
      </c>
      <c r="K70" s="6" t="s">
        <v>58</v>
      </c>
      <c r="L70" s="6" t="s">
        <v>68</v>
      </c>
      <c r="M70" s="6" t="s">
        <v>58</v>
      </c>
      <c r="N70" s="6" t="s">
        <v>58</v>
      </c>
      <c r="O70" s="6" t="s">
        <v>58</v>
      </c>
      <c r="P70" s="6" t="s">
        <v>69</v>
      </c>
      <c r="Q70" s="6" t="s">
        <v>58</v>
      </c>
      <c r="R70" s="6">
        <v>10</v>
      </c>
      <c r="S70" s="6" t="s">
        <v>62</v>
      </c>
      <c r="T70" s="6" t="s">
        <v>58</v>
      </c>
      <c r="U70" s="6">
        <v>34</v>
      </c>
      <c r="V70" s="6" t="s">
        <v>70</v>
      </c>
      <c r="W70" t="s">
        <v>58</v>
      </c>
      <c r="X70" t="s">
        <v>68</v>
      </c>
    </row>
    <row r="71" spans="1:24">
      <c r="A71" s="7" t="s">
        <v>201</v>
      </c>
      <c r="B71" s="7" t="s">
        <v>202</v>
      </c>
      <c r="C71" s="7"/>
      <c r="D71" s="7"/>
      <c r="E71" s="7" t="s">
        <v>54</v>
      </c>
      <c r="F71" s="7" t="s">
        <v>55</v>
      </c>
      <c r="G71" s="7" t="s">
        <v>76</v>
      </c>
      <c r="H71" s="7">
        <v>85</v>
      </c>
      <c r="I71" s="7" t="s">
        <v>57</v>
      </c>
      <c r="J71" s="7" t="s">
        <v>58</v>
      </c>
      <c r="K71" s="7" t="s">
        <v>58</v>
      </c>
      <c r="L71" s="7" t="s">
        <v>68</v>
      </c>
      <c r="M71" s="7" t="s">
        <v>58</v>
      </c>
      <c r="N71" s="7" t="s">
        <v>58</v>
      </c>
      <c r="O71" s="7" t="s">
        <v>58</v>
      </c>
      <c r="P71" s="7" t="s">
        <v>69</v>
      </c>
      <c r="Q71" s="7" t="s">
        <v>58</v>
      </c>
      <c r="R71" s="7">
        <v>17</v>
      </c>
      <c r="S71" s="7" t="s">
        <v>73</v>
      </c>
      <c r="T71" s="7" t="s">
        <v>58</v>
      </c>
      <c r="U71" s="7">
        <v>34</v>
      </c>
      <c r="V71" s="7" t="s">
        <v>70</v>
      </c>
      <c r="W71" t="s">
        <v>58</v>
      </c>
      <c r="X71" t="s">
        <v>68</v>
      </c>
    </row>
    <row r="72" spans="1:24">
      <c r="A72" s="6" t="s">
        <v>203</v>
      </c>
      <c r="B72" s="6" t="s">
        <v>204</v>
      </c>
      <c r="C72" s="6"/>
      <c r="D72" s="6"/>
      <c r="E72" s="6" t="s">
        <v>54</v>
      </c>
      <c r="F72" s="6" t="s">
        <v>55</v>
      </c>
      <c r="G72" s="6" t="s">
        <v>56</v>
      </c>
      <c r="H72" s="6">
        <v>89</v>
      </c>
      <c r="I72" s="6" t="s">
        <v>57</v>
      </c>
      <c r="J72" s="6" t="s">
        <v>58</v>
      </c>
      <c r="K72" s="6" t="s">
        <v>58</v>
      </c>
      <c r="L72" s="6" t="s">
        <v>59</v>
      </c>
      <c r="M72" s="6">
        <v>74</v>
      </c>
      <c r="N72" s="6">
        <v>74</v>
      </c>
      <c r="O72" s="6">
        <v>75</v>
      </c>
      <c r="P72" s="6" t="s">
        <v>69</v>
      </c>
      <c r="Q72" s="6" t="s">
        <v>58</v>
      </c>
      <c r="R72" s="6">
        <v>16</v>
      </c>
      <c r="S72" s="6" t="s">
        <v>62</v>
      </c>
      <c r="T72" s="6" t="s">
        <v>58</v>
      </c>
      <c r="U72" s="6">
        <v>33</v>
      </c>
      <c r="V72" s="6" t="s">
        <v>77</v>
      </c>
      <c r="W72" t="s">
        <v>58</v>
      </c>
      <c r="X72" t="s">
        <v>64</v>
      </c>
    </row>
    <row r="73" spans="1:24">
      <c r="A73" s="7" t="s">
        <v>205</v>
      </c>
      <c r="B73" s="7" t="s">
        <v>206</v>
      </c>
      <c r="C73" s="7"/>
      <c r="D73" s="7"/>
      <c r="E73" s="7" t="s">
        <v>54</v>
      </c>
      <c r="F73" s="7" t="s">
        <v>55</v>
      </c>
      <c r="G73" s="7" t="s">
        <v>76</v>
      </c>
      <c r="H73" s="7">
        <v>87</v>
      </c>
      <c r="I73" s="7" t="s">
        <v>57</v>
      </c>
      <c r="J73" s="7" t="s">
        <v>58</v>
      </c>
      <c r="K73" s="7" t="s">
        <v>58</v>
      </c>
      <c r="L73" s="7" t="s">
        <v>81</v>
      </c>
      <c r="M73" s="7" t="s">
        <v>58</v>
      </c>
      <c r="N73" s="7" t="s">
        <v>58</v>
      </c>
      <c r="O73" s="7" t="s">
        <v>58</v>
      </c>
      <c r="P73" s="7" t="s">
        <v>69</v>
      </c>
      <c r="Q73" s="7" t="s">
        <v>58</v>
      </c>
      <c r="R73" s="7">
        <v>16</v>
      </c>
      <c r="S73" s="7" t="s">
        <v>62</v>
      </c>
      <c r="T73" s="7" t="s">
        <v>58</v>
      </c>
      <c r="U73" s="7">
        <v>33</v>
      </c>
      <c r="V73" s="7" t="s">
        <v>70</v>
      </c>
      <c r="W73" t="s">
        <v>58</v>
      </c>
      <c r="X73" t="s">
        <v>82</v>
      </c>
    </row>
    <row r="74" spans="1:24">
      <c r="A74" s="6" t="s">
        <v>207</v>
      </c>
      <c r="B74" s="6" t="s">
        <v>208</v>
      </c>
      <c r="C74" s="6"/>
      <c r="D74" s="6"/>
      <c r="E74" s="6" t="s">
        <v>54</v>
      </c>
      <c r="F74" s="6" t="s">
        <v>55</v>
      </c>
      <c r="G74" s="6" t="s">
        <v>76</v>
      </c>
      <c r="H74" s="6">
        <v>86</v>
      </c>
      <c r="I74" s="6" t="s">
        <v>57</v>
      </c>
      <c r="J74" s="6" t="s">
        <v>58</v>
      </c>
      <c r="K74" s="6" t="s">
        <v>118</v>
      </c>
      <c r="L74" s="6" t="s">
        <v>59</v>
      </c>
      <c r="M74" s="6">
        <v>76</v>
      </c>
      <c r="N74" s="6">
        <v>76</v>
      </c>
      <c r="O74" s="6">
        <v>77</v>
      </c>
      <c r="P74" s="6" t="s">
        <v>60</v>
      </c>
      <c r="Q74" s="6" t="s">
        <v>58</v>
      </c>
      <c r="R74" s="6">
        <v>15</v>
      </c>
      <c r="S74" s="6" t="s">
        <v>73</v>
      </c>
      <c r="T74" s="6" t="s">
        <v>58</v>
      </c>
      <c r="U74" s="6">
        <v>33</v>
      </c>
      <c r="V74" s="6" t="s">
        <v>63</v>
      </c>
      <c r="W74" t="s">
        <v>58</v>
      </c>
      <c r="X74" t="s">
        <v>64</v>
      </c>
    </row>
    <row r="75" spans="1:24">
      <c r="A75" s="7" t="s">
        <v>209</v>
      </c>
      <c r="B75" s="7" t="s">
        <v>210</v>
      </c>
      <c r="C75" s="7"/>
      <c r="D75" s="7"/>
      <c r="E75" s="7" t="s">
        <v>54</v>
      </c>
      <c r="F75" s="7" t="s">
        <v>55</v>
      </c>
      <c r="G75" s="7" t="s">
        <v>76</v>
      </c>
      <c r="H75" s="7">
        <v>87</v>
      </c>
      <c r="I75" s="7" t="s">
        <v>57</v>
      </c>
      <c r="J75" s="7" t="s">
        <v>58</v>
      </c>
      <c r="K75" s="7" t="s">
        <v>58</v>
      </c>
      <c r="L75" s="7" t="s">
        <v>68</v>
      </c>
      <c r="M75" s="7" t="s">
        <v>58</v>
      </c>
      <c r="N75" s="7" t="s">
        <v>58</v>
      </c>
      <c r="O75" s="7" t="s">
        <v>58</v>
      </c>
      <c r="P75" s="7" t="s">
        <v>69</v>
      </c>
      <c r="Q75" s="7" t="s">
        <v>58</v>
      </c>
      <c r="R75" s="7">
        <v>12</v>
      </c>
      <c r="S75" s="7" t="s">
        <v>73</v>
      </c>
      <c r="T75" s="7" t="s">
        <v>58</v>
      </c>
      <c r="U75" s="7">
        <v>34</v>
      </c>
      <c r="V75" s="7" t="s">
        <v>70</v>
      </c>
      <c r="W75" t="s">
        <v>58</v>
      </c>
      <c r="X75" t="s">
        <v>68</v>
      </c>
    </row>
    <row r="76" spans="1:24">
      <c r="A76" s="6" t="s">
        <v>211</v>
      </c>
      <c r="B76" s="6" t="s">
        <v>212</v>
      </c>
      <c r="C76" s="6"/>
      <c r="D76" s="6"/>
      <c r="E76" s="6" t="s">
        <v>54</v>
      </c>
      <c r="F76" s="6" t="s">
        <v>55</v>
      </c>
      <c r="G76" s="6" t="s">
        <v>56</v>
      </c>
      <c r="H76" s="6">
        <v>87</v>
      </c>
      <c r="I76" s="6" t="s">
        <v>57</v>
      </c>
      <c r="J76" s="6" t="s">
        <v>58</v>
      </c>
      <c r="K76" s="6" t="s">
        <v>118</v>
      </c>
      <c r="L76" s="6" t="s">
        <v>81</v>
      </c>
      <c r="M76" s="6" t="s">
        <v>58</v>
      </c>
      <c r="N76" s="6" t="s">
        <v>58</v>
      </c>
      <c r="O76" s="6" t="s">
        <v>58</v>
      </c>
      <c r="P76" s="6" t="s">
        <v>69</v>
      </c>
      <c r="Q76" s="6" t="s">
        <v>58</v>
      </c>
      <c r="R76" s="6">
        <v>16</v>
      </c>
      <c r="S76" s="6" t="s">
        <v>62</v>
      </c>
      <c r="T76" s="6" t="s">
        <v>58</v>
      </c>
      <c r="U76" s="6">
        <v>23</v>
      </c>
      <c r="V76" s="6" t="s">
        <v>70</v>
      </c>
      <c r="W76" t="s">
        <v>58</v>
      </c>
      <c r="X76" t="s">
        <v>82</v>
      </c>
    </row>
    <row r="77" spans="1:24">
      <c r="A77" s="7" t="s">
        <v>213</v>
      </c>
      <c r="B77" s="7" t="s">
        <v>214</v>
      </c>
      <c r="C77" s="7"/>
      <c r="D77" s="7"/>
      <c r="E77" s="7" t="s">
        <v>54</v>
      </c>
      <c r="F77" s="7" t="s">
        <v>55</v>
      </c>
      <c r="G77" s="7" t="s">
        <v>56</v>
      </c>
      <c r="H77" s="7">
        <v>70</v>
      </c>
      <c r="I77" s="7" t="s">
        <v>57</v>
      </c>
      <c r="J77" s="7" t="s">
        <v>58</v>
      </c>
      <c r="K77" s="7" t="s">
        <v>58</v>
      </c>
      <c r="L77" s="7" t="s">
        <v>81</v>
      </c>
      <c r="M77" s="7" t="s">
        <v>58</v>
      </c>
      <c r="N77" s="7" t="s">
        <v>58</v>
      </c>
      <c r="O77" s="7" t="s">
        <v>58</v>
      </c>
      <c r="P77" s="7" t="s">
        <v>69</v>
      </c>
      <c r="Q77" s="7" t="s">
        <v>58</v>
      </c>
      <c r="R77" s="7">
        <v>19</v>
      </c>
      <c r="S77" s="7" t="s">
        <v>62</v>
      </c>
      <c r="T77" s="7" t="s">
        <v>58</v>
      </c>
      <c r="U77" s="7">
        <v>33</v>
      </c>
      <c r="V77" s="7" t="s">
        <v>70</v>
      </c>
      <c r="W77" t="s">
        <v>58</v>
      </c>
      <c r="X77" t="s">
        <v>82</v>
      </c>
    </row>
    <row r="78" spans="1:24">
      <c r="A78" s="6" t="s">
        <v>215</v>
      </c>
      <c r="B78" s="6" t="s">
        <v>216</v>
      </c>
      <c r="C78" s="6"/>
      <c r="D78" s="6"/>
      <c r="E78" s="6" t="s">
        <v>54</v>
      </c>
      <c r="F78" s="6" t="s">
        <v>55</v>
      </c>
      <c r="G78" s="6" t="s">
        <v>76</v>
      </c>
      <c r="H78" s="6">
        <v>86</v>
      </c>
      <c r="I78" s="6" t="s">
        <v>57</v>
      </c>
      <c r="J78" s="6" t="s">
        <v>58</v>
      </c>
      <c r="K78" s="6" t="s">
        <v>58</v>
      </c>
      <c r="L78" s="6" t="s">
        <v>68</v>
      </c>
      <c r="M78" s="6" t="s">
        <v>58</v>
      </c>
      <c r="N78" s="6" t="s">
        <v>58</v>
      </c>
      <c r="O78" s="6" t="s">
        <v>58</v>
      </c>
      <c r="P78" s="6" t="s">
        <v>69</v>
      </c>
      <c r="Q78" s="6" t="s">
        <v>58</v>
      </c>
      <c r="R78" s="6">
        <v>13</v>
      </c>
      <c r="S78" s="6" t="s">
        <v>73</v>
      </c>
      <c r="T78" s="6" t="s">
        <v>58</v>
      </c>
      <c r="U78" s="6">
        <v>33</v>
      </c>
      <c r="V78" s="6" t="s">
        <v>70</v>
      </c>
      <c r="W78" t="s">
        <v>58</v>
      </c>
      <c r="X78" t="s">
        <v>68</v>
      </c>
    </row>
    <row r="79" spans="1:24">
      <c r="A79" s="7" t="s">
        <v>217</v>
      </c>
      <c r="B79" s="7" t="s">
        <v>218</v>
      </c>
      <c r="C79" s="7"/>
      <c r="D79" s="7"/>
      <c r="E79" s="7" t="s">
        <v>54</v>
      </c>
      <c r="F79" s="7" t="s">
        <v>55</v>
      </c>
      <c r="G79" s="7" t="s">
        <v>56</v>
      </c>
      <c r="H79" s="7">
        <v>80</v>
      </c>
      <c r="I79" s="7" t="s">
        <v>57</v>
      </c>
      <c r="J79" s="7" t="s">
        <v>58</v>
      </c>
      <c r="K79" s="7" t="s">
        <v>58</v>
      </c>
      <c r="L79" s="7" t="s">
        <v>81</v>
      </c>
      <c r="M79" s="7" t="s">
        <v>58</v>
      </c>
      <c r="N79" s="7" t="s">
        <v>58</v>
      </c>
      <c r="O79" s="7" t="s">
        <v>58</v>
      </c>
      <c r="P79" s="7" t="s">
        <v>69</v>
      </c>
      <c r="Q79" s="7" t="s">
        <v>58</v>
      </c>
      <c r="R79" s="7">
        <v>18</v>
      </c>
      <c r="S79" s="7" t="s">
        <v>58</v>
      </c>
      <c r="T79" s="7" t="s">
        <v>58</v>
      </c>
      <c r="U79" s="7">
        <v>33</v>
      </c>
      <c r="V79" s="7" t="s">
        <v>70</v>
      </c>
      <c r="W79" t="s">
        <v>58</v>
      </c>
      <c r="X79" t="s">
        <v>82</v>
      </c>
    </row>
    <row r="80" spans="1:24">
      <c r="A80" s="6" t="s">
        <v>219</v>
      </c>
      <c r="B80" s="6" t="s">
        <v>220</v>
      </c>
      <c r="C80" s="6"/>
      <c r="D80" s="6"/>
      <c r="E80" s="6" t="s">
        <v>54</v>
      </c>
      <c r="F80" s="6" t="s">
        <v>55</v>
      </c>
      <c r="G80" s="6" t="s">
        <v>56</v>
      </c>
      <c r="H80" s="6">
        <v>80</v>
      </c>
      <c r="I80" s="6" t="s">
        <v>57</v>
      </c>
      <c r="J80" s="6" t="s">
        <v>58</v>
      </c>
      <c r="K80" s="6" t="s">
        <v>58</v>
      </c>
      <c r="L80" s="6" t="s">
        <v>59</v>
      </c>
      <c r="M80" s="6">
        <v>65</v>
      </c>
      <c r="N80" s="6">
        <v>65</v>
      </c>
      <c r="O80" s="6">
        <v>69</v>
      </c>
      <c r="P80" s="6" t="s">
        <v>60</v>
      </c>
      <c r="Q80" s="6" t="s">
        <v>58</v>
      </c>
      <c r="R80" s="6">
        <v>16</v>
      </c>
      <c r="S80" s="6" t="s">
        <v>73</v>
      </c>
      <c r="T80" s="6" t="s">
        <v>58</v>
      </c>
      <c r="U80" s="6">
        <v>33</v>
      </c>
      <c r="V80" s="6" t="s">
        <v>63</v>
      </c>
      <c r="W80" t="s">
        <v>58</v>
      </c>
      <c r="X80" t="s">
        <v>64</v>
      </c>
    </row>
    <row r="81" spans="1:24">
      <c r="A81" s="7" t="s">
        <v>221</v>
      </c>
      <c r="B81" s="7" t="s">
        <v>222</v>
      </c>
      <c r="C81" s="7"/>
      <c r="D81" s="7"/>
      <c r="E81" s="7" t="s">
        <v>54</v>
      </c>
      <c r="F81" s="7" t="s">
        <v>55</v>
      </c>
      <c r="G81" s="7" t="s">
        <v>76</v>
      </c>
      <c r="H81" s="7">
        <v>81</v>
      </c>
      <c r="I81" s="7" t="s">
        <v>57</v>
      </c>
      <c r="J81" s="7" t="s">
        <v>58</v>
      </c>
      <c r="K81" s="7" t="s">
        <v>58</v>
      </c>
      <c r="L81" s="7" t="s">
        <v>59</v>
      </c>
      <c r="M81" s="7">
        <v>67</v>
      </c>
      <c r="N81" s="7">
        <v>67</v>
      </c>
      <c r="O81" s="7">
        <v>68</v>
      </c>
      <c r="P81" s="7" t="s">
        <v>69</v>
      </c>
      <c r="Q81" s="7" t="s">
        <v>58</v>
      </c>
      <c r="R81" s="7">
        <v>19</v>
      </c>
      <c r="S81" s="7" t="s">
        <v>73</v>
      </c>
      <c r="T81" s="7" t="s">
        <v>58</v>
      </c>
      <c r="U81" s="7">
        <v>33</v>
      </c>
      <c r="V81" s="7" t="s">
        <v>58</v>
      </c>
      <c r="W81" t="s">
        <v>58</v>
      </c>
      <c r="X81" t="s">
        <v>64</v>
      </c>
    </row>
    <row r="82" spans="1:24">
      <c r="A82" s="6" t="s">
        <v>223</v>
      </c>
      <c r="B82" s="6" t="s">
        <v>224</v>
      </c>
      <c r="C82" s="6"/>
      <c r="D82" s="6"/>
      <c r="E82" s="6" t="s">
        <v>54</v>
      </c>
      <c r="F82" s="6" t="s">
        <v>55</v>
      </c>
      <c r="G82" s="6" t="s">
        <v>56</v>
      </c>
      <c r="H82" s="6">
        <v>71</v>
      </c>
      <c r="I82" s="6" t="s">
        <v>57</v>
      </c>
      <c r="J82" s="6" t="s">
        <v>58</v>
      </c>
      <c r="K82" s="6" t="s">
        <v>58</v>
      </c>
      <c r="L82" s="6" t="s">
        <v>68</v>
      </c>
      <c r="M82" s="6" t="s">
        <v>58</v>
      </c>
      <c r="N82" s="6" t="s">
        <v>58</v>
      </c>
      <c r="O82" s="6" t="s">
        <v>58</v>
      </c>
      <c r="P82" s="6" t="s">
        <v>69</v>
      </c>
      <c r="Q82" s="6" t="s">
        <v>58</v>
      </c>
      <c r="R82" s="6">
        <v>18</v>
      </c>
      <c r="S82" s="6" t="s">
        <v>62</v>
      </c>
      <c r="T82" s="6" t="s">
        <v>58</v>
      </c>
      <c r="U82" s="6">
        <v>33</v>
      </c>
      <c r="V82" s="6" t="s">
        <v>70</v>
      </c>
      <c r="W82" t="s">
        <v>58</v>
      </c>
      <c r="X82" t="s">
        <v>68</v>
      </c>
    </row>
    <row r="83" spans="1:24">
      <c r="A83" s="7" t="s">
        <v>225</v>
      </c>
      <c r="B83" s="7" t="s">
        <v>226</v>
      </c>
      <c r="C83" s="7"/>
      <c r="D83" s="7"/>
      <c r="E83" s="7" t="s">
        <v>54</v>
      </c>
      <c r="F83" s="7" t="s">
        <v>55</v>
      </c>
      <c r="G83" s="7" t="s">
        <v>56</v>
      </c>
      <c r="H83" s="7">
        <v>73</v>
      </c>
      <c r="I83" s="7" t="s">
        <v>57</v>
      </c>
      <c r="J83" s="7" t="s">
        <v>58</v>
      </c>
      <c r="K83" s="7" t="s">
        <v>58</v>
      </c>
      <c r="L83" s="7" t="s">
        <v>59</v>
      </c>
      <c r="M83" s="7">
        <v>63</v>
      </c>
      <c r="N83" s="7">
        <v>63</v>
      </c>
      <c r="O83" s="7">
        <v>65</v>
      </c>
      <c r="P83" s="7" t="s">
        <v>60</v>
      </c>
      <c r="Q83" s="7" t="s">
        <v>58</v>
      </c>
      <c r="R83" s="7">
        <v>15</v>
      </c>
      <c r="S83" s="7" t="s">
        <v>62</v>
      </c>
      <c r="T83" s="7" t="s">
        <v>58</v>
      </c>
      <c r="U83" s="7">
        <v>34</v>
      </c>
      <c r="V83" s="7" t="s">
        <v>63</v>
      </c>
      <c r="W83" t="s">
        <v>58</v>
      </c>
      <c r="X83" t="s">
        <v>64</v>
      </c>
    </row>
    <row r="84" spans="1:24">
      <c r="A84" s="6" t="s">
        <v>227</v>
      </c>
      <c r="B84" s="6" t="s">
        <v>228</v>
      </c>
      <c r="C84" s="6"/>
      <c r="D84" s="6"/>
      <c r="E84" s="6" t="s">
        <v>54</v>
      </c>
      <c r="F84" s="6" t="s">
        <v>55</v>
      </c>
      <c r="G84" s="6" t="s">
        <v>56</v>
      </c>
      <c r="H84" s="6">
        <v>92</v>
      </c>
      <c r="I84" s="6" t="s">
        <v>57</v>
      </c>
      <c r="J84" s="6" t="s">
        <v>58</v>
      </c>
      <c r="K84" s="6" t="s">
        <v>58</v>
      </c>
      <c r="L84" s="6" t="s">
        <v>81</v>
      </c>
      <c r="M84" s="6" t="s">
        <v>58</v>
      </c>
      <c r="N84" s="6" t="s">
        <v>58</v>
      </c>
      <c r="O84" s="6" t="s">
        <v>58</v>
      </c>
      <c r="P84" s="6" t="s">
        <v>69</v>
      </c>
      <c r="Q84" s="6" t="s">
        <v>58</v>
      </c>
      <c r="R84" s="6">
        <v>12</v>
      </c>
      <c r="S84" s="6" t="s">
        <v>62</v>
      </c>
      <c r="T84" s="6" t="s">
        <v>58</v>
      </c>
      <c r="U84" s="6">
        <v>23</v>
      </c>
      <c r="V84" s="6" t="s">
        <v>70</v>
      </c>
      <c r="W84" t="s">
        <v>58</v>
      </c>
      <c r="X84" t="s">
        <v>82</v>
      </c>
    </row>
    <row r="85" spans="1:24">
      <c r="A85" s="7" t="s">
        <v>229</v>
      </c>
      <c r="B85" s="7" t="s">
        <v>230</v>
      </c>
      <c r="C85" s="7"/>
      <c r="D85" s="7"/>
      <c r="E85" s="7" t="s">
        <v>54</v>
      </c>
      <c r="F85" s="7" t="s">
        <v>55</v>
      </c>
      <c r="G85" s="7" t="s">
        <v>56</v>
      </c>
      <c r="H85" s="7">
        <v>100</v>
      </c>
      <c r="I85" s="7" t="s">
        <v>57</v>
      </c>
      <c r="J85" s="7" t="s">
        <v>58</v>
      </c>
      <c r="K85" s="7" t="s">
        <v>58</v>
      </c>
      <c r="L85" s="7" t="s">
        <v>68</v>
      </c>
      <c r="M85" s="7">
        <v>98</v>
      </c>
      <c r="N85" s="7" t="s">
        <v>58</v>
      </c>
      <c r="O85" s="7" t="s">
        <v>58</v>
      </c>
      <c r="P85" s="7" t="s">
        <v>69</v>
      </c>
      <c r="Q85" s="7" t="s">
        <v>58</v>
      </c>
      <c r="R85" s="7">
        <v>13</v>
      </c>
      <c r="S85" s="7" t="s">
        <v>62</v>
      </c>
      <c r="T85" s="7" t="s">
        <v>58</v>
      </c>
      <c r="U85" s="7" t="s">
        <v>58</v>
      </c>
      <c r="V85" s="7" t="s">
        <v>77</v>
      </c>
      <c r="W85" t="s">
        <v>58</v>
      </c>
      <c r="X85" t="s">
        <v>68</v>
      </c>
    </row>
    <row r="86" spans="1:24">
      <c r="A86" s="6" t="s">
        <v>231</v>
      </c>
      <c r="B86" s="6" t="s">
        <v>232</v>
      </c>
      <c r="C86" s="6"/>
      <c r="D86" s="6"/>
      <c r="E86" s="6" t="s">
        <v>54</v>
      </c>
      <c r="F86" s="6" t="s">
        <v>55</v>
      </c>
      <c r="G86" s="6" t="s">
        <v>76</v>
      </c>
      <c r="H86" s="6">
        <v>93</v>
      </c>
      <c r="I86" s="6" t="s">
        <v>57</v>
      </c>
      <c r="J86" s="6" t="s">
        <v>58</v>
      </c>
      <c r="K86" s="6" t="s">
        <v>58</v>
      </c>
      <c r="L86" s="6" t="s">
        <v>81</v>
      </c>
      <c r="M86" s="6" t="s">
        <v>58</v>
      </c>
      <c r="N86" s="6" t="s">
        <v>58</v>
      </c>
      <c r="O86" s="6" t="s">
        <v>58</v>
      </c>
      <c r="P86" s="6" t="s">
        <v>69</v>
      </c>
      <c r="Q86" s="6" t="s">
        <v>58</v>
      </c>
      <c r="R86" s="6">
        <v>14</v>
      </c>
      <c r="S86" s="6" t="s">
        <v>73</v>
      </c>
      <c r="T86" s="6" t="s">
        <v>58</v>
      </c>
      <c r="U86" s="6">
        <v>33</v>
      </c>
      <c r="V86" s="6" t="s">
        <v>70</v>
      </c>
      <c r="W86" t="s">
        <v>58</v>
      </c>
      <c r="X86" t="s">
        <v>82</v>
      </c>
    </row>
    <row r="87" spans="1:24">
      <c r="A87" s="7" t="s">
        <v>233</v>
      </c>
      <c r="B87" s="7" t="s">
        <v>234</v>
      </c>
      <c r="C87" s="7"/>
      <c r="D87" s="7"/>
      <c r="E87" s="7" t="s">
        <v>54</v>
      </c>
      <c r="F87" s="7" t="s">
        <v>55</v>
      </c>
      <c r="G87" s="7" t="s">
        <v>56</v>
      </c>
      <c r="H87" s="7">
        <v>60</v>
      </c>
      <c r="I87" s="7" t="s">
        <v>57</v>
      </c>
      <c r="J87" s="7" t="s">
        <v>58</v>
      </c>
      <c r="K87" s="7" t="s">
        <v>58</v>
      </c>
      <c r="L87" s="7" t="s">
        <v>59</v>
      </c>
      <c r="M87" s="7">
        <v>37</v>
      </c>
      <c r="N87" s="7">
        <v>37</v>
      </c>
      <c r="O87" s="7">
        <v>37</v>
      </c>
      <c r="P87" s="7" t="s">
        <v>60</v>
      </c>
      <c r="Q87" s="7" t="s">
        <v>58</v>
      </c>
      <c r="R87" s="7">
        <v>16</v>
      </c>
      <c r="S87" s="7" t="s">
        <v>73</v>
      </c>
      <c r="T87" s="7" t="s">
        <v>58</v>
      </c>
      <c r="U87" s="7">
        <v>33</v>
      </c>
      <c r="V87" s="7" t="s">
        <v>58</v>
      </c>
      <c r="W87" t="s">
        <v>58</v>
      </c>
      <c r="X87" t="s">
        <v>64</v>
      </c>
    </row>
    <row r="88" spans="1:24">
      <c r="A88" s="6" t="s">
        <v>235</v>
      </c>
      <c r="B88" s="6" t="s">
        <v>236</v>
      </c>
      <c r="C88" s="6"/>
      <c r="D88" s="6"/>
      <c r="E88" s="6" t="s">
        <v>54</v>
      </c>
      <c r="F88" s="6" t="s">
        <v>55</v>
      </c>
      <c r="G88" s="6" t="s">
        <v>56</v>
      </c>
      <c r="H88" s="6">
        <v>84</v>
      </c>
      <c r="I88" s="6" t="s">
        <v>57</v>
      </c>
      <c r="J88" s="6" t="s">
        <v>58</v>
      </c>
      <c r="K88" s="6" t="s">
        <v>58</v>
      </c>
      <c r="L88" s="6" t="s">
        <v>59</v>
      </c>
      <c r="M88" s="6">
        <v>60</v>
      </c>
      <c r="N88" s="6">
        <v>60</v>
      </c>
      <c r="O88" s="6">
        <v>60</v>
      </c>
      <c r="P88" s="6" t="s">
        <v>60</v>
      </c>
      <c r="Q88" s="6" t="s">
        <v>58</v>
      </c>
      <c r="R88" s="6">
        <v>12</v>
      </c>
      <c r="S88" s="6" t="s">
        <v>62</v>
      </c>
      <c r="T88" s="6" t="s">
        <v>58</v>
      </c>
      <c r="U88" s="6">
        <v>33</v>
      </c>
      <c r="V88" s="6" t="s">
        <v>63</v>
      </c>
      <c r="W88" t="s">
        <v>58</v>
      </c>
      <c r="X88" t="s">
        <v>64</v>
      </c>
    </row>
    <row r="89" spans="1:24">
      <c r="A89" s="7" t="s">
        <v>237</v>
      </c>
      <c r="B89" s="7" t="s">
        <v>238</v>
      </c>
      <c r="C89" s="7"/>
      <c r="D89" s="7"/>
      <c r="E89" s="7" t="s">
        <v>54</v>
      </c>
      <c r="F89" s="7" t="s">
        <v>55</v>
      </c>
      <c r="G89" s="7" t="s">
        <v>56</v>
      </c>
      <c r="H89" s="7">
        <v>81</v>
      </c>
      <c r="I89" s="7" t="s">
        <v>57</v>
      </c>
      <c r="J89" s="7" t="s">
        <v>58</v>
      </c>
      <c r="K89" s="7" t="s">
        <v>58</v>
      </c>
      <c r="L89" s="7" t="s">
        <v>59</v>
      </c>
      <c r="M89" s="7">
        <v>76</v>
      </c>
      <c r="N89" s="7">
        <v>76</v>
      </c>
      <c r="O89" s="7">
        <v>75</v>
      </c>
      <c r="P89" s="7" t="s">
        <v>69</v>
      </c>
      <c r="Q89" s="7" t="s">
        <v>58</v>
      </c>
      <c r="R89" s="7">
        <v>16</v>
      </c>
      <c r="S89" s="7" t="s">
        <v>73</v>
      </c>
      <c r="T89" s="7" t="s">
        <v>58</v>
      </c>
      <c r="U89" s="7">
        <v>34</v>
      </c>
      <c r="V89" s="7" t="s">
        <v>77</v>
      </c>
      <c r="W89" t="s">
        <v>58</v>
      </c>
      <c r="X89" t="s">
        <v>64</v>
      </c>
    </row>
    <row r="90" spans="1:24">
      <c r="A90" s="6" t="s">
        <v>239</v>
      </c>
      <c r="B90" s="6" t="s">
        <v>240</v>
      </c>
      <c r="C90" s="6"/>
      <c r="D90" s="6"/>
      <c r="E90" s="6" t="s">
        <v>54</v>
      </c>
      <c r="F90" s="6" t="s">
        <v>55</v>
      </c>
      <c r="G90" s="6" t="s">
        <v>76</v>
      </c>
      <c r="H90" s="6">
        <v>94</v>
      </c>
      <c r="I90" s="6" t="s">
        <v>57</v>
      </c>
      <c r="J90" s="6" t="s">
        <v>58</v>
      </c>
      <c r="K90" s="6" t="s">
        <v>58</v>
      </c>
      <c r="L90" s="6" t="s">
        <v>81</v>
      </c>
      <c r="M90" s="6" t="s">
        <v>58</v>
      </c>
      <c r="N90" s="6" t="s">
        <v>58</v>
      </c>
      <c r="O90" s="6" t="s">
        <v>58</v>
      </c>
      <c r="P90" s="6" t="s">
        <v>60</v>
      </c>
      <c r="Q90" s="6" t="s">
        <v>58</v>
      </c>
      <c r="R90" s="6">
        <v>10</v>
      </c>
      <c r="S90" s="6" t="s">
        <v>58</v>
      </c>
      <c r="T90" s="6" t="s">
        <v>58</v>
      </c>
      <c r="U90" s="6">
        <v>33</v>
      </c>
      <c r="V90" s="6" t="s">
        <v>70</v>
      </c>
      <c r="W90" t="s">
        <v>58</v>
      </c>
      <c r="X90" t="s">
        <v>82</v>
      </c>
    </row>
    <row r="91" spans="1:24">
      <c r="A91" s="7" t="s">
        <v>241</v>
      </c>
      <c r="B91" s="7" t="s">
        <v>242</v>
      </c>
      <c r="C91" s="7"/>
      <c r="D91" s="7"/>
      <c r="E91" s="7" t="s">
        <v>54</v>
      </c>
      <c r="F91" s="7" t="s">
        <v>55</v>
      </c>
      <c r="G91" s="7" t="s">
        <v>56</v>
      </c>
      <c r="H91" s="7">
        <v>72</v>
      </c>
      <c r="I91" s="7" t="s">
        <v>57</v>
      </c>
      <c r="J91" s="7" t="s">
        <v>58</v>
      </c>
      <c r="K91" s="7" t="s">
        <v>118</v>
      </c>
      <c r="L91" s="7" t="s">
        <v>59</v>
      </c>
      <c r="M91" s="7">
        <v>60</v>
      </c>
      <c r="N91" s="7">
        <v>60</v>
      </c>
      <c r="O91" s="7">
        <v>61</v>
      </c>
      <c r="P91" s="7" t="s">
        <v>60</v>
      </c>
      <c r="Q91" s="7" t="s">
        <v>58</v>
      </c>
      <c r="R91" s="7">
        <v>16</v>
      </c>
      <c r="S91" s="7" t="s">
        <v>62</v>
      </c>
      <c r="T91" s="7" t="s">
        <v>58</v>
      </c>
      <c r="U91" s="7">
        <v>33</v>
      </c>
      <c r="V91" s="7" t="s">
        <v>63</v>
      </c>
      <c r="W91" t="s">
        <v>58</v>
      </c>
      <c r="X91" t="s">
        <v>64</v>
      </c>
    </row>
    <row r="92" spans="1:24">
      <c r="A92" s="6" t="s">
        <v>243</v>
      </c>
      <c r="B92" s="6" t="s">
        <v>244</v>
      </c>
      <c r="C92" s="6"/>
      <c r="D92" s="6"/>
      <c r="E92" s="6" t="s">
        <v>54</v>
      </c>
      <c r="F92" s="6" t="s">
        <v>55</v>
      </c>
      <c r="G92" s="6" t="s">
        <v>56</v>
      </c>
      <c r="H92" s="6">
        <v>90</v>
      </c>
      <c r="I92" s="6" t="s">
        <v>57</v>
      </c>
      <c r="J92" s="6" t="s">
        <v>58</v>
      </c>
      <c r="K92" s="6" t="s">
        <v>58</v>
      </c>
      <c r="L92" s="6" t="s">
        <v>81</v>
      </c>
      <c r="M92" s="6" t="s">
        <v>58</v>
      </c>
      <c r="N92" s="6" t="s">
        <v>58</v>
      </c>
      <c r="O92" s="6" t="s">
        <v>58</v>
      </c>
      <c r="P92" s="6" t="s">
        <v>69</v>
      </c>
      <c r="Q92" s="6" t="s">
        <v>58</v>
      </c>
      <c r="R92" s="6">
        <v>20</v>
      </c>
      <c r="S92" s="6" t="s">
        <v>73</v>
      </c>
      <c r="T92" s="6" t="s">
        <v>58</v>
      </c>
      <c r="U92" s="6">
        <v>34</v>
      </c>
      <c r="V92" s="6" t="s">
        <v>70</v>
      </c>
      <c r="W92" t="s">
        <v>58</v>
      </c>
      <c r="X92" t="s">
        <v>82</v>
      </c>
    </row>
    <row r="93" spans="1:24">
      <c r="A93" s="7" t="s">
        <v>245</v>
      </c>
      <c r="B93" s="7" t="s">
        <v>246</v>
      </c>
      <c r="C93" s="7"/>
      <c r="D93" s="7"/>
      <c r="E93" s="7" t="s">
        <v>54</v>
      </c>
      <c r="F93" s="7" t="s">
        <v>55</v>
      </c>
      <c r="G93" s="7" t="s">
        <v>56</v>
      </c>
      <c r="H93" s="7">
        <v>69</v>
      </c>
      <c r="I93" s="7" t="s">
        <v>57</v>
      </c>
      <c r="J93" s="7" t="s">
        <v>58</v>
      </c>
      <c r="K93" s="7" t="s">
        <v>58</v>
      </c>
      <c r="L93" s="7" t="s">
        <v>68</v>
      </c>
      <c r="M93" s="7" t="s">
        <v>58</v>
      </c>
      <c r="N93" s="7" t="s">
        <v>58</v>
      </c>
      <c r="O93" s="7" t="s">
        <v>58</v>
      </c>
      <c r="P93" s="7" t="s">
        <v>69</v>
      </c>
      <c r="Q93" s="7" t="s">
        <v>58</v>
      </c>
      <c r="R93" s="7">
        <v>15</v>
      </c>
      <c r="S93" s="7" t="s">
        <v>62</v>
      </c>
      <c r="T93" s="7" t="s">
        <v>58</v>
      </c>
      <c r="U93" s="7">
        <v>34</v>
      </c>
      <c r="V93" s="7" t="s">
        <v>70</v>
      </c>
      <c r="W93" t="s">
        <v>58</v>
      </c>
      <c r="X93" t="s">
        <v>68</v>
      </c>
    </row>
    <row r="94" spans="1:24">
      <c r="A94" s="6" t="s">
        <v>247</v>
      </c>
      <c r="B94" s="6" t="s">
        <v>248</v>
      </c>
      <c r="C94" s="6"/>
      <c r="D94" s="6"/>
      <c r="E94" s="6" t="s">
        <v>54</v>
      </c>
      <c r="F94" s="6" t="s">
        <v>55</v>
      </c>
      <c r="G94" s="6" t="s">
        <v>56</v>
      </c>
      <c r="H94" s="6">
        <v>84</v>
      </c>
      <c r="I94" s="6" t="s">
        <v>57</v>
      </c>
      <c r="J94" s="6" t="s">
        <v>58</v>
      </c>
      <c r="K94" s="6" t="s">
        <v>58</v>
      </c>
      <c r="L94" s="6" t="s">
        <v>81</v>
      </c>
      <c r="M94" s="6" t="s">
        <v>58</v>
      </c>
      <c r="N94" s="6" t="s">
        <v>58</v>
      </c>
      <c r="O94" s="6" t="s">
        <v>58</v>
      </c>
      <c r="P94" s="6" t="s">
        <v>69</v>
      </c>
      <c r="Q94" s="6" t="s">
        <v>58</v>
      </c>
      <c r="R94" s="6">
        <v>20</v>
      </c>
      <c r="S94" s="6" t="s">
        <v>62</v>
      </c>
      <c r="T94" s="6" t="s">
        <v>58</v>
      </c>
      <c r="U94" s="6">
        <v>33</v>
      </c>
      <c r="V94" s="6" t="s">
        <v>70</v>
      </c>
      <c r="W94" t="s">
        <v>58</v>
      </c>
      <c r="X94" t="s">
        <v>82</v>
      </c>
    </row>
    <row r="95" spans="1:24">
      <c r="A95" s="7" t="s">
        <v>249</v>
      </c>
      <c r="B95" s="7" t="s">
        <v>250</v>
      </c>
      <c r="C95" s="7"/>
      <c r="D95" s="7"/>
      <c r="E95" s="7" t="s">
        <v>54</v>
      </c>
      <c r="F95" s="7" t="s">
        <v>55</v>
      </c>
      <c r="G95" s="7" t="s">
        <v>56</v>
      </c>
      <c r="H95" s="7">
        <v>74</v>
      </c>
      <c r="I95" s="7" t="s">
        <v>57</v>
      </c>
      <c r="J95" s="7" t="s">
        <v>58</v>
      </c>
      <c r="K95" s="7" t="s">
        <v>58</v>
      </c>
      <c r="L95" s="7" t="s">
        <v>81</v>
      </c>
      <c r="M95" s="7" t="s">
        <v>58</v>
      </c>
      <c r="N95" s="7" t="s">
        <v>58</v>
      </c>
      <c r="O95" s="7" t="s">
        <v>58</v>
      </c>
      <c r="P95" s="7" t="s">
        <v>69</v>
      </c>
      <c r="Q95" s="7" t="s">
        <v>58</v>
      </c>
      <c r="R95" s="7">
        <v>16</v>
      </c>
      <c r="S95" s="7" t="s">
        <v>62</v>
      </c>
      <c r="T95" s="7" t="s">
        <v>58</v>
      </c>
      <c r="U95" s="7">
        <v>33</v>
      </c>
      <c r="V95" s="7" t="s">
        <v>70</v>
      </c>
      <c r="W95" t="s">
        <v>58</v>
      </c>
      <c r="X95"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95D59-1944-6447-B1A7-348724AFCB61}">
  <dimension ref="A1:AJ95"/>
  <sheetViews>
    <sheetView workbookViewId="0">
      <selection activeCell="H102" sqref="H102"/>
    </sheetView>
  </sheetViews>
  <sheetFormatPr baseColWidth="10" defaultRowHeight="16"/>
  <sheetData>
    <row r="1" spans="1:36">
      <c r="A1" s="17" t="s">
        <v>251</v>
      </c>
      <c r="B1" s="18" t="s">
        <v>252</v>
      </c>
      <c r="C1" s="16" t="s">
        <v>276</v>
      </c>
      <c r="D1" s="16" t="s">
        <v>277</v>
      </c>
      <c r="E1" s="16" t="s">
        <v>278</v>
      </c>
      <c r="F1" s="16" t="s">
        <v>279</v>
      </c>
      <c r="G1" s="16" t="s">
        <v>280</v>
      </c>
      <c r="H1" s="16" t="s">
        <v>281</v>
      </c>
      <c r="I1" s="16" t="s">
        <v>282</v>
      </c>
      <c r="J1" s="16" t="s">
        <v>283</v>
      </c>
      <c r="K1" s="16" t="s">
        <v>284</v>
      </c>
      <c r="L1" s="16" t="s">
        <v>285</v>
      </c>
      <c r="M1" s="16" t="s">
        <v>286</v>
      </c>
      <c r="N1" s="16" t="s">
        <v>287</v>
      </c>
      <c r="O1" s="16" t="s">
        <v>288</v>
      </c>
      <c r="P1" s="16" t="s">
        <v>289</v>
      </c>
      <c r="Q1" s="16" t="s">
        <v>290</v>
      </c>
      <c r="R1" s="16" t="s">
        <v>291</v>
      </c>
      <c r="S1" s="16" t="s">
        <v>292</v>
      </c>
      <c r="T1" s="16" t="s">
        <v>293</v>
      </c>
      <c r="U1" s="16" t="s">
        <v>294</v>
      </c>
      <c r="V1" s="16" t="s">
        <v>295</v>
      </c>
      <c r="W1" s="16" t="s">
        <v>296</v>
      </c>
      <c r="X1" s="16" t="s">
        <v>297</v>
      </c>
      <c r="Y1" s="16" t="s">
        <v>298</v>
      </c>
      <c r="Z1" s="16" t="s">
        <v>299</v>
      </c>
      <c r="AA1" s="16" t="s">
        <v>300</v>
      </c>
      <c r="AB1" s="16" t="s">
        <v>301</v>
      </c>
      <c r="AC1" s="16" t="s">
        <v>302</v>
      </c>
      <c r="AD1" s="16" t="s">
        <v>303</v>
      </c>
      <c r="AE1" s="16" t="s">
        <v>304</v>
      </c>
      <c r="AF1" s="16" t="s">
        <v>305</v>
      </c>
      <c r="AG1" s="16" t="s">
        <v>306</v>
      </c>
      <c r="AH1" s="16" t="s">
        <v>307</v>
      </c>
      <c r="AI1" s="16" t="s">
        <v>308</v>
      </c>
      <c r="AJ1" s="16" t="s">
        <v>309</v>
      </c>
    </row>
    <row r="2" spans="1:36" ht="144">
      <c r="A2" s="16" t="s">
        <v>52</v>
      </c>
      <c r="B2" s="19" t="s">
        <v>53</v>
      </c>
      <c r="C2" s="19">
        <v>4</v>
      </c>
      <c r="D2" s="19" t="s">
        <v>310</v>
      </c>
      <c r="E2" s="19" t="s">
        <v>311</v>
      </c>
      <c r="F2" s="19" t="s">
        <v>312</v>
      </c>
      <c r="G2" s="19" t="s">
        <v>313</v>
      </c>
      <c r="H2" s="19" t="s">
        <v>313</v>
      </c>
      <c r="I2" s="19" t="s">
        <v>313</v>
      </c>
      <c r="J2" s="19" t="s">
        <v>313</v>
      </c>
      <c r="K2" s="19" t="s">
        <v>313</v>
      </c>
      <c r="L2" s="20" t="s">
        <v>314</v>
      </c>
      <c r="M2" s="19">
        <v>64</v>
      </c>
      <c r="N2" s="19" t="s">
        <v>315</v>
      </c>
      <c r="O2" s="16" t="s">
        <v>58</v>
      </c>
      <c r="P2" s="16" t="s">
        <v>58</v>
      </c>
      <c r="Q2" s="19">
        <v>1265</v>
      </c>
      <c r="R2" s="19" t="s">
        <v>316</v>
      </c>
      <c r="S2" s="16"/>
      <c r="T2" s="19" t="s">
        <v>313</v>
      </c>
      <c r="U2" s="19" t="s">
        <v>317</v>
      </c>
      <c r="V2" s="16" t="s">
        <v>318</v>
      </c>
      <c r="W2" s="16" t="s">
        <v>319</v>
      </c>
      <c r="X2" s="19" t="s">
        <v>320</v>
      </c>
      <c r="Y2" s="19">
        <v>3</v>
      </c>
      <c r="Z2" s="19" t="s">
        <v>321</v>
      </c>
      <c r="AA2" s="16" t="s">
        <v>58</v>
      </c>
      <c r="AB2" s="16"/>
      <c r="AC2" s="16"/>
      <c r="AD2" s="16"/>
      <c r="AE2" s="16" t="s">
        <v>58</v>
      </c>
      <c r="AF2" s="16" t="s">
        <v>322</v>
      </c>
      <c r="AG2" s="19" t="s">
        <v>322</v>
      </c>
      <c r="AH2" s="16" t="s">
        <v>58</v>
      </c>
      <c r="AI2" s="16"/>
      <c r="AJ2" s="16"/>
    </row>
    <row r="3" spans="1:36" ht="80">
      <c r="A3" s="16" t="s">
        <v>65</v>
      </c>
      <c r="B3" s="19" t="s">
        <v>323</v>
      </c>
      <c r="C3" s="19">
        <v>4.5</v>
      </c>
      <c r="D3" s="19" t="s">
        <v>310</v>
      </c>
      <c r="E3" s="19" t="s">
        <v>324</v>
      </c>
      <c r="F3" s="19" t="s">
        <v>313</v>
      </c>
      <c r="G3" s="19" t="s">
        <v>313</v>
      </c>
      <c r="H3" s="19" t="s">
        <v>313</v>
      </c>
      <c r="I3" s="19" t="s">
        <v>313</v>
      </c>
      <c r="J3" s="19" t="s">
        <v>313</v>
      </c>
      <c r="K3" s="19" t="s">
        <v>313</v>
      </c>
      <c r="L3" s="20" t="s">
        <v>325</v>
      </c>
      <c r="M3" s="19">
        <v>79</v>
      </c>
      <c r="N3" s="19" t="s">
        <v>326</v>
      </c>
      <c r="O3" s="16" t="s">
        <v>58</v>
      </c>
      <c r="P3" s="16" t="s">
        <v>58</v>
      </c>
      <c r="Q3" s="19">
        <v>1360</v>
      </c>
      <c r="R3" s="19" t="s">
        <v>316</v>
      </c>
      <c r="S3" s="16"/>
      <c r="T3" s="19" t="s">
        <v>313</v>
      </c>
      <c r="U3" s="19" t="s">
        <v>327</v>
      </c>
      <c r="V3" s="16" t="s">
        <v>318</v>
      </c>
      <c r="W3" s="16" t="s">
        <v>328</v>
      </c>
      <c r="X3" s="19" t="s">
        <v>329</v>
      </c>
      <c r="Y3" s="19">
        <v>3</v>
      </c>
      <c r="Z3" s="19" t="s">
        <v>321</v>
      </c>
      <c r="AA3" s="16" t="s">
        <v>58</v>
      </c>
      <c r="AB3" s="16"/>
      <c r="AC3" s="16"/>
      <c r="AD3" s="16"/>
      <c r="AE3" s="16" t="s">
        <v>58</v>
      </c>
      <c r="AF3" s="16" t="s">
        <v>322</v>
      </c>
      <c r="AG3" s="19" t="s">
        <v>322</v>
      </c>
      <c r="AH3" s="16" t="s">
        <v>58</v>
      </c>
      <c r="AI3" s="16"/>
      <c r="AJ3" s="16"/>
    </row>
    <row r="4" spans="1:36" ht="64">
      <c r="A4" s="16" t="s">
        <v>66</v>
      </c>
      <c r="B4" s="19" t="s">
        <v>67</v>
      </c>
      <c r="C4" s="19">
        <v>2.75</v>
      </c>
      <c r="D4" s="19" t="s">
        <v>330</v>
      </c>
      <c r="E4" s="19" t="s">
        <v>331</v>
      </c>
      <c r="F4" s="19" t="s">
        <v>332</v>
      </c>
      <c r="G4" s="19" t="s">
        <v>313</v>
      </c>
      <c r="H4" s="19" t="s">
        <v>313</v>
      </c>
      <c r="I4" s="19" t="s">
        <v>313</v>
      </c>
      <c r="J4" s="19" t="s">
        <v>313</v>
      </c>
      <c r="K4" s="19" t="s">
        <v>313</v>
      </c>
      <c r="L4" s="20" t="s">
        <v>325</v>
      </c>
      <c r="M4" s="19">
        <v>86</v>
      </c>
      <c r="N4" s="19" t="s">
        <v>333</v>
      </c>
      <c r="O4" s="16" t="s">
        <v>58</v>
      </c>
      <c r="P4" s="16" t="s">
        <v>58</v>
      </c>
      <c r="Q4" s="19">
        <v>1180</v>
      </c>
      <c r="R4" s="19" t="s">
        <v>316</v>
      </c>
      <c r="S4" s="16"/>
      <c r="T4" s="19" t="s">
        <v>334</v>
      </c>
      <c r="U4" s="19" t="s">
        <v>335</v>
      </c>
      <c r="V4" s="16" t="s">
        <v>318</v>
      </c>
      <c r="W4" s="16" t="s">
        <v>336</v>
      </c>
      <c r="X4" s="19" t="s">
        <v>337</v>
      </c>
      <c r="Y4" s="19">
        <v>0</v>
      </c>
      <c r="Z4" s="19" t="s">
        <v>321</v>
      </c>
      <c r="AA4" s="16" t="s">
        <v>58</v>
      </c>
      <c r="AB4" s="16"/>
      <c r="AC4" s="16"/>
      <c r="AD4" s="16"/>
      <c r="AE4" s="16" t="s">
        <v>58</v>
      </c>
      <c r="AF4" s="16" t="s">
        <v>338</v>
      </c>
      <c r="AG4" s="19" t="s">
        <v>339</v>
      </c>
      <c r="AH4" s="16" t="s">
        <v>58</v>
      </c>
      <c r="AI4" s="16"/>
      <c r="AJ4" s="16"/>
    </row>
    <row r="5" spans="1:36" ht="64">
      <c r="A5" s="16" t="s">
        <v>71</v>
      </c>
      <c r="B5" s="19" t="s">
        <v>72</v>
      </c>
      <c r="C5" s="19">
        <v>2.5</v>
      </c>
      <c r="D5" s="19" t="s">
        <v>330</v>
      </c>
      <c r="E5" s="19" t="s">
        <v>331</v>
      </c>
      <c r="F5" s="19" t="s">
        <v>340</v>
      </c>
      <c r="G5" s="19" t="s">
        <v>313</v>
      </c>
      <c r="H5" s="19" t="s">
        <v>313</v>
      </c>
      <c r="I5" s="19" t="s">
        <v>313</v>
      </c>
      <c r="J5" s="19" t="s">
        <v>313</v>
      </c>
      <c r="K5" s="19" t="s">
        <v>313</v>
      </c>
      <c r="L5" s="20" t="s">
        <v>325</v>
      </c>
      <c r="M5" s="19">
        <v>89</v>
      </c>
      <c r="N5" s="19" t="s">
        <v>341</v>
      </c>
      <c r="O5" s="16" t="s">
        <v>58</v>
      </c>
      <c r="P5" s="16" t="s">
        <v>58</v>
      </c>
      <c r="Q5" s="19">
        <v>1440</v>
      </c>
      <c r="R5" s="19" t="s">
        <v>316</v>
      </c>
      <c r="S5" s="16"/>
      <c r="T5" s="19" t="s">
        <v>334</v>
      </c>
      <c r="U5" s="19" t="s">
        <v>342</v>
      </c>
      <c r="V5" s="16" t="s">
        <v>318</v>
      </c>
      <c r="W5" s="16" t="s">
        <v>343</v>
      </c>
      <c r="X5" s="19" t="s">
        <v>337</v>
      </c>
      <c r="Y5" s="19">
        <v>0</v>
      </c>
      <c r="Z5" s="19" t="s">
        <v>321</v>
      </c>
      <c r="AA5" s="16" t="s">
        <v>58</v>
      </c>
      <c r="AB5" s="16"/>
      <c r="AC5" s="16"/>
      <c r="AD5" s="16"/>
      <c r="AE5" s="19" t="s">
        <v>69</v>
      </c>
      <c r="AF5" s="16" t="s">
        <v>339</v>
      </c>
      <c r="AG5" s="19" t="s">
        <v>338</v>
      </c>
      <c r="AH5" s="16" t="s">
        <v>58</v>
      </c>
      <c r="AI5" s="16"/>
      <c r="AJ5" s="16"/>
    </row>
    <row r="6" spans="1:36" ht="96">
      <c r="A6" s="16" t="s">
        <v>74</v>
      </c>
      <c r="B6" s="19" t="s">
        <v>75</v>
      </c>
      <c r="C6" s="19">
        <v>3.5</v>
      </c>
      <c r="D6" s="19" t="s">
        <v>344</v>
      </c>
      <c r="E6" s="19" t="s">
        <v>331</v>
      </c>
      <c r="F6" s="19" t="s">
        <v>345</v>
      </c>
      <c r="G6" s="19" t="s">
        <v>346</v>
      </c>
      <c r="H6" s="19" t="s">
        <v>340</v>
      </c>
      <c r="I6" s="19" t="s">
        <v>347</v>
      </c>
      <c r="J6" s="19" t="s">
        <v>348</v>
      </c>
      <c r="K6" s="19" t="s">
        <v>313</v>
      </c>
      <c r="L6" s="20" t="s">
        <v>325</v>
      </c>
      <c r="M6" s="19">
        <v>95</v>
      </c>
      <c r="N6" s="19" t="s">
        <v>349</v>
      </c>
      <c r="O6" s="16" t="s">
        <v>58</v>
      </c>
      <c r="P6" s="16" t="s">
        <v>58</v>
      </c>
      <c r="Q6" s="19">
        <v>1060</v>
      </c>
      <c r="R6" s="19" t="s">
        <v>350</v>
      </c>
      <c r="S6" s="16"/>
      <c r="T6" s="19" t="s">
        <v>351</v>
      </c>
      <c r="U6" s="19" t="s">
        <v>352</v>
      </c>
      <c r="V6" s="16" t="s">
        <v>58</v>
      </c>
      <c r="W6" s="16" t="s">
        <v>58</v>
      </c>
      <c r="X6" s="19" t="s">
        <v>337</v>
      </c>
      <c r="Y6" s="19">
        <v>1</v>
      </c>
      <c r="Z6" s="19" t="s">
        <v>118</v>
      </c>
      <c r="AA6" s="16" t="s">
        <v>58</v>
      </c>
      <c r="AB6" s="16"/>
      <c r="AC6" s="16"/>
      <c r="AD6" s="16"/>
      <c r="AE6" s="16" t="s">
        <v>58</v>
      </c>
      <c r="AF6" s="16" t="s">
        <v>338</v>
      </c>
      <c r="AG6" s="19" t="s">
        <v>322</v>
      </c>
      <c r="AH6" s="16" t="s">
        <v>58</v>
      </c>
      <c r="AI6" s="16"/>
      <c r="AJ6" s="16"/>
    </row>
    <row r="7" spans="1:36" ht="96">
      <c r="A7" s="16" t="s">
        <v>78</v>
      </c>
      <c r="B7" s="19" t="s">
        <v>79</v>
      </c>
      <c r="C7" s="19">
        <v>3</v>
      </c>
      <c r="D7" s="19" t="s">
        <v>353</v>
      </c>
      <c r="E7" s="19" t="s">
        <v>331</v>
      </c>
      <c r="F7" s="19" t="s">
        <v>313</v>
      </c>
      <c r="G7" s="19" t="s">
        <v>313</v>
      </c>
      <c r="H7" s="19" t="s">
        <v>313</v>
      </c>
      <c r="I7" s="19" t="s">
        <v>313</v>
      </c>
      <c r="J7" s="19" t="s">
        <v>313</v>
      </c>
      <c r="K7" s="19" t="s">
        <v>313</v>
      </c>
      <c r="L7" s="20" t="s">
        <v>325</v>
      </c>
      <c r="M7" s="19">
        <v>90</v>
      </c>
      <c r="N7" s="19" t="s">
        <v>354</v>
      </c>
      <c r="O7" s="16" t="s">
        <v>58</v>
      </c>
      <c r="P7" s="16" t="s">
        <v>58</v>
      </c>
      <c r="Q7" s="19">
        <v>1190</v>
      </c>
      <c r="R7" s="19" t="s">
        <v>316</v>
      </c>
      <c r="S7" s="16"/>
      <c r="T7" s="19" t="s">
        <v>334</v>
      </c>
      <c r="U7" s="19" t="s">
        <v>342</v>
      </c>
      <c r="V7" s="16" t="s">
        <v>318</v>
      </c>
      <c r="W7" s="16" t="s">
        <v>355</v>
      </c>
      <c r="X7" s="19" t="s">
        <v>356</v>
      </c>
      <c r="Y7" s="19">
        <v>3</v>
      </c>
      <c r="Z7" s="19" t="s">
        <v>321</v>
      </c>
      <c r="AA7" s="16" t="s">
        <v>58</v>
      </c>
      <c r="AB7" s="16"/>
      <c r="AC7" s="16"/>
      <c r="AD7" s="16"/>
      <c r="AE7" s="16" t="s">
        <v>58</v>
      </c>
      <c r="AF7" s="16" t="s">
        <v>338</v>
      </c>
      <c r="AG7" s="19" t="s">
        <v>338</v>
      </c>
      <c r="AH7" s="16" t="s">
        <v>58</v>
      </c>
      <c r="AI7" s="16"/>
      <c r="AJ7" s="16"/>
    </row>
    <row r="8" spans="1:36" ht="80">
      <c r="A8" s="16" t="s">
        <v>80</v>
      </c>
      <c r="B8" s="19" t="s">
        <v>357</v>
      </c>
      <c r="C8" s="19">
        <v>2.66</v>
      </c>
      <c r="D8" s="19" t="s">
        <v>358</v>
      </c>
      <c r="E8" s="19" t="s">
        <v>359</v>
      </c>
      <c r="F8" s="19" t="s">
        <v>345</v>
      </c>
      <c r="G8" s="19" t="s">
        <v>360</v>
      </c>
      <c r="H8" s="19" t="s">
        <v>313</v>
      </c>
      <c r="I8" s="19" t="s">
        <v>313</v>
      </c>
      <c r="J8" s="19" t="s">
        <v>313</v>
      </c>
      <c r="K8" s="19" t="s">
        <v>313</v>
      </c>
      <c r="L8" s="20" t="s">
        <v>361</v>
      </c>
      <c r="M8" s="19">
        <v>89</v>
      </c>
      <c r="N8" s="19" t="s">
        <v>362</v>
      </c>
      <c r="O8" s="16" t="s">
        <v>58</v>
      </c>
      <c r="P8" s="16" t="s">
        <v>58</v>
      </c>
      <c r="Q8" s="19">
        <v>1200</v>
      </c>
      <c r="R8" s="19" t="s">
        <v>350</v>
      </c>
      <c r="S8" s="16"/>
      <c r="T8" s="19" t="s">
        <v>334</v>
      </c>
      <c r="U8" s="19" t="s">
        <v>352</v>
      </c>
      <c r="V8" s="16" t="s">
        <v>318</v>
      </c>
      <c r="W8" s="16" t="s">
        <v>363</v>
      </c>
      <c r="X8" s="19" t="s">
        <v>356</v>
      </c>
      <c r="Y8" s="19">
        <v>1</v>
      </c>
      <c r="Z8" s="19" t="s">
        <v>321</v>
      </c>
      <c r="AA8" s="16" t="s">
        <v>58</v>
      </c>
      <c r="AB8" s="16"/>
      <c r="AC8" s="16"/>
      <c r="AD8" s="16"/>
      <c r="AE8" s="19" t="s">
        <v>364</v>
      </c>
      <c r="AF8" s="16" t="s">
        <v>339</v>
      </c>
      <c r="AG8" s="19" t="s">
        <v>338</v>
      </c>
      <c r="AH8" s="16" t="s">
        <v>58</v>
      </c>
      <c r="AI8" s="16"/>
      <c r="AJ8" s="16"/>
    </row>
    <row r="9" spans="1:36" ht="160">
      <c r="A9" s="16" t="s">
        <v>83</v>
      </c>
      <c r="B9" s="19" t="s">
        <v>84</v>
      </c>
      <c r="C9" s="19">
        <v>1.83</v>
      </c>
      <c r="D9" s="19" t="s">
        <v>344</v>
      </c>
      <c r="E9" s="19" t="s">
        <v>332</v>
      </c>
      <c r="F9" s="19" t="s">
        <v>340</v>
      </c>
      <c r="G9" s="19" t="s">
        <v>365</v>
      </c>
      <c r="H9" s="19" t="s">
        <v>366</v>
      </c>
      <c r="I9" s="19" t="s">
        <v>367</v>
      </c>
      <c r="J9" s="19" t="s">
        <v>313</v>
      </c>
      <c r="K9" s="19" t="s">
        <v>313</v>
      </c>
      <c r="L9" s="20" t="s">
        <v>361</v>
      </c>
      <c r="M9" s="19">
        <v>85</v>
      </c>
      <c r="N9" s="19" t="s">
        <v>368</v>
      </c>
      <c r="O9" s="16" t="s">
        <v>58</v>
      </c>
      <c r="P9" s="16" t="s">
        <v>58</v>
      </c>
      <c r="Q9" s="19">
        <v>1240</v>
      </c>
      <c r="R9" s="19" t="s">
        <v>316</v>
      </c>
      <c r="S9" s="16"/>
      <c r="T9" s="19" t="s">
        <v>351</v>
      </c>
      <c r="U9" s="19" t="s">
        <v>342</v>
      </c>
      <c r="V9" s="16" t="s">
        <v>58</v>
      </c>
      <c r="W9" s="16" t="s">
        <v>58</v>
      </c>
      <c r="X9" s="19" t="s">
        <v>337</v>
      </c>
      <c r="Y9" s="19">
        <v>0</v>
      </c>
      <c r="Z9" s="19" t="s">
        <v>118</v>
      </c>
      <c r="AA9" s="16" t="s">
        <v>58</v>
      </c>
      <c r="AB9" s="16"/>
      <c r="AC9" s="16"/>
      <c r="AD9" s="16"/>
      <c r="AE9" s="16" t="s">
        <v>58</v>
      </c>
      <c r="AF9" s="16" t="s">
        <v>338</v>
      </c>
      <c r="AG9" s="19" t="s">
        <v>369</v>
      </c>
      <c r="AH9" s="16" t="s">
        <v>58</v>
      </c>
      <c r="AI9" s="16"/>
      <c r="AJ9" s="16"/>
    </row>
    <row r="10" spans="1:36" ht="112">
      <c r="A10" s="16" t="s">
        <v>85</v>
      </c>
      <c r="B10" s="19" t="s">
        <v>86</v>
      </c>
      <c r="C10" s="19">
        <v>1.83</v>
      </c>
      <c r="D10" s="19" t="s">
        <v>370</v>
      </c>
      <c r="E10" s="19" t="s">
        <v>331</v>
      </c>
      <c r="F10" s="19" t="s">
        <v>371</v>
      </c>
      <c r="G10" s="19" t="s">
        <v>345</v>
      </c>
      <c r="H10" s="19" t="s">
        <v>340</v>
      </c>
      <c r="I10" s="19" t="s">
        <v>372</v>
      </c>
      <c r="J10" s="19" t="s">
        <v>313</v>
      </c>
      <c r="K10" s="19" t="s">
        <v>313</v>
      </c>
      <c r="L10" s="20" t="s">
        <v>361</v>
      </c>
      <c r="M10" s="19">
        <v>90</v>
      </c>
      <c r="N10" s="19" t="s">
        <v>373</v>
      </c>
      <c r="O10" s="16" t="s">
        <v>58</v>
      </c>
      <c r="P10" s="16" t="s">
        <v>58</v>
      </c>
      <c r="Q10" s="19">
        <v>1080</v>
      </c>
      <c r="R10" s="19" t="s">
        <v>374</v>
      </c>
      <c r="S10" s="16"/>
      <c r="T10" s="19" t="s">
        <v>334</v>
      </c>
      <c r="U10" s="19" t="s">
        <v>342</v>
      </c>
      <c r="V10" s="16" t="s">
        <v>58</v>
      </c>
      <c r="W10" s="16" t="s">
        <v>58</v>
      </c>
      <c r="X10" s="19" t="s">
        <v>329</v>
      </c>
      <c r="Y10" s="19">
        <v>3</v>
      </c>
      <c r="Z10" s="19" t="s">
        <v>321</v>
      </c>
      <c r="AA10" s="16" t="s">
        <v>58</v>
      </c>
      <c r="AB10" s="16"/>
      <c r="AC10" s="16"/>
      <c r="AD10" s="16"/>
      <c r="AE10" s="19" t="s">
        <v>60</v>
      </c>
      <c r="AF10" s="16" t="s">
        <v>322</v>
      </c>
      <c r="AG10" s="16" t="s">
        <v>58</v>
      </c>
      <c r="AH10" s="16" t="s">
        <v>58</v>
      </c>
      <c r="AI10" s="16"/>
      <c r="AJ10" s="16"/>
    </row>
    <row r="11" spans="1:36" ht="144">
      <c r="A11" s="16" t="s">
        <v>87</v>
      </c>
      <c r="B11" s="19" t="s">
        <v>88</v>
      </c>
      <c r="C11" s="19">
        <v>2.16</v>
      </c>
      <c r="D11" s="19" t="s">
        <v>330</v>
      </c>
      <c r="E11" s="19" t="s">
        <v>365</v>
      </c>
      <c r="F11" s="19" t="s">
        <v>375</v>
      </c>
      <c r="G11" s="19" t="s">
        <v>376</v>
      </c>
      <c r="H11" s="19" t="s">
        <v>377</v>
      </c>
      <c r="I11" s="19" t="s">
        <v>313</v>
      </c>
      <c r="J11" s="19" t="s">
        <v>313</v>
      </c>
      <c r="K11" s="19" t="s">
        <v>313</v>
      </c>
      <c r="L11" s="20" t="s">
        <v>378</v>
      </c>
      <c r="M11" s="19">
        <v>82</v>
      </c>
      <c r="N11" s="19" t="s">
        <v>379</v>
      </c>
      <c r="O11" s="16" t="s">
        <v>58</v>
      </c>
      <c r="P11" s="16" t="s">
        <v>58</v>
      </c>
      <c r="Q11" s="19">
        <v>1160</v>
      </c>
      <c r="R11" s="19" t="s">
        <v>350</v>
      </c>
      <c r="S11" s="16"/>
      <c r="T11" s="19" t="s">
        <v>351</v>
      </c>
      <c r="U11" s="19" t="s">
        <v>327</v>
      </c>
      <c r="V11" s="16" t="s">
        <v>58</v>
      </c>
      <c r="W11" s="16" t="s">
        <v>58</v>
      </c>
      <c r="X11" s="19" t="s">
        <v>337</v>
      </c>
      <c r="Y11" s="19">
        <v>1</v>
      </c>
      <c r="Z11" s="19" t="s">
        <v>118</v>
      </c>
      <c r="AA11" s="16" t="s">
        <v>58</v>
      </c>
      <c r="AB11" s="19" t="s">
        <v>380</v>
      </c>
      <c r="AC11" s="16"/>
      <c r="AD11" s="16"/>
      <c r="AE11" s="19" t="s">
        <v>69</v>
      </c>
      <c r="AF11" s="16" t="s">
        <v>369</v>
      </c>
      <c r="AG11" s="16" t="s">
        <v>58</v>
      </c>
      <c r="AH11" s="16" t="s">
        <v>58</v>
      </c>
      <c r="AI11" s="16"/>
      <c r="AJ11" s="16"/>
    </row>
    <row r="12" spans="1:36" ht="96">
      <c r="A12" s="16" t="s">
        <v>89</v>
      </c>
      <c r="B12" s="19" t="s">
        <v>381</v>
      </c>
      <c r="C12" s="19">
        <v>2.66</v>
      </c>
      <c r="D12" s="19" t="s">
        <v>344</v>
      </c>
      <c r="E12" s="19" t="s">
        <v>382</v>
      </c>
      <c r="F12" s="19" t="s">
        <v>383</v>
      </c>
      <c r="G12" s="19" t="s">
        <v>384</v>
      </c>
      <c r="H12" s="19" t="s">
        <v>385</v>
      </c>
      <c r="I12" s="19" t="s">
        <v>313</v>
      </c>
      <c r="J12" s="19" t="s">
        <v>313</v>
      </c>
      <c r="K12" s="19" t="s">
        <v>313</v>
      </c>
      <c r="L12" s="20" t="s">
        <v>386</v>
      </c>
      <c r="M12" s="19">
        <v>84</v>
      </c>
      <c r="N12" s="19" t="s">
        <v>387</v>
      </c>
      <c r="O12" s="16" t="s">
        <v>58</v>
      </c>
      <c r="P12" s="16" t="s">
        <v>58</v>
      </c>
      <c r="Q12" s="19">
        <v>1400</v>
      </c>
      <c r="R12" s="19" t="s">
        <v>388</v>
      </c>
      <c r="S12" s="16"/>
      <c r="T12" s="19" t="s">
        <v>313</v>
      </c>
      <c r="U12" s="19" t="s">
        <v>317</v>
      </c>
      <c r="V12" s="16" t="s">
        <v>58</v>
      </c>
      <c r="W12" s="16" t="s">
        <v>58</v>
      </c>
      <c r="X12" s="19" t="s">
        <v>356</v>
      </c>
      <c r="Y12" s="19">
        <v>2</v>
      </c>
      <c r="Z12" s="19" t="s">
        <v>118</v>
      </c>
      <c r="AA12" s="16" t="s">
        <v>58</v>
      </c>
      <c r="AB12" s="16"/>
      <c r="AC12" s="16"/>
      <c r="AD12" s="16"/>
      <c r="AE12" s="16" t="s">
        <v>58</v>
      </c>
      <c r="AF12" s="16" t="s">
        <v>339</v>
      </c>
      <c r="AG12" s="16" t="s">
        <v>58</v>
      </c>
      <c r="AH12" s="16" t="s">
        <v>58</v>
      </c>
      <c r="AI12" s="16"/>
      <c r="AJ12" s="16"/>
    </row>
    <row r="13" spans="1:36" ht="64">
      <c r="A13" s="16" t="s">
        <v>90</v>
      </c>
      <c r="B13" s="19" t="s">
        <v>389</v>
      </c>
      <c r="C13" s="19">
        <v>2.5</v>
      </c>
      <c r="D13" s="19" t="s">
        <v>330</v>
      </c>
      <c r="E13" s="19" t="s">
        <v>390</v>
      </c>
      <c r="F13" s="19" t="s">
        <v>313</v>
      </c>
      <c r="G13" s="19" t="s">
        <v>313</v>
      </c>
      <c r="H13" s="19" t="s">
        <v>313</v>
      </c>
      <c r="I13" s="19" t="s">
        <v>313</v>
      </c>
      <c r="J13" s="19" t="s">
        <v>313</v>
      </c>
      <c r="K13" s="19" t="s">
        <v>313</v>
      </c>
      <c r="L13" s="20" t="s">
        <v>386</v>
      </c>
      <c r="M13" s="19">
        <v>87</v>
      </c>
      <c r="N13" s="19" t="s">
        <v>391</v>
      </c>
      <c r="O13" s="16" t="s">
        <v>58</v>
      </c>
      <c r="P13" s="16" t="s">
        <v>58</v>
      </c>
      <c r="Q13" s="19">
        <v>1260</v>
      </c>
      <c r="R13" s="19" t="s">
        <v>350</v>
      </c>
      <c r="S13" s="16"/>
      <c r="T13" s="19" t="s">
        <v>334</v>
      </c>
      <c r="U13" s="16" t="s">
        <v>58</v>
      </c>
      <c r="V13" s="16" t="s">
        <v>318</v>
      </c>
      <c r="W13" s="16" t="s">
        <v>343</v>
      </c>
      <c r="X13" s="19" t="s">
        <v>337</v>
      </c>
      <c r="Y13" s="19">
        <v>1</v>
      </c>
      <c r="Z13" s="19" t="s">
        <v>321</v>
      </c>
      <c r="AA13" s="16" t="s">
        <v>58</v>
      </c>
      <c r="AB13" s="16"/>
      <c r="AC13" s="16"/>
      <c r="AD13" s="16"/>
      <c r="AE13" s="19" t="s">
        <v>69</v>
      </c>
      <c r="AF13" s="16" t="s">
        <v>338</v>
      </c>
      <c r="AG13" s="19" t="s">
        <v>322</v>
      </c>
      <c r="AH13" s="16" t="s">
        <v>58</v>
      </c>
      <c r="AI13" s="16"/>
      <c r="AJ13" s="16"/>
    </row>
    <row r="14" spans="1:36" ht="112">
      <c r="A14" s="16" t="s">
        <v>91</v>
      </c>
      <c r="B14" s="19" t="s">
        <v>92</v>
      </c>
      <c r="C14" s="19">
        <v>3.33</v>
      </c>
      <c r="D14" s="19" t="s">
        <v>330</v>
      </c>
      <c r="E14" s="19" t="s">
        <v>365</v>
      </c>
      <c r="F14" s="19" t="s">
        <v>392</v>
      </c>
      <c r="G14" s="19" t="s">
        <v>313</v>
      </c>
      <c r="H14" s="19" t="s">
        <v>313</v>
      </c>
      <c r="I14" s="19" t="s">
        <v>313</v>
      </c>
      <c r="J14" s="19" t="s">
        <v>313</v>
      </c>
      <c r="K14" s="19" t="s">
        <v>313</v>
      </c>
      <c r="L14" s="20" t="s">
        <v>386</v>
      </c>
      <c r="M14" s="19">
        <v>89</v>
      </c>
      <c r="N14" s="19" t="s">
        <v>393</v>
      </c>
      <c r="O14" s="16" t="s">
        <v>58</v>
      </c>
      <c r="P14" s="16" t="s">
        <v>58</v>
      </c>
      <c r="Q14" s="19">
        <v>1220</v>
      </c>
      <c r="R14" s="19" t="s">
        <v>350</v>
      </c>
      <c r="S14" s="16"/>
      <c r="T14" s="19" t="s">
        <v>334</v>
      </c>
      <c r="U14" s="19" t="s">
        <v>342</v>
      </c>
      <c r="V14" s="16" t="s">
        <v>318</v>
      </c>
      <c r="W14" s="16" t="s">
        <v>343</v>
      </c>
      <c r="X14" s="19" t="s">
        <v>337</v>
      </c>
      <c r="Y14" s="19">
        <v>2</v>
      </c>
      <c r="Z14" s="19" t="s">
        <v>118</v>
      </c>
      <c r="AA14" s="16" t="s">
        <v>58</v>
      </c>
      <c r="AB14" s="16"/>
      <c r="AC14" s="16"/>
      <c r="AD14" s="16"/>
      <c r="AE14" s="16" t="s">
        <v>58</v>
      </c>
      <c r="AF14" s="16" t="s">
        <v>339</v>
      </c>
      <c r="AG14" s="16" t="s">
        <v>58</v>
      </c>
      <c r="AH14" s="16" t="s">
        <v>58</v>
      </c>
      <c r="AI14" s="16"/>
      <c r="AJ14" s="16"/>
    </row>
    <row r="15" spans="1:36" ht="96">
      <c r="A15" s="16" t="s">
        <v>93</v>
      </c>
      <c r="B15" s="19" t="s">
        <v>94</v>
      </c>
      <c r="C15" s="19">
        <v>2.5</v>
      </c>
      <c r="D15" s="19" t="s">
        <v>310</v>
      </c>
      <c r="E15" s="19" t="s">
        <v>394</v>
      </c>
      <c r="F15" s="19" t="s">
        <v>395</v>
      </c>
      <c r="G15" s="19" t="s">
        <v>313</v>
      </c>
      <c r="H15" s="19" t="s">
        <v>313</v>
      </c>
      <c r="I15" s="19" t="s">
        <v>313</v>
      </c>
      <c r="J15" s="19" t="s">
        <v>313</v>
      </c>
      <c r="K15" s="19" t="s">
        <v>313</v>
      </c>
      <c r="L15" s="20" t="s">
        <v>386</v>
      </c>
      <c r="M15" s="19">
        <v>79</v>
      </c>
      <c r="N15" s="19" t="s">
        <v>59</v>
      </c>
      <c r="O15" s="16" t="s">
        <v>58</v>
      </c>
      <c r="P15" s="16" t="s">
        <v>58</v>
      </c>
      <c r="Q15" s="19">
        <v>1200</v>
      </c>
      <c r="R15" s="19" t="s">
        <v>316</v>
      </c>
      <c r="S15" s="16"/>
      <c r="T15" s="19" t="s">
        <v>334</v>
      </c>
      <c r="U15" s="19" t="s">
        <v>396</v>
      </c>
      <c r="V15" s="16" t="s">
        <v>318</v>
      </c>
      <c r="W15" s="16" t="s">
        <v>397</v>
      </c>
      <c r="X15" s="19" t="s">
        <v>398</v>
      </c>
      <c r="Y15" s="19">
        <v>3</v>
      </c>
      <c r="Z15" s="19" t="s">
        <v>321</v>
      </c>
      <c r="AA15" s="16" t="s">
        <v>58</v>
      </c>
      <c r="AB15" s="16"/>
      <c r="AC15" s="16"/>
      <c r="AD15" s="16"/>
      <c r="AE15" s="16" t="s">
        <v>58</v>
      </c>
      <c r="AF15" s="16" t="s">
        <v>338</v>
      </c>
      <c r="AG15" s="16" t="s">
        <v>58</v>
      </c>
      <c r="AH15" s="16" t="s">
        <v>58</v>
      </c>
      <c r="AI15" s="16"/>
      <c r="AJ15" s="16"/>
    </row>
    <row r="16" spans="1:36" ht="144">
      <c r="A16" s="16" t="s">
        <v>95</v>
      </c>
      <c r="B16" s="19" t="s">
        <v>96</v>
      </c>
      <c r="C16" s="19">
        <v>2.16</v>
      </c>
      <c r="D16" s="19" t="s">
        <v>353</v>
      </c>
      <c r="E16" s="19" t="s">
        <v>340</v>
      </c>
      <c r="F16" s="19" t="s">
        <v>399</v>
      </c>
      <c r="G16" s="19" t="s">
        <v>400</v>
      </c>
      <c r="H16" s="19" t="s">
        <v>313</v>
      </c>
      <c r="I16" s="19" t="s">
        <v>313</v>
      </c>
      <c r="J16" s="19" t="s">
        <v>313</v>
      </c>
      <c r="K16" s="19" t="s">
        <v>313</v>
      </c>
      <c r="L16" s="20" t="s">
        <v>386</v>
      </c>
      <c r="M16" s="19">
        <v>87</v>
      </c>
      <c r="N16" s="19" t="s">
        <v>401</v>
      </c>
      <c r="O16" s="16" t="s">
        <v>58</v>
      </c>
      <c r="P16" s="16" t="s">
        <v>58</v>
      </c>
      <c r="Q16" s="19">
        <v>1140</v>
      </c>
      <c r="R16" s="19" t="s">
        <v>388</v>
      </c>
      <c r="S16" s="16"/>
      <c r="T16" s="19" t="s">
        <v>351</v>
      </c>
      <c r="U16" s="19" t="s">
        <v>396</v>
      </c>
      <c r="V16" s="16" t="s">
        <v>318</v>
      </c>
      <c r="W16" s="16" t="s">
        <v>402</v>
      </c>
      <c r="X16" s="19" t="s">
        <v>329</v>
      </c>
      <c r="Y16" s="19">
        <v>3</v>
      </c>
      <c r="Z16" s="19" t="s">
        <v>118</v>
      </c>
      <c r="AA16" s="16" t="s">
        <v>58</v>
      </c>
      <c r="AB16" s="16"/>
      <c r="AC16" s="16"/>
      <c r="AD16" s="16"/>
      <c r="AE16" s="16" t="s">
        <v>58</v>
      </c>
      <c r="AF16" s="16" t="s">
        <v>339</v>
      </c>
      <c r="AG16" s="16" t="s">
        <v>58</v>
      </c>
      <c r="AH16" s="16" t="s">
        <v>58</v>
      </c>
      <c r="AI16" s="16"/>
      <c r="AJ16" s="16"/>
    </row>
    <row r="17" spans="1:36" ht="128">
      <c r="A17" s="16" t="s">
        <v>97</v>
      </c>
      <c r="B17" s="19" t="s">
        <v>98</v>
      </c>
      <c r="C17" s="19">
        <v>4.33</v>
      </c>
      <c r="D17" s="19" t="s">
        <v>310</v>
      </c>
      <c r="E17" s="19" t="s">
        <v>403</v>
      </c>
      <c r="F17" s="19" t="s">
        <v>340</v>
      </c>
      <c r="G17" s="19" t="s">
        <v>404</v>
      </c>
      <c r="H17" s="19" t="s">
        <v>405</v>
      </c>
      <c r="I17" s="19" t="s">
        <v>406</v>
      </c>
      <c r="J17" s="19" t="s">
        <v>407</v>
      </c>
      <c r="K17" s="19" t="s">
        <v>313</v>
      </c>
      <c r="L17" s="20" t="s">
        <v>386</v>
      </c>
      <c r="M17" s="19">
        <v>83</v>
      </c>
      <c r="N17" s="19" t="s">
        <v>408</v>
      </c>
      <c r="O17" s="16" t="s">
        <v>58</v>
      </c>
      <c r="P17" s="16" t="s">
        <v>58</v>
      </c>
      <c r="Q17" s="19">
        <v>1060</v>
      </c>
      <c r="R17" s="19" t="s">
        <v>409</v>
      </c>
      <c r="S17" s="16"/>
      <c r="T17" s="19" t="s">
        <v>313</v>
      </c>
      <c r="U17" s="19" t="s">
        <v>396</v>
      </c>
      <c r="V17" s="16" t="s">
        <v>318</v>
      </c>
      <c r="W17" s="16" t="s">
        <v>410</v>
      </c>
      <c r="X17" s="19" t="s">
        <v>356</v>
      </c>
      <c r="Y17" s="19">
        <v>3</v>
      </c>
      <c r="Z17" s="19" t="s">
        <v>118</v>
      </c>
      <c r="AA17" s="16" t="s">
        <v>58</v>
      </c>
      <c r="AB17" s="16"/>
      <c r="AC17" s="16"/>
      <c r="AD17" s="16"/>
      <c r="AE17" s="16" t="s">
        <v>58</v>
      </c>
      <c r="AF17" s="16" t="s">
        <v>369</v>
      </c>
      <c r="AG17" s="16" t="s">
        <v>58</v>
      </c>
      <c r="AH17" s="16" t="s">
        <v>58</v>
      </c>
      <c r="AI17" s="16"/>
      <c r="AJ17" s="16"/>
    </row>
    <row r="18" spans="1:36" ht="144">
      <c r="A18" s="16" t="s">
        <v>99</v>
      </c>
      <c r="B18" s="19" t="s">
        <v>100</v>
      </c>
      <c r="C18" s="19">
        <v>4.16</v>
      </c>
      <c r="D18" s="19" t="s">
        <v>310</v>
      </c>
      <c r="E18" s="19" t="s">
        <v>411</v>
      </c>
      <c r="F18" s="19" t="s">
        <v>345</v>
      </c>
      <c r="G18" s="19" t="s">
        <v>412</v>
      </c>
      <c r="H18" s="19" t="s">
        <v>413</v>
      </c>
      <c r="I18" s="19" t="s">
        <v>313</v>
      </c>
      <c r="J18" s="19" t="s">
        <v>313</v>
      </c>
      <c r="K18" s="19" t="s">
        <v>313</v>
      </c>
      <c r="L18" s="20" t="s">
        <v>386</v>
      </c>
      <c r="M18" s="19">
        <v>82</v>
      </c>
      <c r="N18" s="19" t="s">
        <v>59</v>
      </c>
      <c r="O18" s="16" t="s">
        <v>58</v>
      </c>
      <c r="P18" s="16" t="s">
        <v>58</v>
      </c>
      <c r="Q18" s="19">
        <v>1240</v>
      </c>
      <c r="R18" s="19" t="s">
        <v>350</v>
      </c>
      <c r="S18" s="16"/>
      <c r="T18" s="19" t="s">
        <v>313</v>
      </c>
      <c r="U18" s="19" t="s">
        <v>317</v>
      </c>
      <c r="V18" s="16" t="s">
        <v>318</v>
      </c>
      <c r="W18" s="16" t="s">
        <v>414</v>
      </c>
      <c r="X18" s="19" t="s">
        <v>329</v>
      </c>
      <c r="Y18" s="19">
        <v>3</v>
      </c>
      <c r="Z18" s="19" t="s">
        <v>118</v>
      </c>
      <c r="AA18" s="16" t="s">
        <v>58</v>
      </c>
      <c r="AB18" s="16"/>
      <c r="AC18" s="16"/>
      <c r="AD18" s="16"/>
      <c r="AE18" s="16" t="s">
        <v>58</v>
      </c>
      <c r="AF18" s="16" t="s">
        <v>338</v>
      </c>
      <c r="AG18" s="16" t="s">
        <v>58</v>
      </c>
      <c r="AH18" s="16" t="s">
        <v>58</v>
      </c>
      <c r="AI18" s="16"/>
      <c r="AJ18" s="16"/>
    </row>
    <row r="19" spans="1:36" ht="80">
      <c r="A19" s="16" t="s">
        <v>101</v>
      </c>
      <c r="B19" s="19" t="s">
        <v>415</v>
      </c>
      <c r="C19" s="19">
        <v>1.5</v>
      </c>
      <c r="D19" s="19" t="s">
        <v>330</v>
      </c>
      <c r="E19" s="19" t="s">
        <v>416</v>
      </c>
      <c r="F19" s="19" t="s">
        <v>417</v>
      </c>
      <c r="G19" s="19" t="s">
        <v>313</v>
      </c>
      <c r="H19" s="19" t="s">
        <v>313</v>
      </c>
      <c r="I19" s="19" t="s">
        <v>313</v>
      </c>
      <c r="J19" s="19" t="s">
        <v>313</v>
      </c>
      <c r="K19" s="19" t="s">
        <v>313</v>
      </c>
      <c r="L19" s="20" t="s">
        <v>418</v>
      </c>
      <c r="M19" s="19">
        <v>97</v>
      </c>
      <c r="N19" s="19" t="s">
        <v>419</v>
      </c>
      <c r="O19" s="16" t="s">
        <v>58</v>
      </c>
      <c r="P19" s="16" t="s">
        <v>58</v>
      </c>
      <c r="Q19" s="19">
        <v>1260</v>
      </c>
      <c r="R19" s="19" t="s">
        <v>350</v>
      </c>
      <c r="S19" s="16"/>
      <c r="T19" s="19" t="s">
        <v>313</v>
      </c>
      <c r="U19" s="19" t="s">
        <v>317</v>
      </c>
      <c r="V19" s="16" t="s">
        <v>318</v>
      </c>
      <c r="W19" s="16" t="s">
        <v>336</v>
      </c>
      <c r="X19" s="19" t="s">
        <v>337</v>
      </c>
      <c r="Y19" s="19">
        <v>0</v>
      </c>
      <c r="Z19" s="19" t="s">
        <v>321</v>
      </c>
      <c r="AA19" s="16" t="s">
        <v>58</v>
      </c>
      <c r="AB19" s="16"/>
      <c r="AC19" s="16"/>
      <c r="AD19" s="16"/>
      <c r="AE19" s="19" t="s">
        <v>60</v>
      </c>
      <c r="AF19" s="16" t="s">
        <v>339</v>
      </c>
      <c r="AG19" s="19" t="s">
        <v>322</v>
      </c>
      <c r="AH19" s="16" t="s">
        <v>58</v>
      </c>
      <c r="AI19" s="16"/>
      <c r="AJ19" s="16"/>
    </row>
    <row r="20" spans="1:36" ht="48">
      <c r="A20" s="16" t="s">
        <v>102</v>
      </c>
      <c r="B20" s="20" t="s">
        <v>103</v>
      </c>
      <c r="C20" s="19">
        <v>5.5</v>
      </c>
      <c r="D20" s="19" t="s">
        <v>330</v>
      </c>
      <c r="E20" s="19" t="s">
        <v>313</v>
      </c>
      <c r="F20" s="19" t="s">
        <v>313</v>
      </c>
      <c r="G20" s="19" t="s">
        <v>313</v>
      </c>
      <c r="H20" s="19" t="s">
        <v>313</v>
      </c>
      <c r="I20" s="19" t="s">
        <v>313</v>
      </c>
      <c r="J20" s="19" t="s">
        <v>313</v>
      </c>
      <c r="K20" s="19" t="s">
        <v>313</v>
      </c>
      <c r="L20" s="20" t="s">
        <v>418</v>
      </c>
      <c r="M20" s="19">
        <v>89</v>
      </c>
      <c r="N20" s="19" t="s">
        <v>420</v>
      </c>
      <c r="O20" s="16" t="s">
        <v>58</v>
      </c>
      <c r="P20" s="16" t="s">
        <v>58</v>
      </c>
      <c r="Q20" s="19">
        <v>1275</v>
      </c>
      <c r="R20" s="19" t="s">
        <v>316</v>
      </c>
      <c r="S20" s="16"/>
      <c r="T20" s="19" t="s">
        <v>313</v>
      </c>
      <c r="U20" s="19" t="s">
        <v>317</v>
      </c>
      <c r="V20" s="16" t="s">
        <v>318</v>
      </c>
      <c r="W20" s="16" t="s">
        <v>336</v>
      </c>
      <c r="X20" s="19" t="s">
        <v>337</v>
      </c>
      <c r="Y20" s="19">
        <v>1</v>
      </c>
      <c r="Z20" s="19" t="s">
        <v>321</v>
      </c>
      <c r="AA20" s="16" t="s">
        <v>58</v>
      </c>
      <c r="AB20" s="16"/>
      <c r="AC20" s="16"/>
      <c r="AD20" s="16"/>
      <c r="AE20" s="19" t="s">
        <v>69</v>
      </c>
      <c r="AF20" s="16" t="s">
        <v>322</v>
      </c>
      <c r="AG20" s="16" t="s">
        <v>58</v>
      </c>
      <c r="AH20" s="16" t="s">
        <v>58</v>
      </c>
      <c r="AI20" s="16"/>
      <c r="AJ20" s="16"/>
    </row>
    <row r="21" spans="1:36" ht="80">
      <c r="A21" s="16" t="s">
        <v>104</v>
      </c>
      <c r="B21" s="19" t="s">
        <v>105</v>
      </c>
      <c r="C21" s="19">
        <v>5</v>
      </c>
      <c r="D21" s="19" t="s">
        <v>330</v>
      </c>
      <c r="E21" s="19" t="s">
        <v>421</v>
      </c>
      <c r="F21" s="19" t="s">
        <v>313</v>
      </c>
      <c r="G21" s="19" t="s">
        <v>313</v>
      </c>
      <c r="H21" s="19" t="s">
        <v>313</v>
      </c>
      <c r="I21" s="19" t="s">
        <v>313</v>
      </c>
      <c r="J21" s="19" t="s">
        <v>313</v>
      </c>
      <c r="K21" s="19" t="s">
        <v>313</v>
      </c>
      <c r="L21" s="20" t="s">
        <v>418</v>
      </c>
      <c r="M21" s="19">
        <v>91</v>
      </c>
      <c r="N21" s="19" t="s">
        <v>379</v>
      </c>
      <c r="O21" s="16" t="s">
        <v>58</v>
      </c>
      <c r="P21" s="16" t="s">
        <v>58</v>
      </c>
      <c r="Q21" s="19">
        <v>1112</v>
      </c>
      <c r="R21" s="19" t="s">
        <v>350</v>
      </c>
      <c r="S21" s="16"/>
      <c r="T21" s="19" t="s">
        <v>313</v>
      </c>
      <c r="U21" s="19" t="s">
        <v>317</v>
      </c>
      <c r="V21" s="16" t="s">
        <v>318</v>
      </c>
      <c r="W21" s="16" t="s">
        <v>336</v>
      </c>
      <c r="X21" s="19" t="s">
        <v>337</v>
      </c>
      <c r="Y21" s="19">
        <v>0</v>
      </c>
      <c r="Z21" s="19" t="s">
        <v>118</v>
      </c>
      <c r="AA21" s="16" t="s">
        <v>58</v>
      </c>
      <c r="AB21" s="16"/>
      <c r="AC21" s="16"/>
      <c r="AD21" s="16"/>
      <c r="AE21" s="16" t="s">
        <v>58</v>
      </c>
      <c r="AF21" s="16" t="s">
        <v>338</v>
      </c>
      <c r="AG21" s="16" t="s">
        <v>58</v>
      </c>
      <c r="AH21" s="16" t="s">
        <v>58</v>
      </c>
      <c r="AI21" s="16"/>
      <c r="AJ21" s="16"/>
    </row>
    <row r="22" spans="1:36" ht="80">
      <c r="A22" s="16" t="s">
        <v>106</v>
      </c>
      <c r="B22" s="19" t="s">
        <v>107</v>
      </c>
      <c r="C22" s="19">
        <v>3</v>
      </c>
      <c r="D22" s="19" t="s">
        <v>330</v>
      </c>
      <c r="E22" s="19" t="s">
        <v>313</v>
      </c>
      <c r="F22" s="19" t="s">
        <v>313</v>
      </c>
      <c r="G22" s="19" t="s">
        <v>313</v>
      </c>
      <c r="H22" s="19" t="s">
        <v>313</v>
      </c>
      <c r="I22" s="19" t="s">
        <v>313</v>
      </c>
      <c r="J22" s="19" t="s">
        <v>313</v>
      </c>
      <c r="K22" s="19" t="s">
        <v>313</v>
      </c>
      <c r="L22" s="20" t="s">
        <v>422</v>
      </c>
      <c r="M22" s="19">
        <v>71</v>
      </c>
      <c r="N22" s="19" t="s">
        <v>423</v>
      </c>
      <c r="O22" s="16" t="s">
        <v>58</v>
      </c>
      <c r="P22" s="16" t="s">
        <v>58</v>
      </c>
      <c r="Q22" s="19">
        <v>1300</v>
      </c>
      <c r="R22" s="19" t="s">
        <v>388</v>
      </c>
      <c r="S22" s="16"/>
      <c r="T22" s="19" t="s">
        <v>313</v>
      </c>
      <c r="U22" s="19" t="s">
        <v>317</v>
      </c>
      <c r="V22" s="16" t="s">
        <v>318</v>
      </c>
      <c r="W22" s="16" t="s">
        <v>424</v>
      </c>
      <c r="X22" s="19" t="s">
        <v>337</v>
      </c>
      <c r="Y22" s="19">
        <v>0</v>
      </c>
      <c r="Z22" s="19" t="s">
        <v>321</v>
      </c>
      <c r="AA22" s="16" t="s">
        <v>58</v>
      </c>
      <c r="AB22" s="16"/>
      <c r="AC22" s="16"/>
      <c r="AD22" s="16"/>
      <c r="AE22" s="19" t="s">
        <v>69</v>
      </c>
      <c r="AF22" s="16" t="s">
        <v>338</v>
      </c>
      <c r="AG22" s="16" t="s">
        <v>58</v>
      </c>
      <c r="AH22" s="16" t="s">
        <v>58</v>
      </c>
      <c r="AI22" s="16"/>
      <c r="AJ22" s="16"/>
    </row>
    <row r="23" spans="1:36" ht="192">
      <c r="A23" s="16" t="s">
        <v>108</v>
      </c>
      <c r="B23" s="19" t="s">
        <v>109</v>
      </c>
      <c r="C23" s="19">
        <v>2.5</v>
      </c>
      <c r="D23" s="19" t="s">
        <v>330</v>
      </c>
      <c r="E23" s="19" t="s">
        <v>332</v>
      </c>
      <c r="F23" s="19" t="s">
        <v>81</v>
      </c>
      <c r="G23" s="19" t="s">
        <v>425</v>
      </c>
      <c r="H23" s="19" t="s">
        <v>313</v>
      </c>
      <c r="I23" s="19" t="s">
        <v>313</v>
      </c>
      <c r="J23" s="19" t="s">
        <v>313</v>
      </c>
      <c r="K23" s="19" t="s">
        <v>313</v>
      </c>
      <c r="L23" s="20" t="s">
        <v>426</v>
      </c>
      <c r="M23" s="19">
        <v>80</v>
      </c>
      <c r="N23" s="19" t="s">
        <v>427</v>
      </c>
      <c r="O23" s="16" t="s">
        <v>58</v>
      </c>
      <c r="P23" s="16" t="s">
        <v>58</v>
      </c>
      <c r="Q23" s="19">
        <v>1300</v>
      </c>
      <c r="R23" s="19" t="s">
        <v>350</v>
      </c>
      <c r="S23" s="16"/>
      <c r="T23" s="19" t="s">
        <v>313</v>
      </c>
      <c r="U23" s="19" t="s">
        <v>317</v>
      </c>
      <c r="V23" s="16" t="s">
        <v>318</v>
      </c>
      <c r="W23" s="16" t="s">
        <v>428</v>
      </c>
      <c r="X23" s="19" t="s">
        <v>320</v>
      </c>
      <c r="Y23" s="19">
        <v>0</v>
      </c>
      <c r="Z23" s="19" t="s">
        <v>118</v>
      </c>
      <c r="AA23" s="16" t="s">
        <v>58</v>
      </c>
      <c r="AB23" s="16"/>
      <c r="AC23" s="16"/>
      <c r="AD23" s="16"/>
      <c r="AE23" s="19" t="s">
        <v>69</v>
      </c>
      <c r="AF23" s="16" t="s">
        <v>339</v>
      </c>
      <c r="AG23" s="16" t="s">
        <v>58</v>
      </c>
      <c r="AH23" s="16" t="s">
        <v>58</v>
      </c>
      <c r="AI23" s="16"/>
      <c r="AJ23" s="16"/>
    </row>
    <row r="24" spans="1:36" ht="96">
      <c r="A24" s="16" t="s">
        <v>110</v>
      </c>
      <c r="B24" s="19" t="s">
        <v>111</v>
      </c>
      <c r="C24" s="19">
        <v>3</v>
      </c>
      <c r="D24" s="19" t="s">
        <v>310</v>
      </c>
      <c r="E24" s="19" t="s">
        <v>429</v>
      </c>
      <c r="F24" s="19" t="s">
        <v>340</v>
      </c>
      <c r="G24" s="19" t="s">
        <v>430</v>
      </c>
      <c r="H24" s="19" t="s">
        <v>431</v>
      </c>
      <c r="I24" s="19" t="s">
        <v>313</v>
      </c>
      <c r="J24" s="19" t="s">
        <v>313</v>
      </c>
      <c r="K24" s="19" t="s">
        <v>313</v>
      </c>
      <c r="L24" s="20" t="s">
        <v>426</v>
      </c>
      <c r="M24" s="19">
        <v>87</v>
      </c>
      <c r="N24" s="19" t="s">
        <v>59</v>
      </c>
      <c r="O24" s="16" t="s">
        <v>58</v>
      </c>
      <c r="P24" s="16" t="s">
        <v>58</v>
      </c>
      <c r="Q24" s="19">
        <v>922</v>
      </c>
      <c r="R24" s="19" t="s">
        <v>316</v>
      </c>
      <c r="S24" s="16"/>
      <c r="T24" s="19" t="s">
        <v>432</v>
      </c>
      <c r="U24" s="19" t="s">
        <v>352</v>
      </c>
      <c r="V24" s="16" t="s">
        <v>318</v>
      </c>
      <c r="W24" s="16" t="s">
        <v>433</v>
      </c>
      <c r="X24" s="19" t="s">
        <v>398</v>
      </c>
      <c r="Y24" s="19">
        <v>2</v>
      </c>
      <c r="Z24" s="19" t="s">
        <v>118</v>
      </c>
      <c r="AA24" s="16" t="s">
        <v>58</v>
      </c>
      <c r="AB24" s="16"/>
      <c r="AC24" s="16"/>
      <c r="AD24" s="16"/>
      <c r="AE24" s="16" t="s">
        <v>58</v>
      </c>
      <c r="AF24" s="16" t="s">
        <v>338</v>
      </c>
      <c r="AG24" s="16" t="s">
        <v>58</v>
      </c>
      <c r="AH24" s="16" t="s">
        <v>58</v>
      </c>
      <c r="AI24" s="16"/>
      <c r="AJ24" s="16"/>
    </row>
    <row r="25" spans="1:36" ht="128">
      <c r="A25" s="16" t="s">
        <v>112</v>
      </c>
      <c r="B25" s="19" t="s">
        <v>434</v>
      </c>
      <c r="C25" s="19">
        <v>3.15</v>
      </c>
      <c r="D25" s="19" t="s">
        <v>330</v>
      </c>
      <c r="E25" s="19" t="s">
        <v>435</v>
      </c>
      <c r="F25" s="19" t="s">
        <v>313</v>
      </c>
      <c r="G25" s="19" t="s">
        <v>313</v>
      </c>
      <c r="H25" s="19" t="s">
        <v>313</v>
      </c>
      <c r="I25" s="19" t="s">
        <v>313</v>
      </c>
      <c r="J25" s="19" t="s">
        <v>313</v>
      </c>
      <c r="K25" s="19" t="s">
        <v>313</v>
      </c>
      <c r="L25" s="20" t="s">
        <v>436</v>
      </c>
      <c r="M25" s="19">
        <v>59</v>
      </c>
      <c r="N25" s="19" t="s">
        <v>437</v>
      </c>
      <c r="O25" s="16" t="s">
        <v>58</v>
      </c>
      <c r="P25" s="16" t="s">
        <v>58</v>
      </c>
      <c r="Q25" s="19">
        <v>1162</v>
      </c>
      <c r="R25" s="19" t="s">
        <v>388</v>
      </c>
      <c r="S25" s="16"/>
      <c r="T25" s="19" t="s">
        <v>313</v>
      </c>
      <c r="U25" s="19" t="s">
        <v>327</v>
      </c>
      <c r="V25" s="16" t="s">
        <v>318</v>
      </c>
      <c r="W25" s="16" t="s">
        <v>343</v>
      </c>
      <c r="X25" s="19" t="s">
        <v>337</v>
      </c>
      <c r="Y25" s="19">
        <v>0</v>
      </c>
      <c r="Z25" s="19" t="s">
        <v>321</v>
      </c>
      <c r="AA25" s="16" t="s">
        <v>58</v>
      </c>
      <c r="AB25" s="19" t="s">
        <v>380</v>
      </c>
      <c r="AC25" s="16"/>
      <c r="AD25" s="16"/>
      <c r="AE25" s="16" t="s">
        <v>58</v>
      </c>
      <c r="AF25" s="16" t="s">
        <v>322</v>
      </c>
      <c r="AG25" s="16" t="s">
        <v>58</v>
      </c>
      <c r="AH25" s="16" t="s">
        <v>58</v>
      </c>
      <c r="AI25" s="16"/>
      <c r="AJ25" s="16"/>
    </row>
    <row r="26" spans="1:36" ht="80">
      <c r="A26" s="16" t="s">
        <v>113</v>
      </c>
      <c r="B26" s="19" t="s">
        <v>114</v>
      </c>
      <c r="C26" s="19">
        <v>5</v>
      </c>
      <c r="D26" s="19" t="s">
        <v>353</v>
      </c>
      <c r="E26" s="19" t="s">
        <v>438</v>
      </c>
      <c r="F26" s="19" t="s">
        <v>439</v>
      </c>
      <c r="G26" s="19" t="s">
        <v>440</v>
      </c>
      <c r="H26" s="19" t="s">
        <v>313</v>
      </c>
      <c r="I26" s="19" t="s">
        <v>313</v>
      </c>
      <c r="J26" s="19" t="s">
        <v>313</v>
      </c>
      <c r="K26" s="19" t="s">
        <v>313</v>
      </c>
      <c r="L26" s="20" t="s">
        <v>436</v>
      </c>
      <c r="M26" s="19">
        <v>67</v>
      </c>
      <c r="N26" s="19" t="s">
        <v>441</v>
      </c>
      <c r="O26" s="16" t="s">
        <v>58</v>
      </c>
      <c r="P26" s="16" t="s">
        <v>58</v>
      </c>
      <c r="Q26" s="19">
        <v>1198</v>
      </c>
      <c r="R26" s="19" t="s">
        <v>350</v>
      </c>
      <c r="S26" s="16"/>
      <c r="T26" s="19" t="s">
        <v>313</v>
      </c>
      <c r="U26" s="19" t="s">
        <v>317</v>
      </c>
      <c r="V26" s="16" t="s">
        <v>318</v>
      </c>
      <c r="W26" s="16" t="s">
        <v>336</v>
      </c>
      <c r="X26" s="19" t="s">
        <v>329</v>
      </c>
      <c r="Y26" s="19">
        <v>3</v>
      </c>
      <c r="Z26" s="19" t="s">
        <v>321</v>
      </c>
      <c r="AA26" s="16" t="s">
        <v>58</v>
      </c>
      <c r="AB26" s="16"/>
      <c r="AC26" s="16"/>
      <c r="AD26" s="16"/>
      <c r="AE26" s="16" t="s">
        <v>58</v>
      </c>
      <c r="AF26" s="16" t="s">
        <v>338</v>
      </c>
      <c r="AG26" s="16" t="s">
        <v>58</v>
      </c>
      <c r="AH26" s="16" t="s">
        <v>58</v>
      </c>
      <c r="AI26" s="16"/>
      <c r="AJ26" s="16"/>
    </row>
    <row r="27" spans="1:36" ht="144">
      <c r="A27" s="16" t="s">
        <v>115</v>
      </c>
      <c r="B27" s="19" t="s">
        <v>442</v>
      </c>
      <c r="C27" s="19">
        <v>2.2200000000000002</v>
      </c>
      <c r="D27" s="19" t="s">
        <v>330</v>
      </c>
      <c r="E27" s="19" t="s">
        <v>443</v>
      </c>
      <c r="F27" s="19" t="s">
        <v>439</v>
      </c>
      <c r="G27" s="19" t="s">
        <v>444</v>
      </c>
      <c r="H27" s="19" t="s">
        <v>445</v>
      </c>
      <c r="I27" s="19" t="s">
        <v>313</v>
      </c>
      <c r="J27" s="19" t="s">
        <v>313</v>
      </c>
      <c r="K27" s="19" t="s">
        <v>313</v>
      </c>
      <c r="L27" s="20" t="s">
        <v>446</v>
      </c>
      <c r="M27" s="19">
        <v>79</v>
      </c>
      <c r="N27" s="19" t="s">
        <v>447</v>
      </c>
      <c r="O27" s="16" t="s">
        <v>58</v>
      </c>
      <c r="P27" s="16" t="s">
        <v>58</v>
      </c>
      <c r="Q27" s="19">
        <v>1262</v>
      </c>
      <c r="R27" s="19" t="s">
        <v>350</v>
      </c>
      <c r="S27" s="16"/>
      <c r="T27" s="19" t="s">
        <v>351</v>
      </c>
      <c r="U27" s="19" t="s">
        <v>327</v>
      </c>
      <c r="V27" s="16" t="s">
        <v>318</v>
      </c>
      <c r="W27" s="16" t="s">
        <v>448</v>
      </c>
      <c r="X27" s="19" t="s">
        <v>449</v>
      </c>
      <c r="Y27" s="19">
        <v>1</v>
      </c>
      <c r="Z27" s="19" t="s">
        <v>321</v>
      </c>
      <c r="AA27" s="16" t="s">
        <v>58</v>
      </c>
      <c r="AB27" s="16"/>
      <c r="AC27" s="16"/>
      <c r="AD27" s="16"/>
      <c r="AE27" s="16" t="s">
        <v>58</v>
      </c>
      <c r="AF27" s="16" t="s">
        <v>339</v>
      </c>
      <c r="AG27" s="16" t="s">
        <v>58</v>
      </c>
      <c r="AH27" s="16" t="s">
        <v>58</v>
      </c>
      <c r="AI27" s="16"/>
      <c r="AJ27" s="16"/>
    </row>
    <row r="28" spans="1:36" ht="96">
      <c r="A28" s="16" t="s">
        <v>116</v>
      </c>
      <c r="B28" s="19" t="s">
        <v>117</v>
      </c>
      <c r="C28" s="19">
        <v>1.92</v>
      </c>
      <c r="D28" s="19" t="s">
        <v>344</v>
      </c>
      <c r="E28" s="19" t="s">
        <v>450</v>
      </c>
      <c r="F28" s="19" t="s">
        <v>332</v>
      </c>
      <c r="G28" s="19" t="s">
        <v>451</v>
      </c>
      <c r="H28" s="19" t="s">
        <v>313</v>
      </c>
      <c r="I28" s="19" t="s">
        <v>313</v>
      </c>
      <c r="J28" s="19" t="s">
        <v>313</v>
      </c>
      <c r="K28" s="19" t="s">
        <v>313</v>
      </c>
      <c r="L28" s="20" t="s">
        <v>446</v>
      </c>
      <c r="M28" s="19">
        <v>92</v>
      </c>
      <c r="N28" s="19" t="s">
        <v>452</v>
      </c>
      <c r="O28" s="16" t="s">
        <v>58</v>
      </c>
      <c r="P28" s="16" t="s">
        <v>58</v>
      </c>
      <c r="Q28" s="19">
        <v>1286</v>
      </c>
      <c r="R28" s="19" t="s">
        <v>374</v>
      </c>
      <c r="S28" s="16"/>
      <c r="T28" s="19" t="s">
        <v>313</v>
      </c>
      <c r="U28" s="16" t="s">
        <v>58</v>
      </c>
      <c r="V28" s="16" t="s">
        <v>58</v>
      </c>
      <c r="W28" s="16" t="s">
        <v>58</v>
      </c>
      <c r="X28" s="16" t="s">
        <v>58</v>
      </c>
      <c r="Y28" s="19"/>
      <c r="Z28" s="19" t="s">
        <v>321</v>
      </c>
      <c r="AA28" s="16" t="s">
        <v>58</v>
      </c>
      <c r="AB28" s="16"/>
      <c r="AC28" s="16"/>
      <c r="AD28" s="16"/>
      <c r="AE28" s="16" t="s">
        <v>58</v>
      </c>
      <c r="AF28" s="16" t="s">
        <v>322</v>
      </c>
      <c r="AG28" s="16" t="s">
        <v>58</v>
      </c>
      <c r="AH28" s="16" t="s">
        <v>58</v>
      </c>
      <c r="AI28" s="16"/>
      <c r="AJ28" s="16"/>
    </row>
    <row r="29" spans="1:36" ht="112">
      <c r="A29" s="16" t="s">
        <v>119</v>
      </c>
      <c r="B29" s="19" t="s">
        <v>120</v>
      </c>
      <c r="C29" s="19">
        <v>4</v>
      </c>
      <c r="D29" s="19" t="s">
        <v>330</v>
      </c>
      <c r="E29" s="19" t="s">
        <v>453</v>
      </c>
      <c r="F29" s="19" t="s">
        <v>454</v>
      </c>
      <c r="G29" s="19" t="s">
        <v>455</v>
      </c>
      <c r="H29" s="19" t="s">
        <v>456</v>
      </c>
      <c r="I29" s="19" t="s">
        <v>457</v>
      </c>
      <c r="J29" s="19" t="s">
        <v>313</v>
      </c>
      <c r="K29" s="19" t="s">
        <v>313</v>
      </c>
      <c r="L29" s="20" t="s">
        <v>446</v>
      </c>
      <c r="M29" s="19">
        <v>91</v>
      </c>
      <c r="N29" s="19" t="s">
        <v>349</v>
      </c>
      <c r="O29" s="16" t="s">
        <v>58</v>
      </c>
      <c r="P29" s="16" t="s">
        <v>58</v>
      </c>
      <c r="Q29" s="19">
        <v>1156</v>
      </c>
      <c r="R29" s="19" t="s">
        <v>374</v>
      </c>
      <c r="S29" s="16"/>
      <c r="T29" s="19" t="s">
        <v>432</v>
      </c>
      <c r="U29" s="19" t="s">
        <v>396</v>
      </c>
      <c r="V29" s="16" t="s">
        <v>58</v>
      </c>
      <c r="W29" s="16" t="s">
        <v>58</v>
      </c>
      <c r="X29" s="19" t="s">
        <v>356</v>
      </c>
      <c r="Y29" s="19">
        <v>1</v>
      </c>
      <c r="Z29" s="19" t="s">
        <v>321</v>
      </c>
      <c r="AA29" s="16" t="s">
        <v>58</v>
      </c>
      <c r="AB29" s="16"/>
      <c r="AC29" s="16"/>
      <c r="AD29" s="16"/>
      <c r="AE29" s="19" t="s">
        <v>69</v>
      </c>
      <c r="AF29" s="16" t="s">
        <v>369</v>
      </c>
      <c r="AG29" s="16" t="s">
        <v>58</v>
      </c>
      <c r="AH29" s="16" t="s">
        <v>58</v>
      </c>
      <c r="AI29" s="16"/>
      <c r="AJ29" s="16"/>
    </row>
    <row r="30" spans="1:36" ht="128">
      <c r="A30" s="16" t="s">
        <v>121</v>
      </c>
      <c r="B30" s="19" t="s">
        <v>458</v>
      </c>
      <c r="C30" s="19">
        <v>3.75</v>
      </c>
      <c r="D30" s="19" t="s">
        <v>310</v>
      </c>
      <c r="E30" s="19" t="s">
        <v>459</v>
      </c>
      <c r="F30" s="19" t="s">
        <v>460</v>
      </c>
      <c r="G30" s="19" t="s">
        <v>313</v>
      </c>
      <c r="H30" s="19" t="s">
        <v>313</v>
      </c>
      <c r="I30" s="19" t="s">
        <v>313</v>
      </c>
      <c r="J30" s="19" t="s">
        <v>313</v>
      </c>
      <c r="K30" s="19" t="s">
        <v>313</v>
      </c>
      <c r="L30" s="20" t="s">
        <v>461</v>
      </c>
      <c r="M30" s="19">
        <v>79</v>
      </c>
      <c r="N30" s="19" t="s">
        <v>462</v>
      </c>
      <c r="O30" s="16" t="s">
        <v>58</v>
      </c>
      <c r="P30" s="16" t="s">
        <v>58</v>
      </c>
      <c r="Q30" s="19">
        <v>1150</v>
      </c>
      <c r="R30" s="19" t="s">
        <v>374</v>
      </c>
      <c r="S30" s="16"/>
      <c r="T30" s="19" t="s">
        <v>313</v>
      </c>
      <c r="U30" s="16" t="s">
        <v>58</v>
      </c>
      <c r="V30" s="16" t="s">
        <v>318</v>
      </c>
      <c r="W30" s="16" t="s">
        <v>343</v>
      </c>
      <c r="X30" s="19" t="s">
        <v>329</v>
      </c>
      <c r="Y30" s="19">
        <v>2</v>
      </c>
      <c r="Z30" s="19" t="s">
        <v>321</v>
      </c>
      <c r="AA30" s="16" t="s">
        <v>58</v>
      </c>
      <c r="AB30" s="16"/>
      <c r="AC30" s="16"/>
      <c r="AD30" s="16"/>
      <c r="AE30" s="16" t="s">
        <v>58</v>
      </c>
      <c r="AF30" s="16" t="s">
        <v>338</v>
      </c>
      <c r="AG30" s="16" t="s">
        <v>58</v>
      </c>
      <c r="AH30" s="16" t="s">
        <v>58</v>
      </c>
      <c r="AI30" s="16"/>
      <c r="AJ30" s="16"/>
    </row>
    <row r="31" spans="1:36" ht="96">
      <c r="A31" s="16" t="s">
        <v>122</v>
      </c>
      <c r="B31" s="20" t="s">
        <v>123</v>
      </c>
      <c r="C31" s="19">
        <v>2.95</v>
      </c>
      <c r="D31" s="19" t="s">
        <v>344</v>
      </c>
      <c r="E31" s="19" t="s">
        <v>463</v>
      </c>
      <c r="F31" s="19" t="s">
        <v>429</v>
      </c>
      <c r="G31" s="19" t="s">
        <v>313</v>
      </c>
      <c r="H31" s="19" t="s">
        <v>313</v>
      </c>
      <c r="I31" s="19" t="s">
        <v>313</v>
      </c>
      <c r="J31" s="19" t="s">
        <v>313</v>
      </c>
      <c r="K31" s="19" t="s">
        <v>313</v>
      </c>
      <c r="L31" s="20"/>
      <c r="M31" s="19">
        <v>74</v>
      </c>
      <c r="N31" s="19" t="s">
        <v>464</v>
      </c>
      <c r="O31" s="16" t="s">
        <v>58</v>
      </c>
      <c r="P31" s="16" t="s">
        <v>58</v>
      </c>
      <c r="Q31" s="19">
        <v>1088</v>
      </c>
      <c r="R31" s="19" t="s">
        <v>316</v>
      </c>
      <c r="S31" s="16"/>
      <c r="T31" s="19" t="s">
        <v>432</v>
      </c>
      <c r="U31" s="16" t="s">
        <v>58</v>
      </c>
      <c r="V31" s="16" t="s">
        <v>58</v>
      </c>
      <c r="W31" s="16" t="s">
        <v>58</v>
      </c>
      <c r="X31" s="16" t="s">
        <v>58</v>
      </c>
      <c r="Y31" s="19"/>
      <c r="Z31" s="19" t="s">
        <v>321</v>
      </c>
      <c r="AA31" s="16" t="s">
        <v>58</v>
      </c>
      <c r="AB31" s="16"/>
      <c r="AC31" s="16"/>
      <c r="AD31" s="16"/>
      <c r="AE31" s="16" t="s">
        <v>58</v>
      </c>
      <c r="AF31" s="16" t="s">
        <v>339</v>
      </c>
      <c r="AG31" s="16" t="s">
        <v>58</v>
      </c>
      <c r="AH31" s="16" t="s">
        <v>58</v>
      </c>
      <c r="AI31" s="16"/>
      <c r="AJ31" s="16"/>
    </row>
    <row r="32" spans="1:36" ht="96">
      <c r="A32" s="16" t="s">
        <v>124</v>
      </c>
      <c r="B32" s="19" t="s">
        <v>465</v>
      </c>
      <c r="C32" s="19">
        <v>1.25</v>
      </c>
      <c r="D32" s="19" t="s">
        <v>330</v>
      </c>
      <c r="E32" s="19" t="s">
        <v>466</v>
      </c>
      <c r="F32" s="19" t="s">
        <v>429</v>
      </c>
      <c r="G32" s="19" t="s">
        <v>467</v>
      </c>
      <c r="H32" s="19" t="s">
        <v>313</v>
      </c>
      <c r="I32" s="19" t="s">
        <v>313</v>
      </c>
      <c r="J32" s="19" t="s">
        <v>313</v>
      </c>
      <c r="K32" s="19" t="s">
        <v>313</v>
      </c>
      <c r="L32" s="20" t="s">
        <v>461</v>
      </c>
      <c r="M32" s="19">
        <v>88</v>
      </c>
      <c r="N32" s="19" t="s">
        <v>468</v>
      </c>
      <c r="O32" s="16" t="s">
        <v>58</v>
      </c>
      <c r="P32" s="16" t="s">
        <v>58</v>
      </c>
      <c r="Q32" s="19">
        <v>934</v>
      </c>
      <c r="R32" s="19" t="s">
        <v>316</v>
      </c>
      <c r="S32" s="16"/>
      <c r="T32" s="19" t="s">
        <v>334</v>
      </c>
      <c r="U32" s="16" t="s">
        <v>58</v>
      </c>
      <c r="V32" s="16" t="s">
        <v>318</v>
      </c>
      <c r="W32" s="16" t="s">
        <v>336</v>
      </c>
      <c r="X32" s="19" t="s">
        <v>337</v>
      </c>
      <c r="Y32" s="19">
        <v>0</v>
      </c>
      <c r="Z32" s="19" t="s">
        <v>321</v>
      </c>
      <c r="AA32" s="16" t="s">
        <v>58</v>
      </c>
      <c r="AB32" s="16"/>
      <c r="AC32" s="16"/>
      <c r="AD32" s="16"/>
      <c r="AE32" s="16" t="s">
        <v>58</v>
      </c>
      <c r="AF32" s="16" t="s">
        <v>58</v>
      </c>
      <c r="AG32" s="16" t="s">
        <v>58</v>
      </c>
      <c r="AH32" s="16" t="s">
        <v>58</v>
      </c>
      <c r="AI32" s="16"/>
      <c r="AJ32" s="16"/>
    </row>
    <row r="33" spans="1:36" ht="112">
      <c r="A33" s="16" t="s">
        <v>125</v>
      </c>
      <c r="B33" s="19" t="s">
        <v>126</v>
      </c>
      <c r="C33" s="19">
        <v>3.37</v>
      </c>
      <c r="D33" s="19" t="s">
        <v>310</v>
      </c>
      <c r="E33" s="19" t="s">
        <v>469</v>
      </c>
      <c r="F33" s="19" t="s">
        <v>470</v>
      </c>
      <c r="G33" s="19" t="s">
        <v>313</v>
      </c>
      <c r="H33" s="19" t="s">
        <v>313</v>
      </c>
      <c r="I33" s="19" t="s">
        <v>313</v>
      </c>
      <c r="J33" s="19" t="s">
        <v>313</v>
      </c>
      <c r="K33" s="19" t="s">
        <v>313</v>
      </c>
      <c r="L33" s="20" t="s">
        <v>461</v>
      </c>
      <c r="M33" s="19">
        <v>76</v>
      </c>
      <c r="N33" s="19" t="s">
        <v>59</v>
      </c>
      <c r="O33" s="16" t="s">
        <v>58</v>
      </c>
      <c r="P33" s="16" t="s">
        <v>58</v>
      </c>
      <c r="Q33" s="19">
        <v>1336</v>
      </c>
      <c r="R33" s="19" t="s">
        <v>374</v>
      </c>
      <c r="S33" s="16"/>
      <c r="T33" s="19" t="s">
        <v>313</v>
      </c>
      <c r="U33" s="16" t="s">
        <v>58</v>
      </c>
      <c r="V33" s="16" t="s">
        <v>318</v>
      </c>
      <c r="W33" s="16" t="s">
        <v>336</v>
      </c>
      <c r="X33" s="19" t="s">
        <v>329</v>
      </c>
      <c r="Y33" s="19">
        <v>3</v>
      </c>
      <c r="Z33" s="19" t="s">
        <v>321</v>
      </c>
      <c r="AA33" s="16" t="s">
        <v>58</v>
      </c>
      <c r="AB33" s="16"/>
      <c r="AC33" s="16"/>
      <c r="AD33" s="16"/>
      <c r="AE33" s="16" t="s">
        <v>58</v>
      </c>
      <c r="AF33" s="16" t="s">
        <v>58</v>
      </c>
      <c r="AG33" s="16" t="s">
        <v>58</v>
      </c>
      <c r="AH33" s="16" t="s">
        <v>58</v>
      </c>
      <c r="AI33" s="16"/>
      <c r="AJ33" s="16"/>
    </row>
    <row r="34" spans="1:36" ht="80">
      <c r="A34" s="16" t="s">
        <v>127</v>
      </c>
      <c r="B34" s="19" t="s">
        <v>128</v>
      </c>
      <c r="C34" s="19">
        <v>2.83</v>
      </c>
      <c r="D34" s="19" t="s">
        <v>353</v>
      </c>
      <c r="E34" s="19" t="s">
        <v>471</v>
      </c>
      <c r="F34" s="19" t="s">
        <v>472</v>
      </c>
      <c r="G34" s="19" t="s">
        <v>313</v>
      </c>
      <c r="H34" s="19" t="s">
        <v>313</v>
      </c>
      <c r="I34" s="19" t="s">
        <v>313</v>
      </c>
      <c r="J34" s="19" t="s">
        <v>313</v>
      </c>
      <c r="K34" s="19" t="s">
        <v>313</v>
      </c>
      <c r="L34" s="20" t="s">
        <v>473</v>
      </c>
      <c r="M34" s="19">
        <v>80</v>
      </c>
      <c r="N34" s="19" t="s">
        <v>474</v>
      </c>
      <c r="O34" s="16" t="s">
        <v>58</v>
      </c>
      <c r="P34" s="16" t="s">
        <v>58</v>
      </c>
      <c r="Q34" s="19">
        <v>1398</v>
      </c>
      <c r="R34" s="19" t="s">
        <v>350</v>
      </c>
      <c r="S34" s="16"/>
      <c r="T34" s="19" t="s">
        <v>313</v>
      </c>
      <c r="U34" s="16" t="s">
        <v>58</v>
      </c>
      <c r="V34" s="16" t="s">
        <v>318</v>
      </c>
      <c r="W34" s="16" t="s">
        <v>336</v>
      </c>
      <c r="X34" s="19" t="s">
        <v>329</v>
      </c>
      <c r="Y34" s="19">
        <v>2</v>
      </c>
      <c r="Z34" s="19" t="s">
        <v>321</v>
      </c>
      <c r="AA34" s="16" t="s">
        <v>58</v>
      </c>
      <c r="AB34" s="16"/>
      <c r="AC34" s="16"/>
      <c r="AD34" s="16"/>
      <c r="AE34" s="16" t="s">
        <v>58</v>
      </c>
      <c r="AF34" s="16" t="s">
        <v>58</v>
      </c>
      <c r="AG34" s="16" t="s">
        <v>58</v>
      </c>
      <c r="AH34" s="16" t="s">
        <v>58</v>
      </c>
      <c r="AI34" s="16"/>
      <c r="AJ34" s="16"/>
    </row>
    <row r="35" spans="1:36" ht="96">
      <c r="A35" s="16" t="s">
        <v>129</v>
      </c>
      <c r="B35" s="19" t="s">
        <v>130</v>
      </c>
      <c r="C35" s="19">
        <v>2.4500000000000002</v>
      </c>
      <c r="D35" s="19" t="s">
        <v>330</v>
      </c>
      <c r="E35" s="19" t="s">
        <v>429</v>
      </c>
      <c r="F35" s="19" t="s">
        <v>81</v>
      </c>
      <c r="G35" s="19" t="s">
        <v>313</v>
      </c>
      <c r="H35" s="19" t="s">
        <v>313</v>
      </c>
      <c r="I35" s="19" t="s">
        <v>313</v>
      </c>
      <c r="J35" s="19" t="s">
        <v>313</v>
      </c>
      <c r="K35" s="19" t="s">
        <v>313</v>
      </c>
      <c r="L35" s="20" t="s">
        <v>473</v>
      </c>
      <c r="M35" s="19">
        <v>87</v>
      </c>
      <c r="N35" s="19" t="s">
        <v>475</v>
      </c>
      <c r="O35" s="16" t="s">
        <v>58</v>
      </c>
      <c r="P35" s="16" t="s">
        <v>58</v>
      </c>
      <c r="Q35" s="19">
        <v>1272</v>
      </c>
      <c r="R35" s="19" t="s">
        <v>374</v>
      </c>
      <c r="S35" s="16"/>
      <c r="T35" s="19" t="s">
        <v>334</v>
      </c>
      <c r="U35" s="16" t="s">
        <v>58</v>
      </c>
      <c r="V35" s="16" t="s">
        <v>58</v>
      </c>
      <c r="W35" s="16" t="s">
        <v>58</v>
      </c>
      <c r="X35" s="19" t="s">
        <v>320</v>
      </c>
      <c r="Y35" s="19">
        <v>0</v>
      </c>
      <c r="Z35" s="19" t="s">
        <v>321</v>
      </c>
      <c r="AA35" s="16" t="s">
        <v>58</v>
      </c>
      <c r="AB35" s="16"/>
      <c r="AC35" s="16"/>
      <c r="AD35" s="16"/>
      <c r="AE35" s="16" t="s">
        <v>58</v>
      </c>
      <c r="AF35" s="16" t="s">
        <v>58</v>
      </c>
      <c r="AG35" s="16" t="s">
        <v>58</v>
      </c>
      <c r="AH35" s="16" t="s">
        <v>58</v>
      </c>
      <c r="AI35" s="16"/>
      <c r="AJ35" s="16"/>
    </row>
    <row r="36" spans="1:36" ht="96">
      <c r="A36" s="16" t="s">
        <v>131</v>
      </c>
      <c r="B36" s="19" t="s">
        <v>132</v>
      </c>
      <c r="C36" s="19">
        <v>3</v>
      </c>
      <c r="D36" s="19" t="s">
        <v>353</v>
      </c>
      <c r="E36" s="19" t="s">
        <v>313</v>
      </c>
      <c r="F36" s="19" t="s">
        <v>313</v>
      </c>
      <c r="G36" s="19" t="s">
        <v>313</v>
      </c>
      <c r="H36" s="19" t="s">
        <v>313</v>
      </c>
      <c r="I36" s="19" t="s">
        <v>313</v>
      </c>
      <c r="J36" s="19" t="s">
        <v>313</v>
      </c>
      <c r="K36" s="19" t="s">
        <v>313</v>
      </c>
      <c r="L36" s="20" t="s">
        <v>473</v>
      </c>
      <c r="M36" s="19">
        <v>83</v>
      </c>
      <c r="N36" s="19" t="s">
        <v>476</v>
      </c>
      <c r="O36" s="16" t="s">
        <v>58</v>
      </c>
      <c r="P36" s="16" t="s">
        <v>58</v>
      </c>
      <c r="Q36" s="19">
        <v>1224</v>
      </c>
      <c r="R36" s="19" t="s">
        <v>374</v>
      </c>
      <c r="S36" s="16"/>
      <c r="T36" s="19" t="s">
        <v>313</v>
      </c>
      <c r="U36" s="16" t="s">
        <v>58</v>
      </c>
      <c r="V36" s="16" t="s">
        <v>318</v>
      </c>
      <c r="W36" s="16" t="s">
        <v>336</v>
      </c>
      <c r="X36" s="19" t="s">
        <v>356</v>
      </c>
      <c r="Y36" s="19">
        <v>3</v>
      </c>
      <c r="Z36" s="19" t="s">
        <v>321</v>
      </c>
      <c r="AA36" s="16" t="s">
        <v>58</v>
      </c>
      <c r="AB36" s="16"/>
      <c r="AC36" s="16"/>
      <c r="AD36" s="16"/>
      <c r="AE36" s="16" t="s">
        <v>58</v>
      </c>
      <c r="AF36" s="16" t="s">
        <v>58</v>
      </c>
      <c r="AG36" s="16" t="s">
        <v>58</v>
      </c>
      <c r="AH36" s="16" t="s">
        <v>58</v>
      </c>
      <c r="AI36" s="16"/>
      <c r="AJ36" s="16"/>
    </row>
    <row r="37" spans="1:36" ht="96">
      <c r="A37" s="16" t="s">
        <v>133</v>
      </c>
      <c r="B37" s="19" t="s">
        <v>134</v>
      </c>
      <c r="C37" s="19">
        <v>2.75</v>
      </c>
      <c r="D37" s="19" t="s">
        <v>344</v>
      </c>
      <c r="E37" s="19" t="s">
        <v>429</v>
      </c>
      <c r="F37" s="19" t="s">
        <v>340</v>
      </c>
      <c r="G37" s="19" t="s">
        <v>81</v>
      </c>
      <c r="H37" s="19" t="s">
        <v>313</v>
      </c>
      <c r="I37" s="19" t="s">
        <v>313</v>
      </c>
      <c r="J37" s="19" t="s">
        <v>313</v>
      </c>
      <c r="K37" s="19" t="s">
        <v>313</v>
      </c>
      <c r="L37" s="20" t="s">
        <v>473</v>
      </c>
      <c r="M37" s="19">
        <v>91</v>
      </c>
      <c r="N37" s="19" t="s">
        <v>477</v>
      </c>
      <c r="O37" s="16" t="s">
        <v>58</v>
      </c>
      <c r="P37" s="16" t="s">
        <v>58</v>
      </c>
      <c r="Q37" s="19">
        <v>1336</v>
      </c>
      <c r="R37" s="19" t="s">
        <v>374</v>
      </c>
      <c r="S37" s="16"/>
      <c r="T37" s="19" t="s">
        <v>432</v>
      </c>
      <c r="U37" s="16" t="s">
        <v>58</v>
      </c>
      <c r="V37" s="16" t="s">
        <v>58</v>
      </c>
      <c r="W37" s="16" t="s">
        <v>58</v>
      </c>
      <c r="X37" s="19" t="s">
        <v>449</v>
      </c>
      <c r="Y37" s="19">
        <v>1</v>
      </c>
      <c r="Z37" s="19" t="s">
        <v>321</v>
      </c>
      <c r="AA37" s="16" t="s">
        <v>58</v>
      </c>
      <c r="AB37" s="16"/>
      <c r="AC37" s="16"/>
      <c r="AD37" s="16"/>
      <c r="AE37" s="16" t="s">
        <v>58</v>
      </c>
      <c r="AF37" s="16" t="s">
        <v>58</v>
      </c>
      <c r="AG37" s="16" t="s">
        <v>58</v>
      </c>
      <c r="AH37" s="16" t="s">
        <v>58</v>
      </c>
      <c r="AI37" s="16"/>
      <c r="AJ37" s="16"/>
    </row>
    <row r="38" spans="1:36" ht="80">
      <c r="A38" s="16" t="s">
        <v>135</v>
      </c>
      <c r="B38" s="19" t="s">
        <v>136</v>
      </c>
      <c r="C38" s="19">
        <v>4.12</v>
      </c>
      <c r="D38" s="19" t="s">
        <v>330</v>
      </c>
      <c r="E38" s="19" t="s">
        <v>478</v>
      </c>
      <c r="F38" s="19" t="s">
        <v>313</v>
      </c>
      <c r="G38" s="19" t="s">
        <v>313</v>
      </c>
      <c r="H38" s="19" t="s">
        <v>313</v>
      </c>
      <c r="I38" s="19" t="s">
        <v>313</v>
      </c>
      <c r="J38" s="19" t="s">
        <v>313</v>
      </c>
      <c r="K38" s="19" t="s">
        <v>313</v>
      </c>
      <c r="L38" s="20" t="s">
        <v>473</v>
      </c>
      <c r="M38" s="19">
        <v>73</v>
      </c>
      <c r="N38" s="19" t="s">
        <v>479</v>
      </c>
      <c r="O38" s="16" t="s">
        <v>58</v>
      </c>
      <c r="P38" s="16" t="s">
        <v>58</v>
      </c>
      <c r="Q38" s="19">
        <v>1164</v>
      </c>
      <c r="R38" s="19" t="s">
        <v>316</v>
      </c>
      <c r="S38" s="16"/>
      <c r="T38" s="19" t="s">
        <v>313</v>
      </c>
      <c r="U38" s="19" t="s">
        <v>317</v>
      </c>
      <c r="V38" s="16" t="s">
        <v>58</v>
      </c>
      <c r="W38" s="16" t="s">
        <v>58</v>
      </c>
      <c r="X38" s="19" t="s">
        <v>337</v>
      </c>
      <c r="Y38" s="19">
        <v>1</v>
      </c>
      <c r="Z38" s="19" t="s">
        <v>321</v>
      </c>
      <c r="AA38" s="16" t="s">
        <v>58</v>
      </c>
      <c r="AB38" s="19" t="s">
        <v>480</v>
      </c>
      <c r="AC38" s="16"/>
      <c r="AD38" s="16"/>
      <c r="AE38" s="16" t="s">
        <v>58</v>
      </c>
      <c r="AF38" s="16" t="s">
        <v>58</v>
      </c>
      <c r="AG38" s="16" t="s">
        <v>58</v>
      </c>
      <c r="AH38" s="16" t="s">
        <v>58</v>
      </c>
      <c r="AI38" s="16"/>
      <c r="AJ38" s="16"/>
    </row>
    <row r="39" spans="1:36" ht="128">
      <c r="A39" s="16" t="s">
        <v>137</v>
      </c>
      <c r="B39" s="19" t="s">
        <v>138</v>
      </c>
      <c r="C39" s="19">
        <v>3.12</v>
      </c>
      <c r="D39" s="19" t="s">
        <v>344</v>
      </c>
      <c r="E39" s="19" t="s">
        <v>429</v>
      </c>
      <c r="F39" s="19" t="s">
        <v>481</v>
      </c>
      <c r="G39" s="19" t="s">
        <v>482</v>
      </c>
      <c r="H39" s="19" t="s">
        <v>483</v>
      </c>
      <c r="I39" s="19" t="s">
        <v>460</v>
      </c>
      <c r="J39" s="19" t="s">
        <v>313</v>
      </c>
      <c r="K39" s="19" t="s">
        <v>313</v>
      </c>
      <c r="L39" s="20" t="s">
        <v>473</v>
      </c>
      <c r="M39" s="19">
        <v>88</v>
      </c>
      <c r="N39" s="19" t="s">
        <v>484</v>
      </c>
      <c r="O39" s="16" t="s">
        <v>58</v>
      </c>
      <c r="P39" s="16" t="s">
        <v>58</v>
      </c>
      <c r="Q39" s="19">
        <v>1222</v>
      </c>
      <c r="R39" s="19" t="s">
        <v>350</v>
      </c>
      <c r="S39" s="16"/>
      <c r="T39" s="19" t="s">
        <v>432</v>
      </c>
      <c r="U39" s="16" t="s">
        <v>58</v>
      </c>
      <c r="V39" s="16" t="s">
        <v>58</v>
      </c>
      <c r="W39" s="16" t="s">
        <v>58</v>
      </c>
      <c r="X39" s="19" t="s">
        <v>356</v>
      </c>
      <c r="Y39" s="19">
        <v>1</v>
      </c>
      <c r="Z39" s="19" t="s">
        <v>321</v>
      </c>
      <c r="AA39" s="16" t="s">
        <v>58</v>
      </c>
      <c r="AB39" s="16"/>
      <c r="AC39" s="16"/>
      <c r="AD39" s="16"/>
      <c r="AE39" s="16" t="s">
        <v>58</v>
      </c>
      <c r="AF39" s="16" t="s">
        <v>58</v>
      </c>
      <c r="AG39" s="16" t="s">
        <v>58</v>
      </c>
      <c r="AH39" s="16" t="s">
        <v>58</v>
      </c>
      <c r="AI39" s="16"/>
      <c r="AJ39" s="16"/>
    </row>
    <row r="40" spans="1:36" ht="128">
      <c r="A40" s="16" t="s">
        <v>139</v>
      </c>
      <c r="B40" s="19" t="s">
        <v>140</v>
      </c>
      <c r="C40" s="19">
        <v>3.16</v>
      </c>
      <c r="D40" s="19" t="s">
        <v>344</v>
      </c>
      <c r="E40" s="19" t="s">
        <v>429</v>
      </c>
      <c r="F40" s="19" t="s">
        <v>81</v>
      </c>
      <c r="G40" s="19" t="s">
        <v>340</v>
      </c>
      <c r="H40" s="19" t="s">
        <v>485</v>
      </c>
      <c r="I40" s="19" t="s">
        <v>486</v>
      </c>
      <c r="J40" s="19" t="s">
        <v>460</v>
      </c>
      <c r="K40" s="19" t="s">
        <v>313</v>
      </c>
      <c r="L40" s="20" t="s">
        <v>473</v>
      </c>
      <c r="M40" s="19">
        <v>86</v>
      </c>
      <c r="N40" s="19" t="s">
        <v>487</v>
      </c>
      <c r="O40" s="16" t="s">
        <v>58</v>
      </c>
      <c r="P40" s="16" t="s">
        <v>58</v>
      </c>
      <c r="Q40" s="19">
        <v>1238</v>
      </c>
      <c r="R40" s="19" t="s">
        <v>374</v>
      </c>
      <c r="S40" s="16"/>
      <c r="T40" s="19" t="s">
        <v>432</v>
      </c>
      <c r="U40" s="16" t="s">
        <v>58</v>
      </c>
      <c r="V40" s="16" t="s">
        <v>58</v>
      </c>
      <c r="W40" s="16" t="s">
        <v>58</v>
      </c>
      <c r="X40" s="19" t="s">
        <v>329</v>
      </c>
      <c r="Y40" s="19">
        <v>1</v>
      </c>
      <c r="Z40" s="19" t="s">
        <v>118</v>
      </c>
      <c r="AA40" s="16" t="s">
        <v>58</v>
      </c>
      <c r="AB40" s="16"/>
      <c r="AC40" s="16"/>
      <c r="AD40" s="16"/>
      <c r="AE40" s="16" t="s">
        <v>58</v>
      </c>
      <c r="AF40" s="16" t="s">
        <v>58</v>
      </c>
      <c r="AG40" s="16" t="s">
        <v>58</v>
      </c>
      <c r="AH40" s="16" t="s">
        <v>58</v>
      </c>
      <c r="AI40" s="16"/>
      <c r="AJ40" s="16"/>
    </row>
    <row r="41" spans="1:36" ht="160">
      <c r="A41" s="16" t="s">
        <v>141</v>
      </c>
      <c r="B41" s="19" t="s">
        <v>142</v>
      </c>
      <c r="C41" s="19">
        <v>4.25</v>
      </c>
      <c r="D41" s="19" t="s">
        <v>310</v>
      </c>
      <c r="E41" s="19" t="s">
        <v>459</v>
      </c>
      <c r="F41" s="19" t="s">
        <v>488</v>
      </c>
      <c r="G41" s="19" t="s">
        <v>489</v>
      </c>
      <c r="H41" s="19" t="s">
        <v>313</v>
      </c>
      <c r="I41" s="19" t="s">
        <v>313</v>
      </c>
      <c r="J41" s="19" t="s">
        <v>313</v>
      </c>
      <c r="K41" s="19" t="s">
        <v>313</v>
      </c>
      <c r="L41" s="20" t="s">
        <v>490</v>
      </c>
      <c r="M41" s="19">
        <v>82</v>
      </c>
      <c r="N41" s="19" t="s">
        <v>441</v>
      </c>
      <c r="O41" s="16" t="s">
        <v>58</v>
      </c>
      <c r="P41" s="16" t="s">
        <v>58</v>
      </c>
      <c r="Q41" s="19">
        <v>1246</v>
      </c>
      <c r="R41" s="19" t="s">
        <v>350</v>
      </c>
      <c r="S41" s="16"/>
      <c r="T41" s="19" t="s">
        <v>313</v>
      </c>
      <c r="U41" s="19" t="s">
        <v>317</v>
      </c>
      <c r="V41" s="16" t="s">
        <v>58</v>
      </c>
      <c r="W41" s="16" t="s">
        <v>58</v>
      </c>
      <c r="X41" s="19" t="s">
        <v>398</v>
      </c>
      <c r="Y41" s="19">
        <v>3</v>
      </c>
      <c r="Z41" s="19" t="s">
        <v>321</v>
      </c>
      <c r="AA41" s="16" t="s">
        <v>58</v>
      </c>
      <c r="AB41" s="19" t="s">
        <v>480</v>
      </c>
      <c r="AC41" s="16"/>
      <c r="AD41" s="16"/>
      <c r="AE41" s="19" t="s">
        <v>364</v>
      </c>
      <c r="AF41" s="16" t="s">
        <v>58</v>
      </c>
      <c r="AG41" s="16" t="s">
        <v>58</v>
      </c>
      <c r="AH41" s="16" t="s">
        <v>58</v>
      </c>
      <c r="AI41" s="16"/>
      <c r="AJ41" s="16"/>
    </row>
    <row r="42" spans="1:36" ht="96">
      <c r="A42" s="16" t="s">
        <v>143</v>
      </c>
      <c r="B42" s="19" t="s">
        <v>144</v>
      </c>
      <c r="C42" s="19">
        <v>2.67</v>
      </c>
      <c r="D42" s="19" t="s">
        <v>330</v>
      </c>
      <c r="E42" s="19" t="s">
        <v>429</v>
      </c>
      <c r="F42" s="19" t="s">
        <v>483</v>
      </c>
      <c r="G42" s="19" t="s">
        <v>340</v>
      </c>
      <c r="H42" s="19" t="s">
        <v>491</v>
      </c>
      <c r="I42" s="19" t="s">
        <v>313</v>
      </c>
      <c r="J42" s="19" t="s">
        <v>313</v>
      </c>
      <c r="K42" s="19" t="s">
        <v>313</v>
      </c>
      <c r="L42" s="20" t="s">
        <v>490</v>
      </c>
      <c r="M42" s="19">
        <v>87</v>
      </c>
      <c r="N42" s="19" t="s">
        <v>492</v>
      </c>
      <c r="O42" s="16" t="s">
        <v>58</v>
      </c>
      <c r="P42" s="16" t="s">
        <v>58</v>
      </c>
      <c r="Q42" s="19">
        <v>1290</v>
      </c>
      <c r="R42" s="19" t="s">
        <v>374</v>
      </c>
      <c r="S42" s="16"/>
      <c r="T42" s="19" t="s">
        <v>432</v>
      </c>
      <c r="U42" s="19" t="s">
        <v>335</v>
      </c>
      <c r="V42" s="16" t="s">
        <v>58</v>
      </c>
      <c r="W42" s="16" t="s">
        <v>58</v>
      </c>
      <c r="X42" s="19" t="s">
        <v>329</v>
      </c>
      <c r="Y42" s="19">
        <v>2</v>
      </c>
      <c r="Z42" s="19" t="s">
        <v>321</v>
      </c>
      <c r="AA42" s="16" t="s">
        <v>58</v>
      </c>
      <c r="AB42" s="19" t="s">
        <v>493</v>
      </c>
      <c r="AC42" s="16"/>
      <c r="AD42" s="16"/>
      <c r="AE42" s="19" t="s">
        <v>364</v>
      </c>
      <c r="AF42" s="16" t="s">
        <v>58</v>
      </c>
      <c r="AG42" s="16" t="s">
        <v>58</v>
      </c>
      <c r="AH42" s="16" t="s">
        <v>58</v>
      </c>
      <c r="AI42" s="16"/>
      <c r="AJ42" s="16"/>
    </row>
    <row r="43" spans="1:36" ht="144">
      <c r="A43" s="16" t="s">
        <v>145</v>
      </c>
      <c r="B43" s="19" t="s">
        <v>146</v>
      </c>
      <c r="C43" s="19">
        <v>3.55</v>
      </c>
      <c r="D43" s="19" t="s">
        <v>330</v>
      </c>
      <c r="E43" s="19" t="s">
        <v>494</v>
      </c>
      <c r="F43" s="19" t="s">
        <v>495</v>
      </c>
      <c r="G43" s="19" t="s">
        <v>454</v>
      </c>
      <c r="H43" s="19" t="s">
        <v>496</v>
      </c>
      <c r="I43" s="19" t="s">
        <v>497</v>
      </c>
      <c r="J43" s="19" t="s">
        <v>498</v>
      </c>
      <c r="K43" s="19" t="s">
        <v>313</v>
      </c>
      <c r="L43" s="20" t="s">
        <v>490</v>
      </c>
      <c r="M43" s="19">
        <v>87</v>
      </c>
      <c r="N43" s="19" t="s">
        <v>499</v>
      </c>
      <c r="O43" s="16" t="s">
        <v>58</v>
      </c>
      <c r="P43" s="16" t="s">
        <v>58</v>
      </c>
      <c r="Q43" s="19">
        <v>1326</v>
      </c>
      <c r="R43" s="19" t="s">
        <v>350</v>
      </c>
      <c r="S43" s="16"/>
      <c r="T43" s="19" t="s">
        <v>351</v>
      </c>
      <c r="U43" s="19" t="s">
        <v>327</v>
      </c>
      <c r="V43" s="16" t="s">
        <v>58</v>
      </c>
      <c r="W43" s="16" t="s">
        <v>58</v>
      </c>
      <c r="X43" s="19" t="s">
        <v>337</v>
      </c>
      <c r="Y43" s="19">
        <v>0</v>
      </c>
      <c r="Z43" s="19" t="s">
        <v>118</v>
      </c>
      <c r="AA43" s="16" t="s">
        <v>58</v>
      </c>
      <c r="AB43" s="19" t="s">
        <v>380</v>
      </c>
      <c r="AC43" s="16"/>
      <c r="AD43" s="16"/>
      <c r="AE43" s="19" t="s">
        <v>364</v>
      </c>
      <c r="AF43" s="16" t="s">
        <v>58</v>
      </c>
      <c r="AG43" s="16" t="s">
        <v>58</v>
      </c>
      <c r="AH43" s="16" t="s">
        <v>58</v>
      </c>
      <c r="AI43" s="16"/>
      <c r="AJ43" s="16"/>
    </row>
    <row r="44" spans="1:36" ht="128">
      <c r="A44" s="16" t="s">
        <v>147</v>
      </c>
      <c r="B44" s="19" t="s">
        <v>148</v>
      </c>
      <c r="C44" s="19">
        <v>3.58</v>
      </c>
      <c r="D44" s="19" t="s">
        <v>310</v>
      </c>
      <c r="E44" s="19" t="s">
        <v>459</v>
      </c>
      <c r="F44" s="19" t="s">
        <v>429</v>
      </c>
      <c r="G44" s="19" t="s">
        <v>500</v>
      </c>
      <c r="H44" s="19" t="s">
        <v>313</v>
      </c>
      <c r="I44" s="19" t="s">
        <v>313</v>
      </c>
      <c r="J44" s="19" t="s">
        <v>313</v>
      </c>
      <c r="K44" s="19" t="s">
        <v>313</v>
      </c>
      <c r="L44" s="20" t="s">
        <v>501</v>
      </c>
      <c r="M44" s="19">
        <v>72</v>
      </c>
      <c r="N44" s="19" t="s">
        <v>502</v>
      </c>
      <c r="O44" s="16" t="s">
        <v>58</v>
      </c>
      <c r="P44" s="16" t="s">
        <v>58</v>
      </c>
      <c r="Q44" s="19">
        <v>1046</v>
      </c>
      <c r="R44" s="19" t="s">
        <v>316</v>
      </c>
      <c r="S44" s="16"/>
      <c r="T44" s="19" t="s">
        <v>334</v>
      </c>
      <c r="U44" s="19" t="s">
        <v>342</v>
      </c>
      <c r="V44" s="16" t="s">
        <v>58</v>
      </c>
      <c r="W44" s="16" t="s">
        <v>58</v>
      </c>
      <c r="X44" s="19" t="s">
        <v>398</v>
      </c>
      <c r="Y44" s="19">
        <v>3</v>
      </c>
      <c r="Z44" s="19" t="s">
        <v>321</v>
      </c>
      <c r="AA44" s="16" t="s">
        <v>58</v>
      </c>
      <c r="AB44" s="19" t="s">
        <v>380</v>
      </c>
      <c r="AC44" s="16"/>
      <c r="AD44" s="16"/>
      <c r="AE44" s="19" t="s">
        <v>364</v>
      </c>
      <c r="AF44" s="16" t="s">
        <v>58</v>
      </c>
      <c r="AG44" s="16" t="s">
        <v>58</v>
      </c>
      <c r="AH44" s="16" t="s">
        <v>58</v>
      </c>
      <c r="AI44" s="16"/>
      <c r="AJ44" s="16"/>
    </row>
    <row r="45" spans="1:36" ht="96">
      <c r="A45" s="16" t="s">
        <v>149</v>
      </c>
      <c r="B45" s="20" t="s">
        <v>150</v>
      </c>
      <c r="C45" s="19">
        <v>5.07</v>
      </c>
      <c r="D45" s="19" t="s">
        <v>503</v>
      </c>
      <c r="E45" s="19" t="s">
        <v>459</v>
      </c>
      <c r="F45" s="19" t="s">
        <v>504</v>
      </c>
      <c r="G45" s="19" t="s">
        <v>313</v>
      </c>
      <c r="H45" s="19" t="s">
        <v>313</v>
      </c>
      <c r="I45" s="19" t="s">
        <v>313</v>
      </c>
      <c r="J45" s="19" t="s">
        <v>313</v>
      </c>
      <c r="K45" s="19" t="s">
        <v>313</v>
      </c>
      <c r="L45" s="20"/>
      <c r="M45" s="19">
        <v>79</v>
      </c>
      <c r="N45" s="19" t="s">
        <v>505</v>
      </c>
      <c r="O45" s="16" t="s">
        <v>58</v>
      </c>
      <c r="P45" s="16" t="s">
        <v>58</v>
      </c>
      <c r="Q45" s="19">
        <v>1460</v>
      </c>
      <c r="R45" s="19" t="s">
        <v>374</v>
      </c>
      <c r="S45" s="16"/>
      <c r="T45" s="19" t="s">
        <v>313</v>
      </c>
      <c r="U45" s="16" t="s">
        <v>58</v>
      </c>
      <c r="V45" s="16" t="s">
        <v>58</v>
      </c>
      <c r="W45" s="16" t="s">
        <v>58</v>
      </c>
      <c r="X45" s="16" t="s">
        <v>58</v>
      </c>
      <c r="Y45" s="19"/>
      <c r="Z45" s="19" t="s">
        <v>321</v>
      </c>
      <c r="AA45" s="16" t="s">
        <v>58</v>
      </c>
      <c r="AB45" s="16"/>
      <c r="AC45" s="16"/>
      <c r="AD45" s="16"/>
      <c r="AE45" s="19" t="s">
        <v>364</v>
      </c>
      <c r="AF45" s="16" t="s">
        <v>58</v>
      </c>
      <c r="AG45" s="16" t="s">
        <v>58</v>
      </c>
      <c r="AH45" s="16" t="s">
        <v>58</v>
      </c>
      <c r="AI45" s="16"/>
      <c r="AJ45" s="16"/>
    </row>
    <row r="46" spans="1:36" ht="144">
      <c r="A46" s="16" t="s">
        <v>151</v>
      </c>
      <c r="B46" s="20" t="s">
        <v>152</v>
      </c>
      <c r="C46" s="19">
        <v>2.57</v>
      </c>
      <c r="D46" s="19" t="s">
        <v>77</v>
      </c>
      <c r="E46" s="19" t="s">
        <v>429</v>
      </c>
      <c r="F46" s="19" t="s">
        <v>340</v>
      </c>
      <c r="G46" s="19" t="s">
        <v>506</v>
      </c>
      <c r="H46" s="19" t="s">
        <v>507</v>
      </c>
      <c r="I46" s="19" t="s">
        <v>81</v>
      </c>
      <c r="J46" s="19" t="s">
        <v>313</v>
      </c>
      <c r="K46" s="19" t="s">
        <v>313</v>
      </c>
      <c r="L46" s="20" t="s">
        <v>501</v>
      </c>
      <c r="M46" s="19">
        <v>101</v>
      </c>
      <c r="N46" s="19" t="s">
        <v>508</v>
      </c>
      <c r="O46" s="16" t="s">
        <v>58</v>
      </c>
      <c r="P46" s="16" t="s">
        <v>58</v>
      </c>
      <c r="Q46" s="19">
        <v>1014</v>
      </c>
      <c r="R46" s="19" t="s">
        <v>374</v>
      </c>
      <c r="S46" s="16"/>
      <c r="T46" s="19" t="s">
        <v>432</v>
      </c>
      <c r="U46" s="16" t="s">
        <v>58</v>
      </c>
      <c r="V46" s="16" t="s">
        <v>58</v>
      </c>
      <c r="W46" s="16" t="s">
        <v>58</v>
      </c>
      <c r="X46" s="16" t="s">
        <v>58</v>
      </c>
      <c r="Y46" s="19"/>
      <c r="Z46" s="19" t="s">
        <v>118</v>
      </c>
      <c r="AA46" s="16" t="s">
        <v>58</v>
      </c>
      <c r="AB46" s="16"/>
      <c r="AC46" s="16"/>
      <c r="AD46" s="16"/>
      <c r="AE46" s="19" t="s">
        <v>364</v>
      </c>
      <c r="AF46" s="16" t="s">
        <v>58</v>
      </c>
      <c r="AG46" s="16" t="s">
        <v>58</v>
      </c>
      <c r="AH46" s="16" t="s">
        <v>58</v>
      </c>
      <c r="AI46" s="16"/>
      <c r="AJ46" s="16"/>
    </row>
    <row r="47" spans="1:36" ht="96">
      <c r="A47" s="16" t="s">
        <v>153</v>
      </c>
      <c r="B47" s="19" t="s">
        <v>154</v>
      </c>
      <c r="C47" s="19">
        <v>5.77</v>
      </c>
      <c r="D47" s="19" t="s">
        <v>344</v>
      </c>
      <c r="E47" s="19" t="s">
        <v>429</v>
      </c>
      <c r="F47" s="19" t="s">
        <v>81</v>
      </c>
      <c r="G47" s="19" t="s">
        <v>340</v>
      </c>
      <c r="H47" s="19" t="s">
        <v>345</v>
      </c>
      <c r="I47" s="19" t="s">
        <v>509</v>
      </c>
      <c r="J47" s="19" t="s">
        <v>313</v>
      </c>
      <c r="K47" s="19" t="s">
        <v>313</v>
      </c>
      <c r="L47" s="20" t="s">
        <v>501</v>
      </c>
      <c r="M47" s="19">
        <v>80</v>
      </c>
      <c r="N47" s="19" t="s">
        <v>510</v>
      </c>
      <c r="O47" s="16" t="s">
        <v>58</v>
      </c>
      <c r="P47" s="16" t="s">
        <v>58</v>
      </c>
      <c r="Q47" s="19">
        <v>1190</v>
      </c>
      <c r="R47" s="19" t="s">
        <v>374</v>
      </c>
      <c r="S47" s="16"/>
      <c r="T47" s="19" t="s">
        <v>334</v>
      </c>
      <c r="U47" s="19" t="s">
        <v>327</v>
      </c>
      <c r="V47" s="16" t="s">
        <v>58</v>
      </c>
      <c r="W47" s="16" t="s">
        <v>58</v>
      </c>
      <c r="X47" s="19" t="s">
        <v>356</v>
      </c>
      <c r="Y47" s="19">
        <v>0</v>
      </c>
      <c r="Z47" s="19" t="s">
        <v>321</v>
      </c>
      <c r="AA47" s="16" t="s">
        <v>58</v>
      </c>
      <c r="AB47" s="19" t="s">
        <v>493</v>
      </c>
      <c r="AC47" s="16"/>
      <c r="AD47" s="16"/>
      <c r="AE47" s="19" t="s">
        <v>364</v>
      </c>
      <c r="AF47" s="16" t="s">
        <v>58</v>
      </c>
      <c r="AG47" s="16" t="s">
        <v>58</v>
      </c>
      <c r="AH47" s="16" t="s">
        <v>58</v>
      </c>
      <c r="AI47" s="16"/>
      <c r="AJ47" s="16"/>
    </row>
    <row r="48" spans="1:36" ht="112">
      <c r="A48" s="16" t="s">
        <v>155</v>
      </c>
      <c r="B48" s="19" t="s">
        <v>156</v>
      </c>
      <c r="C48" s="19">
        <v>2.0699999999999998</v>
      </c>
      <c r="D48" s="19" t="s">
        <v>330</v>
      </c>
      <c r="E48" s="19" t="s">
        <v>511</v>
      </c>
      <c r="F48" s="19" t="s">
        <v>429</v>
      </c>
      <c r="G48" s="19" t="s">
        <v>512</v>
      </c>
      <c r="H48" s="19" t="s">
        <v>513</v>
      </c>
      <c r="I48" s="19" t="s">
        <v>514</v>
      </c>
      <c r="J48" s="19" t="s">
        <v>313</v>
      </c>
      <c r="K48" s="19" t="s">
        <v>313</v>
      </c>
      <c r="L48" s="20" t="s">
        <v>501</v>
      </c>
      <c r="M48" s="19">
        <v>82</v>
      </c>
      <c r="N48" s="19" t="s">
        <v>515</v>
      </c>
      <c r="O48" s="16" t="s">
        <v>58</v>
      </c>
      <c r="P48" s="16" t="s">
        <v>58</v>
      </c>
      <c r="Q48" s="19">
        <v>1249</v>
      </c>
      <c r="R48" s="19" t="s">
        <v>388</v>
      </c>
      <c r="S48" s="16"/>
      <c r="T48" s="19" t="s">
        <v>351</v>
      </c>
      <c r="U48" s="19" t="s">
        <v>327</v>
      </c>
      <c r="V48" s="16" t="s">
        <v>58</v>
      </c>
      <c r="W48" s="16" t="s">
        <v>58</v>
      </c>
      <c r="X48" s="19" t="s">
        <v>337</v>
      </c>
      <c r="Y48" s="19">
        <v>0</v>
      </c>
      <c r="Z48" s="19" t="s">
        <v>118</v>
      </c>
      <c r="AA48" s="16" t="s">
        <v>58</v>
      </c>
      <c r="AB48" s="19" t="s">
        <v>380</v>
      </c>
      <c r="AC48" s="16"/>
      <c r="AD48" s="16"/>
      <c r="AE48" s="19" t="s">
        <v>364</v>
      </c>
      <c r="AF48" s="16" t="s">
        <v>58</v>
      </c>
      <c r="AG48" s="16" t="s">
        <v>58</v>
      </c>
      <c r="AH48" s="16" t="s">
        <v>58</v>
      </c>
      <c r="AI48" s="16"/>
      <c r="AJ48" s="16"/>
    </row>
    <row r="49" spans="1:36" ht="176">
      <c r="A49" s="16" t="s">
        <v>157</v>
      </c>
      <c r="B49" s="19" t="s">
        <v>158</v>
      </c>
      <c r="C49" s="19">
        <v>3.97</v>
      </c>
      <c r="D49" s="19" t="s">
        <v>310</v>
      </c>
      <c r="E49" s="19" t="s">
        <v>459</v>
      </c>
      <c r="F49" s="19" t="s">
        <v>516</v>
      </c>
      <c r="G49" s="19" t="s">
        <v>504</v>
      </c>
      <c r="H49" s="19" t="s">
        <v>313</v>
      </c>
      <c r="I49" s="19" t="s">
        <v>313</v>
      </c>
      <c r="J49" s="19" t="s">
        <v>313</v>
      </c>
      <c r="K49" s="19" t="s">
        <v>313</v>
      </c>
      <c r="L49" s="20" t="s">
        <v>501</v>
      </c>
      <c r="M49" s="19">
        <v>85</v>
      </c>
      <c r="N49" s="19" t="s">
        <v>379</v>
      </c>
      <c r="O49" s="16" t="s">
        <v>58</v>
      </c>
      <c r="P49" s="16" t="s">
        <v>58</v>
      </c>
      <c r="Q49" s="19">
        <v>1310</v>
      </c>
      <c r="R49" s="19" t="s">
        <v>350</v>
      </c>
      <c r="S49" s="16"/>
      <c r="T49" s="19" t="s">
        <v>313</v>
      </c>
      <c r="U49" s="19" t="s">
        <v>317</v>
      </c>
      <c r="V49" s="16" t="s">
        <v>58</v>
      </c>
      <c r="W49" s="16" t="s">
        <v>58</v>
      </c>
      <c r="X49" s="19" t="s">
        <v>329</v>
      </c>
      <c r="Y49" s="19">
        <v>2</v>
      </c>
      <c r="Z49" s="19" t="s">
        <v>321</v>
      </c>
      <c r="AA49" s="16" t="s">
        <v>58</v>
      </c>
      <c r="AB49" s="19" t="s">
        <v>480</v>
      </c>
      <c r="AC49" s="16"/>
      <c r="AD49" s="16"/>
      <c r="AE49" s="19" t="s">
        <v>364</v>
      </c>
      <c r="AF49" s="16" t="s">
        <v>58</v>
      </c>
      <c r="AG49" s="16" t="s">
        <v>58</v>
      </c>
      <c r="AH49" s="16" t="s">
        <v>58</v>
      </c>
      <c r="AI49" s="16"/>
      <c r="AJ49" s="16"/>
    </row>
    <row r="50" spans="1:36" ht="128">
      <c r="A50" s="16" t="s">
        <v>159</v>
      </c>
      <c r="B50" s="19" t="s">
        <v>160</v>
      </c>
      <c r="C50" s="19">
        <v>5.6</v>
      </c>
      <c r="D50" s="19" t="s">
        <v>344</v>
      </c>
      <c r="E50" s="19" t="s">
        <v>81</v>
      </c>
      <c r="F50" s="19" t="s">
        <v>340</v>
      </c>
      <c r="G50" s="19" t="s">
        <v>439</v>
      </c>
      <c r="H50" s="19" t="s">
        <v>517</v>
      </c>
      <c r="I50" s="19" t="s">
        <v>313</v>
      </c>
      <c r="J50" s="19" t="s">
        <v>313</v>
      </c>
      <c r="K50" s="19" t="s">
        <v>313</v>
      </c>
      <c r="L50" s="20" t="s">
        <v>501</v>
      </c>
      <c r="M50" s="19">
        <v>79</v>
      </c>
      <c r="N50" s="19" t="s">
        <v>518</v>
      </c>
      <c r="O50" s="16" t="s">
        <v>58</v>
      </c>
      <c r="P50" s="16" t="s">
        <v>58</v>
      </c>
      <c r="Q50" s="19">
        <v>1178</v>
      </c>
      <c r="R50" s="19" t="s">
        <v>316</v>
      </c>
      <c r="S50" s="16"/>
      <c r="T50" s="19" t="s">
        <v>313</v>
      </c>
      <c r="U50" s="19" t="s">
        <v>317</v>
      </c>
      <c r="V50" s="16" t="s">
        <v>58</v>
      </c>
      <c r="W50" s="16" t="s">
        <v>58</v>
      </c>
      <c r="X50" s="19" t="s">
        <v>329</v>
      </c>
      <c r="Y50" s="19">
        <v>0</v>
      </c>
      <c r="Z50" s="19" t="s">
        <v>321</v>
      </c>
      <c r="AA50" s="16" t="s">
        <v>58</v>
      </c>
      <c r="AB50" s="19" t="s">
        <v>480</v>
      </c>
      <c r="AC50" s="16"/>
      <c r="AD50" s="16"/>
      <c r="AE50" s="19" t="s">
        <v>364</v>
      </c>
      <c r="AF50" s="16" t="s">
        <v>58</v>
      </c>
      <c r="AG50" s="16" t="s">
        <v>58</v>
      </c>
      <c r="AH50" s="16" t="s">
        <v>58</v>
      </c>
      <c r="AI50" s="16"/>
      <c r="AJ50" s="16"/>
    </row>
    <row r="51" spans="1:36" ht="96">
      <c r="A51" s="16" t="s">
        <v>161</v>
      </c>
      <c r="B51" s="19" t="s">
        <v>162</v>
      </c>
      <c r="C51" s="19">
        <v>2.92</v>
      </c>
      <c r="D51" s="19" t="s">
        <v>330</v>
      </c>
      <c r="E51" s="19" t="s">
        <v>429</v>
      </c>
      <c r="F51" s="19" t="s">
        <v>340</v>
      </c>
      <c r="G51" s="19" t="s">
        <v>504</v>
      </c>
      <c r="H51" s="19" t="s">
        <v>313</v>
      </c>
      <c r="I51" s="19" t="s">
        <v>313</v>
      </c>
      <c r="J51" s="19" t="s">
        <v>313</v>
      </c>
      <c r="K51" s="19" t="s">
        <v>313</v>
      </c>
      <c r="L51" s="20" t="s">
        <v>501</v>
      </c>
      <c r="M51" s="19">
        <v>93</v>
      </c>
      <c r="N51" s="19" t="s">
        <v>519</v>
      </c>
      <c r="O51" s="16" t="s">
        <v>58</v>
      </c>
      <c r="P51" s="16" t="s">
        <v>58</v>
      </c>
      <c r="Q51" s="19">
        <v>1054</v>
      </c>
      <c r="R51" s="19" t="s">
        <v>350</v>
      </c>
      <c r="S51" s="16"/>
      <c r="T51" s="19" t="s">
        <v>334</v>
      </c>
      <c r="U51" s="19" t="s">
        <v>520</v>
      </c>
      <c r="V51" s="16" t="s">
        <v>58</v>
      </c>
      <c r="W51" s="16" t="s">
        <v>58</v>
      </c>
      <c r="X51" s="19" t="s">
        <v>337</v>
      </c>
      <c r="Y51" s="19">
        <v>0</v>
      </c>
      <c r="Z51" s="19" t="s">
        <v>321</v>
      </c>
      <c r="AA51" s="16" t="s">
        <v>58</v>
      </c>
      <c r="AB51" s="19" t="s">
        <v>493</v>
      </c>
      <c r="AC51" s="16"/>
      <c r="AD51" s="16"/>
      <c r="AE51" s="19" t="s">
        <v>364</v>
      </c>
      <c r="AF51" s="16" t="s">
        <v>58</v>
      </c>
      <c r="AG51" s="16" t="s">
        <v>58</v>
      </c>
      <c r="AH51" s="16" t="s">
        <v>58</v>
      </c>
      <c r="AI51" s="16"/>
      <c r="AJ51" s="16"/>
    </row>
    <row r="52" spans="1:36" ht="128">
      <c r="A52" s="16" t="s">
        <v>163</v>
      </c>
      <c r="B52" s="19" t="s">
        <v>164</v>
      </c>
      <c r="C52" s="19">
        <v>3.3</v>
      </c>
      <c r="D52" s="19" t="s">
        <v>344</v>
      </c>
      <c r="E52" s="19" t="s">
        <v>429</v>
      </c>
      <c r="F52" s="19" t="s">
        <v>81</v>
      </c>
      <c r="G52" s="19" t="s">
        <v>332</v>
      </c>
      <c r="H52" s="19" t="s">
        <v>340</v>
      </c>
      <c r="I52" s="19" t="s">
        <v>460</v>
      </c>
      <c r="J52" s="19" t="s">
        <v>521</v>
      </c>
      <c r="K52" s="19" t="s">
        <v>313</v>
      </c>
      <c r="L52" s="20" t="s">
        <v>501</v>
      </c>
      <c r="M52" s="19">
        <v>86</v>
      </c>
      <c r="N52" s="19" t="s">
        <v>427</v>
      </c>
      <c r="O52" s="16" t="s">
        <v>58</v>
      </c>
      <c r="P52" s="16" t="s">
        <v>58</v>
      </c>
      <c r="Q52" s="19">
        <v>1500</v>
      </c>
      <c r="R52" s="19" t="s">
        <v>374</v>
      </c>
      <c r="S52" s="16"/>
      <c r="T52" s="19" t="s">
        <v>432</v>
      </c>
      <c r="U52" s="19" t="s">
        <v>342</v>
      </c>
      <c r="V52" s="16" t="s">
        <v>58</v>
      </c>
      <c r="W52" s="16" t="s">
        <v>58</v>
      </c>
      <c r="X52" s="19" t="s">
        <v>329</v>
      </c>
      <c r="Y52" s="19">
        <v>0</v>
      </c>
      <c r="Z52" s="19" t="s">
        <v>321</v>
      </c>
      <c r="AA52" s="16" t="s">
        <v>58</v>
      </c>
      <c r="AB52" s="19" t="s">
        <v>493</v>
      </c>
      <c r="AC52" s="16"/>
      <c r="AD52" s="16"/>
      <c r="AE52" s="19" t="s">
        <v>364</v>
      </c>
      <c r="AF52" s="16" t="s">
        <v>58</v>
      </c>
      <c r="AG52" s="16" t="s">
        <v>58</v>
      </c>
      <c r="AH52" s="16" t="s">
        <v>58</v>
      </c>
      <c r="AI52" s="16"/>
      <c r="AJ52" s="16"/>
    </row>
    <row r="53" spans="1:36" ht="144">
      <c r="A53" s="16" t="s">
        <v>165</v>
      </c>
      <c r="B53" s="19" t="s">
        <v>166</v>
      </c>
      <c r="C53" s="19">
        <v>2.6</v>
      </c>
      <c r="D53" s="19" t="s">
        <v>522</v>
      </c>
      <c r="E53" s="19" t="s">
        <v>429</v>
      </c>
      <c r="F53" s="19" t="s">
        <v>486</v>
      </c>
      <c r="G53" s="19" t="s">
        <v>521</v>
      </c>
      <c r="H53" s="19" t="s">
        <v>313</v>
      </c>
      <c r="I53" s="19" t="s">
        <v>313</v>
      </c>
      <c r="J53" s="19" t="s">
        <v>313</v>
      </c>
      <c r="K53" s="19" t="s">
        <v>313</v>
      </c>
      <c r="L53" s="20" t="s">
        <v>523</v>
      </c>
      <c r="M53" s="19">
        <v>80</v>
      </c>
      <c r="N53" s="19" t="s">
        <v>524</v>
      </c>
      <c r="O53" s="16" t="s">
        <v>58</v>
      </c>
      <c r="P53" s="16" t="s">
        <v>58</v>
      </c>
      <c r="Q53" s="19">
        <v>1168</v>
      </c>
      <c r="R53" s="19" t="s">
        <v>374</v>
      </c>
      <c r="S53" s="16"/>
      <c r="T53" s="19" t="s">
        <v>351</v>
      </c>
      <c r="U53" s="19" t="s">
        <v>327</v>
      </c>
      <c r="V53" s="16" t="s">
        <v>58</v>
      </c>
      <c r="W53" s="16" t="s">
        <v>58</v>
      </c>
      <c r="X53" s="19" t="s">
        <v>398</v>
      </c>
      <c r="Y53" s="19">
        <v>3</v>
      </c>
      <c r="Z53" s="19" t="s">
        <v>321</v>
      </c>
      <c r="AA53" s="16" t="s">
        <v>58</v>
      </c>
      <c r="AB53" s="19" t="s">
        <v>380</v>
      </c>
      <c r="AC53" s="16"/>
      <c r="AD53" s="16"/>
      <c r="AE53" s="19" t="s">
        <v>364</v>
      </c>
      <c r="AF53" s="16" t="s">
        <v>58</v>
      </c>
      <c r="AG53" s="16" t="s">
        <v>58</v>
      </c>
      <c r="AH53" s="16" t="s">
        <v>58</v>
      </c>
      <c r="AI53" s="16"/>
      <c r="AJ53" s="16"/>
    </row>
    <row r="54" spans="1:36" ht="112">
      <c r="A54" s="16" t="s">
        <v>167</v>
      </c>
      <c r="B54" s="19" t="s">
        <v>168</v>
      </c>
      <c r="C54" s="19">
        <v>2.42</v>
      </c>
      <c r="D54" s="19" t="s">
        <v>522</v>
      </c>
      <c r="E54" s="19" t="s">
        <v>521</v>
      </c>
      <c r="F54" s="19" t="s">
        <v>340</v>
      </c>
      <c r="G54" s="19" t="s">
        <v>439</v>
      </c>
      <c r="H54" s="19" t="s">
        <v>525</v>
      </c>
      <c r="I54" s="19" t="s">
        <v>514</v>
      </c>
      <c r="J54" s="19" t="s">
        <v>313</v>
      </c>
      <c r="K54" s="19" t="s">
        <v>313</v>
      </c>
      <c r="L54" s="20" t="s">
        <v>523</v>
      </c>
      <c r="M54" s="19">
        <v>92</v>
      </c>
      <c r="N54" s="19" t="s">
        <v>526</v>
      </c>
      <c r="O54" s="16" t="s">
        <v>58</v>
      </c>
      <c r="P54" s="16" t="s">
        <v>58</v>
      </c>
      <c r="Q54" s="19">
        <v>1174</v>
      </c>
      <c r="R54" s="19" t="s">
        <v>374</v>
      </c>
      <c r="S54" s="16"/>
      <c r="T54" s="19" t="s">
        <v>351</v>
      </c>
      <c r="U54" s="19" t="s">
        <v>327</v>
      </c>
      <c r="V54" s="16" t="s">
        <v>58</v>
      </c>
      <c r="W54" s="16" t="s">
        <v>58</v>
      </c>
      <c r="X54" s="19" t="s">
        <v>329</v>
      </c>
      <c r="Y54" s="19">
        <v>1</v>
      </c>
      <c r="Z54" s="19" t="s">
        <v>118</v>
      </c>
      <c r="AA54" s="16" t="s">
        <v>58</v>
      </c>
      <c r="AB54" s="19" t="s">
        <v>380</v>
      </c>
      <c r="AC54" s="16"/>
      <c r="AD54" s="16"/>
      <c r="AE54" s="19" t="s">
        <v>364</v>
      </c>
      <c r="AF54" s="16" t="s">
        <v>58</v>
      </c>
      <c r="AG54" s="16" t="s">
        <v>58</v>
      </c>
      <c r="AH54" s="16" t="s">
        <v>58</v>
      </c>
      <c r="AI54" s="16"/>
      <c r="AJ54" s="16"/>
    </row>
    <row r="55" spans="1:36" ht="144">
      <c r="A55" s="16" t="s">
        <v>169</v>
      </c>
      <c r="B55" s="19" t="s">
        <v>170</v>
      </c>
      <c r="C55" s="19">
        <v>3.95</v>
      </c>
      <c r="D55" s="19" t="s">
        <v>527</v>
      </c>
      <c r="E55" s="19" t="s">
        <v>429</v>
      </c>
      <c r="F55" s="19" t="s">
        <v>313</v>
      </c>
      <c r="G55" s="19" t="s">
        <v>313</v>
      </c>
      <c r="H55" s="19" t="s">
        <v>313</v>
      </c>
      <c r="I55" s="19" t="s">
        <v>313</v>
      </c>
      <c r="J55" s="19" t="s">
        <v>313</v>
      </c>
      <c r="K55" s="19" t="s">
        <v>313</v>
      </c>
      <c r="L55" s="20" t="s">
        <v>528</v>
      </c>
      <c r="M55" s="19">
        <v>53</v>
      </c>
      <c r="N55" s="19" t="s">
        <v>529</v>
      </c>
      <c r="O55" s="16" t="s">
        <v>58</v>
      </c>
      <c r="P55" s="16" t="s">
        <v>58</v>
      </c>
      <c r="Q55" s="19">
        <v>1015</v>
      </c>
      <c r="R55" s="19" t="s">
        <v>316</v>
      </c>
      <c r="S55" s="16"/>
      <c r="T55" s="19" t="s">
        <v>313</v>
      </c>
      <c r="U55" s="19" t="s">
        <v>352</v>
      </c>
      <c r="V55" s="16" t="s">
        <v>58</v>
      </c>
      <c r="W55" s="16" t="s">
        <v>58</v>
      </c>
      <c r="X55" s="19" t="s">
        <v>337</v>
      </c>
      <c r="Y55" s="19">
        <v>0</v>
      </c>
      <c r="Z55" s="19" t="s">
        <v>321</v>
      </c>
      <c r="AA55" s="16" t="s">
        <v>58</v>
      </c>
      <c r="AB55" s="19" t="s">
        <v>380</v>
      </c>
      <c r="AC55" s="16"/>
      <c r="AD55" s="16"/>
      <c r="AE55" s="19" t="s">
        <v>364</v>
      </c>
      <c r="AF55" s="16" t="s">
        <v>58</v>
      </c>
      <c r="AG55" s="16" t="s">
        <v>58</v>
      </c>
      <c r="AH55" s="16" t="s">
        <v>58</v>
      </c>
      <c r="AI55" s="16"/>
      <c r="AJ55" s="16"/>
    </row>
    <row r="56" spans="1:36" ht="96">
      <c r="A56" s="16" t="s">
        <v>171</v>
      </c>
      <c r="B56" s="19" t="s">
        <v>172</v>
      </c>
      <c r="C56" s="19">
        <v>1.82</v>
      </c>
      <c r="D56" s="19" t="s">
        <v>344</v>
      </c>
      <c r="E56" s="19" t="s">
        <v>429</v>
      </c>
      <c r="F56" s="19" t="s">
        <v>81</v>
      </c>
      <c r="G56" s="19" t="s">
        <v>504</v>
      </c>
      <c r="H56" s="19" t="s">
        <v>340</v>
      </c>
      <c r="I56" s="19" t="s">
        <v>530</v>
      </c>
      <c r="J56" s="19" t="s">
        <v>531</v>
      </c>
      <c r="K56" s="19" t="s">
        <v>313</v>
      </c>
      <c r="L56" s="20" t="s">
        <v>528</v>
      </c>
      <c r="M56" s="19">
        <v>91</v>
      </c>
      <c r="N56" s="19" t="s">
        <v>532</v>
      </c>
      <c r="O56" s="16" t="s">
        <v>58</v>
      </c>
      <c r="P56" s="16" t="s">
        <v>58</v>
      </c>
      <c r="Q56" s="19">
        <v>1099</v>
      </c>
      <c r="R56" s="19" t="s">
        <v>374</v>
      </c>
      <c r="S56" s="16"/>
      <c r="T56" s="19" t="s">
        <v>351</v>
      </c>
      <c r="U56" s="19" t="s">
        <v>327</v>
      </c>
      <c r="V56" s="16" t="s">
        <v>58</v>
      </c>
      <c r="W56" s="16" t="s">
        <v>58</v>
      </c>
      <c r="X56" s="19" t="s">
        <v>356</v>
      </c>
      <c r="Y56" s="19">
        <v>0</v>
      </c>
      <c r="Z56" s="16" t="s">
        <v>58</v>
      </c>
      <c r="AA56" s="16" t="s">
        <v>58</v>
      </c>
      <c r="AB56" s="19" t="s">
        <v>380</v>
      </c>
      <c r="AC56" s="16"/>
      <c r="AD56" s="16"/>
      <c r="AE56" s="19" t="s">
        <v>364</v>
      </c>
      <c r="AF56" s="16" t="s">
        <v>58</v>
      </c>
      <c r="AG56" s="16" t="s">
        <v>58</v>
      </c>
      <c r="AH56" s="16" t="s">
        <v>58</v>
      </c>
      <c r="AI56" s="16"/>
      <c r="AJ56" s="16"/>
    </row>
    <row r="57" spans="1:36" ht="128">
      <c r="A57" s="16" t="s">
        <v>173</v>
      </c>
      <c r="B57" s="19" t="s">
        <v>174</v>
      </c>
      <c r="C57" s="19">
        <v>2.25</v>
      </c>
      <c r="D57" s="19" t="s">
        <v>344</v>
      </c>
      <c r="E57" s="19" t="s">
        <v>81</v>
      </c>
      <c r="F57" s="19" t="s">
        <v>439</v>
      </c>
      <c r="G57" s="19" t="s">
        <v>533</v>
      </c>
      <c r="H57" s="19" t="s">
        <v>534</v>
      </c>
      <c r="I57" s="19" t="s">
        <v>535</v>
      </c>
      <c r="J57" s="19" t="s">
        <v>313</v>
      </c>
      <c r="K57" s="19" t="s">
        <v>313</v>
      </c>
      <c r="L57" s="20" t="s">
        <v>528</v>
      </c>
      <c r="M57" s="19">
        <v>90</v>
      </c>
      <c r="N57" s="19" t="s">
        <v>536</v>
      </c>
      <c r="O57" s="16" t="s">
        <v>58</v>
      </c>
      <c r="P57" s="16" t="s">
        <v>58</v>
      </c>
      <c r="Q57" s="19">
        <v>1262</v>
      </c>
      <c r="R57" s="19" t="s">
        <v>374</v>
      </c>
      <c r="S57" s="16"/>
      <c r="T57" s="19" t="s">
        <v>313</v>
      </c>
      <c r="U57" s="19" t="s">
        <v>317</v>
      </c>
      <c r="V57" s="16" t="s">
        <v>58</v>
      </c>
      <c r="W57" s="16" t="s">
        <v>58</v>
      </c>
      <c r="X57" s="19" t="s">
        <v>356</v>
      </c>
      <c r="Y57" s="19">
        <v>0</v>
      </c>
      <c r="Z57" s="19" t="s">
        <v>118</v>
      </c>
      <c r="AA57" s="16" t="s">
        <v>58</v>
      </c>
      <c r="AB57" s="19" t="s">
        <v>480</v>
      </c>
      <c r="AC57" s="16"/>
      <c r="AD57" s="16"/>
      <c r="AE57" s="19" t="s">
        <v>364</v>
      </c>
      <c r="AF57" s="16" t="s">
        <v>58</v>
      </c>
      <c r="AG57" s="16" t="s">
        <v>58</v>
      </c>
      <c r="AH57" s="16" t="s">
        <v>58</v>
      </c>
      <c r="AI57" s="16"/>
      <c r="AJ57" s="16"/>
    </row>
    <row r="58" spans="1:36" ht="128">
      <c r="A58" s="16" t="s">
        <v>175</v>
      </c>
      <c r="B58" s="19" t="s">
        <v>176</v>
      </c>
      <c r="C58" s="19">
        <v>3.17</v>
      </c>
      <c r="D58" s="19" t="s">
        <v>344</v>
      </c>
      <c r="E58" s="19" t="s">
        <v>429</v>
      </c>
      <c r="F58" s="19" t="s">
        <v>460</v>
      </c>
      <c r="G58" s="19" t="s">
        <v>313</v>
      </c>
      <c r="H58" s="19" t="s">
        <v>313</v>
      </c>
      <c r="I58" s="19" t="s">
        <v>313</v>
      </c>
      <c r="J58" s="19" t="s">
        <v>313</v>
      </c>
      <c r="K58" s="19" t="s">
        <v>313</v>
      </c>
      <c r="L58" s="20" t="s">
        <v>528</v>
      </c>
      <c r="M58" s="19">
        <v>76</v>
      </c>
      <c r="N58" s="19" t="s">
        <v>537</v>
      </c>
      <c r="O58" s="16" t="s">
        <v>58</v>
      </c>
      <c r="P58" s="16" t="s">
        <v>58</v>
      </c>
      <c r="Q58" s="19">
        <v>1017</v>
      </c>
      <c r="R58" s="19" t="s">
        <v>374</v>
      </c>
      <c r="S58" s="16"/>
      <c r="T58" s="19" t="s">
        <v>313</v>
      </c>
      <c r="U58" s="19" t="s">
        <v>352</v>
      </c>
      <c r="V58" s="16" t="s">
        <v>58</v>
      </c>
      <c r="W58" s="16" t="s">
        <v>58</v>
      </c>
      <c r="X58" s="19" t="s">
        <v>337</v>
      </c>
      <c r="Y58" s="19">
        <v>0</v>
      </c>
      <c r="Z58" s="19" t="s">
        <v>321</v>
      </c>
      <c r="AA58" s="16" t="s">
        <v>58</v>
      </c>
      <c r="AB58" s="19" t="s">
        <v>380</v>
      </c>
      <c r="AC58" s="16"/>
      <c r="AD58" s="16"/>
      <c r="AE58" s="19" t="s">
        <v>364</v>
      </c>
      <c r="AF58" s="16" t="s">
        <v>58</v>
      </c>
      <c r="AG58" s="16" t="s">
        <v>58</v>
      </c>
      <c r="AH58" s="16" t="s">
        <v>58</v>
      </c>
      <c r="AI58" s="16"/>
      <c r="AJ58" s="16"/>
    </row>
    <row r="59" spans="1:36" ht="288">
      <c r="A59" s="16" t="s">
        <v>177</v>
      </c>
      <c r="B59" s="19" t="s">
        <v>178</v>
      </c>
      <c r="C59" s="19">
        <v>4.67</v>
      </c>
      <c r="D59" s="19" t="s">
        <v>330</v>
      </c>
      <c r="E59" s="19" t="s">
        <v>538</v>
      </c>
      <c r="F59" s="19" t="s">
        <v>439</v>
      </c>
      <c r="G59" s="19" t="s">
        <v>313</v>
      </c>
      <c r="H59" s="19" t="s">
        <v>313</v>
      </c>
      <c r="I59" s="19" t="s">
        <v>313</v>
      </c>
      <c r="J59" s="19" t="s">
        <v>313</v>
      </c>
      <c r="K59" s="19" t="s">
        <v>313</v>
      </c>
      <c r="L59" s="20" t="s">
        <v>528</v>
      </c>
      <c r="M59" s="19">
        <v>52</v>
      </c>
      <c r="N59" s="19" t="s">
        <v>539</v>
      </c>
      <c r="O59" s="16" t="s">
        <v>58</v>
      </c>
      <c r="P59" s="16" t="s">
        <v>58</v>
      </c>
      <c r="Q59" s="19">
        <v>1471</v>
      </c>
      <c r="R59" s="19" t="s">
        <v>388</v>
      </c>
      <c r="S59" s="16"/>
      <c r="T59" s="19" t="s">
        <v>313</v>
      </c>
      <c r="U59" s="19" t="s">
        <v>317</v>
      </c>
      <c r="V59" s="16" t="s">
        <v>58</v>
      </c>
      <c r="W59" s="16" t="s">
        <v>58</v>
      </c>
      <c r="X59" s="19" t="s">
        <v>337</v>
      </c>
      <c r="Y59" s="19">
        <v>0</v>
      </c>
      <c r="Z59" s="19" t="s">
        <v>321</v>
      </c>
      <c r="AA59" s="16" t="s">
        <v>58</v>
      </c>
      <c r="AB59" s="19" t="s">
        <v>480</v>
      </c>
      <c r="AC59" s="16"/>
      <c r="AD59" s="16"/>
      <c r="AE59" s="19" t="s">
        <v>364</v>
      </c>
      <c r="AF59" s="16" t="s">
        <v>58</v>
      </c>
      <c r="AG59" s="16" t="s">
        <v>58</v>
      </c>
      <c r="AH59" s="16" t="s">
        <v>58</v>
      </c>
      <c r="AI59" s="16"/>
      <c r="AJ59" s="16"/>
    </row>
    <row r="60" spans="1:36" ht="144">
      <c r="A60" s="16" t="s">
        <v>179</v>
      </c>
      <c r="B60" s="19" t="s">
        <v>180</v>
      </c>
      <c r="C60" s="19">
        <v>2.5</v>
      </c>
      <c r="D60" s="19" t="s">
        <v>344</v>
      </c>
      <c r="E60" s="19" t="s">
        <v>429</v>
      </c>
      <c r="F60" s="19" t="s">
        <v>81</v>
      </c>
      <c r="G60" s="19" t="s">
        <v>340</v>
      </c>
      <c r="H60" s="19" t="s">
        <v>540</v>
      </c>
      <c r="I60" s="19" t="s">
        <v>541</v>
      </c>
      <c r="J60" s="19" t="s">
        <v>542</v>
      </c>
      <c r="K60" s="19" t="s">
        <v>313</v>
      </c>
      <c r="L60" s="20" t="s">
        <v>528</v>
      </c>
      <c r="M60" s="19">
        <v>101</v>
      </c>
      <c r="N60" s="19" t="s">
        <v>543</v>
      </c>
      <c r="O60" s="16" t="s">
        <v>58</v>
      </c>
      <c r="P60" s="16" t="s">
        <v>58</v>
      </c>
      <c r="Q60" s="19">
        <v>1093</v>
      </c>
      <c r="R60" s="19" t="s">
        <v>374</v>
      </c>
      <c r="S60" s="16"/>
      <c r="T60" s="19" t="s">
        <v>432</v>
      </c>
      <c r="U60" s="19" t="s">
        <v>342</v>
      </c>
      <c r="V60" s="16" t="s">
        <v>58</v>
      </c>
      <c r="W60" s="16" t="s">
        <v>58</v>
      </c>
      <c r="X60" s="19" t="s">
        <v>356</v>
      </c>
      <c r="Y60" s="19">
        <v>0</v>
      </c>
      <c r="Z60" s="19" t="s">
        <v>321</v>
      </c>
      <c r="AA60" s="16" t="s">
        <v>58</v>
      </c>
      <c r="AB60" s="19" t="s">
        <v>493</v>
      </c>
      <c r="AC60" s="16"/>
      <c r="AD60" s="16"/>
      <c r="AE60" s="19" t="s">
        <v>364</v>
      </c>
      <c r="AF60" s="16" t="s">
        <v>58</v>
      </c>
      <c r="AG60" s="16" t="s">
        <v>58</v>
      </c>
      <c r="AH60" s="16" t="s">
        <v>58</v>
      </c>
      <c r="AI60" s="16"/>
      <c r="AJ60" s="16"/>
    </row>
    <row r="61" spans="1:36" ht="160">
      <c r="A61" s="16" t="s">
        <v>181</v>
      </c>
      <c r="B61" s="19" t="s">
        <v>182</v>
      </c>
      <c r="C61" s="19">
        <v>5.23</v>
      </c>
      <c r="D61" s="19" t="s">
        <v>353</v>
      </c>
      <c r="E61" s="19" t="s">
        <v>429</v>
      </c>
      <c r="F61" s="19" t="s">
        <v>340</v>
      </c>
      <c r="G61" s="19" t="s">
        <v>544</v>
      </c>
      <c r="H61" s="19" t="s">
        <v>545</v>
      </c>
      <c r="I61" s="19" t="s">
        <v>546</v>
      </c>
      <c r="J61" s="19" t="s">
        <v>547</v>
      </c>
      <c r="K61" s="19" t="s">
        <v>548</v>
      </c>
      <c r="L61" s="20" t="s">
        <v>528</v>
      </c>
      <c r="M61" s="19">
        <v>95</v>
      </c>
      <c r="N61" s="19" t="s">
        <v>379</v>
      </c>
      <c r="O61" s="16" t="s">
        <v>58</v>
      </c>
      <c r="P61" s="16" t="s">
        <v>58</v>
      </c>
      <c r="Q61" s="19">
        <v>1315</v>
      </c>
      <c r="R61" s="19" t="s">
        <v>350</v>
      </c>
      <c r="S61" s="16"/>
      <c r="T61" s="19" t="s">
        <v>432</v>
      </c>
      <c r="U61" s="19" t="s">
        <v>352</v>
      </c>
      <c r="V61" s="16" t="s">
        <v>58</v>
      </c>
      <c r="W61" s="16" t="s">
        <v>58</v>
      </c>
      <c r="X61" s="19" t="s">
        <v>329</v>
      </c>
      <c r="Y61" s="19">
        <v>3</v>
      </c>
      <c r="Z61" s="19" t="s">
        <v>118</v>
      </c>
      <c r="AA61" s="16" t="s">
        <v>58</v>
      </c>
      <c r="AB61" s="19" t="s">
        <v>493</v>
      </c>
      <c r="AC61" s="16"/>
      <c r="AD61" s="16"/>
      <c r="AE61" s="19" t="s">
        <v>364</v>
      </c>
      <c r="AF61" s="16" t="s">
        <v>58</v>
      </c>
      <c r="AG61" s="16" t="s">
        <v>58</v>
      </c>
      <c r="AH61" s="16" t="s">
        <v>58</v>
      </c>
      <c r="AI61" s="16"/>
      <c r="AJ61" s="16"/>
    </row>
    <row r="62" spans="1:36" ht="304">
      <c r="A62" s="16" t="s">
        <v>183</v>
      </c>
      <c r="B62" s="19" t="s">
        <v>184</v>
      </c>
      <c r="C62" s="19">
        <v>4.33</v>
      </c>
      <c r="D62" s="19" t="s">
        <v>353</v>
      </c>
      <c r="E62" s="19" t="s">
        <v>549</v>
      </c>
      <c r="F62" s="19" t="s">
        <v>340</v>
      </c>
      <c r="G62" s="19" t="s">
        <v>429</v>
      </c>
      <c r="H62" s="19" t="s">
        <v>550</v>
      </c>
      <c r="I62" s="19" t="s">
        <v>551</v>
      </c>
      <c r="J62" s="19" t="s">
        <v>552</v>
      </c>
      <c r="K62" s="19" t="s">
        <v>313</v>
      </c>
      <c r="L62" s="20" t="s">
        <v>528</v>
      </c>
      <c r="M62" s="19">
        <v>77</v>
      </c>
      <c r="N62" s="19" t="s">
        <v>59</v>
      </c>
      <c r="O62" s="16" t="s">
        <v>58</v>
      </c>
      <c r="P62" s="16" t="s">
        <v>58</v>
      </c>
      <c r="Q62" s="19">
        <v>1326</v>
      </c>
      <c r="R62" s="19" t="s">
        <v>350</v>
      </c>
      <c r="S62" s="16"/>
      <c r="T62" s="19" t="s">
        <v>313</v>
      </c>
      <c r="U62" s="19" t="s">
        <v>352</v>
      </c>
      <c r="V62" s="16" t="s">
        <v>58</v>
      </c>
      <c r="W62" s="16" t="s">
        <v>58</v>
      </c>
      <c r="X62" s="19" t="s">
        <v>329</v>
      </c>
      <c r="Y62" s="19">
        <v>3</v>
      </c>
      <c r="Z62" s="19" t="s">
        <v>118</v>
      </c>
      <c r="AA62" s="16" t="s">
        <v>58</v>
      </c>
      <c r="AB62" s="19" t="s">
        <v>380</v>
      </c>
      <c r="AC62" s="16"/>
      <c r="AD62" s="16"/>
      <c r="AE62" s="19" t="s">
        <v>364</v>
      </c>
      <c r="AF62" s="16" t="s">
        <v>58</v>
      </c>
      <c r="AG62" s="16" t="s">
        <v>58</v>
      </c>
      <c r="AH62" s="16" t="s">
        <v>58</v>
      </c>
      <c r="AI62" s="16"/>
      <c r="AJ62" s="16"/>
    </row>
    <row r="63" spans="1:36" ht="96">
      <c r="A63" s="16" t="s">
        <v>185</v>
      </c>
      <c r="B63" s="19" t="s">
        <v>186</v>
      </c>
      <c r="C63" s="19">
        <v>2.92</v>
      </c>
      <c r="D63" s="19" t="s">
        <v>330</v>
      </c>
      <c r="E63" s="19" t="s">
        <v>429</v>
      </c>
      <c r="F63" s="19" t="s">
        <v>81</v>
      </c>
      <c r="G63" s="19" t="s">
        <v>340</v>
      </c>
      <c r="H63" s="19" t="s">
        <v>553</v>
      </c>
      <c r="I63" s="19" t="s">
        <v>554</v>
      </c>
      <c r="J63" s="19" t="s">
        <v>555</v>
      </c>
      <c r="K63" s="19" t="s">
        <v>556</v>
      </c>
      <c r="L63" s="20" t="s">
        <v>528</v>
      </c>
      <c r="M63" s="19">
        <v>96</v>
      </c>
      <c r="N63" s="19" t="s">
        <v>379</v>
      </c>
      <c r="O63" s="16" t="s">
        <v>58</v>
      </c>
      <c r="P63" s="16" t="s">
        <v>58</v>
      </c>
      <c r="Q63" s="19">
        <v>1426</v>
      </c>
      <c r="R63" s="19" t="s">
        <v>374</v>
      </c>
      <c r="S63" s="16"/>
      <c r="T63" s="19" t="s">
        <v>432</v>
      </c>
      <c r="U63" s="19" t="s">
        <v>342</v>
      </c>
      <c r="V63" s="16" t="s">
        <v>58</v>
      </c>
      <c r="W63" s="16" t="s">
        <v>58</v>
      </c>
      <c r="X63" s="19" t="s">
        <v>356</v>
      </c>
      <c r="Y63" s="19">
        <v>0</v>
      </c>
      <c r="Z63" s="19" t="s">
        <v>118</v>
      </c>
      <c r="AA63" s="16" t="s">
        <v>58</v>
      </c>
      <c r="AB63" s="19" t="s">
        <v>493</v>
      </c>
      <c r="AC63" s="16"/>
      <c r="AD63" s="16"/>
      <c r="AE63" s="19" t="s">
        <v>364</v>
      </c>
      <c r="AF63" s="16" t="s">
        <v>58</v>
      </c>
      <c r="AG63" s="16" t="s">
        <v>58</v>
      </c>
      <c r="AH63" s="16" t="s">
        <v>58</v>
      </c>
      <c r="AI63" s="16"/>
      <c r="AJ63" s="16"/>
    </row>
    <row r="64" spans="1:36" ht="160">
      <c r="A64" s="16" t="s">
        <v>187</v>
      </c>
      <c r="B64" s="19" t="s">
        <v>188</v>
      </c>
      <c r="C64" s="19">
        <v>3.17</v>
      </c>
      <c r="D64" s="19" t="s">
        <v>310</v>
      </c>
      <c r="E64" s="19" t="s">
        <v>557</v>
      </c>
      <c r="F64" s="19" t="s">
        <v>558</v>
      </c>
      <c r="G64" s="19" t="s">
        <v>559</v>
      </c>
      <c r="H64" s="19" t="s">
        <v>560</v>
      </c>
      <c r="I64" s="19" t="s">
        <v>504</v>
      </c>
      <c r="J64" s="19" t="s">
        <v>561</v>
      </c>
      <c r="K64" s="19" t="s">
        <v>562</v>
      </c>
      <c r="L64" s="20" t="s">
        <v>528</v>
      </c>
      <c r="M64" s="19">
        <v>79</v>
      </c>
      <c r="N64" s="19" t="s">
        <v>59</v>
      </c>
      <c r="O64" s="16" t="s">
        <v>58</v>
      </c>
      <c r="P64" s="16" t="s">
        <v>58</v>
      </c>
      <c r="Q64" s="19">
        <v>1256</v>
      </c>
      <c r="R64" s="19" t="s">
        <v>374</v>
      </c>
      <c r="S64" s="16"/>
      <c r="T64" s="19" t="s">
        <v>313</v>
      </c>
      <c r="U64" s="19" t="s">
        <v>317</v>
      </c>
      <c r="V64" s="16" t="s">
        <v>58</v>
      </c>
      <c r="W64" s="16" t="s">
        <v>58</v>
      </c>
      <c r="X64" s="19" t="s">
        <v>329</v>
      </c>
      <c r="Y64" s="19">
        <v>3</v>
      </c>
      <c r="Z64" s="19" t="s">
        <v>118</v>
      </c>
      <c r="AA64" s="16" t="s">
        <v>58</v>
      </c>
      <c r="AB64" s="19" t="s">
        <v>480</v>
      </c>
      <c r="AC64" s="16"/>
      <c r="AD64" s="16"/>
      <c r="AE64" s="19" t="s">
        <v>364</v>
      </c>
      <c r="AF64" s="16" t="s">
        <v>58</v>
      </c>
      <c r="AG64" s="16" t="s">
        <v>58</v>
      </c>
      <c r="AH64" s="16" t="s">
        <v>58</v>
      </c>
      <c r="AI64" s="16"/>
      <c r="AJ64" s="16"/>
    </row>
    <row r="65" spans="1:36" ht="240">
      <c r="A65" s="16" t="s">
        <v>189</v>
      </c>
      <c r="B65" s="19" t="s">
        <v>190</v>
      </c>
      <c r="C65" s="19">
        <v>4.72</v>
      </c>
      <c r="D65" s="19" t="s">
        <v>563</v>
      </c>
      <c r="E65" s="19" t="s">
        <v>564</v>
      </c>
      <c r="F65" s="19" t="s">
        <v>565</v>
      </c>
      <c r="G65" s="19" t="s">
        <v>566</v>
      </c>
      <c r="H65" s="19" t="s">
        <v>567</v>
      </c>
      <c r="I65" s="19" t="s">
        <v>568</v>
      </c>
      <c r="J65" s="19" t="s">
        <v>313</v>
      </c>
      <c r="K65" s="19" t="s">
        <v>313</v>
      </c>
      <c r="L65" s="20" t="s">
        <v>528</v>
      </c>
      <c r="M65" s="19">
        <v>86</v>
      </c>
      <c r="N65" s="19" t="s">
        <v>569</v>
      </c>
      <c r="O65" s="16" t="s">
        <v>58</v>
      </c>
      <c r="P65" s="16" t="s">
        <v>58</v>
      </c>
      <c r="Q65" s="19">
        <v>1427</v>
      </c>
      <c r="R65" s="19" t="s">
        <v>374</v>
      </c>
      <c r="S65" s="16"/>
      <c r="T65" s="19" t="s">
        <v>313</v>
      </c>
      <c r="U65" s="19" t="s">
        <v>317</v>
      </c>
      <c r="V65" s="16" t="s">
        <v>58</v>
      </c>
      <c r="W65" s="16" t="s">
        <v>58</v>
      </c>
      <c r="X65" s="19" t="s">
        <v>337</v>
      </c>
      <c r="Y65" s="19">
        <v>0</v>
      </c>
      <c r="Z65" s="19" t="s">
        <v>321</v>
      </c>
      <c r="AA65" s="16" t="s">
        <v>58</v>
      </c>
      <c r="AB65" s="19" t="s">
        <v>480</v>
      </c>
      <c r="AC65" s="16"/>
      <c r="AD65" s="16"/>
      <c r="AE65" s="19" t="s">
        <v>364</v>
      </c>
      <c r="AF65" s="16" t="s">
        <v>58</v>
      </c>
      <c r="AG65" s="16" t="s">
        <v>58</v>
      </c>
      <c r="AH65" s="16" t="s">
        <v>58</v>
      </c>
      <c r="AI65" s="16"/>
      <c r="AJ65" s="16"/>
    </row>
    <row r="66" spans="1:36" ht="128">
      <c r="A66" s="16" t="s">
        <v>191</v>
      </c>
      <c r="B66" s="19" t="s">
        <v>192</v>
      </c>
      <c r="C66" s="19">
        <v>2.66</v>
      </c>
      <c r="D66" s="19" t="s">
        <v>310</v>
      </c>
      <c r="E66" s="19" t="s">
        <v>570</v>
      </c>
      <c r="F66" s="19" t="s">
        <v>429</v>
      </c>
      <c r="G66" s="19" t="s">
        <v>460</v>
      </c>
      <c r="H66" s="19" t="s">
        <v>313</v>
      </c>
      <c r="I66" s="19" t="s">
        <v>313</v>
      </c>
      <c r="J66" s="19" t="s">
        <v>313</v>
      </c>
      <c r="K66" s="19" t="s">
        <v>313</v>
      </c>
      <c r="L66" s="20" t="s">
        <v>571</v>
      </c>
      <c r="M66" s="19">
        <v>83</v>
      </c>
      <c r="N66" s="19" t="s">
        <v>572</v>
      </c>
      <c r="O66" s="16" t="s">
        <v>58</v>
      </c>
      <c r="P66" s="16" t="s">
        <v>58</v>
      </c>
      <c r="Q66" s="19">
        <v>1265</v>
      </c>
      <c r="R66" s="19" t="s">
        <v>374</v>
      </c>
      <c r="S66" s="16"/>
      <c r="T66" s="19" t="s">
        <v>351</v>
      </c>
      <c r="U66" s="19" t="s">
        <v>327</v>
      </c>
      <c r="V66" s="16" t="s">
        <v>58</v>
      </c>
      <c r="W66" s="16" t="s">
        <v>58</v>
      </c>
      <c r="X66" s="19" t="s">
        <v>398</v>
      </c>
      <c r="Y66" s="19">
        <v>3</v>
      </c>
      <c r="Z66" s="19" t="s">
        <v>118</v>
      </c>
      <c r="AA66" s="16" t="s">
        <v>58</v>
      </c>
      <c r="AB66" s="19" t="s">
        <v>380</v>
      </c>
      <c r="AC66" s="16"/>
      <c r="AD66" s="16"/>
      <c r="AE66" s="19" t="s">
        <v>364</v>
      </c>
      <c r="AF66" s="16" t="s">
        <v>58</v>
      </c>
      <c r="AG66" s="16" t="s">
        <v>58</v>
      </c>
      <c r="AH66" s="16" t="s">
        <v>58</v>
      </c>
      <c r="AI66" s="16"/>
      <c r="AJ66" s="16"/>
    </row>
    <row r="67" spans="1:36" ht="144">
      <c r="A67" s="16" t="s">
        <v>193</v>
      </c>
      <c r="B67" s="19" t="s">
        <v>194</v>
      </c>
      <c r="C67" s="19">
        <v>3.08</v>
      </c>
      <c r="D67" s="19" t="s">
        <v>310</v>
      </c>
      <c r="E67" s="19" t="s">
        <v>459</v>
      </c>
      <c r="F67" s="19" t="s">
        <v>429</v>
      </c>
      <c r="G67" s="19" t="s">
        <v>573</v>
      </c>
      <c r="H67" s="19" t="s">
        <v>313</v>
      </c>
      <c r="I67" s="19" t="s">
        <v>313</v>
      </c>
      <c r="J67" s="19" t="s">
        <v>313</v>
      </c>
      <c r="K67" s="19" t="s">
        <v>313</v>
      </c>
      <c r="L67" s="20" t="s">
        <v>571</v>
      </c>
      <c r="M67" s="19">
        <v>71</v>
      </c>
      <c r="N67" s="19" t="s">
        <v>59</v>
      </c>
      <c r="O67" s="16" t="s">
        <v>58</v>
      </c>
      <c r="P67" s="16" t="s">
        <v>58</v>
      </c>
      <c r="Q67" s="19">
        <v>1168</v>
      </c>
      <c r="R67" s="19" t="s">
        <v>350</v>
      </c>
      <c r="S67" s="16"/>
      <c r="T67" s="19" t="s">
        <v>351</v>
      </c>
      <c r="U67" s="19" t="s">
        <v>327</v>
      </c>
      <c r="V67" s="16" t="s">
        <v>58</v>
      </c>
      <c r="W67" s="16" t="s">
        <v>58</v>
      </c>
      <c r="X67" s="19" t="s">
        <v>398</v>
      </c>
      <c r="Y67" s="19">
        <v>3</v>
      </c>
      <c r="Z67" s="19" t="s">
        <v>321</v>
      </c>
      <c r="AA67" s="16" t="s">
        <v>58</v>
      </c>
      <c r="AB67" s="19" t="s">
        <v>380</v>
      </c>
      <c r="AC67" s="16"/>
      <c r="AD67" s="16"/>
      <c r="AE67" s="19" t="s">
        <v>364</v>
      </c>
      <c r="AF67" s="16" t="s">
        <v>58</v>
      </c>
      <c r="AG67" s="16" t="s">
        <v>58</v>
      </c>
      <c r="AH67" s="16" t="s">
        <v>58</v>
      </c>
      <c r="AI67" s="16"/>
      <c r="AJ67" s="16"/>
    </row>
    <row r="68" spans="1:36" ht="128">
      <c r="A68" s="16" t="s">
        <v>195</v>
      </c>
      <c r="B68" s="19" t="s">
        <v>196</v>
      </c>
      <c r="C68" s="19">
        <v>4.92</v>
      </c>
      <c r="D68" s="19" t="s">
        <v>310</v>
      </c>
      <c r="E68" s="19" t="s">
        <v>496</v>
      </c>
      <c r="F68" s="19" t="s">
        <v>313</v>
      </c>
      <c r="G68" s="19" t="s">
        <v>313</v>
      </c>
      <c r="H68" s="19" t="s">
        <v>313</v>
      </c>
      <c r="I68" s="19" t="s">
        <v>313</v>
      </c>
      <c r="J68" s="19" t="s">
        <v>313</v>
      </c>
      <c r="K68" s="19" t="s">
        <v>313</v>
      </c>
      <c r="L68" s="20" t="s">
        <v>571</v>
      </c>
      <c r="M68" s="19">
        <v>81</v>
      </c>
      <c r="N68" s="19" t="s">
        <v>574</v>
      </c>
      <c r="O68" s="16" t="s">
        <v>58</v>
      </c>
      <c r="P68" s="16" t="s">
        <v>58</v>
      </c>
      <c r="Q68" s="19">
        <v>1262</v>
      </c>
      <c r="R68" s="19" t="s">
        <v>350</v>
      </c>
      <c r="S68" s="16"/>
      <c r="T68" s="19" t="s">
        <v>313</v>
      </c>
      <c r="U68" s="19" t="s">
        <v>317</v>
      </c>
      <c r="V68" s="16" t="s">
        <v>58</v>
      </c>
      <c r="W68" s="16" t="s">
        <v>58</v>
      </c>
      <c r="X68" s="19" t="s">
        <v>329</v>
      </c>
      <c r="Y68" s="19">
        <v>3</v>
      </c>
      <c r="Z68" s="19" t="s">
        <v>321</v>
      </c>
      <c r="AA68" s="16" t="s">
        <v>58</v>
      </c>
      <c r="AB68" s="19" t="s">
        <v>480</v>
      </c>
      <c r="AC68" s="16"/>
      <c r="AD68" s="16"/>
      <c r="AE68" s="19" t="s">
        <v>364</v>
      </c>
      <c r="AF68" s="16" t="s">
        <v>58</v>
      </c>
      <c r="AG68" s="16" t="s">
        <v>58</v>
      </c>
      <c r="AH68" s="16" t="s">
        <v>58</v>
      </c>
      <c r="AI68" s="16"/>
      <c r="AJ68" s="16"/>
    </row>
    <row r="69" spans="1:36" ht="128">
      <c r="A69" s="16" t="s">
        <v>197</v>
      </c>
      <c r="B69" s="19" t="s">
        <v>198</v>
      </c>
      <c r="C69" s="19">
        <v>3</v>
      </c>
      <c r="D69" s="19" t="s">
        <v>522</v>
      </c>
      <c r="E69" s="19" t="s">
        <v>496</v>
      </c>
      <c r="F69" s="19" t="s">
        <v>575</v>
      </c>
      <c r="G69" s="19" t="s">
        <v>322</v>
      </c>
      <c r="H69" s="19" t="s">
        <v>322</v>
      </c>
      <c r="I69" s="19" t="s">
        <v>322</v>
      </c>
      <c r="J69" s="19" t="s">
        <v>322</v>
      </c>
      <c r="K69" s="19" t="s">
        <v>322</v>
      </c>
      <c r="L69" s="21" t="s">
        <v>571</v>
      </c>
      <c r="M69" s="16">
        <v>84</v>
      </c>
      <c r="N69" s="19" t="s">
        <v>576</v>
      </c>
      <c r="O69" s="16" t="s">
        <v>58</v>
      </c>
      <c r="P69" s="16" t="s">
        <v>58</v>
      </c>
      <c r="Q69" s="19">
        <v>1251</v>
      </c>
      <c r="R69" s="19" t="s">
        <v>350</v>
      </c>
      <c r="S69" s="16"/>
      <c r="T69" s="19" t="s">
        <v>313</v>
      </c>
      <c r="U69" s="19" t="s">
        <v>317</v>
      </c>
      <c r="V69" s="16" t="s">
        <v>58</v>
      </c>
      <c r="W69" s="16" t="s">
        <v>58</v>
      </c>
      <c r="X69" s="19" t="s">
        <v>329</v>
      </c>
      <c r="Y69" s="19">
        <v>3</v>
      </c>
      <c r="Z69" s="19" t="s">
        <v>321</v>
      </c>
      <c r="AA69" s="16" t="s">
        <v>58</v>
      </c>
      <c r="AB69" s="19" t="s">
        <v>480</v>
      </c>
      <c r="AC69" s="16"/>
      <c r="AD69" s="16"/>
      <c r="AE69" s="19" t="s">
        <v>364</v>
      </c>
      <c r="AF69" s="16" t="s">
        <v>58</v>
      </c>
      <c r="AG69" s="16" t="s">
        <v>58</v>
      </c>
      <c r="AH69" s="16" t="s">
        <v>58</v>
      </c>
      <c r="AI69" s="16"/>
      <c r="AJ69" s="16"/>
    </row>
    <row r="70" spans="1:36" ht="80">
      <c r="A70" s="16" t="s">
        <v>199</v>
      </c>
      <c r="B70" s="19" t="s">
        <v>200</v>
      </c>
      <c r="C70" s="19">
        <v>3.08</v>
      </c>
      <c r="D70" s="19" t="s">
        <v>330</v>
      </c>
      <c r="E70" s="19" t="s">
        <v>439</v>
      </c>
      <c r="F70" s="19" t="s">
        <v>577</v>
      </c>
      <c r="G70" s="19" t="s">
        <v>313</v>
      </c>
      <c r="H70" s="19" t="s">
        <v>313</v>
      </c>
      <c r="I70" s="19" t="s">
        <v>313</v>
      </c>
      <c r="J70" s="19" t="s">
        <v>313</v>
      </c>
      <c r="K70" s="19" t="s">
        <v>313</v>
      </c>
      <c r="L70" s="20" t="s">
        <v>571</v>
      </c>
      <c r="M70" s="19">
        <v>87</v>
      </c>
      <c r="N70" s="19" t="s">
        <v>578</v>
      </c>
      <c r="O70" s="16" t="s">
        <v>58</v>
      </c>
      <c r="P70" s="16" t="s">
        <v>58</v>
      </c>
      <c r="Q70" s="19">
        <v>1001</v>
      </c>
      <c r="R70" s="19" t="s">
        <v>350</v>
      </c>
      <c r="S70" s="16"/>
      <c r="T70" s="19" t="s">
        <v>313</v>
      </c>
      <c r="U70" s="19" t="s">
        <v>317</v>
      </c>
      <c r="V70" s="16" t="s">
        <v>58</v>
      </c>
      <c r="W70" s="16" t="s">
        <v>58</v>
      </c>
      <c r="X70" s="19" t="s">
        <v>337</v>
      </c>
      <c r="Y70" s="19">
        <v>0</v>
      </c>
      <c r="Z70" s="19" t="s">
        <v>321</v>
      </c>
      <c r="AA70" s="16" t="s">
        <v>58</v>
      </c>
      <c r="AB70" s="19" t="s">
        <v>480</v>
      </c>
      <c r="AC70" s="16"/>
      <c r="AD70" s="16"/>
      <c r="AE70" s="19" t="s">
        <v>364</v>
      </c>
      <c r="AF70" s="16" t="s">
        <v>58</v>
      </c>
      <c r="AG70" s="16" t="s">
        <v>58</v>
      </c>
      <c r="AH70" s="16" t="s">
        <v>58</v>
      </c>
      <c r="AI70" s="16"/>
      <c r="AJ70" s="16"/>
    </row>
    <row r="71" spans="1:36" ht="128">
      <c r="A71" s="16" t="s">
        <v>201</v>
      </c>
      <c r="B71" s="19" t="s">
        <v>202</v>
      </c>
      <c r="C71" s="19">
        <v>2.63</v>
      </c>
      <c r="D71" s="19" t="s">
        <v>330</v>
      </c>
      <c r="E71" s="19" t="s">
        <v>429</v>
      </c>
      <c r="F71" s="19" t="s">
        <v>579</v>
      </c>
      <c r="G71" s="19" t="s">
        <v>313</v>
      </c>
      <c r="H71" s="19" t="s">
        <v>313</v>
      </c>
      <c r="I71" s="19" t="s">
        <v>313</v>
      </c>
      <c r="J71" s="19" t="s">
        <v>313</v>
      </c>
      <c r="K71" s="19" t="s">
        <v>313</v>
      </c>
      <c r="L71" s="20" t="s">
        <v>571</v>
      </c>
      <c r="M71" s="19">
        <v>85</v>
      </c>
      <c r="N71" s="19" t="s">
        <v>580</v>
      </c>
      <c r="O71" s="16" t="s">
        <v>58</v>
      </c>
      <c r="P71" s="16" t="s">
        <v>58</v>
      </c>
      <c r="Q71" s="19">
        <v>1346</v>
      </c>
      <c r="R71" s="19" t="s">
        <v>350</v>
      </c>
      <c r="S71" s="16"/>
      <c r="T71" s="19" t="s">
        <v>432</v>
      </c>
      <c r="U71" s="19" t="s">
        <v>342</v>
      </c>
      <c r="V71" s="16" t="s">
        <v>58</v>
      </c>
      <c r="W71" s="16" t="s">
        <v>58</v>
      </c>
      <c r="X71" s="19" t="s">
        <v>337</v>
      </c>
      <c r="Y71" s="19">
        <v>0</v>
      </c>
      <c r="Z71" s="19" t="s">
        <v>321</v>
      </c>
      <c r="AA71" s="16" t="s">
        <v>58</v>
      </c>
      <c r="AB71" s="19" t="s">
        <v>493</v>
      </c>
      <c r="AC71" s="16"/>
      <c r="AD71" s="16"/>
      <c r="AE71" s="19" t="s">
        <v>364</v>
      </c>
      <c r="AF71" s="16" t="s">
        <v>58</v>
      </c>
      <c r="AG71" s="16" t="s">
        <v>58</v>
      </c>
      <c r="AH71" s="16" t="s">
        <v>58</v>
      </c>
      <c r="AI71" s="16"/>
      <c r="AJ71" s="16"/>
    </row>
    <row r="72" spans="1:36" ht="112">
      <c r="A72" s="16" t="s">
        <v>203</v>
      </c>
      <c r="B72" s="19" t="s">
        <v>204</v>
      </c>
      <c r="C72" s="19">
        <v>4.18</v>
      </c>
      <c r="D72" s="19" t="s">
        <v>522</v>
      </c>
      <c r="E72" s="19" t="s">
        <v>340</v>
      </c>
      <c r="F72" s="19" t="s">
        <v>429</v>
      </c>
      <c r="G72" s="19" t="s">
        <v>581</v>
      </c>
      <c r="H72" s="19" t="s">
        <v>553</v>
      </c>
      <c r="I72" s="19" t="s">
        <v>582</v>
      </c>
      <c r="J72" s="19" t="s">
        <v>313</v>
      </c>
      <c r="K72" s="19" t="s">
        <v>313</v>
      </c>
      <c r="L72" s="20" t="s">
        <v>571</v>
      </c>
      <c r="M72" s="19">
        <v>89</v>
      </c>
      <c r="N72" s="19" t="s">
        <v>59</v>
      </c>
      <c r="O72" s="16" t="s">
        <v>58</v>
      </c>
      <c r="P72" s="16" t="s">
        <v>58</v>
      </c>
      <c r="Q72" s="19">
        <v>1156</v>
      </c>
      <c r="R72" s="19" t="s">
        <v>350</v>
      </c>
      <c r="S72" s="16"/>
      <c r="T72" s="19" t="s">
        <v>432</v>
      </c>
      <c r="U72" s="19" t="s">
        <v>352</v>
      </c>
      <c r="V72" s="16" t="s">
        <v>58</v>
      </c>
      <c r="W72" s="16" t="s">
        <v>58</v>
      </c>
      <c r="X72" s="19" t="s">
        <v>398</v>
      </c>
      <c r="Y72" s="19">
        <v>3</v>
      </c>
      <c r="Z72" s="19" t="s">
        <v>321</v>
      </c>
      <c r="AA72" s="16" t="s">
        <v>58</v>
      </c>
      <c r="AB72" s="19" t="s">
        <v>493</v>
      </c>
      <c r="AC72" s="16"/>
      <c r="AD72" s="16"/>
      <c r="AE72" s="19" t="s">
        <v>364</v>
      </c>
      <c r="AF72" s="16" t="s">
        <v>58</v>
      </c>
      <c r="AG72" s="16" t="s">
        <v>58</v>
      </c>
      <c r="AH72" s="16" t="s">
        <v>58</v>
      </c>
      <c r="AI72" s="16"/>
      <c r="AJ72" s="16"/>
    </row>
    <row r="73" spans="1:36" ht="128">
      <c r="A73" s="16" t="s">
        <v>205</v>
      </c>
      <c r="B73" s="19" t="s">
        <v>206</v>
      </c>
      <c r="C73" s="19">
        <v>2.02</v>
      </c>
      <c r="D73" s="19" t="s">
        <v>527</v>
      </c>
      <c r="E73" s="19" t="s">
        <v>81</v>
      </c>
      <c r="F73" s="19" t="s">
        <v>429</v>
      </c>
      <c r="G73" s="19" t="s">
        <v>583</v>
      </c>
      <c r="H73" s="19" t="s">
        <v>584</v>
      </c>
      <c r="I73" s="19" t="s">
        <v>585</v>
      </c>
      <c r="J73" s="19" t="s">
        <v>313</v>
      </c>
      <c r="K73" s="19" t="s">
        <v>313</v>
      </c>
      <c r="L73" s="20" t="s">
        <v>571</v>
      </c>
      <c r="M73" s="19">
        <v>87</v>
      </c>
      <c r="N73" s="19" t="s">
        <v>586</v>
      </c>
      <c r="O73" s="16" t="s">
        <v>58</v>
      </c>
      <c r="P73" s="16" t="s">
        <v>58</v>
      </c>
      <c r="Q73" s="19">
        <v>972</v>
      </c>
      <c r="R73" s="19" t="s">
        <v>350</v>
      </c>
      <c r="S73" s="16"/>
      <c r="T73" s="19" t="s">
        <v>351</v>
      </c>
      <c r="U73" s="19" t="s">
        <v>342</v>
      </c>
      <c r="V73" s="16" t="s">
        <v>58</v>
      </c>
      <c r="W73" s="16" t="s">
        <v>58</v>
      </c>
      <c r="X73" s="19" t="s">
        <v>329</v>
      </c>
      <c r="Y73" s="19">
        <v>0</v>
      </c>
      <c r="Z73" s="19" t="s">
        <v>118</v>
      </c>
      <c r="AA73" s="16" t="s">
        <v>58</v>
      </c>
      <c r="AB73" s="19" t="s">
        <v>493</v>
      </c>
      <c r="AC73" s="16"/>
      <c r="AD73" s="16"/>
      <c r="AE73" s="19" t="s">
        <v>364</v>
      </c>
      <c r="AF73" s="16" t="s">
        <v>58</v>
      </c>
      <c r="AG73" s="16" t="s">
        <v>58</v>
      </c>
      <c r="AH73" s="16" t="s">
        <v>58</v>
      </c>
      <c r="AI73" s="16"/>
      <c r="AJ73" s="16"/>
    </row>
    <row r="74" spans="1:36" ht="112">
      <c r="A74" s="16" t="s">
        <v>207</v>
      </c>
      <c r="B74" s="19" t="s">
        <v>208</v>
      </c>
      <c r="C74" s="19">
        <v>3.87</v>
      </c>
      <c r="D74" s="19" t="s">
        <v>310</v>
      </c>
      <c r="E74" s="19" t="s">
        <v>587</v>
      </c>
      <c r="F74" s="19" t="s">
        <v>439</v>
      </c>
      <c r="G74" s="19" t="s">
        <v>313</v>
      </c>
      <c r="H74" s="19" t="s">
        <v>313</v>
      </c>
      <c r="I74" s="19" t="s">
        <v>313</v>
      </c>
      <c r="J74" s="19" t="s">
        <v>313</v>
      </c>
      <c r="K74" s="19" t="s">
        <v>313</v>
      </c>
      <c r="L74" s="20" t="s">
        <v>571</v>
      </c>
      <c r="M74" s="19">
        <v>86</v>
      </c>
      <c r="N74" s="19" t="s">
        <v>59</v>
      </c>
      <c r="O74" s="16" t="s">
        <v>58</v>
      </c>
      <c r="P74" s="16" t="s">
        <v>58</v>
      </c>
      <c r="Q74" s="19">
        <v>1112</v>
      </c>
      <c r="R74" s="19" t="s">
        <v>350</v>
      </c>
      <c r="S74" s="16"/>
      <c r="T74" s="19" t="s">
        <v>313</v>
      </c>
      <c r="U74" s="16" t="s">
        <v>58</v>
      </c>
      <c r="V74" s="16" t="s">
        <v>58</v>
      </c>
      <c r="W74" s="16" t="s">
        <v>58</v>
      </c>
      <c r="X74" s="19" t="s">
        <v>329</v>
      </c>
      <c r="Y74" s="19">
        <v>3</v>
      </c>
      <c r="Z74" s="19" t="s">
        <v>321</v>
      </c>
      <c r="AA74" s="16" t="s">
        <v>58</v>
      </c>
      <c r="AB74" s="19" t="s">
        <v>480</v>
      </c>
      <c r="AC74" s="16"/>
      <c r="AD74" s="16"/>
      <c r="AE74" s="19" t="s">
        <v>364</v>
      </c>
      <c r="AF74" s="16" t="s">
        <v>58</v>
      </c>
      <c r="AG74" s="16" t="s">
        <v>58</v>
      </c>
      <c r="AH74" s="16" t="s">
        <v>58</v>
      </c>
      <c r="AI74" s="16"/>
      <c r="AJ74" s="16"/>
    </row>
    <row r="75" spans="1:36" ht="96">
      <c r="A75" s="16" t="s">
        <v>209</v>
      </c>
      <c r="B75" s="19" t="s">
        <v>210</v>
      </c>
      <c r="C75" s="19">
        <v>4</v>
      </c>
      <c r="D75" s="19" t="s">
        <v>330</v>
      </c>
      <c r="E75" s="19" t="s">
        <v>588</v>
      </c>
      <c r="F75" s="19" t="s">
        <v>429</v>
      </c>
      <c r="G75" s="19" t="s">
        <v>504</v>
      </c>
      <c r="H75" s="19" t="s">
        <v>585</v>
      </c>
      <c r="I75" s="19" t="s">
        <v>313</v>
      </c>
      <c r="J75" s="19" t="s">
        <v>313</v>
      </c>
      <c r="K75" s="19" t="s">
        <v>313</v>
      </c>
      <c r="L75" s="20" t="s">
        <v>571</v>
      </c>
      <c r="M75" s="19">
        <v>87</v>
      </c>
      <c r="N75" s="19" t="s">
        <v>589</v>
      </c>
      <c r="O75" s="16" t="s">
        <v>58</v>
      </c>
      <c r="P75" s="16" t="s">
        <v>58</v>
      </c>
      <c r="Q75" s="19">
        <v>1196</v>
      </c>
      <c r="R75" s="19" t="s">
        <v>350</v>
      </c>
      <c r="S75" s="16"/>
      <c r="T75" s="19" t="s">
        <v>351</v>
      </c>
      <c r="U75" s="19" t="s">
        <v>327</v>
      </c>
      <c r="V75" s="16" t="s">
        <v>58</v>
      </c>
      <c r="W75" s="16" t="s">
        <v>58</v>
      </c>
      <c r="X75" s="19" t="s">
        <v>337</v>
      </c>
      <c r="Y75" s="19">
        <v>0</v>
      </c>
      <c r="Z75" s="16" t="s">
        <v>58</v>
      </c>
      <c r="AA75" s="16" t="s">
        <v>58</v>
      </c>
      <c r="AB75" s="19" t="s">
        <v>380</v>
      </c>
      <c r="AC75" s="16"/>
      <c r="AD75" s="16"/>
      <c r="AE75" s="19" t="s">
        <v>364</v>
      </c>
      <c r="AF75" s="16" t="s">
        <v>58</v>
      </c>
      <c r="AG75" s="16" t="s">
        <v>58</v>
      </c>
      <c r="AH75" s="16" t="s">
        <v>58</v>
      </c>
      <c r="AI75" s="16"/>
      <c r="AJ75" s="16"/>
    </row>
    <row r="76" spans="1:36" ht="176">
      <c r="A76" s="16" t="s">
        <v>211</v>
      </c>
      <c r="B76" s="19" t="s">
        <v>212</v>
      </c>
      <c r="C76" s="19">
        <v>2.72</v>
      </c>
      <c r="D76" s="19" t="s">
        <v>330</v>
      </c>
      <c r="E76" s="19" t="s">
        <v>81</v>
      </c>
      <c r="F76" s="19" t="s">
        <v>340</v>
      </c>
      <c r="G76" s="19" t="s">
        <v>590</v>
      </c>
      <c r="H76" s="19" t="s">
        <v>591</v>
      </c>
      <c r="I76" s="19" t="s">
        <v>313</v>
      </c>
      <c r="J76" s="19" t="s">
        <v>313</v>
      </c>
      <c r="K76" s="19" t="s">
        <v>313</v>
      </c>
      <c r="L76" s="20" t="s">
        <v>571</v>
      </c>
      <c r="M76" s="19">
        <v>87</v>
      </c>
      <c r="N76" s="19" t="s">
        <v>592</v>
      </c>
      <c r="O76" s="16" t="s">
        <v>58</v>
      </c>
      <c r="P76" s="16" t="s">
        <v>58</v>
      </c>
      <c r="Q76" s="19">
        <v>1281</v>
      </c>
      <c r="R76" s="19" t="s">
        <v>374</v>
      </c>
      <c r="S76" s="16"/>
      <c r="T76" s="19" t="s">
        <v>313</v>
      </c>
      <c r="U76" s="19" t="s">
        <v>317</v>
      </c>
      <c r="V76" s="16" t="s">
        <v>58</v>
      </c>
      <c r="W76" s="16" t="s">
        <v>58</v>
      </c>
      <c r="X76" s="19" t="s">
        <v>356</v>
      </c>
      <c r="Y76" s="19">
        <v>0</v>
      </c>
      <c r="Z76" s="19" t="s">
        <v>321</v>
      </c>
      <c r="AA76" s="16" t="s">
        <v>58</v>
      </c>
      <c r="AB76" s="19" t="s">
        <v>480</v>
      </c>
      <c r="AC76" s="16"/>
      <c r="AD76" s="16"/>
      <c r="AE76" s="19" t="s">
        <v>364</v>
      </c>
      <c r="AF76" s="16" t="s">
        <v>58</v>
      </c>
      <c r="AG76" s="16" t="s">
        <v>58</v>
      </c>
      <c r="AH76" s="16" t="s">
        <v>58</v>
      </c>
      <c r="AI76" s="16"/>
      <c r="AJ76" s="16"/>
    </row>
    <row r="77" spans="1:36" ht="96">
      <c r="A77" s="16" t="s">
        <v>213</v>
      </c>
      <c r="B77" s="19" t="s">
        <v>214</v>
      </c>
      <c r="C77" s="19">
        <v>4.88</v>
      </c>
      <c r="D77" s="19" t="s">
        <v>330</v>
      </c>
      <c r="E77" s="19" t="s">
        <v>81</v>
      </c>
      <c r="F77" s="19" t="s">
        <v>429</v>
      </c>
      <c r="G77" s="19" t="s">
        <v>504</v>
      </c>
      <c r="H77" s="19" t="s">
        <v>313</v>
      </c>
      <c r="I77" s="19" t="s">
        <v>313</v>
      </c>
      <c r="J77" s="19" t="s">
        <v>313</v>
      </c>
      <c r="K77" s="19" t="s">
        <v>313</v>
      </c>
      <c r="L77" s="20" t="s">
        <v>571</v>
      </c>
      <c r="M77" s="19">
        <v>70</v>
      </c>
      <c r="N77" s="19" t="s">
        <v>593</v>
      </c>
      <c r="O77" s="16" t="s">
        <v>58</v>
      </c>
      <c r="P77" s="16" t="s">
        <v>58</v>
      </c>
      <c r="Q77" s="19">
        <v>1356</v>
      </c>
      <c r="R77" s="19" t="s">
        <v>350</v>
      </c>
      <c r="S77" s="16"/>
      <c r="T77" s="19" t="s">
        <v>351</v>
      </c>
      <c r="U77" s="19" t="s">
        <v>352</v>
      </c>
      <c r="V77" s="16" t="s">
        <v>58</v>
      </c>
      <c r="W77" s="16" t="s">
        <v>58</v>
      </c>
      <c r="X77" s="19" t="s">
        <v>356</v>
      </c>
      <c r="Y77" s="19">
        <v>0</v>
      </c>
      <c r="Z77" s="19" t="s">
        <v>321</v>
      </c>
      <c r="AA77" s="16" t="s">
        <v>58</v>
      </c>
      <c r="AB77" s="19" t="s">
        <v>480</v>
      </c>
      <c r="AC77" s="16"/>
      <c r="AD77" s="16"/>
      <c r="AE77" s="19" t="s">
        <v>364</v>
      </c>
      <c r="AF77" s="16" t="s">
        <v>58</v>
      </c>
      <c r="AG77" s="16" t="s">
        <v>58</v>
      </c>
      <c r="AH77" s="16" t="s">
        <v>58</v>
      </c>
      <c r="AI77" s="16"/>
      <c r="AJ77" s="16"/>
    </row>
    <row r="78" spans="1:36" ht="112">
      <c r="A78" s="16" t="s">
        <v>215</v>
      </c>
      <c r="B78" s="19" t="s">
        <v>216</v>
      </c>
      <c r="C78" s="19">
        <v>2.73</v>
      </c>
      <c r="D78" s="19" t="s">
        <v>330</v>
      </c>
      <c r="E78" s="19" t="s">
        <v>340</v>
      </c>
      <c r="F78" s="19" t="s">
        <v>439</v>
      </c>
      <c r="G78" s="19" t="s">
        <v>594</v>
      </c>
      <c r="H78" s="19" t="s">
        <v>313</v>
      </c>
      <c r="I78" s="19" t="s">
        <v>313</v>
      </c>
      <c r="J78" s="19" t="s">
        <v>313</v>
      </c>
      <c r="K78" s="19" t="s">
        <v>313</v>
      </c>
      <c r="L78" s="20" t="s">
        <v>571</v>
      </c>
      <c r="M78" s="19">
        <v>86</v>
      </c>
      <c r="N78" s="19" t="s">
        <v>595</v>
      </c>
      <c r="O78" s="16" t="s">
        <v>58</v>
      </c>
      <c r="P78" s="16" t="s">
        <v>58</v>
      </c>
      <c r="Q78" s="19">
        <v>1130</v>
      </c>
      <c r="R78" s="19" t="s">
        <v>374</v>
      </c>
      <c r="S78" s="16"/>
      <c r="T78" s="19" t="s">
        <v>313</v>
      </c>
      <c r="U78" s="16" t="s">
        <v>58</v>
      </c>
      <c r="V78" s="16" t="s">
        <v>58</v>
      </c>
      <c r="W78" s="16" t="s">
        <v>58</v>
      </c>
      <c r="X78" s="16" t="s">
        <v>58</v>
      </c>
      <c r="Y78" s="19"/>
      <c r="Z78" s="19" t="s">
        <v>321</v>
      </c>
      <c r="AA78" s="16" t="s">
        <v>58</v>
      </c>
      <c r="AB78" s="16"/>
      <c r="AC78" s="16"/>
      <c r="AD78" s="16"/>
      <c r="AE78" s="19" t="s">
        <v>364</v>
      </c>
      <c r="AF78" s="16" t="s">
        <v>58</v>
      </c>
      <c r="AG78" s="16" t="s">
        <v>58</v>
      </c>
      <c r="AH78" s="16" t="s">
        <v>58</v>
      </c>
      <c r="AI78" s="16"/>
      <c r="AJ78" s="16"/>
    </row>
    <row r="79" spans="1:36" ht="80">
      <c r="A79" s="16" t="s">
        <v>217</v>
      </c>
      <c r="B79" s="19" t="s">
        <v>218</v>
      </c>
      <c r="C79" s="19">
        <v>4.08</v>
      </c>
      <c r="D79" s="19" t="s">
        <v>330</v>
      </c>
      <c r="E79" s="19" t="s">
        <v>81</v>
      </c>
      <c r="F79" s="19" t="s">
        <v>439</v>
      </c>
      <c r="G79" s="19" t="s">
        <v>439</v>
      </c>
      <c r="H79" s="19" t="s">
        <v>313</v>
      </c>
      <c r="I79" s="19" t="s">
        <v>313</v>
      </c>
      <c r="J79" s="19" t="s">
        <v>313</v>
      </c>
      <c r="K79" s="19" t="s">
        <v>313</v>
      </c>
      <c r="L79" s="20" t="s">
        <v>571</v>
      </c>
      <c r="M79" s="19">
        <v>80</v>
      </c>
      <c r="N79" s="19" t="s">
        <v>596</v>
      </c>
      <c r="O79" s="16" t="s">
        <v>58</v>
      </c>
      <c r="P79" s="16" t="s">
        <v>58</v>
      </c>
      <c r="Q79" s="19">
        <v>1337</v>
      </c>
      <c r="R79" s="19" t="s">
        <v>316</v>
      </c>
      <c r="S79" s="16"/>
      <c r="T79" s="19" t="s">
        <v>313</v>
      </c>
      <c r="U79" s="19" t="s">
        <v>317</v>
      </c>
      <c r="V79" s="16" t="s">
        <v>58</v>
      </c>
      <c r="W79" s="16" t="s">
        <v>58</v>
      </c>
      <c r="X79" s="19" t="s">
        <v>320</v>
      </c>
      <c r="Y79" s="19">
        <v>0</v>
      </c>
      <c r="Z79" s="19" t="s">
        <v>321</v>
      </c>
      <c r="AA79" s="16" t="s">
        <v>58</v>
      </c>
      <c r="AB79" s="19" t="s">
        <v>480</v>
      </c>
      <c r="AC79" s="16"/>
      <c r="AD79" s="16"/>
      <c r="AE79" s="19" t="s">
        <v>364</v>
      </c>
      <c r="AF79" s="16" t="s">
        <v>58</v>
      </c>
      <c r="AG79" s="16" t="s">
        <v>58</v>
      </c>
      <c r="AH79" s="16" t="s">
        <v>58</v>
      </c>
      <c r="AI79" s="16"/>
      <c r="AJ79" s="16"/>
    </row>
    <row r="80" spans="1:36" ht="96">
      <c r="A80" s="16" t="s">
        <v>219</v>
      </c>
      <c r="B80" s="19" t="s">
        <v>220</v>
      </c>
      <c r="C80" s="19">
        <v>4.37</v>
      </c>
      <c r="D80" s="19" t="s">
        <v>310</v>
      </c>
      <c r="E80" s="19" t="s">
        <v>597</v>
      </c>
      <c r="F80" s="19" t="s">
        <v>429</v>
      </c>
      <c r="G80" s="19" t="s">
        <v>313</v>
      </c>
      <c r="H80" s="19" t="s">
        <v>313</v>
      </c>
      <c r="I80" s="19" t="s">
        <v>313</v>
      </c>
      <c r="J80" s="19" t="s">
        <v>313</v>
      </c>
      <c r="K80" s="19" t="s">
        <v>313</v>
      </c>
      <c r="L80" s="20" t="s">
        <v>571</v>
      </c>
      <c r="M80" s="19">
        <v>80</v>
      </c>
      <c r="N80" s="19" t="s">
        <v>59</v>
      </c>
      <c r="O80" s="16" t="s">
        <v>58</v>
      </c>
      <c r="P80" s="16" t="s">
        <v>58</v>
      </c>
      <c r="Q80" s="19">
        <v>1034</v>
      </c>
      <c r="R80" s="19" t="s">
        <v>350</v>
      </c>
      <c r="S80" s="16"/>
      <c r="T80" s="19" t="s">
        <v>351</v>
      </c>
      <c r="U80" s="19" t="s">
        <v>327</v>
      </c>
      <c r="V80" s="16" t="s">
        <v>58</v>
      </c>
      <c r="W80" s="16" t="s">
        <v>58</v>
      </c>
      <c r="X80" s="19" t="s">
        <v>398</v>
      </c>
      <c r="Y80" s="19">
        <v>3</v>
      </c>
      <c r="Z80" s="19" t="s">
        <v>321</v>
      </c>
      <c r="AA80" s="16" t="s">
        <v>58</v>
      </c>
      <c r="AB80" s="19" t="s">
        <v>380</v>
      </c>
      <c r="AC80" s="16"/>
      <c r="AD80" s="16"/>
      <c r="AE80" s="19" t="s">
        <v>364</v>
      </c>
      <c r="AF80" s="16" t="s">
        <v>58</v>
      </c>
      <c r="AG80" s="16" t="s">
        <v>58</v>
      </c>
      <c r="AH80" s="16" t="s">
        <v>58</v>
      </c>
      <c r="AI80" s="16"/>
      <c r="AJ80" s="16"/>
    </row>
    <row r="81" spans="1:36" ht="96">
      <c r="A81" s="16" t="s">
        <v>221</v>
      </c>
      <c r="B81" s="19" t="s">
        <v>222</v>
      </c>
      <c r="C81" s="19">
        <v>4.25</v>
      </c>
      <c r="D81" s="19" t="s">
        <v>353</v>
      </c>
      <c r="E81" s="19" t="s">
        <v>598</v>
      </c>
      <c r="F81" s="19" t="s">
        <v>504</v>
      </c>
      <c r="G81" s="19" t="s">
        <v>599</v>
      </c>
      <c r="H81" s="19" t="s">
        <v>600</v>
      </c>
      <c r="I81" s="19" t="s">
        <v>313</v>
      </c>
      <c r="J81" s="19" t="s">
        <v>313</v>
      </c>
      <c r="K81" s="19" t="s">
        <v>313</v>
      </c>
      <c r="L81" s="20" t="s">
        <v>571</v>
      </c>
      <c r="M81" s="19">
        <v>81</v>
      </c>
      <c r="N81" s="19" t="s">
        <v>601</v>
      </c>
      <c r="O81" s="16" t="s">
        <v>58</v>
      </c>
      <c r="P81" s="16" t="s">
        <v>58</v>
      </c>
      <c r="Q81" s="19">
        <v>1053</v>
      </c>
      <c r="R81" s="19" t="s">
        <v>350</v>
      </c>
      <c r="S81" s="16"/>
      <c r="T81" s="19" t="s">
        <v>313</v>
      </c>
      <c r="U81" s="19" t="s">
        <v>317</v>
      </c>
      <c r="V81" s="16" t="s">
        <v>58</v>
      </c>
      <c r="W81" s="16" t="s">
        <v>58</v>
      </c>
      <c r="X81" s="19" t="s">
        <v>398</v>
      </c>
      <c r="Y81" s="19">
        <v>3</v>
      </c>
      <c r="Z81" s="19" t="s">
        <v>118</v>
      </c>
      <c r="AA81" s="16" t="s">
        <v>58</v>
      </c>
      <c r="AB81" s="19" t="s">
        <v>480</v>
      </c>
      <c r="AC81" s="16"/>
      <c r="AD81" s="16"/>
      <c r="AE81" s="19" t="s">
        <v>364</v>
      </c>
      <c r="AF81" s="16" t="s">
        <v>58</v>
      </c>
      <c r="AG81" s="16" t="s">
        <v>58</v>
      </c>
      <c r="AH81" s="16" t="s">
        <v>58</v>
      </c>
      <c r="AI81" s="16"/>
      <c r="AJ81" s="16"/>
    </row>
    <row r="82" spans="1:36" ht="96">
      <c r="A82" s="16" t="s">
        <v>223</v>
      </c>
      <c r="B82" s="19" t="s">
        <v>224</v>
      </c>
      <c r="C82" s="19">
        <v>3.5</v>
      </c>
      <c r="D82" s="19" t="s">
        <v>330</v>
      </c>
      <c r="E82" s="19" t="s">
        <v>602</v>
      </c>
      <c r="F82" s="19" t="s">
        <v>439</v>
      </c>
      <c r="G82" s="19" t="s">
        <v>603</v>
      </c>
      <c r="H82" s="19" t="s">
        <v>313</v>
      </c>
      <c r="I82" s="19" t="s">
        <v>313</v>
      </c>
      <c r="J82" s="19" t="s">
        <v>313</v>
      </c>
      <c r="K82" s="19" t="s">
        <v>313</v>
      </c>
      <c r="L82" s="20" t="s">
        <v>571</v>
      </c>
      <c r="M82" s="19">
        <v>71</v>
      </c>
      <c r="N82" s="19" t="s">
        <v>604</v>
      </c>
      <c r="O82" s="16" t="s">
        <v>58</v>
      </c>
      <c r="P82" s="16" t="s">
        <v>58</v>
      </c>
      <c r="Q82" s="19">
        <v>1344</v>
      </c>
      <c r="R82" s="19" t="s">
        <v>350</v>
      </c>
      <c r="S82" s="16"/>
      <c r="T82" s="19" t="s">
        <v>313</v>
      </c>
      <c r="U82" s="19" t="s">
        <v>317</v>
      </c>
      <c r="V82" s="16" t="s">
        <v>58</v>
      </c>
      <c r="W82" s="16" t="s">
        <v>58</v>
      </c>
      <c r="X82" s="19" t="s">
        <v>337</v>
      </c>
      <c r="Y82" s="19">
        <v>0</v>
      </c>
      <c r="Z82" s="19" t="s">
        <v>321</v>
      </c>
      <c r="AA82" s="16" t="s">
        <v>58</v>
      </c>
      <c r="AB82" s="19" t="s">
        <v>480</v>
      </c>
      <c r="AC82" s="16"/>
      <c r="AD82" s="16"/>
      <c r="AE82" s="19" t="s">
        <v>364</v>
      </c>
      <c r="AF82" s="16" t="s">
        <v>58</v>
      </c>
      <c r="AG82" s="16" t="s">
        <v>58</v>
      </c>
      <c r="AH82" s="16" t="s">
        <v>58</v>
      </c>
      <c r="AI82" s="16"/>
      <c r="AJ82" s="16"/>
    </row>
    <row r="83" spans="1:36" ht="80">
      <c r="A83" s="16" t="s">
        <v>225</v>
      </c>
      <c r="B83" s="19" t="s">
        <v>226</v>
      </c>
      <c r="C83" s="19">
        <v>3.5</v>
      </c>
      <c r="D83" s="19" t="s">
        <v>310</v>
      </c>
      <c r="E83" s="19" t="s">
        <v>597</v>
      </c>
      <c r="F83" s="19" t="s">
        <v>439</v>
      </c>
      <c r="G83" s="19" t="s">
        <v>313</v>
      </c>
      <c r="H83" s="19" t="s">
        <v>313</v>
      </c>
      <c r="I83" s="19" t="s">
        <v>313</v>
      </c>
      <c r="J83" s="19" t="s">
        <v>313</v>
      </c>
      <c r="K83" s="19" t="s">
        <v>313</v>
      </c>
      <c r="L83" s="20" t="s">
        <v>605</v>
      </c>
      <c r="M83" s="19">
        <v>73</v>
      </c>
      <c r="N83" s="19" t="s">
        <v>606</v>
      </c>
      <c r="O83" s="16" t="s">
        <v>58</v>
      </c>
      <c r="P83" s="16" t="s">
        <v>58</v>
      </c>
      <c r="Q83" s="19">
        <v>1189</v>
      </c>
      <c r="R83" s="19" t="s">
        <v>316</v>
      </c>
      <c r="S83" s="16"/>
      <c r="T83" s="19" t="s">
        <v>313</v>
      </c>
      <c r="U83" s="19" t="s">
        <v>317</v>
      </c>
      <c r="V83" s="16" t="s">
        <v>58</v>
      </c>
      <c r="W83" s="16" t="s">
        <v>58</v>
      </c>
      <c r="X83" s="19" t="s">
        <v>398</v>
      </c>
      <c r="Y83" s="19">
        <v>3</v>
      </c>
      <c r="Z83" s="19" t="s">
        <v>118</v>
      </c>
      <c r="AA83" s="16" t="s">
        <v>58</v>
      </c>
      <c r="AB83" s="19" t="s">
        <v>480</v>
      </c>
      <c r="AC83" s="16"/>
      <c r="AD83" s="16"/>
      <c r="AE83" s="19" t="s">
        <v>69</v>
      </c>
      <c r="AF83" s="16" t="s">
        <v>58</v>
      </c>
      <c r="AG83" s="16" t="s">
        <v>58</v>
      </c>
      <c r="AH83" s="16" t="s">
        <v>58</v>
      </c>
      <c r="AI83" s="16"/>
      <c r="AJ83" s="16"/>
    </row>
    <row r="84" spans="1:36" ht="192">
      <c r="A84" s="16" t="s">
        <v>227</v>
      </c>
      <c r="B84" s="19" t="s">
        <v>228</v>
      </c>
      <c r="C84" s="19">
        <v>3.67</v>
      </c>
      <c r="D84" s="19" t="s">
        <v>330</v>
      </c>
      <c r="E84" s="19" t="s">
        <v>429</v>
      </c>
      <c r="F84" s="19" t="s">
        <v>81</v>
      </c>
      <c r="G84" s="19" t="s">
        <v>607</v>
      </c>
      <c r="H84" s="19" t="s">
        <v>608</v>
      </c>
      <c r="I84" s="19" t="s">
        <v>609</v>
      </c>
      <c r="J84" s="19" t="s">
        <v>504</v>
      </c>
      <c r="K84" s="19" t="s">
        <v>313</v>
      </c>
      <c r="L84" s="20" t="s">
        <v>605</v>
      </c>
      <c r="M84" s="19">
        <v>92</v>
      </c>
      <c r="N84" s="19" t="s">
        <v>610</v>
      </c>
      <c r="O84" s="16" t="s">
        <v>58</v>
      </c>
      <c r="P84" s="16" t="s">
        <v>58</v>
      </c>
      <c r="Q84" s="19">
        <v>1224</v>
      </c>
      <c r="R84" s="19" t="s">
        <v>374</v>
      </c>
      <c r="S84" s="16"/>
      <c r="T84" s="19" t="s">
        <v>432</v>
      </c>
      <c r="U84" s="19" t="s">
        <v>520</v>
      </c>
      <c r="V84" s="16" t="s">
        <v>58</v>
      </c>
      <c r="W84" s="16" t="s">
        <v>58</v>
      </c>
      <c r="X84" s="19" t="s">
        <v>329</v>
      </c>
      <c r="Y84" s="19">
        <v>0</v>
      </c>
      <c r="Z84" s="19" t="s">
        <v>321</v>
      </c>
      <c r="AA84" s="16" t="s">
        <v>58</v>
      </c>
      <c r="AB84" s="19" t="s">
        <v>493</v>
      </c>
      <c r="AC84" s="16"/>
      <c r="AD84" s="16"/>
      <c r="AE84" s="19" t="s">
        <v>69</v>
      </c>
      <c r="AF84" s="16" t="s">
        <v>58</v>
      </c>
      <c r="AG84" s="16" t="s">
        <v>58</v>
      </c>
      <c r="AH84" s="16" t="s">
        <v>58</v>
      </c>
      <c r="AI84" s="16"/>
      <c r="AJ84" s="16"/>
    </row>
    <row r="85" spans="1:36" ht="160">
      <c r="A85" s="16" t="s">
        <v>229</v>
      </c>
      <c r="B85" s="19" t="s">
        <v>230</v>
      </c>
      <c r="C85" s="19">
        <v>3.87</v>
      </c>
      <c r="D85" s="19" t="s">
        <v>611</v>
      </c>
      <c r="E85" s="19" t="s">
        <v>372</v>
      </c>
      <c r="F85" s="19" t="s">
        <v>564</v>
      </c>
      <c r="G85" s="19" t="s">
        <v>313</v>
      </c>
      <c r="H85" s="19" t="s">
        <v>313</v>
      </c>
      <c r="I85" s="19" t="s">
        <v>313</v>
      </c>
      <c r="J85" s="19" t="s">
        <v>313</v>
      </c>
      <c r="K85" s="19" t="s">
        <v>313</v>
      </c>
      <c r="L85" s="20" t="s">
        <v>605</v>
      </c>
      <c r="M85" s="19">
        <v>100</v>
      </c>
      <c r="N85" s="19" t="s">
        <v>612</v>
      </c>
      <c r="O85" s="16" t="s">
        <v>58</v>
      </c>
      <c r="P85" s="16" t="s">
        <v>58</v>
      </c>
      <c r="Q85" s="19">
        <v>1274</v>
      </c>
      <c r="R85" s="19" t="s">
        <v>350</v>
      </c>
      <c r="S85" s="16"/>
      <c r="T85" s="19" t="s">
        <v>313</v>
      </c>
      <c r="U85" s="19" t="s">
        <v>317</v>
      </c>
      <c r="V85" s="16" t="s">
        <v>58</v>
      </c>
      <c r="W85" s="16" t="s">
        <v>58</v>
      </c>
      <c r="X85" s="19" t="s">
        <v>337</v>
      </c>
      <c r="Y85" s="19">
        <v>0</v>
      </c>
      <c r="Z85" s="19" t="s">
        <v>321</v>
      </c>
      <c r="AA85" s="16" t="s">
        <v>58</v>
      </c>
      <c r="AB85" s="19" t="s">
        <v>480</v>
      </c>
      <c r="AC85" s="16"/>
      <c r="AD85" s="16"/>
      <c r="AE85" s="19" t="s">
        <v>60</v>
      </c>
      <c r="AF85" s="16" t="s">
        <v>58</v>
      </c>
      <c r="AG85" s="16" t="s">
        <v>58</v>
      </c>
      <c r="AH85" s="16" t="s">
        <v>58</v>
      </c>
      <c r="AI85" s="16"/>
      <c r="AJ85" s="16"/>
    </row>
    <row r="86" spans="1:36" ht="128">
      <c r="A86" s="16" t="s">
        <v>231</v>
      </c>
      <c r="B86" s="19" t="s">
        <v>232</v>
      </c>
      <c r="C86" s="19">
        <v>3.45</v>
      </c>
      <c r="D86" s="19" t="s">
        <v>613</v>
      </c>
      <c r="E86" s="19" t="s">
        <v>483</v>
      </c>
      <c r="F86" s="19" t="s">
        <v>340</v>
      </c>
      <c r="G86" s="19" t="s">
        <v>614</v>
      </c>
      <c r="H86" s="19" t="s">
        <v>615</v>
      </c>
      <c r="I86" s="19" t="s">
        <v>439</v>
      </c>
      <c r="J86" s="19" t="s">
        <v>616</v>
      </c>
      <c r="K86" s="19" t="s">
        <v>313</v>
      </c>
      <c r="L86" s="20" t="s">
        <v>605</v>
      </c>
      <c r="M86" s="19">
        <v>93</v>
      </c>
      <c r="N86" s="19" t="s">
        <v>617</v>
      </c>
      <c r="O86" s="16" t="s">
        <v>58</v>
      </c>
      <c r="P86" s="16" t="s">
        <v>58</v>
      </c>
      <c r="Q86" s="19">
        <v>887</v>
      </c>
      <c r="R86" s="19" t="s">
        <v>316</v>
      </c>
      <c r="S86" s="16"/>
      <c r="T86" s="19" t="s">
        <v>313</v>
      </c>
      <c r="U86" s="19" t="s">
        <v>317</v>
      </c>
      <c r="V86" s="16" t="s">
        <v>58</v>
      </c>
      <c r="W86" s="16" t="s">
        <v>58</v>
      </c>
      <c r="X86" s="19" t="s">
        <v>356</v>
      </c>
      <c r="Y86" s="19">
        <v>0</v>
      </c>
      <c r="Z86" s="19" t="s">
        <v>118</v>
      </c>
      <c r="AA86" s="16" t="s">
        <v>58</v>
      </c>
      <c r="AB86" s="19" t="s">
        <v>480</v>
      </c>
      <c r="AC86" s="16"/>
      <c r="AD86" s="16"/>
      <c r="AE86" s="19" t="s">
        <v>69</v>
      </c>
      <c r="AF86" s="16" t="s">
        <v>58</v>
      </c>
      <c r="AG86" s="16" t="s">
        <v>58</v>
      </c>
      <c r="AH86" s="16" t="s">
        <v>58</v>
      </c>
      <c r="AI86" s="16"/>
      <c r="AJ86" s="16"/>
    </row>
    <row r="87" spans="1:36" ht="160">
      <c r="A87" s="16" t="s">
        <v>233</v>
      </c>
      <c r="B87" s="19" t="s">
        <v>234</v>
      </c>
      <c r="C87" s="19">
        <v>3.83</v>
      </c>
      <c r="D87" s="19" t="s">
        <v>503</v>
      </c>
      <c r="E87" s="19" t="s">
        <v>471</v>
      </c>
      <c r="F87" s="19" t="s">
        <v>618</v>
      </c>
      <c r="G87" s="19" t="s">
        <v>619</v>
      </c>
      <c r="H87" s="19" t="s">
        <v>313</v>
      </c>
      <c r="I87" s="19" t="s">
        <v>313</v>
      </c>
      <c r="J87" s="19" t="s">
        <v>313</v>
      </c>
      <c r="K87" s="19" t="s">
        <v>313</v>
      </c>
      <c r="L87" s="20" t="s">
        <v>605</v>
      </c>
      <c r="M87" s="19">
        <v>60</v>
      </c>
      <c r="N87" s="19" t="s">
        <v>379</v>
      </c>
      <c r="O87" s="16" t="s">
        <v>58</v>
      </c>
      <c r="P87" s="16" t="s">
        <v>58</v>
      </c>
      <c r="Q87" s="19">
        <v>1282</v>
      </c>
      <c r="R87" s="19" t="s">
        <v>350</v>
      </c>
      <c r="S87" s="16"/>
      <c r="T87" s="19" t="s">
        <v>313</v>
      </c>
      <c r="U87" s="19" t="s">
        <v>317</v>
      </c>
      <c r="V87" s="16" t="s">
        <v>58</v>
      </c>
      <c r="W87" s="16" t="s">
        <v>58</v>
      </c>
      <c r="X87" s="19" t="s">
        <v>398</v>
      </c>
      <c r="Y87" s="19">
        <v>3</v>
      </c>
      <c r="Z87" s="16" t="s">
        <v>58</v>
      </c>
      <c r="AA87" s="16" t="s">
        <v>58</v>
      </c>
      <c r="AB87" s="19" t="s">
        <v>480</v>
      </c>
      <c r="AC87" s="16"/>
      <c r="AD87" s="16"/>
      <c r="AE87" s="19" t="s">
        <v>60</v>
      </c>
      <c r="AF87" s="16" t="s">
        <v>58</v>
      </c>
      <c r="AG87" s="16" t="s">
        <v>58</v>
      </c>
      <c r="AH87" s="16" t="s">
        <v>58</v>
      </c>
      <c r="AI87" s="16"/>
      <c r="AJ87" s="16"/>
    </row>
    <row r="88" spans="1:36" ht="160">
      <c r="A88" s="16" t="s">
        <v>235</v>
      </c>
      <c r="B88" s="19" t="s">
        <v>236</v>
      </c>
      <c r="C88" s="19">
        <v>4.07</v>
      </c>
      <c r="D88" s="19" t="s">
        <v>310</v>
      </c>
      <c r="E88" s="19" t="s">
        <v>600</v>
      </c>
      <c r="F88" s="19" t="s">
        <v>620</v>
      </c>
      <c r="G88" s="19" t="s">
        <v>618</v>
      </c>
      <c r="H88" s="19" t="s">
        <v>313</v>
      </c>
      <c r="I88" s="19" t="s">
        <v>313</v>
      </c>
      <c r="J88" s="19" t="s">
        <v>313</v>
      </c>
      <c r="K88" s="19" t="s">
        <v>313</v>
      </c>
      <c r="L88" s="20" t="s">
        <v>605</v>
      </c>
      <c r="M88" s="19">
        <v>84</v>
      </c>
      <c r="N88" s="19" t="s">
        <v>621</v>
      </c>
      <c r="O88" s="16" t="s">
        <v>58</v>
      </c>
      <c r="P88" s="16" t="s">
        <v>58</v>
      </c>
      <c r="Q88" s="19">
        <v>1220</v>
      </c>
      <c r="R88" s="19" t="s">
        <v>374</v>
      </c>
      <c r="S88" s="16"/>
      <c r="T88" s="19" t="s">
        <v>313</v>
      </c>
      <c r="U88" s="19" t="s">
        <v>317</v>
      </c>
      <c r="V88" s="16" t="s">
        <v>58</v>
      </c>
      <c r="W88" s="16" t="s">
        <v>58</v>
      </c>
      <c r="X88" s="19" t="s">
        <v>398</v>
      </c>
      <c r="Y88" s="19">
        <v>3</v>
      </c>
      <c r="Z88" s="19" t="s">
        <v>321</v>
      </c>
      <c r="AA88" s="16" t="s">
        <v>58</v>
      </c>
      <c r="AB88" s="19" t="s">
        <v>480</v>
      </c>
      <c r="AC88" s="16"/>
      <c r="AD88" s="16"/>
      <c r="AE88" s="19" t="s">
        <v>60</v>
      </c>
      <c r="AF88" s="16" t="s">
        <v>58</v>
      </c>
      <c r="AG88" s="16" t="s">
        <v>58</v>
      </c>
      <c r="AH88" s="16" t="s">
        <v>58</v>
      </c>
      <c r="AI88" s="16"/>
      <c r="AJ88" s="16"/>
    </row>
    <row r="89" spans="1:36" ht="96">
      <c r="A89" s="16" t="s">
        <v>237</v>
      </c>
      <c r="B89" s="19" t="s">
        <v>238</v>
      </c>
      <c r="C89" s="19">
        <v>3.83</v>
      </c>
      <c r="D89" s="19" t="s">
        <v>522</v>
      </c>
      <c r="E89" s="19" t="s">
        <v>340</v>
      </c>
      <c r="F89" s="19" t="s">
        <v>429</v>
      </c>
      <c r="G89" s="19" t="s">
        <v>313</v>
      </c>
      <c r="H89" s="19" t="s">
        <v>313</v>
      </c>
      <c r="I89" s="19" t="s">
        <v>313</v>
      </c>
      <c r="J89" s="19" t="s">
        <v>313</v>
      </c>
      <c r="K89" s="19" t="s">
        <v>313</v>
      </c>
      <c r="L89" s="20" t="s">
        <v>605</v>
      </c>
      <c r="M89" s="19">
        <v>81</v>
      </c>
      <c r="N89" s="19" t="s">
        <v>622</v>
      </c>
      <c r="O89" s="16" t="s">
        <v>58</v>
      </c>
      <c r="P89" s="16" t="s">
        <v>58</v>
      </c>
      <c r="Q89" s="19">
        <v>1251</v>
      </c>
      <c r="R89" s="19" t="s">
        <v>350</v>
      </c>
      <c r="S89" s="16"/>
      <c r="T89" s="19" t="s">
        <v>432</v>
      </c>
      <c r="U89" s="19" t="s">
        <v>342</v>
      </c>
      <c r="V89" s="16" t="s">
        <v>58</v>
      </c>
      <c r="W89" s="16" t="s">
        <v>58</v>
      </c>
      <c r="X89" s="19" t="s">
        <v>398</v>
      </c>
      <c r="Y89" s="19">
        <v>2</v>
      </c>
      <c r="Z89" s="19" t="s">
        <v>321</v>
      </c>
      <c r="AA89" s="16" t="s">
        <v>58</v>
      </c>
      <c r="AB89" s="19" t="s">
        <v>493</v>
      </c>
      <c r="AC89" s="16"/>
      <c r="AD89" s="16"/>
      <c r="AE89" s="19" t="s">
        <v>69</v>
      </c>
      <c r="AF89" s="16" t="s">
        <v>58</v>
      </c>
      <c r="AG89" s="16" t="s">
        <v>58</v>
      </c>
      <c r="AH89" s="16" t="s">
        <v>58</v>
      </c>
      <c r="AI89" s="16"/>
      <c r="AJ89" s="16"/>
    </row>
    <row r="90" spans="1:36" ht="128">
      <c r="A90" s="16" t="s">
        <v>239</v>
      </c>
      <c r="B90" s="19" t="s">
        <v>240</v>
      </c>
      <c r="C90" s="19">
        <v>2.75</v>
      </c>
      <c r="D90" s="19" t="s">
        <v>330</v>
      </c>
      <c r="E90" s="19" t="s">
        <v>81</v>
      </c>
      <c r="F90" s="19" t="s">
        <v>623</v>
      </c>
      <c r="G90" s="19" t="s">
        <v>624</v>
      </c>
      <c r="H90" s="19" t="s">
        <v>313</v>
      </c>
      <c r="I90" s="19" t="s">
        <v>313</v>
      </c>
      <c r="J90" s="19" t="s">
        <v>313</v>
      </c>
      <c r="K90" s="19" t="s">
        <v>313</v>
      </c>
      <c r="L90" s="20" t="s">
        <v>605</v>
      </c>
      <c r="M90" s="19">
        <v>94</v>
      </c>
      <c r="N90" s="19" t="s">
        <v>617</v>
      </c>
      <c r="O90" s="16" t="s">
        <v>58</v>
      </c>
      <c r="P90" s="16" t="s">
        <v>58</v>
      </c>
      <c r="Q90" s="19">
        <v>1201</v>
      </c>
      <c r="R90" s="19" t="s">
        <v>374</v>
      </c>
      <c r="S90" s="16"/>
      <c r="T90" s="19" t="s">
        <v>313</v>
      </c>
      <c r="U90" s="19" t="s">
        <v>317</v>
      </c>
      <c r="V90" s="16" t="s">
        <v>58</v>
      </c>
      <c r="W90" s="16" t="s">
        <v>58</v>
      </c>
      <c r="X90" s="19" t="s">
        <v>329</v>
      </c>
      <c r="Y90" s="19">
        <v>0</v>
      </c>
      <c r="Z90" s="19" t="s">
        <v>118</v>
      </c>
      <c r="AA90" s="16" t="s">
        <v>58</v>
      </c>
      <c r="AB90" s="19" t="s">
        <v>480</v>
      </c>
      <c r="AC90" s="16"/>
      <c r="AD90" s="16"/>
      <c r="AE90" s="19" t="s">
        <v>69</v>
      </c>
      <c r="AF90" s="16" t="s">
        <v>58</v>
      </c>
      <c r="AG90" s="16" t="s">
        <v>58</v>
      </c>
      <c r="AH90" s="16" t="s">
        <v>58</v>
      </c>
      <c r="AI90" s="16"/>
      <c r="AJ90" s="16"/>
    </row>
    <row r="91" spans="1:36" ht="96">
      <c r="A91" s="16" t="s">
        <v>241</v>
      </c>
      <c r="B91" s="19" t="s">
        <v>242</v>
      </c>
      <c r="C91" s="19">
        <v>2.65</v>
      </c>
      <c r="D91" s="19" t="s">
        <v>310</v>
      </c>
      <c r="E91" s="19" t="s">
        <v>429</v>
      </c>
      <c r="F91" s="19" t="s">
        <v>625</v>
      </c>
      <c r="G91" s="19" t="s">
        <v>313</v>
      </c>
      <c r="H91" s="19" t="s">
        <v>313</v>
      </c>
      <c r="I91" s="19" t="s">
        <v>313</v>
      </c>
      <c r="J91" s="19" t="s">
        <v>313</v>
      </c>
      <c r="K91" s="19" t="s">
        <v>313</v>
      </c>
      <c r="L91" s="20" t="s">
        <v>605</v>
      </c>
      <c r="M91" s="19">
        <v>72</v>
      </c>
      <c r="N91" s="19" t="s">
        <v>59</v>
      </c>
      <c r="O91" s="16" t="s">
        <v>58</v>
      </c>
      <c r="P91" s="16" t="s">
        <v>58</v>
      </c>
      <c r="Q91" s="19">
        <v>1375</v>
      </c>
      <c r="R91" s="19" t="s">
        <v>350</v>
      </c>
      <c r="S91" s="16"/>
      <c r="T91" s="19" t="s">
        <v>334</v>
      </c>
      <c r="U91" s="19" t="s">
        <v>352</v>
      </c>
      <c r="V91" s="16" t="s">
        <v>58</v>
      </c>
      <c r="W91" s="16" t="s">
        <v>58</v>
      </c>
      <c r="X91" s="19" t="s">
        <v>398</v>
      </c>
      <c r="Y91" s="19">
        <v>3</v>
      </c>
      <c r="Z91" s="19" t="s">
        <v>321</v>
      </c>
      <c r="AA91" s="16" t="s">
        <v>58</v>
      </c>
      <c r="AB91" s="19" t="s">
        <v>493</v>
      </c>
      <c r="AC91" s="16"/>
      <c r="AD91" s="16"/>
      <c r="AE91" s="19" t="s">
        <v>69</v>
      </c>
      <c r="AF91" s="16" t="s">
        <v>58</v>
      </c>
      <c r="AG91" s="16" t="s">
        <v>58</v>
      </c>
      <c r="AH91" s="16" t="s">
        <v>58</v>
      </c>
      <c r="AI91" s="16"/>
      <c r="AJ91" s="16"/>
    </row>
    <row r="92" spans="1:36" ht="96">
      <c r="A92" s="16" t="s">
        <v>243</v>
      </c>
      <c r="B92" s="19" t="s">
        <v>244</v>
      </c>
      <c r="C92" s="19">
        <v>5.4</v>
      </c>
      <c r="D92" s="19" t="s">
        <v>527</v>
      </c>
      <c r="E92" s="19" t="s">
        <v>429</v>
      </c>
      <c r="F92" s="19" t="s">
        <v>81</v>
      </c>
      <c r="G92" s="19" t="s">
        <v>313</v>
      </c>
      <c r="H92" s="19" t="s">
        <v>313</v>
      </c>
      <c r="I92" s="19" t="s">
        <v>313</v>
      </c>
      <c r="J92" s="19" t="s">
        <v>313</v>
      </c>
      <c r="K92" s="19" t="s">
        <v>313</v>
      </c>
      <c r="L92" s="20" t="s">
        <v>626</v>
      </c>
      <c r="M92" s="19">
        <v>90</v>
      </c>
      <c r="N92" s="19" t="s">
        <v>379</v>
      </c>
      <c r="O92" s="16" t="s">
        <v>58</v>
      </c>
      <c r="P92" s="16" t="s">
        <v>58</v>
      </c>
      <c r="Q92" s="19">
        <v>1217</v>
      </c>
      <c r="R92" s="19" t="s">
        <v>374</v>
      </c>
      <c r="S92" s="16"/>
      <c r="T92" s="19" t="s">
        <v>432</v>
      </c>
      <c r="U92" s="16" t="s">
        <v>58</v>
      </c>
      <c r="V92" s="16" t="s">
        <v>58</v>
      </c>
      <c r="W92" s="16" t="s">
        <v>58</v>
      </c>
      <c r="X92" s="16" t="s">
        <v>58</v>
      </c>
      <c r="Y92" s="19"/>
      <c r="Z92" s="19" t="s">
        <v>321</v>
      </c>
      <c r="AA92" s="16" t="s">
        <v>58</v>
      </c>
      <c r="AB92" s="16"/>
      <c r="AC92" s="16"/>
      <c r="AD92" s="16"/>
      <c r="AE92" s="19" t="s">
        <v>69</v>
      </c>
      <c r="AF92" s="16" t="s">
        <v>58</v>
      </c>
      <c r="AG92" s="16" t="s">
        <v>58</v>
      </c>
      <c r="AH92" s="16" t="s">
        <v>58</v>
      </c>
      <c r="AI92" s="16"/>
      <c r="AJ92" s="16"/>
    </row>
    <row r="93" spans="1:36" ht="144">
      <c r="A93" s="16" t="s">
        <v>245</v>
      </c>
      <c r="B93" s="19" t="s">
        <v>246</v>
      </c>
      <c r="C93" s="19">
        <v>2.16</v>
      </c>
      <c r="D93" s="19" t="s">
        <v>330</v>
      </c>
      <c r="E93" s="19" t="s">
        <v>331</v>
      </c>
      <c r="F93" s="19" t="s">
        <v>627</v>
      </c>
      <c r="G93" s="19" t="s">
        <v>313</v>
      </c>
      <c r="H93" s="19" t="s">
        <v>313</v>
      </c>
      <c r="I93" s="19" t="s">
        <v>313</v>
      </c>
      <c r="J93" s="19" t="s">
        <v>313</v>
      </c>
      <c r="K93" s="19" t="s">
        <v>313</v>
      </c>
      <c r="L93" s="20" t="s">
        <v>628</v>
      </c>
      <c r="M93" s="19">
        <v>69</v>
      </c>
      <c r="N93" s="19" t="s">
        <v>629</v>
      </c>
      <c r="O93" s="16" t="s">
        <v>58</v>
      </c>
      <c r="P93" s="16" t="s">
        <v>58</v>
      </c>
      <c r="Q93" s="19">
        <v>1220</v>
      </c>
      <c r="R93" s="19" t="s">
        <v>388</v>
      </c>
      <c r="S93" s="16"/>
      <c r="T93" s="19" t="s">
        <v>351</v>
      </c>
      <c r="U93" s="19" t="s">
        <v>352</v>
      </c>
      <c r="V93" s="16" t="s">
        <v>58</v>
      </c>
      <c r="W93" s="16" t="s">
        <v>58</v>
      </c>
      <c r="X93" s="19" t="s">
        <v>337</v>
      </c>
      <c r="Y93" s="19">
        <v>0</v>
      </c>
      <c r="Z93" s="19" t="s">
        <v>321</v>
      </c>
      <c r="AA93" s="16" t="s">
        <v>58</v>
      </c>
      <c r="AB93" s="16"/>
      <c r="AC93" s="16"/>
      <c r="AD93" s="16"/>
      <c r="AE93" s="16" t="s">
        <v>58</v>
      </c>
      <c r="AF93" s="16" t="s">
        <v>58</v>
      </c>
      <c r="AG93" s="19" t="s">
        <v>322</v>
      </c>
      <c r="AH93" s="16" t="s">
        <v>58</v>
      </c>
      <c r="AI93" s="16"/>
      <c r="AJ93" s="16"/>
    </row>
    <row r="94" spans="1:36" ht="64">
      <c r="A94" s="16" t="s">
        <v>247</v>
      </c>
      <c r="B94" s="19" t="s">
        <v>248</v>
      </c>
      <c r="C94" s="19">
        <v>2.5</v>
      </c>
      <c r="D94" s="19" t="s">
        <v>330</v>
      </c>
      <c r="E94" s="19" t="s">
        <v>331</v>
      </c>
      <c r="F94" s="19" t="s">
        <v>445</v>
      </c>
      <c r="G94" s="19" t="s">
        <v>630</v>
      </c>
      <c r="H94" s="19" t="s">
        <v>313</v>
      </c>
      <c r="I94" s="19" t="s">
        <v>313</v>
      </c>
      <c r="J94" s="19" t="s">
        <v>313</v>
      </c>
      <c r="K94" s="19" t="s">
        <v>313</v>
      </c>
      <c r="L94" s="20" t="s">
        <v>628</v>
      </c>
      <c r="M94" s="19">
        <v>84</v>
      </c>
      <c r="N94" s="19" t="s">
        <v>631</v>
      </c>
      <c r="O94" s="16" t="s">
        <v>58</v>
      </c>
      <c r="P94" s="16" t="s">
        <v>58</v>
      </c>
      <c r="Q94" s="19">
        <v>1225</v>
      </c>
      <c r="R94" s="19" t="s">
        <v>350</v>
      </c>
      <c r="S94" s="16"/>
      <c r="T94" s="19" t="s">
        <v>334</v>
      </c>
      <c r="U94" s="19" t="s">
        <v>342</v>
      </c>
      <c r="V94" s="16" t="s">
        <v>58</v>
      </c>
      <c r="W94" s="16" t="s">
        <v>58</v>
      </c>
      <c r="X94" s="19" t="s">
        <v>320</v>
      </c>
      <c r="Y94" s="19">
        <v>0</v>
      </c>
      <c r="Z94" s="19" t="s">
        <v>321</v>
      </c>
      <c r="AA94" s="16" t="s">
        <v>58</v>
      </c>
      <c r="AB94" s="16"/>
      <c r="AC94" s="16"/>
      <c r="AD94" s="16"/>
      <c r="AE94" s="16" t="s">
        <v>58</v>
      </c>
      <c r="AF94" s="16" t="s">
        <v>58</v>
      </c>
      <c r="AG94" s="19" t="s">
        <v>322</v>
      </c>
      <c r="AH94" s="16" t="s">
        <v>58</v>
      </c>
      <c r="AI94" s="16"/>
      <c r="AJ94" s="16"/>
    </row>
    <row r="95" spans="1:36" ht="80">
      <c r="A95" s="16" t="s">
        <v>249</v>
      </c>
      <c r="B95" s="19" t="s">
        <v>250</v>
      </c>
      <c r="C95" s="19">
        <v>2</v>
      </c>
      <c r="D95" s="19" t="s">
        <v>330</v>
      </c>
      <c r="E95" s="19" t="s">
        <v>632</v>
      </c>
      <c r="F95" s="19" t="s">
        <v>331</v>
      </c>
      <c r="G95" s="19" t="s">
        <v>633</v>
      </c>
      <c r="H95" s="19" t="s">
        <v>313</v>
      </c>
      <c r="I95" s="19" t="s">
        <v>313</v>
      </c>
      <c r="J95" s="19" t="s">
        <v>313</v>
      </c>
      <c r="K95" s="19" t="s">
        <v>313</v>
      </c>
      <c r="L95" s="20" t="s">
        <v>628</v>
      </c>
      <c r="M95" s="19">
        <v>74</v>
      </c>
      <c r="N95" s="19" t="s">
        <v>610</v>
      </c>
      <c r="O95" s="16" t="s">
        <v>58</v>
      </c>
      <c r="P95" s="16" t="s">
        <v>58</v>
      </c>
      <c r="Q95" s="19">
        <v>1340</v>
      </c>
      <c r="R95" s="19" t="s">
        <v>374</v>
      </c>
      <c r="S95" s="16"/>
      <c r="T95" s="19" t="s">
        <v>334</v>
      </c>
      <c r="U95" s="19" t="s">
        <v>342</v>
      </c>
      <c r="V95" s="16" t="s">
        <v>58</v>
      </c>
      <c r="W95" s="16" t="s">
        <v>58</v>
      </c>
      <c r="X95" s="19" t="s">
        <v>329</v>
      </c>
      <c r="Y95" s="19">
        <v>2</v>
      </c>
      <c r="Z95" s="19" t="s">
        <v>321</v>
      </c>
      <c r="AA95" s="16" t="s">
        <v>58</v>
      </c>
      <c r="AB95" s="16"/>
      <c r="AC95" s="16"/>
      <c r="AD95" s="16"/>
      <c r="AE95" s="16" t="s">
        <v>58</v>
      </c>
      <c r="AF95" s="16" t="s">
        <v>58</v>
      </c>
      <c r="AG95" s="19" t="s">
        <v>338</v>
      </c>
      <c r="AH95" s="16" t="s">
        <v>58</v>
      </c>
      <c r="AI95" s="16"/>
      <c r="AJ95" s="1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4C2C3-17D7-ED43-8BA2-536DBD086A89}">
  <dimension ref="A1:AK536"/>
  <sheetViews>
    <sheetView topLeftCell="A480" workbookViewId="0">
      <selection activeCell="A444" sqref="A444"/>
    </sheetView>
  </sheetViews>
  <sheetFormatPr baseColWidth="10" defaultRowHeight="16"/>
  <cols>
    <col min="1" max="1" width="33.1640625" customWidth="1"/>
    <col min="2" max="2" width="15" customWidth="1"/>
    <col min="34" max="34" width="21.33203125" customWidth="1"/>
    <col min="36" max="36" width="38" customWidth="1"/>
  </cols>
  <sheetData>
    <row r="1" spans="1:37">
      <c r="A1" s="22" t="s">
        <v>634</v>
      </c>
      <c r="B1" s="22" t="s">
        <v>635</v>
      </c>
      <c r="C1" s="22" t="s">
        <v>251</v>
      </c>
      <c r="D1" s="22" t="s">
        <v>636</v>
      </c>
      <c r="E1" s="22" t="s">
        <v>637</v>
      </c>
      <c r="F1" s="22" t="s">
        <v>638</v>
      </c>
      <c r="G1" s="22" t="s">
        <v>639</v>
      </c>
      <c r="H1" s="22" t="s">
        <v>640</v>
      </c>
      <c r="I1" s="22" t="s">
        <v>641</v>
      </c>
      <c r="J1" s="22" t="s">
        <v>642</v>
      </c>
      <c r="K1" s="22" t="s">
        <v>643</v>
      </c>
      <c r="L1" s="22" t="s">
        <v>644</v>
      </c>
      <c r="M1" s="22" t="s">
        <v>645</v>
      </c>
      <c r="N1" s="22" t="s">
        <v>646</v>
      </c>
      <c r="O1" s="22" t="s">
        <v>647</v>
      </c>
      <c r="P1" s="22" t="s">
        <v>648</v>
      </c>
      <c r="Q1" s="22" t="s">
        <v>649</v>
      </c>
      <c r="R1" s="22" t="s">
        <v>48</v>
      </c>
      <c r="S1" s="22" t="s">
        <v>650</v>
      </c>
      <c r="T1" s="22" t="s">
        <v>651</v>
      </c>
      <c r="U1" s="22" t="s">
        <v>652</v>
      </c>
      <c r="V1" s="22" t="s">
        <v>653</v>
      </c>
      <c r="W1" s="22" t="s">
        <v>654</v>
      </c>
      <c r="X1" s="22" t="s">
        <v>655</v>
      </c>
      <c r="Y1" s="22" t="s">
        <v>656</v>
      </c>
      <c r="Z1" s="22" t="s">
        <v>657</v>
      </c>
      <c r="AA1" s="22" t="s">
        <v>658</v>
      </c>
      <c r="AB1" s="22" t="s">
        <v>659</v>
      </c>
      <c r="AC1" s="22" t="s">
        <v>660</v>
      </c>
      <c r="AD1" s="22" t="s">
        <v>661</v>
      </c>
      <c r="AE1" s="22" t="s">
        <v>662</v>
      </c>
      <c r="AF1" s="22" t="s">
        <v>663</v>
      </c>
      <c r="AG1" s="22" t="s">
        <v>664</v>
      </c>
      <c r="AH1" s="22" t="s">
        <v>1263</v>
      </c>
      <c r="AI1" s="4" t="s">
        <v>1270</v>
      </c>
      <c r="AJ1" s="4" t="s">
        <v>1271</v>
      </c>
      <c r="AK1" s="4" t="s">
        <v>1272</v>
      </c>
    </row>
    <row r="2" spans="1:37">
      <c r="A2" s="22" t="s">
        <v>665</v>
      </c>
      <c r="B2" s="22" t="s">
        <v>52</v>
      </c>
      <c r="C2" s="22" t="s">
        <v>52</v>
      </c>
      <c r="D2" s="22" t="s">
        <v>666</v>
      </c>
      <c r="E2" s="22">
        <v>1</v>
      </c>
      <c r="F2" s="22">
        <v>0</v>
      </c>
      <c r="G2" s="22" t="s">
        <v>667</v>
      </c>
      <c r="H2" s="22" t="s">
        <v>668</v>
      </c>
      <c r="I2" s="22" t="s">
        <v>669</v>
      </c>
      <c r="J2" s="22" t="s">
        <v>670</v>
      </c>
      <c r="K2" s="22" t="s">
        <v>671</v>
      </c>
      <c r="L2" s="22" t="s">
        <v>669</v>
      </c>
      <c r="M2" s="22" t="s">
        <v>672</v>
      </c>
      <c r="N2" s="22">
        <v>8.9</v>
      </c>
      <c r="O2" s="22">
        <v>8.9</v>
      </c>
      <c r="P2" s="22" t="s">
        <v>673</v>
      </c>
      <c r="Q2" s="22">
        <v>50600</v>
      </c>
      <c r="R2" s="22" t="s">
        <v>674</v>
      </c>
      <c r="S2" s="22" t="s">
        <v>675</v>
      </c>
      <c r="T2" s="22">
        <v>120</v>
      </c>
      <c r="U2" s="22" t="s">
        <v>676</v>
      </c>
      <c r="V2" s="22"/>
      <c r="W2" s="22"/>
      <c r="X2" s="22"/>
      <c r="Y2" s="22"/>
      <c r="Z2" s="22"/>
      <c r="AA2" s="22"/>
      <c r="AB2" s="22"/>
      <c r="AC2" s="22" t="s">
        <v>677</v>
      </c>
      <c r="AD2" s="22"/>
      <c r="AE2" s="22"/>
      <c r="AF2" s="22"/>
      <c r="AG2" s="22"/>
      <c r="AH2" s="33" t="s">
        <v>23</v>
      </c>
      <c r="AI2" s="23" t="s">
        <v>49</v>
      </c>
      <c r="AJ2" s="33" t="str">
        <f>_xlfn.CONCAT(AH2,"/samples/",A2,".h5")</f>
        <v>PD5D_MTG_snRNAseq/samples/PD_BN0009_MTG_snRNAseq_batch1_rep1.h5</v>
      </c>
      <c r="AK2" t="s">
        <v>1290</v>
      </c>
    </row>
    <row r="3" spans="1:37">
      <c r="A3" s="22" t="s">
        <v>678</v>
      </c>
      <c r="B3" s="22" t="s">
        <v>65</v>
      </c>
      <c r="C3" s="22" t="s">
        <v>65</v>
      </c>
      <c r="D3" s="22" t="s">
        <v>666</v>
      </c>
      <c r="E3" s="22">
        <v>1</v>
      </c>
      <c r="F3" s="22">
        <v>0</v>
      </c>
      <c r="G3" s="22" t="s">
        <v>679</v>
      </c>
      <c r="H3" s="22" t="s">
        <v>668</v>
      </c>
      <c r="I3" s="22" t="s">
        <v>669</v>
      </c>
      <c r="J3" s="22" t="s">
        <v>670</v>
      </c>
      <c r="K3" s="22" t="s">
        <v>671</v>
      </c>
      <c r="L3" s="22" t="s">
        <v>669</v>
      </c>
      <c r="M3" s="22" t="s">
        <v>672</v>
      </c>
      <c r="N3" s="22">
        <v>8.5</v>
      </c>
      <c r="O3" s="22">
        <v>8.5</v>
      </c>
      <c r="P3" s="22" t="s">
        <v>673</v>
      </c>
      <c r="Q3" s="22">
        <v>50600</v>
      </c>
      <c r="R3" s="22" t="s">
        <v>674</v>
      </c>
      <c r="S3" s="22" t="s">
        <v>675</v>
      </c>
      <c r="T3" s="22">
        <v>120</v>
      </c>
      <c r="U3" s="22" t="s">
        <v>676</v>
      </c>
      <c r="V3" s="22"/>
      <c r="W3" s="22"/>
      <c r="X3" s="22"/>
      <c r="Y3" s="22"/>
      <c r="Z3" s="22"/>
      <c r="AA3" s="22"/>
      <c r="AB3" s="22"/>
      <c r="AC3" s="22" t="s">
        <v>677</v>
      </c>
      <c r="AD3" s="22"/>
      <c r="AE3" s="22"/>
      <c r="AF3" s="22"/>
      <c r="AG3" s="22"/>
      <c r="AH3" s="33" t="s">
        <v>23</v>
      </c>
      <c r="AI3" s="23" t="s">
        <v>49</v>
      </c>
      <c r="AJ3" s="33" t="str">
        <f>_xlfn.CONCAT(AH3,"/samples/",A3,".h5")</f>
        <v>PD5D_MTG_snRNAseq/samples/PD_BN0329_MTG_snRNAseq_batch2_rep1.h5</v>
      </c>
      <c r="AK3" t="s">
        <v>1290</v>
      </c>
    </row>
    <row r="4" spans="1:37">
      <c r="A4" s="22" t="s">
        <v>680</v>
      </c>
      <c r="B4" s="22" t="s">
        <v>66</v>
      </c>
      <c r="C4" s="22" t="s">
        <v>66</v>
      </c>
      <c r="D4" s="22" t="s">
        <v>666</v>
      </c>
      <c r="E4" s="22">
        <v>1</v>
      </c>
      <c r="F4" s="22">
        <v>0</v>
      </c>
      <c r="G4" s="22" t="s">
        <v>667</v>
      </c>
      <c r="H4" s="22" t="s">
        <v>668</v>
      </c>
      <c r="I4" s="22" t="s">
        <v>669</v>
      </c>
      <c r="J4" s="22" t="s">
        <v>670</v>
      </c>
      <c r="K4" s="22" t="s">
        <v>671</v>
      </c>
      <c r="L4" s="22" t="s">
        <v>669</v>
      </c>
      <c r="M4" s="22" t="s">
        <v>672</v>
      </c>
      <c r="N4" s="22">
        <v>8.6999999999999993</v>
      </c>
      <c r="O4" s="22">
        <v>8.6999999999999993</v>
      </c>
      <c r="P4" s="22" t="s">
        <v>673</v>
      </c>
      <c r="Q4" s="22">
        <v>50600</v>
      </c>
      <c r="R4" s="22" t="s">
        <v>674</v>
      </c>
      <c r="S4" s="22" t="s">
        <v>675</v>
      </c>
      <c r="T4" s="22">
        <v>120</v>
      </c>
      <c r="U4" s="22" t="s">
        <v>676</v>
      </c>
      <c r="V4" s="22"/>
      <c r="W4" s="22"/>
      <c r="X4" s="22"/>
      <c r="Y4" s="22"/>
      <c r="Z4" s="22"/>
      <c r="AA4" s="22"/>
      <c r="AB4" s="22"/>
      <c r="AC4" s="22" t="s">
        <v>677</v>
      </c>
      <c r="AD4" s="22"/>
      <c r="AE4" s="22"/>
      <c r="AF4" s="22"/>
      <c r="AG4" s="22"/>
      <c r="AH4" s="33" t="s">
        <v>23</v>
      </c>
      <c r="AI4" s="23" t="s">
        <v>49</v>
      </c>
      <c r="AJ4" s="33" t="str">
        <f t="shared" ref="AJ4:AJ67" si="0">_xlfn.CONCAT(AH4,"/samples/",A4,".h5")</f>
        <v>PD5D_MTG_snRNAseq/samples/HC_BN0339_MTG_snRNAseq_batch1_rep1.h5</v>
      </c>
      <c r="AK4" t="s">
        <v>1290</v>
      </c>
    </row>
    <row r="5" spans="1:37">
      <c r="A5" s="22" t="s">
        <v>681</v>
      </c>
      <c r="B5" s="22" t="s">
        <v>71</v>
      </c>
      <c r="C5" s="22" t="s">
        <v>71</v>
      </c>
      <c r="D5" s="22" t="s">
        <v>666</v>
      </c>
      <c r="E5" s="22">
        <v>1</v>
      </c>
      <c r="F5" s="22">
        <v>0</v>
      </c>
      <c r="G5" s="22" t="s">
        <v>667</v>
      </c>
      <c r="H5" s="22" t="s">
        <v>668</v>
      </c>
      <c r="I5" s="22" t="s">
        <v>669</v>
      </c>
      <c r="J5" s="22" t="s">
        <v>670</v>
      </c>
      <c r="K5" s="22" t="s">
        <v>671</v>
      </c>
      <c r="L5" s="22" t="s">
        <v>669</v>
      </c>
      <c r="M5" s="22" t="s">
        <v>672</v>
      </c>
      <c r="N5" s="22">
        <v>8.8000000000000007</v>
      </c>
      <c r="O5" s="22">
        <v>8.8000000000000007</v>
      </c>
      <c r="P5" s="22" t="s">
        <v>673</v>
      </c>
      <c r="Q5" s="22">
        <v>34505</v>
      </c>
      <c r="R5" s="22" t="s">
        <v>674</v>
      </c>
      <c r="S5" s="22" t="s">
        <v>675</v>
      </c>
      <c r="T5" s="22">
        <v>120</v>
      </c>
      <c r="U5" s="22" t="s">
        <v>676</v>
      </c>
      <c r="V5" s="22"/>
      <c r="W5" s="22"/>
      <c r="X5" s="22"/>
      <c r="Y5" s="22"/>
      <c r="Z5" s="22"/>
      <c r="AA5" s="22"/>
      <c r="AB5" s="22"/>
      <c r="AC5" s="22" t="s">
        <v>677</v>
      </c>
      <c r="AD5" s="22"/>
      <c r="AE5" s="22"/>
      <c r="AF5" s="22"/>
      <c r="AG5" s="22"/>
      <c r="AH5" s="33" t="s">
        <v>23</v>
      </c>
      <c r="AI5" s="23" t="s">
        <v>49</v>
      </c>
      <c r="AJ5" s="33" t="str">
        <f t="shared" si="0"/>
        <v>PD5D_MTG_snRNAseq/samples/HC_BN0341_MTG_snRNAseq_batch1_rep1.h5</v>
      </c>
      <c r="AK5" t="s">
        <v>1290</v>
      </c>
    </row>
    <row r="6" spans="1:37">
      <c r="A6" s="22" t="s">
        <v>682</v>
      </c>
      <c r="B6" s="22" t="s">
        <v>74</v>
      </c>
      <c r="C6" s="22" t="s">
        <v>74</v>
      </c>
      <c r="D6" s="22" t="s">
        <v>666</v>
      </c>
      <c r="E6" s="22">
        <v>1</v>
      </c>
      <c r="F6" s="22">
        <v>0</v>
      </c>
      <c r="G6" s="22" t="s">
        <v>679</v>
      </c>
      <c r="H6" s="22" t="s">
        <v>668</v>
      </c>
      <c r="I6" s="22" t="s">
        <v>669</v>
      </c>
      <c r="J6" s="22" t="s">
        <v>670</v>
      </c>
      <c r="K6" s="22" t="s">
        <v>671</v>
      </c>
      <c r="L6" s="22" t="s">
        <v>669</v>
      </c>
      <c r="M6" s="22" t="s">
        <v>672</v>
      </c>
      <c r="N6" s="22">
        <v>8.9</v>
      </c>
      <c r="O6" s="22">
        <v>8.9</v>
      </c>
      <c r="P6" s="22" t="s">
        <v>673</v>
      </c>
      <c r="Q6" s="22">
        <v>29355</v>
      </c>
      <c r="R6" s="22" t="s">
        <v>674</v>
      </c>
      <c r="S6" s="22" t="s">
        <v>675</v>
      </c>
      <c r="T6" s="22">
        <v>120</v>
      </c>
      <c r="U6" s="22" t="s">
        <v>676</v>
      </c>
      <c r="V6" s="22"/>
      <c r="W6" s="22"/>
      <c r="X6" s="22"/>
      <c r="Y6" s="22"/>
      <c r="Z6" s="22"/>
      <c r="AA6" s="22"/>
      <c r="AB6" s="22"/>
      <c r="AC6" s="22" t="s">
        <v>677</v>
      </c>
      <c r="AD6" s="22"/>
      <c r="AE6" s="22"/>
      <c r="AF6" s="22"/>
      <c r="AG6" s="22"/>
      <c r="AH6" s="33" t="s">
        <v>23</v>
      </c>
      <c r="AI6" s="23" t="s">
        <v>49</v>
      </c>
      <c r="AJ6" s="33" t="str">
        <f t="shared" si="0"/>
        <v>PD5D_MTG_snRNAseq/samples/HC_BN0347_MTG_snRNAseq_batch2_rep1.h5</v>
      </c>
      <c r="AK6" t="s">
        <v>1290</v>
      </c>
    </row>
    <row r="7" spans="1:37">
      <c r="A7" s="22" t="s">
        <v>683</v>
      </c>
      <c r="B7" s="22" t="s">
        <v>78</v>
      </c>
      <c r="C7" s="22" t="s">
        <v>78</v>
      </c>
      <c r="D7" s="22" t="s">
        <v>666</v>
      </c>
      <c r="E7" s="22">
        <v>1</v>
      </c>
      <c r="F7" s="22">
        <v>0</v>
      </c>
      <c r="G7" s="22" t="s">
        <v>679</v>
      </c>
      <c r="H7" s="22" t="s">
        <v>668</v>
      </c>
      <c r="I7" s="22" t="s">
        <v>669</v>
      </c>
      <c r="J7" s="22" t="s">
        <v>670</v>
      </c>
      <c r="K7" s="22" t="s">
        <v>671</v>
      </c>
      <c r="L7" s="22" t="s">
        <v>669</v>
      </c>
      <c r="M7" s="22" t="s">
        <v>672</v>
      </c>
      <c r="N7" s="22">
        <v>9.1</v>
      </c>
      <c r="O7" s="22">
        <v>9.1</v>
      </c>
      <c r="P7" s="22" t="s">
        <v>673</v>
      </c>
      <c r="Q7" s="22">
        <v>50600</v>
      </c>
      <c r="R7" s="22" t="s">
        <v>674</v>
      </c>
      <c r="S7" s="22" t="s">
        <v>675</v>
      </c>
      <c r="T7" s="22">
        <v>120</v>
      </c>
      <c r="U7" s="22" t="s">
        <v>676</v>
      </c>
      <c r="V7" s="22"/>
      <c r="W7" s="22"/>
      <c r="X7" s="22"/>
      <c r="Y7" s="22"/>
      <c r="Z7" s="22"/>
      <c r="AA7" s="22"/>
      <c r="AB7" s="22"/>
      <c r="AC7" s="22" t="s">
        <v>677</v>
      </c>
      <c r="AD7" s="22"/>
      <c r="AE7" s="22"/>
      <c r="AF7" s="22"/>
      <c r="AG7" s="22"/>
      <c r="AH7" s="33" t="s">
        <v>23</v>
      </c>
      <c r="AI7" s="23" t="s">
        <v>49</v>
      </c>
      <c r="AJ7" s="33" t="str">
        <f t="shared" si="0"/>
        <v>PD5D_MTG_snRNAseq/samples/PD_BN0348_MTG_snRNAseq_batch2_rep1.h5</v>
      </c>
      <c r="AK7" t="s">
        <v>1290</v>
      </c>
    </row>
    <row r="8" spans="1:37">
      <c r="A8" s="22" t="s">
        <v>684</v>
      </c>
      <c r="B8" s="22" t="s">
        <v>80</v>
      </c>
      <c r="C8" s="22" t="s">
        <v>80</v>
      </c>
      <c r="D8" s="22" t="s">
        <v>666</v>
      </c>
      <c r="E8" s="22">
        <v>1</v>
      </c>
      <c r="F8" s="22">
        <v>0</v>
      </c>
      <c r="G8" s="22" t="s">
        <v>667</v>
      </c>
      <c r="H8" s="22" t="s">
        <v>668</v>
      </c>
      <c r="I8" s="22" t="s">
        <v>669</v>
      </c>
      <c r="J8" s="22" t="s">
        <v>670</v>
      </c>
      <c r="K8" s="22" t="s">
        <v>671</v>
      </c>
      <c r="L8" s="22" t="s">
        <v>669</v>
      </c>
      <c r="M8" s="22" t="s">
        <v>672</v>
      </c>
      <c r="N8" s="22">
        <v>7.4</v>
      </c>
      <c r="O8" s="22">
        <v>7.4</v>
      </c>
      <c r="P8" s="22" t="s">
        <v>673</v>
      </c>
      <c r="Q8" s="22">
        <v>37892</v>
      </c>
      <c r="R8" s="22" t="s">
        <v>674</v>
      </c>
      <c r="S8" s="22" t="s">
        <v>675</v>
      </c>
      <c r="T8" s="22">
        <v>120</v>
      </c>
      <c r="U8" s="22" t="s">
        <v>676</v>
      </c>
      <c r="V8" s="22"/>
      <c r="W8" s="22"/>
      <c r="X8" s="22"/>
      <c r="Y8" s="22"/>
      <c r="Z8" s="22"/>
      <c r="AA8" s="22"/>
      <c r="AB8" s="22"/>
      <c r="AC8" s="22" t="s">
        <v>677</v>
      </c>
      <c r="AD8" s="22"/>
      <c r="AE8" s="22"/>
      <c r="AF8" s="22"/>
      <c r="AG8" s="22"/>
      <c r="AH8" s="33" t="s">
        <v>23</v>
      </c>
      <c r="AI8" s="23" t="s">
        <v>49</v>
      </c>
      <c r="AJ8" s="33" t="str">
        <f t="shared" si="0"/>
        <v>PD5D_MTG_snRNAseq/samples/ILB_BN0415_MTG_snRNAseq_batch1_rep1.h5</v>
      </c>
      <c r="AK8" t="s">
        <v>1290</v>
      </c>
    </row>
    <row r="9" spans="1:37">
      <c r="A9" s="22" t="s">
        <v>685</v>
      </c>
      <c r="B9" s="22" t="s">
        <v>83</v>
      </c>
      <c r="C9" s="22" t="s">
        <v>83</v>
      </c>
      <c r="D9" s="22" t="s">
        <v>666</v>
      </c>
      <c r="E9" s="22">
        <v>1</v>
      </c>
      <c r="F9" s="22">
        <v>0</v>
      </c>
      <c r="G9" s="22" t="s">
        <v>686</v>
      </c>
      <c r="H9" s="22" t="s">
        <v>668</v>
      </c>
      <c r="I9" s="22" t="s">
        <v>669</v>
      </c>
      <c r="J9" s="22" t="s">
        <v>670</v>
      </c>
      <c r="K9" s="22" t="s">
        <v>671</v>
      </c>
      <c r="L9" s="22" t="s">
        <v>669</v>
      </c>
      <c r="M9" s="22" t="s">
        <v>672</v>
      </c>
      <c r="N9" s="22">
        <v>7.7</v>
      </c>
      <c r="O9" s="22">
        <v>7.7</v>
      </c>
      <c r="P9" s="22" t="s">
        <v>673</v>
      </c>
      <c r="Q9" s="22">
        <v>50600</v>
      </c>
      <c r="R9" s="22" t="s">
        <v>674</v>
      </c>
      <c r="S9" s="22" t="s">
        <v>675</v>
      </c>
      <c r="T9" s="22">
        <v>120</v>
      </c>
      <c r="U9" s="22" t="s">
        <v>676</v>
      </c>
      <c r="V9" s="22"/>
      <c r="W9" s="22"/>
      <c r="X9" s="22"/>
      <c r="Y9" s="22"/>
      <c r="Z9" s="22"/>
      <c r="AA9" s="22"/>
      <c r="AB9" s="22"/>
      <c r="AC9" s="22" t="s">
        <v>677</v>
      </c>
      <c r="AD9" s="22"/>
      <c r="AE9" s="22"/>
      <c r="AF9" s="22"/>
      <c r="AG9" s="22"/>
      <c r="AH9" s="33" t="s">
        <v>23</v>
      </c>
      <c r="AI9" s="23" t="s">
        <v>49</v>
      </c>
      <c r="AJ9" s="33" t="str">
        <f t="shared" si="0"/>
        <v>PD5D_MTG_snRNAseq/samples/HC_BN0452_MTG_snRNAseq_batch7_rep1.h5</v>
      </c>
      <c r="AK9" t="s">
        <v>1290</v>
      </c>
    </row>
    <row r="10" spans="1:37">
      <c r="A10" s="22" t="s">
        <v>687</v>
      </c>
      <c r="B10" s="22" t="s">
        <v>85</v>
      </c>
      <c r="C10" s="22" t="s">
        <v>85</v>
      </c>
      <c r="D10" s="22" t="s">
        <v>666</v>
      </c>
      <c r="E10" s="22">
        <v>2</v>
      </c>
      <c r="F10" s="22">
        <v>0</v>
      </c>
      <c r="G10" s="22" t="s">
        <v>679</v>
      </c>
      <c r="H10" s="22" t="s">
        <v>668</v>
      </c>
      <c r="I10" s="22" t="s">
        <v>669</v>
      </c>
      <c r="J10" s="22" t="s">
        <v>670</v>
      </c>
      <c r="K10" s="22" t="s">
        <v>671</v>
      </c>
      <c r="L10" s="22" t="s">
        <v>669</v>
      </c>
      <c r="M10" s="22" t="s">
        <v>672</v>
      </c>
      <c r="N10" s="22">
        <v>8.3000000000000007</v>
      </c>
      <c r="O10" s="22">
        <v>8.3000000000000007</v>
      </c>
      <c r="P10" s="22" t="s">
        <v>673</v>
      </c>
      <c r="Q10" s="22">
        <v>50600</v>
      </c>
      <c r="R10" s="22" t="s">
        <v>674</v>
      </c>
      <c r="S10" s="22" t="s">
        <v>675</v>
      </c>
      <c r="T10" s="22">
        <v>120</v>
      </c>
      <c r="U10" s="22" t="s">
        <v>676</v>
      </c>
      <c r="V10" s="22"/>
      <c r="W10" s="22"/>
      <c r="X10" s="22"/>
      <c r="Y10" s="22"/>
      <c r="Z10" s="22"/>
      <c r="AA10" s="22"/>
      <c r="AB10" s="22"/>
      <c r="AC10" s="22" t="s">
        <v>677</v>
      </c>
      <c r="AD10" s="22"/>
      <c r="AE10" s="22"/>
      <c r="AF10" s="22"/>
      <c r="AG10" s="22"/>
      <c r="AH10" s="33" t="s">
        <v>23</v>
      </c>
      <c r="AI10" s="23" t="s">
        <v>49</v>
      </c>
      <c r="AJ10" s="33" t="str">
        <f t="shared" si="0"/>
        <v>PD5D_MTG_snRNAseq/samples/ILB_BN0464_MTG_snRNAseq_batch2_rep1.h5</v>
      </c>
      <c r="AK10" t="s">
        <v>1290</v>
      </c>
    </row>
    <row r="11" spans="1:37">
      <c r="A11" s="22" t="s">
        <v>688</v>
      </c>
      <c r="B11" s="22" t="s">
        <v>85</v>
      </c>
      <c r="C11" s="22" t="s">
        <v>85</v>
      </c>
      <c r="D11" s="22" t="s">
        <v>689</v>
      </c>
      <c r="E11" s="22">
        <v>2</v>
      </c>
      <c r="F11" s="22">
        <v>1</v>
      </c>
      <c r="G11" s="22" t="s">
        <v>690</v>
      </c>
      <c r="H11" s="22" t="s">
        <v>668</v>
      </c>
      <c r="I11" s="22" t="s">
        <v>669</v>
      </c>
      <c r="J11" s="22" t="s">
        <v>670</v>
      </c>
      <c r="K11" s="22" t="s">
        <v>671</v>
      </c>
      <c r="L11" s="22" t="s">
        <v>669</v>
      </c>
      <c r="M11" s="22" t="s">
        <v>672</v>
      </c>
      <c r="N11" s="22">
        <v>8.3000000000000007</v>
      </c>
      <c r="O11" s="22">
        <v>8.3000000000000007</v>
      </c>
      <c r="P11" s="22" t="s">
        <v>673</v>
      </c>
      <c r="Q11" s="22">
        <v>50600</v>
      </c>
      <c r="R11" s="22" t="s">
        <v>674</v>
      </c>
      <c r="S11" s="22" t="s">
        <v>675</v>
      </c>
      <c r="T11" s="22">
        <v>120</v>
      </c>
      <c r="U11" s="22" t="s">
        <v>676</v>
      </c>
      <c r="V11" s="22"/>
      <c r="W11" s="22"/>
      <c r="X11" s="22"/>
      <c r="Y11" s="22"/>
      <c r="Z11" s="22"/>
      <c r="AA11" s="22"/>
      <c r="AB11" s="22"/>
      <c r="AC11" s="22" t="s">
        <v>677</v>
      </c>
      <c r="AD11" s="22"/>
      <c r="AE11" s="22"/>
      <c r="AF11" s="22"/>
      <c r="AG11" s="22"/>
      <c r="AH11" s="33" t="s">
        <v>23</v>
      </c>
      <c r="AI11" s="23" t="s">
        <v>49</v>
      </c>
      <c r="AJ11" s="33" t="str">
        <f t="shared" si="0"/>
        <v>PD5D_MTG_snRNAseq/samples/ILB_BN0464_MTG_snRNAseq_batch26_rep2.h5</v>
      </c>
      <c r="AK11" t="s">
        <v>1290</v>
      </c>
    </row>
    <row r="12" spans="1:37">
      <c r="A12" s="22" t="s">
        <v>691</v>
      </c>
      <c r="B12" s="22" t="s">
        <v>87</v>
      </c>
      <c r="C12" s="22" t="s">
        <v>87</v>
      </c>
      <c r="D12" s="22" t="s">
        <v>666</v>
      </c>
      <c r="E12" s="22">
        <v>1</v>
      </c>
      <c r="F12" s="22">
        <v>0</v>
      </c>
      <c r="G12" s="22" t="s">
        <v>692</v>
      </c>
      <c r="H12" s="22" t="s">
        <v>668</v>
      </c>
      <c r="I12" s="22" t="s">
        <v>669</v>
      </c>
      <c r="J12" s="22" t="s">
        <v>670</v>
      </c>
      <c r="K12" s="22" t="s">
        <v>671</v>
      </c>
      <c r="L12" s="22" t="s">
        <v>669</v>
      </c>
      <c r="M12" s="22" t="s">
        <v>672</v>
      </c>
      <c r="N12" s="22">
        <v>8.8000000000000007</v>
      </c>
      <c r="O12" s="22">
        <v>8.8000000000000007</v>
      </c>
      <c r="P12" s="22" t="s">
        <v>673</v>
      </c>
      <c r="Q12" s="22">
        <v>50600</v>
      </c>
      <c r="R12" s="22" t="s">
        <v>674</v>
      </c>
      <c r="S12" s="22" t="s">
        <v>675</v>
      </c>
      <c r="T12" s="22">
        <v>120</v>
      </c>
      <c r="U12" s="22" t="s">
        <v>676</v>
      </c>
      <c r="V12" s="22"/>
      <c r="W12" s="22"/>
      <c r="X12" s="22"/>
      <c r="Y12" s="22"/>
      <c r="Z12" s="22"/>
      <c r="AA12" s="22"/>
      <c r="AB12" s="22"/>
      <c r="AC12" s="22" t="s">
        <v>677</v>
      </c>
      <c r="AD12" s="22"/>
      <c r="AE12" s="22"/>
      <c r="AF12" s="22"/>
      <c r="AG12" s="22"/>
      <c r="AH12" s="33" t="s">
        <v>23</v>
      </c>
      <c r="AI12" s="23" t="s">
        <v>49</v>
      </c>
      <c r="AJ12" s="33" t="str">
        <f t="shared" si="0"/>
        <v>PD5D_MTG_snRNAseq/samples/HC_BN0536_MTG_snRNAseq_batch4_rep1.h5</v>
      </c>
      <c r="AK12" t="s">
        <v>1290</v>
      </c>
    </row>
    <row r="13" spans="1:37">
      <c r="A13" s="22" t="s">
        <v>693</v>
      </c>
      <c r="B13" s="22" t="s">
        <v>89</v>
      </c>
      <c r="C13" s="22" t="s">
        <v>89</v>
      </c>
      <c r="D13" s="22" t="s">
        <v>666</v>
      </c>
      <c r="E13" s="22">
        <v>1</v>
      </c>
      <c r="F13" s="22">
        <v>0</v>
      </c>
      <c r="G13" s="22" t="s">
        <v>694</v>
      </c>
      <c r="H13" s="22" t="s">
        <v>668</v>
      </c>
      <c r="I13" s="22" t="s">
        <v>669</v>
      </c>
      <c r="J13" s="22" t="s">
        <v>670</v>
      </c>
      <c r="K13" s="22" t="s">
        <v>671</v>
      </c>
      <c r="L13" s="22" t="s">
        <v>669</v>
      </c>
      <c r="M13" s="22" t="s">
        <v>672</v>
      </c>
      <c r="N13" s="22">
        <v>7.7</v>
      </c>
      <c r="O13" s="22">
        <v>7.7</v>
      </c>
      <c r="P13" s="22" t="s">
        <v>673</v>
      </c>
      <c r="Q13" s="22">
        <v>50600</v>
      </c>
      <c r="R13" s="22" t="s">
        <v>674</v>
      </c>
      <c r="S13" s="22" t="s">
        <v>675</v>
      </c>
      <c r="T13" s="22">
        <v>120</v>
      </c>
      <c r="U13" s="22" t="s">
        <v>676</v>
      </c>
      <c r="V13" s="22"/>
      <c r="W13" s="22"/>
      <c r="X13" s="22"/>
      <c r="Y13" s="22"/>
      <c r="Z13" s="22"/>
      <c r="AA13" s="22"/>
      <c r="AB13" s="22"/>
      <c r="AC13" s="22" t="s">
        <v>677</v>
      </c>
      <c r="AD13" s="22"/>
      <c r="AE13" s="22"/>
      <c r="AF13" s="22"/>
      <c r="AG13" s="22"/>
      <c r="AH13" s="33" t="s">
        <v>23</v>
      </c>
      <c r="AI13" s="23" t="s">
        <v>49</v>
      </c>
      <c r="AJ13" s="33" t="str">
        <f t="shared" si="0"/>
        <v>PD5D_MTG_snRNAseq/samples/ILB_BN0602_MTG_snRNAseq_batch3_rep1.h5</v>
      </c>
      <c r="AK13" t="s">
        <v>1290</v>
      </c>
    </row>
    <row r="14" spans="1:37">
      <c r="A14" s="22" t="s">
        <v>695</v>
      </c>
      <c r="B14" s="22" t="s">
        <v>90</v>
      </c>
      <c r="C14" s="22" t="s">
        <v>90</v>
      </c>
      <c r="D14" s="22" t="s">
        <v>666</v>
      </c>
      <c r="E14" s="22">
        <v>1</v>
      </c>
      <c r="F14" s="22">
        <v>0</v>
      </c>
      <c r="G14" s="22" t="s">
        <v>696</v>
      </c>
      <c r="H14" s="22" t="s">
        <v>668</v>
      </c>
      <c r="I14" s="22" t="s">
        <v>669</v>
      </c>
      <c r="J14" s="22" t="s">
        <v>670</v>
      </c>
      <c r="K14" s="22" t="s">
        <v>671</v>
      </c>
      <c r="L14" s="22" t="s">
        <v>669</v>
      </c>
      <c r="M14" s="22" t="s">
        <v>672</v>
      </c>
      <c r="N14" s="22">
        <v>9.5</v>
      </c>
      <c r="O14" s="22">
        <v>9.5</v>
      </c>
      <c r="P14" s="22" t="s">
        <v>673</v>
      </c>
      <c r="Q14" s="22">
        <v>50600</v>
      </c>
      <c r="R14" s="22" t="s">
        <v>674</v>
      </c>
      <c r="S14" s="22" t="s">
        <v>675</v>
      </c>
      <c r="T14" s="22">
        <v>120</v>
      </c>
      <c r="U14" s="22" t="s">
        <v>676</v>
      </c>
      <c r="V14" s="22"/>
      <c r="W14" s="22"/>
      <c r="X14" s="22"/>
      <c r="Y14" s="22"/>
      <c r="Z14" s="22"/>
      <c r="AA14" s="22"/>
      <c r="AB14" s="22"/>
      <c r="AC14" s="22" t="s">
        <v>677</v>
      </c>
      <c r="AD14" s="22"/>
      <c r="AE14" s="22"/>
      <c r="AF14" s="22"/>
      <c r="AG14" s="22"/>
      <c r="AH14" s="33" t="s">
        <v>23</v>
      </c>
      <c r="AI14" s="23" t="s">
        <v>49</v>
      </c>
      <c r="AJ14" s="33" t="str">
        <f t="shared" si="0"/>
        <v>PD5D_MTG_snRNAseq/samples/HC_BN0615_MTG_snRNAseq_batch5_rep1.h5</v>
      </c>
      <c r="AK14" t="s">
        <v>1290</v>
      </c>
    </row>
    <row r="15" spans="1:37">
      <c r="A15" s="22" t="s">
        <v>697</v>
      </c>
      <c r="B15" s="22" t="s">
        <v>91</v>
      </c>
      <c r="C15" s="22" t="s">
        <v>91</v>
      </c>
      <c r="D15" s="22" t="s">
        <v>666</v>
      </c>
      <c r="E15" s="22">
        <v>1</v>
      </c>
      <c r="F15" s="22">
        <v>0</v>
      </c>
      <c r="G15" s="22" t="s">
        <v>698</v>
      </c>
      <c r="H15" s="22" t="s">
        <v>668</v>
      </c>
      <c r="I15" s="22" t="s">
        <v>669</v>
      </c>
      <c r="J15" s="22" t="s">
        <v>670</v>
      </c>
      <c r="K15" s="22" t="s">
        <v>671</v>
      </c>
      <c r="L15" s="22" t="s">
        <v>669</v>
      </c>
      <c r="M15" s="22" t="s">
        <v>672</v>
      </c>
      <c r="N15" s="22">
        <v>8.5</v>
      </c>
      <c r="O15" s="22">
        <v>8.5</v>
      </c>
      <c r="P15" s="22" t="s">
        <v>673</v>
      </c>
      <c r="Q15" s="22">
        <v>50600</v>
      </c>
      <c r="R15" s="22" t="s">
        <v>674</v>
      </c>
      <c r="S15" s="22" t="s">
        <v>675</v>
      </c>
      <c r="T15" s="22">
        <v>120</v>
      </c>
      <c r="U15" s="22" t="s">
        <v>676</v>
      </c>
      <c r="V15" s="22"/>
      <c r="W15" s="22"/>
      <c r="X15" s="22"/>
      <c r="Y15" s="22"/>
      <c r="Z15" s="22"/>
      <c r="AA15" s="22"/>
      <c r="AB15" s="22"/>
      <c r="AC15" s="22" t="s">
        <v>677</v>
      </c>
      <c r="AD15" s="22"/>
      <c r="AE15" s="22"/>
      <c r="AF15" s="22"/>
      <c r="AG15" s="22"/>
      <c r="AH15" s="33" t="s">
        <v>23</v>
      </c>
      <c r="AI15" s="23" t="s">
        <v>49</v>
      </c>
      <c r="AJ15" s="33" t="str">
        <f t="shared" si="0"/>
        <v>PD5D_MTG_snRNAseq/samples/HC_BN0635_MTG_snRNAseq_batch6_rep1.h5</v>
      </c>
      <c r="AK15" t="s">
        <v>1290</v>
      </c>
    </row>
    <row r="16" spans="1:37">
      <c r="A16" s="22" t="s">
        <v>699</v>
      </c>
      <c r="B16" s="22" t="s">
        <v>93</v>
      </c>
      <c r="C16" s="22" t="s">
        <v>93</v>
      </c>
      <c r="D16" s="22" t="s">
        <v>666</v>
      </c>
      <c r="E16" s="22">
        <v>1</v>
      </c>
      <c r="F16" s="22">
        <v>0</v>
      </c>
      <c r="G16" s="22" t="s">
        <v>694</v>
      </c>
      <c r="H16" s="22" t="s">
        <v>668</v>
      </c>
      <c r="I16" s="22" t="s">
        <v>669</v>
      </c>
      <c r="J16" s="22" t="s">
        <v>670</v>
      </c>
      <c r="K16" s="22" t="s">
        <v>671</v>
      </c>
      <c r="L16" s="22" t="s">
        <v>669</v>
      </c>
      <c r="M16" s="22" t="s">
        <v>672</v>
      </c>
      <c r="N16" s="22">
        <v>9.8000000000000007</v>
      </c>
      <c r="O16" s="22">
        <v>9.8000000000000007</v>
      </c>
      <c r="P16" s="22" t="s">
        <v>673</v>
      </c>
      <c r="Q16" s="22">
        <v>50600</v>
      </c>
      <c r="R16" s="22" t="s">
        <v>674</v>
      </c>
      <c r="S16" s="22" t="s">
        <v>675</v>
      </c>
      <c r="T16" s="22">
        <v>120</v>
      </c>
      <c r="U16" s="22" t="s">
        <v>676</v>
      </c>
      <c r="V16" s="22"/>
      <c r="W16" s="22"/>
      <c r="X16" s="22"/>
      <c r="Y16" s="22"/>
      <c r="Z16" s="22"/>
      <c r="AA16" s="22"/>
      <c r="AB16" s="22"/>
      <c r="AC16" s="22" t="s">
        <v>677</v>
      </c>
      <c r="AD16" s="22"/>
      <c r="AE16" s="22"/>
      <c r="AF16" s="22"/>
      <c r="AG16" s="22"/>
      <c r="AH16" s="33" t="s">
        <v>23</v>
      </c>
      <c r="AI16" s="23" t="s">
        <v>49</v>
      </c>
      <c r="AJ16" s="33" t="str">
        <f t="shared" si="0"/>
        <v>PD5D_MTG_snRNAseq/samples/PD_BN0644_MTG_snRNAseq_batch3_rep1.h5</v>
      </c>
      <c r="AK16" t="s">
        <v>1290</v>
      </c>
    </row>
    <row r="17" spans="1:37">
      <c r="A17" s="22" t="s">
        <v>700</v>
      </c>
      <c r="B17" s="22" t="s">
        <v>95</v>
      </c>
      <c r="C17" s="22" t="s">
        <v>95</v>
      </c>
      <c r="D17" s="22" t="s">
        <v>666</v>
      </c>
      <c r="E17" s="22">
        <v>1</v>
      </c>
      <c r="F17" s="22">
        <v>0</v>
      </c>
      <c r="G17" s="22" t="s">
        <v>692</v>
      </c>
      <c r="H17" s="22" t="s">
        <v>668</v>
      </c>
      <c r="I17" s="22" t="s">
        <v>669</v>
      </c>
      <c r="J17" s="22" t="s">
        <v>670</v>
      </c>
      <c r="K17" s="22" t="s">
        <v>671</v>
      </c>
      <c r="L17" s="22" t="s">
        <v>669</v>
      </c>
      <c r="M17" s="22" t="s">
        <v>672</v>
      </c>
      <c r="N17" s="22">
        <v>9.3000000000000007</v>
      </c>
      <c r="O17" s="22">
        <v>9.3000000000000007</v>
      </c>
      <c r="P17" s="22" t="s">
        <v>673</v>
      </c>
      <c r="Q17" s="22">
        <v>50600</v>
      </c>
      <c r="R17" s="22" t="s">
        <v>674</v>
      </c>
      <c r="S17" s="22" t="s">
        <v>675</v>
      </c>
      <c r="T17" s="22">
        <v>120</v>
      </c>
      <c r="U17" s="22" t="s">
        <v>676</v>
      </c>
      <c r="V17" s="22"/>
      <c r="W17" s="22"/>
      <c r="X17" s="22"/>
      <c r="Y17" s="22"/>
      <c r="Z17" s="22"/>
      <c r="AA17" s="22"/>
      <c r="AB17" s="22"/>
      <c r="AC17" s="22" t="s">
        <v>677</v>
      </c>
      <c r="AD17" s="22"/>
      <c r="AE17" s="22"/>
      <c r="AF17" s="22"/>
      <c r="AG17" s="22"/>
      <c r="AH17" s="33" t="s">
        <v>23</v>
      </c>
      <c r="AI17" s="23" t="s">
        <v>49</v>
      </c>
      <c r="AJ17" s="33" t="str">
        <f t="shared" si="0"/>
        <v>PD5D_MTG_snRNAseq/samples/PD_BN0651_MTG_snRNAseq_batch4_rep1.h5</v>
      </c>
      <c r="AK17" t="s">
        <v>1290</v>
      </c>
    </row>
    <row r="18" spans="1:37">
      <c r="A18" s="22" t="s">
        <v>701</v>
      </c>
      <c r="B18" s="22" t="s">
        <v>97</v>
      </c>
      <c r="C18" s="22" t="s">
        <v>97</v>
      </c>
      <c r="D18" s="22" t="s">
        <v>666</v>
      </c>
      <c r="E18" s="22">
        <v>1</v>
      </c>
      <c r="F18" s="22">
        <v>0</v>
      </c>
      <c r="G18" s="22" t="s">
        <v>692</v>
      </c>
      <c r="H18" s="22" t="s">
        <v>668</v>
      </c>
      <c r="I18" s="22" t="s">
        <v>669</v>
      </c>
      <c r="J18" s="22" t="s">
        <v>670</v>
      </c>
      <c r="K18" s="22" t="s">
        <v>671</v>
      </c>
      <c r="L18" s="22" t="s">
        <v>669</v>
      </c>
      <c r="M18" s="22" t="s">
        <v>672</v>
      </c>
      <c r="N18" s="22">
        <v>8.9</v>
      </c>
      <c r="O18" s="22">
        <v>8.9</v>
      </c>
      <c r="P18" s="22" t="s">
        <v>673</v>
      </c>
      <c r="Q18" s="22">
        <v>50600</v>
      </c>
      <c r="R18" s="22" t="s">
        <v>674</v>
      </c>
      <c r="S18" s="22" t="s">
        <v>675</v>
      </c>
      <c r="T18" s="22">
        <v>120</v>
      </c>
      <c r="U18" s="22" t="s">
        <v>676</v>
      </c>
      <c r="V18" s="22"/>
      <c r="W18" s="22"/>
      <c r="X18" s="22"/>
      <c r="Y18" s="22"/>
      <c r="Z18" s="22"/>
      <c r="AA18" s="22"/>
      <c r="AB18" s="22"/>
      <c r="AC18" s="22" t="s">
        <v>677</v>
      </c>
      <c r="AD18" s="22"/>
      <c r="AE18" s="22"/>
      <c r="AF18" s="22"/>
      <c r="AG18" s="22"/>
      <c r="AH18" s="33" t="s">
        <v>23</v>
      </c>
      <c r="AI18" s="23" t="s">
        <v>49</v>
      </c>
      <c r="AJ18" s="33" t="str">
        <f t="shared" si="0"/>
        <v>PD5D_MTG_snRNAseq/samples/PD_BN0655_MTG_snRNAseq_batch4_rep1.h5</v>
      </c>
      <c r="AK18" t="s">
        <v>1290</v>
      </c>
    </row>
    <row r="19" spans="1:37">
      <c r="A19" s="22" t="s">
        <v>702</v>
      </c>
      <c r="B19" s="22" t="s">
        <v>99</v>
      </c>
      <c r="C19" s="22" t="s">
        <v>99</v>
      </c>
      <c r="D19" s="22" t="s">
        <v>666</v>
      </c>
      <c r="E19" s="22">
        <v>1</v>
      </c>
      <c r="F19" s="22">
        <v>0</v>
      </c>
      <c r="G19" s="22" t="s">
        <v>696</v>
      </c>
      <c r="H19" s="22" t="s">
        <v>668</v>
      </c>
      <c r="I19" s="22" t="s">
        <v>669</v>
      </c>
      <c r="J19" s="22" t="s">
        <v>670</v>
      </c>
      <c r="K19" s="22" t="s">
        <v>671</v>
      </c>
      <c r="L19" s="22" t="s">
        <v>669</v>
      </c>
      <c r="M19" s="22" t="s">
        <v>672</v>
      </c>
      <c r="N19" s="22">
        <v>9.4</v>
      </c>
      <c r="O19" s="22">
        <v>9.4</v>
      </c>
      <c r="P19" s="22" t="s">
        <v>673</v>
      </c>
      <c r="Q19" s="22">
        <v>50600</v>
      </c>
      <c r="R19" s="22" t="s">
        <v>674</v>
      </c>
      <c r="S19" s="22" t="s">
        <v>675</v>
      </c>
      <c r="T19" s="22">
        <v>120</v>
      </c>
      <c r="U19" s="22" t="s">
        <v>676</v>
      </c>
      <c r="V19" s="22"/>
      <c r="W19" s="22"/>
      <c r="X19" s="22"/>
      <c r="Y19" s="22"/>
      <c r="Z19" s="22"/>
      <c r="AA19" s="22"/>
      <c r="AB19" s="22"/>
      <c r="AC19" s="22" t="s">
        <v>677</v>
      </c>
      <c r="AD19" s="22"/>
      <c r="AE19" s="22"/>
      <c r="AF19" s="22"/>
      <c r="AG19" s="22"/>
      <c r="AH19" s="33" t="s">
        <v>23</v>
      </c>
      <c r="AI19" s="23" t="s">
        <v>49</v>
      </c>
      <c r="AJ19" s="33" t="str">
        <f t="shared" si="0"/>
        <v>PD5D_MTG_snRNAseq/samples/PD_BN0662_MTG_snRNAseq_batch5_rep1.h5</v>
      </c>
      <c r="AK19" t="s">
        <v>1290</v>
      </c>
    </row>
    <row r="20" spans="1:37">
      <c r="A20" s="22" t="s">
        <v>703</v>
      </c>
      <c r="B20" s="22" t="s">
        <v>101</v>
      </c>
      <c r="C20" s="22" t="s">
        <v>101</v>
      </c>
      <c r="D20" s="22" t="s">
        <v>666</v>
      </c>
      <c r="E20" s="22">
        <v>1</v>
      </c>
      <c r="F20" s="22">
        <v>0</v>
      </c>
      <c r="G20" s="22" t="s">
        <v>698</v>
      </c>
      <c r="H20" s="22" t="s">
        <v>668</v>
      </c>
      <c r="I20" s="22" t="s">
        <v>669</v>
      </c>
      <c r="J20" s="22" t="s">
        <v>670</v>
      </c>
      <c r="K20" s="22" t="s">
        <v>671</v>
      </c>
      <c r="L20" s="22" t="s">
        <v>669</v>
      </c>
      <c r="M20" s="22" t="s">
        <v>672</v>
      </c>
      <c r="N20" s="22">
        <v>9.6999999999999993</v>
      </c>
      <c r="O20" s="22">
        <v>9.6999999999999993</v>
      </c>
      <c r="P20" s="22" t="s">
        <v>673</v>
      </c>
      <c r="Q20" s="22">
        <v>50600</v>
      </c>
      <c r="R20" s="22" t="s">
        <v>674</v>
      </c>
      <c r="S20" s="22" t="s">
        <v>675</v>
      </c>
      <c r="T20" s="22">
        <v>120</v>
      </c>
      <c r="U20" s="22" t="s">
        <v>676</v>
      </c>
      <c r="V20" s="22"/>
      <c r="W20" s="22"/>
      <c r="X20" s="22"/>
      <c r="Y20" s="22"/>
      <c r="Z20" s="22"/>
      <c r="AA20" s="22"/>
      <c r="AB20" s="22"/>
      <c r="AC20" s="22" t="s">
        <v>677</v>
      </c>
      <c r="AD20" s="22"/>
      <c r="AE20" s="22"/>
      <c r="AF20" s="22"/>
      <c r="AG20" s="22"/>
      <c r="AH20" s="33" t="s">
        <v>23</v>
      </c>
      <c r="AI20" s="23" t="s">
        <v>49</v>
      </c>
      <c r="AJ20" s="33" t="str">
        <f t="shared" si="0"/>
        <v>PD5D_MTG_snRNAseq/samples/HC_BN0704_MTG_snRNAseq_batch6_rep1.h5</v>
      </c>
      <c r="AK20" t="s">
        <v>1290</v>
      </c>
    </row>
    <row r="21" spans="1:37">
      <c r="A21" s="22" t="s">
        <v>704</v>
      </c>
      <c r="B21" s="22" t="s">
        <v>102</v>
      </c>
      <c r="C21" s="22" t="s">
        <v>102</v>
      </c>
      <c r="D21" s="22" t="s">
        <v>666</v>
      </c>
      <c r="E21" s="22">
        <v>1</v>
      </c>
      <c r="F21" s="22">
        <v>0</v>
      </c>
      <c r="G21" s="22" t="s">
        <v>686</v>
      </c>
      <c r="H21" s="22" t="s">
        <v>668</v>
      </c>
      <c r="I21" s="22" t="s">
        <v>669</v>
      </c>
      <c r="J21" s="22" t="s">
        <v>670</v>
      </c>
      <c r="K21" s="22" t="s">
        <v>671</v>
      </c>
      <c r="L21" s="22" t="s">
        <v>669</v>
      </c>
      <c r="M21" s="22" t="s">
        <v>672</v>
      </c>
      <c r="N21" s="22">
        <v>9.1999999999999993</v>
      </c>
      <c r="O21" s="22">
        <v>9.1999999999999993</v>
      </c>
      <c r="P21" s="22" t="s">
        <v>673</v>
      </c>
      <c r="Q21" s="22">
        <v>50600</v>
      </c>
      <c r="R21" s="22" t="s">
        <v>674</v>
      </c>
      <c r="S21" s="22" t="s">
        <v>675</v>
      </c>
      <c r="T21" s="22">
        <v>120</v>
      </c>
      <c r="U21" s="22" t="s">
        <v>676</v>
      </c>
      <c r="V21" s="22"/>
      <c r="W21" s="22"/>
      <c r="X21" s="22"/>
      <c r="Y21" s="22"/>
      <c r="Z21" s="22"/>
      <c r="AA21" s="22"/>
      <c r="AB21" s="22"/>
      <c r="AC21" s="22" t="s">
        <v>677</v>
      </c>
      <c r="AD21" s="22"/>
      <c r="AE21" s="22"/>
      <c r="AF21" s="22"/>
      <c r="AG21" s="22"/>
      <c r="AH21" s="33" t="s">
        <v>23</v>
      </c>
      <c r="AI21" s="23" t="s">
        <v>49</v>
      </c>
      <c r="AJ21" s="33" t="str">
        <f t="shared" si="0"/>
        <v>PD5D_MTG_snRNAseq/samples/HC_BN0737_MTG_snRNAseq_batch7_rep1.h5</v>
      </c>
      <c r="AK21" t="s">
        <v>1290</v>
      </c>
    </row>
    <row r="22" spans="1:37">
      <c r="A22" s="22" t="s">
        <v>705</v>
      </c>
      <c r="B22" s="22" t="s">
        <v>104</v>
      </c>
      <c r="C22" s="22" t="s">
        <v>104</v>
      </c>
      <c r="D22" s="22" t="s">
        <v>666</v>
      </c>
      <c r="E22" s="22">
        <v>1</v>
      </c>
      <c r="F22" s="22">
        <v>0</v>
      </c>
      <c r="G22" s="22" t="s">
        <v>706</v>
      </c>
      <c r="H22" s="22" t="s">
        <v>668</v>
      </c>
      <c r="I22" s="22" t="s">
        <v>669</v>
      </c>
      <c r="J22" s="22" t="s">
        <v>670</v>
      </c>
      <c r="K22" s="22" t="s">
        <v>671</v>
      </c>
      <c r="L22" s="22" t="s">
        <v>669</v>
      </c>
      <c r="M22" s="22" t="s">
        <v>672</v>
      </c>
      <c r="N22" s="22">
        <v>9.5</v>
      </c>
      <c r="O22" s="22">
        <v>9.5</v>
      </c>
      <c r="P22" s="22" t="s">
        <v>673</v>
      </c>
      <c r="Q22" s="22">
        <v>50600</v>
      </c>
      <c r="R22" s="22" t="s">
        <v>674</v>
      </c>
      <c r="S22" s="22" t="s">
        <v>675</v>
      </c>
      <c r="T22" s="22">
        <v>120</v>
      </c>
      <c r="U22" s="22" t="s">
        <v>676</v>
      </c>
      <c r="V22" s="22"/>
      <c r="W22" s="22"/>
      <c r="X22" s="22"/>
      <c r="Y22" s="22"/>
      <c r="Z22" s="22"/>
      <c r="AA22" s="22"/>
      <c r="AB22" s="22"/>
      <c r="AC22" s="22" t="s">
        <v>677</v>
      </c>
      <c r="AD22" s="22"/>
      <c r="AE22" s="22"/>
      <c r="AF22" s="22"/>
      <c r="AG22" s="22"/>
      <c r="AH22" s="33" t="s">
        <v>23</v>
      </c>
      <c r="AI22" s="23" t="s">
        <v>49</v>
      </c>
      <c r="AJ22" s="33" t="str">
        <f t="shared" si="0"/>
        <v>PD5D_MTG_snRNAseq/samples/HC_BN0746_MTG_snRNAseq_batch8_rep1.h5</v>
      </c>
      <c r="AK22" t="s">
        <v>1290</v>
      </c>
    </row>
    <row r="23" spans="1:37">
      <c r="A23" s="22" t="s">
        <v>707</v>
      </c>
      <c r="B23" s="22" t="s">
        <v>106</v>
      </c>
      <c r="C23" s="22" t="s">
        <v>106</v>
      </c>
      <c r="D23" s="22" t="s">
        <v>666</v>
      </c>
      <c r="E23" s="22">
        <v>1</v>
      </c>
      <c r="F23" s="22">
        <v>0</v>
      </c>
      <c r="G23" s="22" t="s">
        <v>708</v>
      </c>
      <c r="H23" s="22" t="s">
        <v>668</v>
      </c>
      <c r="I23" s="22" t="s">
        <v>669</v>
      </c>
      <c r="J23" s="22" t="s">
        <v>670</v>
      </c>
      <c r="K23" s="22" t="s">
        <v>671</v>
      </c>
      <c r="L23" s="22" t="s">
        <v>669</v>
      </c>
      <c r="M23" s="22" t="s">
        <v>672</v>
      </c>
      <c r="N23" s="22">
        <v>9.4</v>
      </c>
      <c r="O23" s="22">
        <v>9.4</v>
      </c>
      <c r="P23" s="22" t="s">
        <v>673</v>
      </c>
      <c r="Q23" s="22">
        <v>40000</v>
      </c>
      <c r="R23" s="22" t="s">
        <v>674</v>
      </c>
      <c r="S23" s="22" t="s">
        <v>675</v>
      </c>
      <c r="T23" s="22">
        <v>120</v>
      </c>
      <c r="U23" s="22" t="s">
        <v>676</v>
      </c>
      <c r="V23" s="22"/>
      <c r="W23" s="22"/>
      <c r="X23" s="22"/>
      <c r="Y23" s="22"/>
      <c r="Z23" s="22"/>
      <c r="AA23" s="22"/>
      <c r="AB23" s="22"/>
      <c r="AC23" s="22" t="s">
        <v>677</v>
      </c>
      <c r="AD23" s="22"/>
      <c r="AE23" s="22"/>
      <c r="AF23" s="22"/>
      <c r="AG23" s="22"/>
      <c r="AH23" s="33" t="s">
        <v>23</v>
      </c>
      <c r="AI23" s="23" t="s">
        <v>49</v>
      </c>
      <c r="AJ23" s="33" t="str">
        <f t="shared" si="0"/>
        <v>PD5D_MTG_snRNAseq/samples/HC_BN0855_MTG_snRNAseq_batch27_rep1.h5</v>
      </c>
      <c r="AK23" t="s">
        <v>1290</v>
      </c>
    </row>
    <row r="24" spans="1:37">
      <c r="A24" s="22" t="s">
        <v>709</v>
      </c>
      <c r="B24" s="22" t="s">
        <v>108</v>
      </c>
      <c r="C24" s="22" t="s">
        <v>108</v>
      </c>
      <c r="D24" s="22" t="s">
        <v>666</v>
      </c>
      <c r="E24" s="22">
        <v>2</v>
      </c>
      <c r="F24" s="22">
        <v>0</v>
      </c>
      <c r="G24" s="22" t="s">
        <v>696</v>
      </c>
      <c r="H24" s="22" t="s">
        <v>668</v>
      </c>
      <c r="I24" s="22" t="s">
        <v>669</v>
      </c>
      <c r="J24" s="22" t="s">
        <v>670</v>
      </c>
      <c r="K24" s="22" t="s">
        <v>671</v>
      </c>
      <c r="L24" s="22" t="s">
        <v>669</v>
      </c>
      <c r="M24" s="22" t="s">
        <v>672</v>
      </c>
      <c r="N24" s="22">
        <v>9.6999999999999993</v>
      </c>
      <c r="O24" s="22">
        <v>9.6999999999999993</v>
      </c>
      <c r="P24" s="22" t="s">
        <v>673</v>
      </c>
      <c r="Q24" s="22">
        <v>50600</v>
      </c>
      <c r="R24" s="22" t="s">
        <v>674</v>
      </c>
      <c r="S24" s="22" t="s">
        <v>675</v>
      </c>
      <c r="T24" s="22">
        <v>120</v>
      </c>
      <c r="U24" s="22" t="s">
        <v>676</v>
      </c>
      <c r="V24" s="22"/>
      <c r="W24" s="22"/>
      <c r="X24" s="22"/>
      <c r="Y24" s="22"/>
      <c r="Z24" s="22"/>
      <c r="AA24" s="22"/>
      <c r="AB24" s="22"/>
      <c r="AC24" s="22" t="s">
        <v>677</v>
      </c>
      <c r="AD24" s="22"/>
      <c r="AE24" s="22"/>
      <c r="AF24" s="22"/>
      <c r="AG24" s="22"/>
      <c r="AH24" s="33" t="s">
        <v>23</v>
      </c>
      <c r="AI24" s="23" t="s">
        <v>49</v>
      </c>
      <c r="AJ24" s="33" t="str">
        <f t="shared" si="0"/>
        <v>PD5D_MTG_snRNAseq/samples/ILB_BN0934_MTG_snRNAseq_batch5_rep1.h5</v>
      </c>
      <c r="AK24" t="s">
        <v>1290</v>
      </c>
    </row>
    <row r="25" spans="1:37">
      <c r="A25" s="22" t="s">
        <v>710</v>
      </c>
      <c r="B25" s="22" t="s">
        <v>108</v>
      </c>
      <c r="C25" s="22" t="s">
        <v>108</v>
      </c>
      <c r="D25" s="22" t="s">
        <v>689</v>
      </c>
      <c r="E25" s="22">
        <v>2</v>
      </c>
      <c r="F25" s="22">
        <v>1</v>
      </c>
      <c r="G25" s="22" t="s">
        <v>690</v>
      </c>
      <c r="H25" s="22" t="s">
        <v>668</v>
      </c>
      <c r="I25" s="22" t="s">
        <v>669</v>
      </c>
      <c r="J25" s="22" t="s">
        <v>670</v>
      </c>
      <c r="K25" s="22" t="s">
        <v>671</v>
      </c>
      <c r="L25" s="22" t="s">
        <v>669</v>
      </c>
      <c r="M25" s="22" t="s">
        <v>672</v>
      </c>
      <c r="N25" s="22">
        <v>9.6999999999999993</v>
      </c>
      <c r="O25" s="22">
        <v>9.6999999999999993</v>
      </c>
      <c r="P25" s="22" t="s">
        <v>673</v>
      </c>
      <c r="Q25" s="22">
        <v>50600</v>
      </c>
      <c r="R25" s="22" t="s">
        <v>674</v>
      </c>
      <c r="S25" s="22" t="s">
        <v>675</v>
      </c>
      <c r="T25" s="22">
        <v>120</v>
      </c>
      <c r="U25" s="22" t="s">
        <v>676</v>
      </c>
      <c r="V25" s="22"/>
      <c r="W25" s="22"/>
      <c r="X25" s="22"/>
      <c r="Y25" s="22"/>
      <c r="Z25" s="22"/>
      <c r="AA25" s="22"/>
      <c r="AB25" s="22"/>
      <c r="AC25" s="22" t="s">
        <v>677</v>
      </c>
      <c r="AD25" s="22"/>
      <c r="AE25" s="22"/>
      <c r="AF25" s="22"/>
      <c r="AG25" s="22"/>
      <c r="AH25" s="33" t="s">
        <v>23</v>
      </c>
      <c r="AI25" s="23" t="s">
        <v>49</v>
      </c>
      <c r="AJ25" s="33" t="str">
        <f t="shared" si="0"/>
        <v>PD5D_MTG_snRNAseq/samples/ILB_BN0934_MTG_snRNAseq_batch26_rep2.h5</v>
      </c>
      <c r="AK25" t="s">
        <v>1290</v>
      </c>
    </row>
    <row r="26" spans="1:37">
      <c r="A26" s="22" t="s">
        <v>711</v>
      </c>
      <c r="B26" s="22" t="s">
        <v>110</v>
      </c>
      <c r="C26" s="22" t="s">
        <v>110</v>
      </c>
      <c r="D26" s="22" t="s">
        <v>666</v>
      </c>
      <c r="E26" s="22">
        <v>1</v>
      </c>
      <c r="F26" s="22">
        <v>0</v>
      </c>
      <c r="G26" s="22" t="s">
        <v>686</v>
      </c>
      <c r="H26" s="22" t="s">
        <v>668</v>
      </c>
      <c r="I26" s="22" t="s">
        <v>669</v>
      </c>
      <c r="J26" s="22" t="s">
        <v>670</v>
      </c>
      <c r="K26" s="22" t="s">
        <v>671</v>
      </c>
      <c r="L26" s="22" t="s">
        <v>669</v>
      </c>
      <c r="M26" s="22" t="s">
        <v>672</v>
      </c>
      <c r="N26" s="22">
        <v>9.5</v>
      </c>
      <c r="O26" s="22">
        <v>9.5</v>
      </c>
      <c r="P26" s="22" t="s">
        <v>673</v>
      </c>
      <c r="Q26" s="22">
        <v>50600</v>
      </c>
      <c r="R26" s="22" t="s">
        <v>674</v>
      </c>
      <c r="S26" s="22" t="s">
        <v>675</v>
      </c>
      <c r="T26" s="22">
        <v>120</v>
      </c>
      <c r="U26" s="22" t="s">
        <v>676</v>
      </c>
      <c r="V26" s="22"/>
      <c r="W26" s="22"/>
      <c r="X26" s="22"/>
      <c r="Y26" s="22"/>
      <c r="Z26" s="22"/>
      <c r="AA26" s="22"/>
      <c r="AB26" s="22"/>
      <c r="AC26" s="22" t="s">
        <v>677</v>
      </c>
      <c r="AD26" s="22"/>
      <c r="AE26" s="22"/>
      <c r="AF26" s="22"/>
      <c r="AG26" s="22"/>
      <c r="AH26" s="33" t="s">
        <v>23</v>
      </c>
      <c r="AI26" s="23" t="s">
        <v>49</v>
      </c>
      <c r="AJ26" s="33" t="str">
        <f t="shared" si="0"/>
        <v>PD5D_MTG_snRNAseq/samples/PD_BN0952_MTG_snRNAseq_batch7_rep1.h5</v>
      </c>
      <c r="AK26" t="s">
        <v>1290</v>
      </c>
    </row>
    <row r="27" spans="1:37">
      <c r="A27" s="22" t="s">
        <v>712</v>
      </c>
      <c r="B27" s="22" t="s">
        <v>112</v>
      </c>
      <c r="C27" s="22" t="s">
        <v>112</v>
      </c>
      <c r="D27" s="22" t="s">
        <v>666</v>
      </c>
      <c r="E27" s="22">
        <v>1</v>
      </c>
      <c r="F27" s="22">
        <v>0</v>
      </c>
      <c r="G27" s="22" t="s">
        <v>713</v>
      </c>
      <c r="H27" s="22" t="s">
        <v>668</v>
      </c>
      <c r="I27" s="22" t="s">
        <v>669</v>
      </c>
      <c r="J27" s="22" t="s">
        <v>670</v>
      </c>
      <c r="K27" s="22" t="s">
        <v>671</v>
      </c>
      <c r="L27" s="22" t="s">
        <v>669</v>
      </c>
      <c r="M27" s="22" t="s">
        <v>672</v>
      </c>
      <c r="N27" s="22">
        <v>6.8</v>
      </c>
      <c r="O27" s="22">
        <v>6.8</v>
      </c>
      <c r="P27" s="22" t="s">
        <v>673</v>
      </c>
      <c r="Q27" s="22">
        <v>50600</v>
      </c>
      <c r="R27" s="22" t="s">
        <v>674</v>
      </c>
      <c r="S27" s="22" t="s">
        <v>675</v>
      </c>
      <c r="T27" s="22">
        <v>120</v>
      </c>
      <c r="U27" s="22" t="s">
        <v>676</v>
      </c>
      <c r="V27" s="22"/>
      <c r="W27" s="22"/>
      <c r="X27" s="22"/>
      <c r="Y27" s="22"/>
      <c r="Z27" s="22"/>
      <c r="AA27" s="22"/>
      <c r="AB27" s="22"/>
      <c r="AC27" s="22" t="s">
        <v>677</v>
      </c>
      <c r="AD27" s="22"/>
      <c r="AE27" s="22"/>
      <c r="AF27" s="22"/>
      <c r="AG27" s="22"/>
      <c r="AH27" s="33" t="s">
        <v>23</v>
      </c>
      <c r="AI27" s="23" t="s">
        <v>49</v>
      </c>
      <c r="AJ27" s="33" t="str">
        <f t="shared" si="0"/>
        <v>PD5D_MTG_snRNAseq/samples/HC_BN1022_MTG_snRNAseq_batch11_rep1.h5</v>
      </c>
      <c r="AK27" t="s">
        <v>1290</v>
      </c>
    </row>
    <row r="28" spans="1:37">
      <c r="A28" s="22" t="s">
        <v>714</v>
      </c>
      <c r="B28" s="22" t="s">
        <v>113</v>
      </c>
      <c r="C28" s="22" t="s">
        <v>113</v>
      </c>
      <c r="D28" s="22" t="s">
        <v>666</v>
      </c>
      <c r="E28" s="22">
        <v>2</v>
      </c>
      <c r="F28" s="22">
        <v>0</v>
      </c>
      <c r="G28" s="22" t="s">
        <v>686</v>
      </c>
      <c r="H28" s="22" t="s">
        <v>668</v>
      </c>
      <c r="I28" s="22" t="s">
        <v>669</v>
      </c>
      <c r="J28" s="22" t="s">
        <v>670</v>
      </c>
      <c r="K28" s="22" t="s">
        <v>671</v>
      </c>
      <c r="L28" s="22" t="s">
        <v>669</v>
      </c>
      <c r="M28" s="22" t="s">
        <v>672</v>
      </c>
      <c r="N28" s="22">
        <v>8.8000000000000007</v>
      </c>
      <c r="O28" s="22">
        <v>8.8000000000000007</v>
      </c>
      <c r="P28" s="22" t="s">
        <v>673</v>
      </c>
      <c r="Q28" s="22">
        <v>50600</v>
      </c>
      <c r="R28" s="22" t="s">
        <v>674</v>
      </c>
      <c r="S28" s="22" t="s">
        <v>675</v>
      </c>
      <c r="T28" s="22">
        <v>120</v>
      </c>
      <c r="U28" s="22" t="s">
        <v>676</v>
      </c>
      <c r="V28" s="22"/>
      <c r="W28" s="22"/>
      <c r="X28" s="22"/>
      <c r="Y28" s="22"/>
      <c r="Z28" s="22"/>
      <c r="AA28" s="22"/>
      <c r="AB28" s="22"/>
      <c r="AC28" s="22" t="s">
        <v>677</v>
      </c>
      <c r="AD28" s="22"/>
      <c r="AE28" s="22"/>
      <c r="AF28" s="22"/>
      <c r="AG28" s="22"/>
      <c r="AH28" s="33" t="s">
        <v>23</v>
      </c>
      <c r="AI28" s="23" t="s">
        <v>49</v>
      </c>
      <c r="AJ28" s="33" t="str">
        <f t="shared" si="0"/>
        <v>PD5D_MTG_snRNAseq/samples/PD_BN1076_MTG_snRNAseq_batch7_rep1.h5</v>
      </c>
      <c r="AK28" t="s">
        <v>1290</v>
      </c>
    </row>
    <row r="29" spans="1:37">
      <c r="A29" s="22" t="s">
        <v>715</v>
      </c>
      <c r="B29" s="22" t="s">
        <v>113</v>
      </c>
      <c r="C29" s="22" t="s">
        <v>113</v>
      </c>
      <c r="D29" s="22" t="s">
        <v>689</v>
      </c>
      <c r="E29" s="22">
        <v>2</v>
      </c>
      <c r="F29" s="22">
        <v>1</v>
      </c>
      <c r="G29" s="22" t="s">
        <v>690</v>
      </c>
      <c r="H29" s="22" t="s">
        <v>668</v>
      </c>
      <c r="I29" s="22" t="s">
        <v>669</v>
      </c>
      <c r="J29" s="22" t="s">
        <v>670</v>
      </c>
      <c r="K29" s="22" t="s">
        <v>671</v>
      </c>
      <c r="L29" s="22" t="s">
        <v>669</v>
      </c>
      <c r="M29" s="22" t="s">
        <v>672</v>
      </c>
      <c r="N29" s="22">
        <v>8.8000000000000007</v>
      </c>
      <c r="O29" s="22">
        <v>8.8000000000000007</v>
      </c>
      <c r="P29" s="22" t="s">
        <v>673</v>
      </c>
      <c r="Q29" s="22">
        <v>50600</v>
      </c>
      <c r="R29" s="22" t="s">
        <v>674</v>
      </c>
      <c r="S29" s="22" t="s">
        <v>675</v>
      </c>
      <c r="T29" s="22">
        <v>120</v>
      </c>
      <c r="U29" s="22" t="s">
        <v>676</v>
      </c>
      <c r="V29" s="22"/>
      <c r="W29" s="22"/>
      <c r="X29" s="22"/>
      <c r="Y29" s="22"/>
      <c r="Z29" s="22"/>
      <c r="AA29" s="22"/>
      <c r="AB29" s="22"/>
      <c r="AC29" s="22" t="s">
        <v>677</v>
      </c>
      <c r="AD29" s="22"/>
      <c r="AE29" s="22"/>
      <c r="AF29" s="22"/>
      <c r="AG29" s="22"/>
      <c r="AH29" s="33" t="s">
        <v>23</v>
      </c>
      <c r="AI29" s="23" t="s">
        <v>49</v>
      </c>
      <c r="AJ29" s="33" t="str">
        <f t="shared" si="0"/>
        <v>PD5D_MTG_snRNAseq/samples/PD_BN1076_MTG_snRNAseq_batch26_rep2.h5</v>
      </c>
      <c r="AK29" t="s">
        <v>1290</v>
      </c>
    </row>
    <row r="30" spans="1:37">
      <c r="A30" s="22" t="s">
        <v>716</v>
      </c>
      <c r="B30" s="22" t="s">
        <v>115</v>
      </c>
      <c r="C30" s="22" t="s">
        <v>115</v>
      </c>
      <c r="D30" s="22" t="s">
        <v>666</v>
      </c>
      <c r="E30" s="22">
        <v>1</v>
      </c>
      <c r="F30" s="22">
        <v>0</v>
      </c>
      <c r="G30" s="22" t="s">
        <v>696</v>
      </c>
      <c r="H30" s="22" t="s">
        <v>668</v>
      </c>
      <c r="I30" s="22" t="s">
        <v>669</v>
      </c>
      <c r="J30" s="22" t="s">
        <v>670</v>
      </c>
      <c r="K30" s="22" t="s">
        <v>671</v>
      </c>
      <c r="L30" s="22" t="s">
        <v>669</v>
      </c>
      <c r="M30" s="22" t="s">
        <v>672</v>
      </c>
      <c r="N30" s="22">
        <v>8.6</v>
      </c>
      <c r="O30" s="22">
        <v>8.6</v>
      </c>
      <c r="P30" s="22" t="s">
        <v>673</v>
      </c>
      <c r="Q30" s="22">
        <v>50600</v>
      </c>
      <c r="R30" s="22" t="s">
        <v>674</v>
      </c>
      <c r="S30" s="22" t="s">
        <v>675</v>
      </c>
      <c r="T30" s="22">
        <v>120</v>
      </c>
      <c r="U30" s="22" t="s">
        <v>676</v>
      </c>
      <c r="V30" s="22"/>
      <c r="W30" s="22"/>
      <c r="X30" s="22"/>
      <c r="Y30" s="22"/>
      <c r="Z30" s="22"/>
      <c r="AA30" s="22"/>
      <c r="AB30" s="22"/>
      <c r="AC30" s="22" t="s">
        <v>677</v>
      </c>
      <c r="AD30" s="22"/>
      <c r="AE30" s="22"/>
      <c r="AF30" s="22"/>
      <c r="AG30" s="22"/>
      <c r="AH30" s="33" t="s">
        <v>23</v>
      </c>
      <c r="AI30" s="23" t="s">
        <v>49</v>
      </c>
      <c r="AJ30" s="33" t="str">
        <f t="shared" si="0"/>
        <v>PD5D_MTG_snRNAseq/samples/ILB_BN1128_MTG_snRNAseq_batch5_rep1.h5</v>
      </c>
      <c r="AK30" t="s">
        <v>1290</v>
      </c>
    </row>
    <row r="31" spans="1:37">
      <c r="A31" s="22" t="s">
        <v>717</v>
      </c>
      <c r="B31" s="22" t="s">
        <v>116</v>
      </c>
      <c r="C31" s="22" t="s">
        <v>116</v>
      </c>
      <c r="D31" s="22" t="s">
        <v>666</v>
      </c>
      <c r="E31" s="22">
        <v>1</v>
      </c>
      <c r="F31" s="22">
        <v>0</v>
      </c>
      <c r="G31" s="22" t="s">
        <v>718</v>
      </c>
      <c r="H31" s="22" t="s">
        <v>668</v>
      </c>
      <c r="I31" s="22" t="s">
        <v>669</v>
      </c>
      <c r="J31" s="22" t="s">
        <v>670</v>
      </c>
      <c r="K31" s="22" t="s">
        <v>671</v>
      </c>
      <c r="L31" s="22" t="s">
        <v>669</v>
      </c>
      <c r="M31" s="22" t="s">
        <v>672</v>
      </c>
      <c r="N31" s="22">
        <v>9.6</v>
      </c>
      <c r="O31" s="22">
        <v>9.6</v>
      </c>
      <c r="P31" s="22" t="s">
        <v>673</v>
      </c>
      <c r="Q31" s="22">
        <v>50600</v>
      </c>
      <c r="R31" s="22" t="s">
        <v>674</v>
      </c>
      <c r="S31" s="22" t="s">
        <v>675</v>
      </c>
      <c r="T31" s="22">
        <v>120</v>
      </c>
      <c r="U31" s="22" t="s">
        <v>676</v>
      </c>
      <c r="V31" s="22"/>
      <c r="W31" s="22"/>
      <c r="X31" s="22"/>
      <c r="Y31" s="22"/>
      <c r="Z31" s="22"/>
      <c r="AA31" s="22"/>
      <c r="AB31" s="22"/>
      <c r="AC31" s="22" t="s">
        <v>677</v>
      </c>
      <c r="AD31" s="22"/>
      <c r="AE31" s="22"/>
      <c r="AF31" s="22"/>
      <c r="AG31" s="22"/>
      <c r="AH31" s="33" t="s">
        <v>23</v>
      </c>
      <c r="AI31" s="23" t="s">
        <v>49</v>
      </c>
      <c r="AJ31" s="33" t="str">
        <f t="shared" si="0"/>
        <v>PD5D_MTG_snRNAseq/samples/HC_BN1144_MTG_snRNAseq_batch13_rep1.h5</v>
      </c>
      <c r="AK31" t="s">
        <v>1290</v>
      </c>
    </row>
    <row r="32" spans="1:37">
      <c r="A32" s="22" t="s">
        <v>719</v>
      </c>
      <c r="B32" s="22" t="s">
        <v>119</v>
      </c>
      <c r="C32" s="22" t="s">
        <v>119</v>
      </c>
      <c r="D32" s="22" t="s">
        <v>666</v>
      </c>
      <c r="E32" s="22">
        <v>1</v>
      </c>
      <c r="F32" s="22">
        <v>0</v>
      </c>
      <c r="G32" s="22" t="s">
        <v>698</v>
      </c>
      <c r="H32" s="22" t="s">
        <v>668</v>
      </c>
      <c r="I32" s="22" t="s">
        <v>669</v>
      </c>
      <c r="J32" s="22" t="s">
        <v>670</v>
      </c>
      <c r="K32" s="22" t="s">
        <v>671</v>
      </c>
      <c r="L32" s="22" t="s">
        <v>669</v>
      </c>
      <c r="M32" s="22" t="s">
        <v>672</v>
      </c>
      <c r="N32" s="22">
        <v>9.6999999999999993</v>
      </c>
      <c r="O32" s="22">
        <v>9.6999999999999993</v>
      </c>
      <c r="P32" s="22" t="s">
        <v>673</v>
      </c>
      <c r="Q32" s="22">
        <v>50600</v>
      </c>
      <c r="R32" s="22" t="s">
        <v>674</v>
      </c>
      <c r="S32" s="22" t="s">
        <v>675</v>
      </c>
      <c r="T32" s="22">
        <v>120</v>
      </c>
      <c r="U32" s="22" t="s">
        <v>676</v>
      </c>
      <c r="V32" s="22"/>
      <c r="W32" s="22"/>
      <c r="X32" s="22"/>
      <c r="Y32" s="22"/>
      <c r="Z32" s="22"/>
      <c r="AA32" s="22"/>
      <c r="AB32" s="22"/>
      <c r="AC32" s="22" t="s">
        <v>677</v>
      </c>
      <c r="AD32" s="22"/>
      <c r="AE32" s="22"/>
      <c r="AF32" s="22"/>
      <c r="AG32" s="22"/>
      <c r="AH32" s="33" t="s">
        <v>23</v>
      </c>
      <c r="AI32" s="23" t="s">
        <v>49</v>
      </c>
      <c r="AJ32" s="33" t="str">
        <f t="shared" si="0"/>
        <v>PD5D_MTG_snRNAseq/samples/ILB_BN1160_MTG_snRNAseq_batch6_rep1.h5</v>
      </c>
      <c r="AK32" t="s">
        <v>1290</v>
      </c>
    </row>
    <row r="33" spans="1:37">
      <c r="A33" s="22" t="s">
        <v>720</v>
      </c>
      <c r="B33" s="22" t="s">
        <v>121</v>
      </c>
      <c r="C33" s="22" t="s">
        <v>121</v>
      </c>
      <c r="D33" s="22" t="s">
        <v>666</v>
      </c>
      <c r="E33" s="22">
        <v>1</v>
      </c>
      <c r="F33" s="22">
        <v>0</v>
      </c>
      <c r="G33" s="22" t="s">
        <v>721</v>
      </c>
      <c r="H33" s="22" t="s">
        <v>668</v>
      </c>
      <c r="I33" s="22" t="s">
        <v>669</v>
      </c>
      <c r="J33" s="22" t="s">
        <v>670</v>
      </c>
      <c r="K33" s="22" t="s">
        <v>671</v>
      </c>
      <c r="L33" s="22" t="s">
        <v>669</v>
      </c>
      <c r="M33" s="22" t="s">
        <v>672</v>
      </c>
      <c r="N33" s="22">
        <v>7.5</v>
      </c>
      <c r="O33" s="22">
        <v>7.5</v>
      </c>
      <c r="P33" s="22" t="s">
        <v>673</v>
      </c>
      <c r="Q33" s="22">
        <v>40000</v>
      </c>
      <c r="R33" s="22" t="s">
        <v>674</v>
      </c>
      <c r="S33" s="22" t="s">
        <v>675</v>
      </c>
      <c r="T33" s="22">
        <v>120</v>
      </c>
      <c r="U33" s="22" t="s">
        <v>676</v>
      </c>
      <c r="V33" s="22"/>
      <c r="W33" s="22"/>
      <c r="X33" s="22"/>
      <c r="Y33" s="22"/>
      <c r="Z33" s="22"/>
      <c r="AA33" s="22"/>
      <c r="AB33" s="22"/>
      <c r="AC33" s="22" t="s">
        <v>677</v>
      </c>
      <c r="AD33" s="22"/>
      <c r="AE33" s="22"/>
      <c r="AF33" s="22"/>
      <c r="AG33" s="22"/>
      <c r="AH33" s="33" t="s">
        <v>23</v>
      </c>
      <c r="AI33" s="23" t="s">
        <v>49</v>
      </c>
      <c r="AJ33" s="33" t="str">
        <f t="shared" si="0"/>
        <v>PD5D_MTG_snRNAseq/samples/PD_BN1204_MTG_snRNAseq_batch30_rep1.h5</v>
      </c>
      <c r="AK33" t="s">
        <v>1290</v>
      </c>
    </row>
    <row r="34" spans="1:37">
      <c r="A34" s="22" t="s">
        <v>722</v>
      </c>
      <c r="B34" s="22" t="s">
        <v>122</v>
      </c>
      <c r="C34" s="22" t="s">
        <v>122</v>
      </c>
      <c r="D34" s="22" t="s">
        <v>666</v>
      </c>
      <c r="E34" s="22">
        <v>1</v>
      </c>
      <c r="F34" s="22">
        <v>0</v>
      </c>
      <c r="G34" s="22" t="s">
        <v>723</v>
      </c>
      <c r="H34" s="22" t="s">
        <v>668</v>
      </c>
      <c r="I34" s="22" t="s">
        <v>669</v>
      </c>
      <c r="J34" s="22" t="s">
        <v>670</v>
      </c>
      <c r="K34" s="22" t="s">
        <v>671</v>
      </c>
      <c r="L34" s="22" t="s">
        <v>669</v>
      </c>
      <c r="M34" s="22" t="s">
        <v>672</v>
      </c>
      <c r="N34" s="22">
        <v>9.6</v>
      </c>
      <c r="O34" s="22">
        <v>9.6</v>
      </c>
      <c r="P34" s="22" t="s">
        <v>673</v>
      </c>
      <c r="Q34" s="22">
        <v>50600</v>
      </c>
      <c r="R34" s="22" t="s">
        <v>674</v>
      </c>
      <c r="S34" s="22" t="s">
        <v>675</v>
      </c>
      <c r="T34" s="22">
        <v>120</v>
      </c>
      <c r="U34" s="22" t="s">
        <v>676</v>
      </c>
      <c r="V34" s="22"/>
      <c r="W34" s="22"/>
      <c r="X34" s="22"/>
      <c r="Y34" s="22"/>
      <c r="Z34" s="22"/>
      <c r="AA34" s="22"/>
      <c r="AB34" s="22"/>
      <c r="AC34" s="22" t="s">
        <v>677</v>
      </c>
      <c r="AD34" s="22"/>
      <c r="AE34" s="22"/>
      <c r="AF34" s="22"/>
      <c r="AG34" s="22"/>
      <c r="AH34" s="33" t="s">
        <v>23</v>
      </c>
      <c r="AI34" s="23" t="s">
        <v>49</v>
      </c>
      <c r="AJ34" s="33" t="str">
        <f t="shared" si="0"/>
        <v>PD5D_MTG_snRNAseq/samples/HC_BN1206_MTG_snRNAseq_batch16_rep1.h5</v>
      </c>
      <c r="AK34" t="s">
        <v>1290</v>
      </c>
    </row>
    <row r="35" spans="1:37">
      <c r="A35" s="22" t="s">
        <v>724</v>
      </c>
      <c r="B35" s="22" t="s">
        <v>124</v>
      </c>
      <c r="C35" s="22" t="s">
        <v>124</v>
      </c>
      <c r="D35" s="22" t="s">
        <v>666</v>
      </c>
      <c r="E35" s="22">
        <v>1</v>
      </c>
      <c r="F35" s="22">
        <v>0</v>
      </c>
      <c r="G35" s="22" t="s">
        <v>725</v>
      </c>
      <c r="H35" s="22" t="s">
        <v>668</v>
      </c>
      <c r="I35" s="22" t="s">
        <v>669</v>
      </c>
      <c r="J35" s="22" t="s">
        <v>670</v>
      </c>
      <c r="K35" s="22" t="s">
        <v>671</v>
      </c>
      <c r="L35" s="22" t="s">
        <v>669</v>
      </c>
      <c r="M35" s="22" t="s">
        <v>672</v>
      </c>
      <c r="N35" s="22">
        <v>8.1999999999999993</v>
      </c>
      <c r="O35" s="22">
        <v>8.1999999999999993</v>
      </c>
      <c r="P35" s="22" t="s">
        <v>673</v>
      </c>
      <c r="Q35" s="22">
        <v>50600</v>
      </c>
      <c r="R35" s="22" t="s">
        <v>674</v>
      </c>
      <c r="S35" s="22" t="s">
        <v>675</v>
      </c>
      <c r="T35" s="22">
        <v>120</v>
      </c>
      <c r="U35" s="22" t="s">
        <v>676</v>
      </c>
      <c r="V35" s="22"/>
      <c r="W35" s="22"/>
      <c r="X35" s="22"/>
      <c r="Y35" s="22"/>
      <c r="Z35" s="22"/>
      <c r="AA35" s="22"/>
      <c r="AB35" s="22"/>
      <c r="AC35" s="22" t="s">
        <v>677</v>
      </c>
      <c r="AD35" s="22"/>
      <c r="AE35" s="22"/>
      <c r="AF35" s="22"/>
      <c r="AG35" s="22"/>
      <c r="AH35" s="33" t="s">
        <v>23</v>
      </c>
      <c r="AI35" s="23" t="s">
        <v>49</v>
      </c>
      <c r="AJ35" s="33" t="str">
        <f t="shared" si="0"/>
        <v>PD5D_MTG_snRNAseq/samples/HC_BN1221_MTG_snRNAseq_batch14_rep1.h5</v>
      </c>
      <c r="AK35" t="s">
        <v>1290</v>
      </c>
    </row>
    <row r="36" spans="1:37">
      <c r="A36" s="22" t="s">
        <v>726</v>
      </c>
      <c r="B36" s="22" t="s">
        <v>125</v>
      </c>
      <c r="C36" s="22" t="s">
        <v>125</v>
      </c>
      <c r="D36" s="22" t="s">
        <v>666</v>
      </c>
      <c r="E36" s="22">
        <v>1</v>
      </c>
      <c r="F36" s="22">
        <v>0</v>
      </c>
      <c r="G36" s="22" t="s">
        <v>727</v>
      </c>
      <c r="H36" s="22" t="s">
        <v>668</v>
      </c>
      <c r="I36" s="22" t="s">
        <v>669</v>
      </c>
      <c r="J36" s="22" t="s">
        <v>670</v>
      </c>
      <c r="K36" s="22" t="s">
        <v>671</v>
      </c>
      <c r="L36" s="22" t="s">
        <v>669</v>
      </c>
      <c r="M36" s="22" t="s">
        <v>672</v>
      </c>
      <c r="N36" s="22">
        <v>8</v>
      </c>
      <c r="O36" s="22">
        <v>8</v>
      </c>
      <c r="P36" s="22" t="s">
        <v>673</v>
      </c>
      <c r="Q36" s="22">
        <v>40000</v>
      </c>
      <c r="R36" s="22" t="s">
        <v>674</v>
      </c>
      <c r="S36" s="22" t="s">
        <v>675</v>
      </c>
      <c r="T36" s="22">
        <v>120</v>
      </c>
      <c r="U36" s="22" t="s">
        <v>676</v>
      </c>
      <c r="V36" s="22"/>
      <c r="W36" s="22"/>
      <c r="X36" s="22"/>
      <c r="Y36" s="22"/>
      <c r="Z36" s="22"/>
      <c r="AA36" s="22"/>
      <c r="AB36" s="22"/>
      <c r="AC36" s="22" t="s">
        <v>677</v>
      </c>
      <c r="AD36" s="22"/>
      <c r="AE36" s="22"/>
      <c r="AF36" s="22"/>
      <c r="AG36" s="22"/>
      <c r="AH36" s="33" t="s">
        <v>23</v>
      </c>
      <c r="AI36" s="23" t="s">
        <v>49</v>
      </c>
      <c r="AJ36" s="33" t="str">
        <f t="shared" si="0"/>
        <v>PD5D_MTG_snRNAseq/samples/PD_BN1266_MTG_snRNAseq_batch31_rep1.h5</v>
      </c>
      <c r="AK36" t="s">
        <v>1290</v>
      </c>
    </row>
    <row r="37" spans="1:37">
      <c r="A37" s="22" t="s">
        <v>728</v>
      </c>
      <c r="B37" s="22" t="s">
        <v>127</v>
      </c>
      <c r="C37" s="22" t="s">
        <v>127</v>
      </c>
      <c r="D37" s="22" t="s">
        <v>666</v>
      </c>
      <c r="E37" s="22">
        <v>1</v>
      </c>
      <c r="F37" s="22">
        <v>0</v>
      </c>
      <c r="G37" s="22" t="s">
        <v>706</v>
      </c>
      <c r="H37" s="22" t="s">
        <v>668</v>
      </c>
      <c r="I37" s="22" t="s">
        <v>669</v>
      </c>
      <c r="J37" s="22" t="s">
        <v>670</v>
      </c>
      <c r="K37" s="22" t="s">
        <v>671</v>
      </c>
      <c r="L37" s="22" t="s">
        <v>669</v>
      </c>
      <c r="M37" s="22" t="s">
        <v>672</v>
      </c>
      <c r="N37" s="22">
        <v>9.6</v>
      </c>
      <c r="O37" s="22">
        <v>9.6</v>
      </c>
      <c r="P37" s="22" t="s">
        <v>673</v>
      </c>
      <c r="Q37" s="22">
        <v>50600</v>
      </c>
      <c r="R37" s="22" t="s">
        <v>674</v>
      </c>
      <c r="S37" s="22" t="s">
        <v>675</v>
      </c>
      <c r="T37" s="22">
        <v>120</v>
      </c>
      <c r="U37" s="22" t="s">
        <v>676</v>
      </c>
      <c r="V37" s="22"/>
      <c r="W37" s="22"/>
      <c r="X37" s="22"/>
      <c r="Y37" s="22"/>
      <c r="Z37" s="22"/>
      <c r="AA37" s="22"/>
      <c r="AB37" s="22"/>
      <c r="AC37" s="22" t="s">
        <v>677</v>
      </c>
      <c r="AD37" s="22"/>
      <c r="AE37" s="22"/>
      <c r="AF37" s="22"/>
      <c r="AG37" s="22"/>
      <c r="AH37" s="33" t="s">
        <v>23</v>
      </c>
      <c r="AI37" s="23" t="s">
        <v>49</v>
      </c>
      <c r="AJ37" s="33" t="str">
        <f t="shared" si="0"/>
        <v>PD5D_MTG_snRNAseq/samples/PD_BN1305_MTG_snRNAseq_batch8_rep1.h5</v>
      </c>
      <c r="AK37" t="s">
        <v>1290</v>
      </c>
    </row>
    <row r="38" spans="1:37">
      <c r="A38" s="22" t="s">
        <v>729</v>
      </c>
      <c r="B38" s="22" t="s">
        <v>129</v>
      </c>
      <c r="C38" s="22" t="s">
        <v>129</v>
      </c>
      <c r="D38" s="22" t="s">
        <v>666</v>
      </c>
      <c r="E38" s="22">
        <v>1</v>
      </c>
      <c r="F38" s="22">
        <v>0</v>
      </c>
      <c r="G38" s="22" t="s">
        <v>706</v>
      </c>
      <c r="H38" s="22" t="s">
        <v>668</v>
      </c>
      <c r="I38" s="22" t="s">
        <v>669</v>
      </c>
      <c r="J38" s="22" t="s">
        <v>670</v>
      </c>
      <c r="K38" s="22" t="s">
        <v>671</v>
      </c>
      <c r="L38" s="22" t="s">
        <v>669</v>
      </c>
      <c r="M38" s="22" t="s">
        <v>672</v>
      </c>
      <c r="N38" s="22">
        <v>9.6999999999999993</v>
      </c>
      <c r="O38" s="22">
        <v>9.6999999999999993</v>
      </c>
      <c r="P38" s="22" t="s">
        <v>673</v>
      </c>
      <c r="Q38" s="22">
        <v>50600</v>
      </c>
      <c r="R38" s="22" t="s">
        <v>674</v>
      </c>
      <c r="S38" s="22" t="s">
        <v>675</v>
      </c>
      <c r="T38" s="22">
        <v>120</v>
      </c>
      <c r="U38" s="22" t="s">
        <v>676</v>
      </c>
      <c r="V38" s="22"/>
      <c r="W38" s="22"/>
      <c r="X38" s="22"/>
      <c r="Y38" s="22"/>
      <c r="Z38" s="22"/>
      <c r="AA38" s="22"/>
      <c r="AB38" s="22"/>
      <c r="AC38" s="22" t="s">
        <v>677</v>
      </c>
      <c r="AD38" s="22"/>
      <c r="AE38" s="22"/>
      <c r="AF38" s="22"/>
      <c r="AG38" s="22"/>
      <c r="AH38" s="33" t="s">
        <v>23</v>
      </c>
      <c r="AI38" s="23" t="s">
        <v>49</v>
      </c>
      <c r="AJ38" s="33" t="str">
        <f t="shared" si="0"/>
        <v>PD5D_MTG_snRNAseq/samples/ILB_BN1308_MTG_snRNAseq_batch8_rep1.h5</v>
      </c>
      <c r="AK38" t="s">
        <v>1290</v>
      </c>
    </row>
    <row r="39" spans="1:37">
      <c r="A39" s="22" t="s">
        <v>730</v>
      </c>
      <c r="B39" s="22" t="s">
        <v>131</v>
      </c>
      <c r="C39" s="22" t="s">
        <v>131</v>
      </c>
      <c r="D39" s="22" t="s">
        <v>666</v>
      </c>
      <c r="E39" s="22">
        <v>1</v>
      </c>
      <c r="F39" s="22">
        <v>0</v>
      </c>
      <c r="G39" s="22" t="s">
        <v>727</v>
      </c>
      <c r="H39" s="22" t="s">
        <v>668</v>
      </c>
      <c r="I39" s="22" t="s">
        <v>669</v>
      </c>
      <c r="J39" s="22" t="s">
        <v>670</v>
      </c>
      <c r="K39" s="22" t="s">
        <v>671</v>
      </c>
      <c r="L39" s="22" t="s">
        <v>669</v>
      </c>
      <c r="M39" s="22" t="s">
        <v>672</v>
      </c>
      <c r="N39" s="22">
        <v>7.6</v>
      </c>
      <c r="O39" s="22">
        <v>7.6</v>
      </c>
      <c r="P39" s="22" t="s">
        <v>673</v>
      </c>
      <c r="Q39" s="22">
        <v>40000</v>
      </c>
      <c r="R39" s="22" t="s">
        <v>674</v>
      </c>
      <c r="S39" s="22" t="s">
        <v>675</v>
      </c>
      <c r="T39" s="22">
        <v>120</v>
      </c>
      <c r="U39" s="22" t="s">
        <v>676</v>
      </c>
      <c r="V39" s="22"/>
      <c r="W39" s="22"/>
      <c r="X39" s="22"/>
      <c r="Y39" s="22"/>
      <c r="Z39" s="22"/>
      <c r="AA39" s="22"/>
      <c r="AB39" s="22"/>
      <c r="AC39" s="22" t="s">
        <v>677</v>
      </c>
      <c r="AD39" s="22"/>
      <c r="AE39" s="22"/>
      <c r="AF39" s="22"/>
      <c r="AG39" s="22"/>
      <c r="AH39" s="33" t="s">
        <v>23</v>
      </c>
      <c r="AI39" s="23" t="s">
        <v>49</v>
      </c>
      <c r="AJ39" s="33" t="str">
        <f t="shared" si="0"/>
        <v>PD5D_MTG_snRNAseq/samples/PD_BN1317_MTG_snRNAseq_batch31_rep1.h5</v>
      </c>
      <c r="AK39" t="s">
        <v>1290</v>
      </c>
    </row>
    <row r="40" spans="1:37">
      <c r="A40" s="22" t="s">
        <v>731</v>
      </c>
      <c r="B40" s="22" t="s">
        <v>133</v>
      </c>
      <c r="C40" s="22" t="s">
        <v>133</v>
      </c>
      <c r="D40" s="22" t="s">
        <v>666</v>
      </c>
      <c r="E40" s="22">
        <v>1</v>
      </c>
      <c r="F40" s="22">
        <v>0</v>
      </c>
      <c r="G40" s="22" t="s">
        <v>706</v>
      </c>
      <c r="H40" s="22" t="s">
        <v>668</v>
      </c>
      <c r="I40" s="22" t="s">
        <v>669</v>
      </c>
      <c r="J40" s="22" t="s">
        <v>670</v>
      </c>
      <c r="K40" s="22" t="s">
        <v>671</v>
      </c>
      <c r="L40" s="22" t="s">
        <v>669</v>
      </c>
      <c r="M40" s="22" t="s">
        <v>672</v>
      </c>
      <c r="N40" s="22">
        <v>9.6</v>
      </c>
      <c r="O40" s="22">
        <v>9.6</v>
      </c>
      <c r="P40" s="22" t="s">
        <v>673</v>
      </c>
      <c r="Q40" s="22">
        <v>50600</v>
      </c>
      <c r="R40" s="22" t="s">
        <v>674</v>
      </c>
      <c r="S40" s="22" t="s">
        <v>675</v>
      </c>
      <c r="T40" s="22">
        <v>120</v>
      </c>
      <c r="U40" s="22" t="s">
        <v>676</v>
      </c>
      <c r="V40" s="22"/>
      <c r="W40" s="22"/>
      <c r="X40" s="22"/>
      <c r="Y40" s="22"/>
      <c r="Z40" s="22"/>
      <c r="AA40" s="22"/>
      <c r="AB40" s="22"/>
      <c r="AC40" s="22" t="s">
        <v>677</v>
      </c>
      <c r="AD40" s="22"/>
      <c r="AE40" s="22"/>
      <c r="AF40" s="22"/>
      <c r="AG40" s="22"/>
      <c r="AH40" s="33" t="s">
        <v>23</v>
      </c>
      <c r="AI40" s="23" t="s">
        <v>49</v>
      </c>
      <c r="AJ40" s="33" t="str">
        <f t="shared" si="0"/>
        <v>PD5D_MTG_snRNAseq/samples/ILB_BN1339_MTG_snRNAseq_batch8_rep1.h5</v>
      </c>
      <c r="AK40" t="s">
        <v>1290</v>
      </c>
    </row>
    <row r="41" spans="1:37">
      <c r="A41" s="22" t="s">
        <v>732</v>
      </c>
      <c r="B41" s="22" t="s">
        <v>135</v>
      </c>
      <c r="C41" s="22" t="s">
        <v>135</v>
      </c>
      <c r="D41" s="22" t="s">
        <v>666</v>
      </c>
      <c r="E41" s="22">
        <v>1</v>
      </c>
      <c r="F41" s="22">
        <v>0</v>
      </c>
      <c r="G41" s="22" t="s">
        <v>733</v>
      </c>
      <c r="H41" s="22" t="s">
        <v>668</v>
      </c>
      <c r="I41" s="22" t="s">
        <v>669</v>
      </c>
      <c r="J41" s="22" t="s">
        <v>670</v>
      </c>
      <c r="K41" s="22" t="s">
        <v>671</v>
      </c>
      <c r="L41" s="22" t="s">
        <v>669</v>
      </c>
      <c r="M41" s="22" t="s">
        <v>672</v>
      </c>
      <c r="N41" s="22">
        <v>9.6999999999999993</v>
      </c>
      <c r="O41" s="22">
        <v>9.6999999999999993</v>
      </c>
      <c r="P41" s="22" t="s">
        <v>673</v>
      </c>
      <c r="Q41" s="22">
        <v>50600</v>
      </c>
      <c r="R41" s="22" t="s">
        <v>674</v>
      </c>
      <c r="S41" s="22" t="s">
        <v>675</v>
      </c>
      <c r="T41" s="22">
        <v>120</v>
      </c>
      <c r="U41" s="22" t="s">
        <v>676</v>
      </c>
      <c r="V41" s="22"/>
      <c r="W41" s="22"/>
      <c r="X41" s="22"/>
      <c r="Y41" s="22"/>
      <c r="Z41" s="22"/>
      <c r="AA41" s="22"/>
      <c r="AB41" s="22"/>
      <c r="AC41" s="22" t="s">
        <v>677</v>
      </c>
      <c r="AD41" s="22"/>
      <c r="AE41" s="22"/>
      <c r="AF41" s="22"/>
      <c r="AG41" s="22"/>
      <c r="AH41" s="33" t="s">
        <v>23</v>
      </c>
      <c r="AI41" s="23" t="s">
        <v>49</v>
      </c>
      <c r="AJ41" s="33" t="str">
        <f t="shared" si="0"/>
        <v>PD5D_MTG_snRNAseq/samples/HC_BN1340_MTG_snRNAseq_batch15_rep1.h5</v>
      </c>
      <c r="AK41" t="s">
        <v>1290</v>
      </c>
    </row>
    <row r="42" spans="1:37">
      <c r="A42" s="22" t="s">
        <v>734</v>
      </c>
      <c r="B42" s="22" t="s">
        <v>137</v>
      </c>
      <c r="C42" s="22" t="s">
        <v>137</v>
      </c>
      <c r="D42" s="22" t="s">
        <v>666</v>
      </c>
      <c r="E42" s="22">
        <v>1</v>
      </c>
      <c r="F42" s="22">
        <v>0</v>
      </c>
      <c r="G42" s="22" t="s">
        <v>735</v>
      </c>
      <c r="H42" s="22" t="s">
        <v>668</v>
      </c>
      <c r="I42" s="22" t="s">
        <v>669</v>
      </c>
      <c r="J42" s="22" t="s">
        <v>670</v>
      </c>
      <c r="K42" s="22" t="s">
        <v>671</v>
      </c>
      <c r="L42" s="22" t="s">
        <v>669</v>
      </c>
      <c r="M42" s="22" t="s">
        <v>672</v>
      </c>
      <c r="N42" s="22">
        <v>9.3000000000000007</v>
      </c>
      <c r="O42" s="22">
        <v>9.3000000000000007</v>
      </c>
      <c r="P42" s="22" t="s">
        <v>673</v>
      </c>
      <c r="Q42" s="22">
        <v>50600</v>
      </c>
      <c r="R42" s="22" t="s">
        <v>674</v>
      </c>
      <c r="S42" s="22" t="s">
        <v>675</v>
      </c>
      <c r="T42" s="22">
        <v>120</v>
      </c>
      <c r="U42" s="22" t="s">
        <v>676</v>
      </c>
      <c r="V42" s="22"/>
      <c r="W42" s="22"/>
      <c r="X42" s="22"/>
      <c r="Y42" s="22"/>
      <c r="Z42" s="22"/>
      <c r="AA42" s="22"/>
      <c r="AB42" s="22"/>
      <c r="AC42" s="22" t="s">
        <v>677</v>
      </c>
      <c r="AD42" s="22"/>
      <c r="AE42" s="22"/>
      <c r="AF42" s="22"/>
      <c r="AG42" s="22"/>
      <c r="AH42" s="33" t="s">
        <v>23</v>
      </c>
      <c r="AI42" s="23" t="s">
        <v>49</v>
      </c>
      <c r="AJ42" s="33" t="str">
        <f t="shared" si="0"/>
        <v>PD5D_MTG_snRNAseq/samples/ILB_BN1351_MTG_snRNAseq_batch12_rep1.h5</v>
      </c>
      <c r="AK42" t="s">
        <v>1290</v>
      </c>
    </row>
    <row r="43" spans="1:37">
      <c r="A43" s="22" t="s">
        <v>736</v>
      </c>
      <c r="B43" s="22" t="s">
        <v>139</v>
      </c>
      <c r="C43" s="22" t="s">
        <v>139</v>
      </c>
      <c r="D43" s="22" t="s">
        <v>666</v>
      </c>
      <c r="E43" s="22">
        <v>1</v>
      </c>
      <c r="F43" s="22">
        <v>0</v>
      </c>
      <c r="G43" s="22" t="s">
        <v>713</v>
      </c>
      <c r="H43" s="22" t="s">
        <v>668</v>
      </c>
      <c r="I43" s="22" t="s">
        <v>669</v>
      </c>
      <c r="J43" s="22" t="s">
        <v>670</v>
      </c>
      <c r="K43" s="22" t="s">
        <v>671</v>
      </c>
      <c r="L43" s="22" t="s">
        <v>669</v>
      </c>
      <c r="M43" s="22" t="s">
        <v>672</v>
      </c>
      <c r="N43" s="22">
        <v>10</v>
      </c>
      <c r="O43" s="22">
        <v>10</v>
      </c>
      <c r="P43" s="22" t="s">
        <v>673</v>
      </c>
      <c r="Q43" s="22">
        <v>50600</v>
      </c>
      <c r="R43" s="22" t="s">
        <v>674</v>
      </c>
      <c r="S43" s="22" t="s">
        <v>675</v>
      </c>
      <c r="T43" s="22">
        <v>120</v>
      </c>
      <c r="U43" s="22" t="s">
        <v>676</v>
      </c>
      <c r="V43" s="22"/>
      <c r="W43" s="22"/>
      <c r="X43" s="22"/>
      <c r="Y43" s="22"/>
      <c r="Z43" s="22"/>
      <c r="AA43" s="22"/>
      <c r="AB43" s="22"/>
      <c r="AC43" s="22" t="s">
        <v>677</v>
      </c>
      <c r="AD43" s="22"/>
      <c r="AE43" s="22"/>
      <c r="AF43" s="22"/>
      <c r="AG43" s="22"/>
      <c r="AH43" s="33" t="s">
        <v>23</v>
      </c>
      <c r="AI43" s="23" t="s">
        <v>49</v>
      </c>
      <c r="AJ43" s="33" t="str">
        <f t="shared" si="0"/>
        <v>PD5D_MTG_snRNAseq/samples/ILB_BN1361_MTG_snRNAseq_batch11_rep1.h5</v>
      </c>
      <c r="AK43" t="s">
        <v>1290</v>
      </c>
    </row>
    <row r="44" spans="1:37">
      <c r="A44" s="22" t="s">
        <v>737</v>
      </c>
      <c r="B44" s="22" t="s">
        <v>141</v>
      </c>
      <c r="C44" s="22" t="s">
        <v>141</v>
      </c>
      <c r="D44" s="22" t="s">
        <v>666</v>
      </c>
      <c r="E44" s="22">
        <v>1</v>
      </c>
      <c r="F44" s="22">
        <v>0</v>
      </c>
      <c r="G44" s="22" t="s">
        <v>713</v>
      </c>
      <c r="H44" s="22" t="s">
        <v>668</v>
      </c>
      <c r="I44" s="22" t="s">
        <v>669</v>
      </c>
      <c r="J44" s="22" t="s">
        <v>670</v>
      </c>
      <c r="K44" s="22" t="s">
        <v>671</v>
      </c>
      <c r="L44" s="22" t="s">
        <v>669</v>
      </c>
      <c r="M44" s="22" t="s">
        <v>672</v>
      </c>
      <c r="N44" s="22">
        <v>9.4</v>
      </c>
      <c r="O44" s="22">
        <v>9.4</v>
      </c>
      <c r="P44" s="22" t="s">
        <v>673</v>
      </c>
      <c r="Q44" s="22">
        <v>50600</v>
      </c>
      <c r="R44" s="22" t="s">
        <v>674</v>
      </c>
      <c r="S44" s="22" t="s">
        <v>675</v>
      </c>
      <c r="T44" s="22">
        <v>120</v>
      </c>
      <c r="U44" s="22" t="s">
        <v>676</v>
      </c>
      <c r="V44" s="22"/>
      <c r="W44" s="22"/>
      <c r="X44" s="22"/>
      <c r="Y44" s="22"/>
      <c r="Z44" s="22"/>
      <c r="AA44" s="22"/>
      <c r="AB44" s="22"/>
      <c r="AC44" s="22" t="s">
        <v>677</v>
      </c>
      <c r="AD44" s="22"/>
      <c r="AE44" s="22"/>
      <c r="AF44" s="22"/>
      <c r="AG44" s="22"/>
      <c r="AH44" s="33" t="s">
        <v>23</v>
      </c>
      <c r="AI44" s="23" t="s">
        <v>49</v>
      </c>
      <c r="AJ44" s="33" t="str">
        <f t="shared" si="0"/>
        <v>PD5D_MTG_snRNAseq/samples/PD_BN1412_MTG_snRNAseq_batch11_rep1.h5</v>
      </c>
      <c r="AK44" t="s">
        <v>1290</v>
      </c>
    </row>
    <row r="45" spans="1:37">
      <c r="A45" s="22" t="s">
        <v>738</v>
      </c>
      <c r="B45" s="22" t="s">
        <v>143</v>
      </c>
      <c r="C45" s="22" t="s">
        <v>143</v>
      </c>
      <c r="D45" s="22" t="s">
        <v>666</v>
      </c>
      <c r="E45" s="22">
        <v>1</v>
      </c>
      <c r="F45" s="22">
        <v>0</v>
      </c>
      <c r="G45" s="22" t="s">
        <v>718</v>
      </c>
      <c r="H45" s="22" t="s">
        <v>668</v>
      </c>
      <c r="I45" s="22" t="s">
        <v>669</v>
      </c>
      <c r="J45" s="22" t="s">
        <v>670</v>
      </c>
      <c r="K45" s="22" t="s">
        <v>671</v>
      </c>
      <c r="L45" s="22" t="s">
        <v>669</v>
      </c>
      <c r="M45" s="22" t="s">
        <v>672</v>
      </c>
      <c r="N45" s="22">
        <v>9.9</v>
      </c>
      <c r="O45" s="22">
        <v>9.9</v>
      </c>
      <c r="P45" s="22" t="s">
        <v>673</v>
      </c>
      <c r="Q45" s="22">
        <v>50600</v>
      </c>
      <c r="R45" s="22" t="s">
        <v>674</v>
      </c>
      <c r="S45" s="22" t="s">
        <v>675</v>
      </c>
      <c r="T45" s="22">
        <v>120</v>
      </c>
      <c r="U45" s="22" t="s">
        <v>676</v>
      </c>
      <c r="V45" s="22"/>
      <c r="W45" s="22"/>
      <c r="X45" s="22"/>
      <c r="Y45" s="22"/>
      <c r="Z45" s="22"/>
      <c r="AA45" s="22"/>
      <c r="AB45" s="22"/>
      <c r="AC45" s="22" t="s">
        <v>677</v>
      </c>
      <c r="AD45" s="22"/>
      <c r="AE45" s="22"/>
      <c r="AF45" s="22"/>
      <c r="AG45" s="22"/>
      <c r="AH45" s="33" t="s">
        <v>23</v>
      </c>
      <c r="AI45" s="23" t="s">
        <v>49</v>
      </c>
      <c r="AJ45" s="33" t="str">
        <f t="shared" si="0"/>
        <v>PD5D_MTG_snRNAseq/samples/ILB_BN1424_MTG_snRNAseq_batch13_rep1.h5</v>
      </c>
      <c r="AK45" t="s">
        <v>1290</v>
      </c>
    </row>
    <row r="46" spans="1:37">
      <c r="A46" s="22" t="s">
        <v>739</v>
      </c>
      <c r="B46" s="22" t="s">
        <v>145</v>
      </c>
      <c r="C46" s="22" t="s">
        <v>145</v>
      </c>
      <c r="D46" s="22" t="s">
        <v>666</v>
      </c>
      <c r="E46" s="22">
        <v>1</v>
      </c>
      <c r="F46" s="22">
        <v>0</v>
      </c>
      <c r="G46" s="22" t="s">
        <v>740</v>
      </c>
      <c r="H46" s="22" t="s">
        <v>668</v>
      </c>
      <c r="I46" s="22" t="s">
        <v>669</v>
      </c>
      <c r="J46" s="22" t="s">
        <v>670</v>
      </c>
      <c r="K46" s="22" t="s">
        <v>671</v>
      </c>
      <c r="L46" s="22" t="s">
        <v>669</v>
      </c>
      <c r="M46" s="22" t="s">
        <v>672</v>
      </c>
      <c r="N46" s="22">
        <v>9.6</v>
      </c>
      <c r="O46" s="22">
        <v>9.6</v>
      </c>
      <c r="P46" s="22" t="s">
        <v>673</v>
      </c>
      <c r="Q46" s="22">
        <v>50600</v>
      </c>
      <c r="R46" s="22" t="s">
        <v>674</v>
      </c>
      <c r="S46" s="22" t="s">
        <v>675</v>
      </c>
      <c r="T46" s="22">
        <v>120</v>
      </c>
      <c r="U46" s="22" t="s">
        <v>676</v>
      </c>
      <c r="V46" s="22"/>
      <c r="W46" s="22"/>
      <c r="X46" s="22"/>
      <c r="Y46" s="22"/>
      <c r="Z46" s="22"/>
      <c r="AA46" s="22"/>
      <c r="AB46" s="22"/>
      <c r="AC46" s="22" t="s">
        <v>677</v>
      </c>
      <c r="AD46" s="22"/>
      <c r="AE46" s="22"/>
      <c r="AF46" s="22"/>
      <c r="AG46" s="22"/>
      <c r="AH46" s="33" t="s">
        <v>23</v>
      </c>
      <c r="AI46" s="23" t="s">
        <v>49</v>
      </c>
      <c r="AJ46" s="33" t="str">
        <f t="shared" si="0"/>
        <v>PD5D_MTG_snRNAseq/samples/HC_BN1430_MTG_snRNAseq_batch17_rep1.h5</v>
      </c>
      <c r="AK46" t="s">
        <v>1290</v>
      </c>
    </row>
    <row r="47" spans="1:37">
      <c r="A47" s="22" t="s">
        <v>741</v>
      </c>
      <c r="B47" s="22" t="s">
        <v>147</v>
      </c>
      <c r="C47" s="22" t="s">
        <v>147</v>
      </c>
      <c r="D47" s="22" t="s">
        <v>666</v>
      </c>
      <c r="E47" s="22">
        <v>1</v>
      </c>
      <c r="F47" s="22">
        <v>0</v>
      </c>
      <c r="G47" s="22" t="s">
        <v>698</v>
      </c>
      <c r="H47" s="22" t="s">
        <v>668</v>
      </c>
      <c r="I47" s="22" t="s">
        <v>669</v>
      </c>
      <c r="J47" s="22" t="s">
        <v>670</v>
      </c>
      <c r="K47" s="22" t="s">
        <v>671</v>
      </c>
      <c r="L47" s="22" t="s">
        <v>669</v>
      </c>
      <c r="M47" s="22" t="s">
        <v>672</v>
      </c>
      <c r="N47" s="22">
        <v>7.8</v>
      </c>
      <c r="O47" s="22">
        <v>7.8</v>
      </c>
      <c r="P47" s="22" t="s">
        <v>673</v>
      </c>
      <c r="Q47" s="22">
        <v>50600</v>
      </c>
      <c r="R47" s="22" t="s">
        <v>674</v>
      </c>
      <c r="S47" s="22" t="s">
        <v>675</v>
      </c>
      <c r="T47" s="22">
        <v>120</v>
      </c>
      <c r="U47" s="22" t="s">
        <v>676</v>
      </c>
      <c r="V47" s="22"/>
      <c r="W47" s="22"/>
      <c r="X47" s="22"/>
      <c r="Y47" s="22"/>
      <c r="Z47" s="22"/>
      <c r="AA47" s="22"/>
      <c r="AB47" s="22"/>
      <c r="AC47" s="22" t="s">
        <v>677</v>
      </c>
      <c r="AD47" s="22"/>
      <c r="AE47" s="22"/>
      <c r="AF47" s="22"/>
      <c r="AG47" s="22"/>
      <c r="AH47" s="33" t="s">
        <v>23</v>
      </c>
      <c r="AI47" s="23" t="s">
        <v>49</v>
      </c>
      <c r="AJ47" s="33" t="str">
        <f t="shared" si="0"/>
        <v>PD5D_MTG_snRNAseq/samples/PD_BN1504_MTG_snRNAseq_batch6_rep1.h5</v>
      </c>
      <c r="AK47" t="s">
        <v>1290</v>
      </c>
    </row>
    <row r="48" spans="1:37">
      <c r="A48" s="22" t="s">
        <v>742</v>
      </c>
      <c r="B48" s="22" t="s">
        <v>149</v>
      </c>
      <c r="C48" s="22" t="s">
        <v>149</v>
      </c>
      <c r="D48" s="22" t="s">
        <v>666</v>
      </c>
      <c r="E48" s="22">
        <v>1</v>
      </c>
      <c r="F48" s="22">
        <v>0</v>
      </c>
      <c r="G48" s="22" t="s">
        <v>735</v>
      </c>
      <c r="H48" s="22" t="s">
        <v>668</v>
      </c>
      <c r="I48" s="22" t="s">
        <v>669</v>
      </c>
      <c r="J48" s="22" t="s">
        <v>670</v>
      </c>
      <c r="K48" s="22" t="s">
        <v>671</v>
      </c>
      <c r="L48" s="22" t="s">
        <v>669</v>
      </c>
      <c r="M48" s="22" t="s">
        <v>672</v>
      </c>
      <c r="N48" s="22">
        <v>8.9</v>
      </c>
      <c r="O48" s="22">
        <v>8.9</v>
      </c>
      <c r="P48" s="22" t="s">
        <v>673</v>
      </c>
      <c r="Q48" s="22">
        <v>50600</v>
      </c>
      <c r="R48" s="22" t="s">
        <v>674</v>
      </c>
      <c r="S48" s="22" t="s">
        <v>675</v>
      </c>
      <c r="T48" s="22">
        <v>120</v>
      </c>
      <c r="U48" s="22" t="s">
        <v>676</v>
      </c>
      <c r="V48" s="22"/>
      <c r="W48" s="22"/>
      <c r="X48" s="22"/>
      <c r="Y48" s="22"/>
      <c r="Z48" s="22"/>
      <c r="AA48" s="22"/>
      <c r="AB48" s="22"/>
      <c r="AC48" s="22" t="s">
        <v>677</v>
      </c>
      <c r="AD48" s="22"/>
      <c r="AE48" s="22"/>
      <c r="AF48" s="22"/>
      <c r="AG48" s="22"/>
      <c r="AH48" s="33" t="s">
        <v>23</v>
      </c>
      <c r="AI48" s="23" t="s">
        <v>49</v>
      </c>
      <c r="AJ48" s="33" t="str">
        <f t="shared" si="0"/>
        <v>PD5D_MTG_snRNAseq/samples/PD_BN1506_MTG_snRNAseq_batch12_rep1.h5</v>
      </c>
      <c r="AK48" t="s">
        <v>1290</v>
      </c>
    </row>
    <row r="49" spans="1:37">
      <c r="A49" s="22" t="s">
        <v>743</v>
      </c>
      <c r="B49" s="22" t="s">
        <v>151</v>
      </c>
      <c r="C49" s="22" t="s">
        <v>151</v>
      </c>
      <c r="D49" s="22" t="s">
        <v>666</v>
      </c>
      <c r="E49" s="22">
        <v>1</v>
      </c>
      <c r="F49" s="22">
        <v>0</v>
      </c>
      <c r="G49" s="22" t="s">
        <v>708</v>
      </c>
      <c r="H49" s="22" t="s">
        <v>668</v>
      </c>
      <c r="I49" s="22" t="s">
        <v>669</v>
      </c>
      <c r="J49" s="22" t="s">
        <v>670</v>
      </c>
      <c r="K49" s="22" t="s">
        <v>671</v>
      </c>
      <c r="L49" s="22" t="s">
        <v>669</v>
      </c>
      <c r="M49" s="22" t="s">
        <v>672</v>
      </c>
      <c r="N49" s="22">
        <v>10</v>
      </c>
      <c r="O49" s="22">
        <v>10</v>
      </c>
      <c r="P49" s="22" t="s">
        <v>673</v>
      </c>
      <c r="Q49" s="22">
        <v>40000</v>
      </c>
      <c r="R49" s="22" t="s">
        <v>674</v>
      </c>
      <c r="S49" s="22" t="s">
        <v>675</v>
      </c>
      <c r="T49" s="22">
        <v>120</v>
      </c>
      <c r="U49" s="22" t="s">
        <v>676</v>
      </c>
      <c r="V49" s="22"/>
      <c r="W49" s="22"/>
      <c r="X49" s="22"/>
      <c r="Y49" s="22"/>
      <c r="Z49" s="22"/>
      <c r="AA49" s="22"/>
      <c r="AB49" s="22"/>
      <c r="AC49" s="22" t="s">
        <v>677</v>
      </c>
      <c r="AD49" s="22"/>
      <c r="AE49" s="22"/>
      <c r="AF49" s="22"/>
      <c r="AG49" s="22"/>
      <c r="AH49" s="33" t="s">
        <v>23</v>
      </c>
      <c r="AI49" s="23" t="s">
        <v>49</v>
      </c>
      <c r="AJ49" s="33" t="str">
        <f t="shared" si="0"/>
        <v>PD5D_MTG_snRNAseq/samples/ILB_BN1518_MTG_snRNAseq_batch27_rep1.h5</v>
      </c>
      <c r="AK49" t="s">
        <v>1290</v>
      </c>
    </row>
    <row r="50" spans="1:37">
      <c r="A50" s="22" t="s">
        <v>744</v>
      </c>
      <c r="B50" s="22" t="s">
        <v>153</v>
      </c>
      <c r="C50" s="22" t="s">
        <v>153</v>
      </c>
      <c r="D50" s="22" t="s">
        <v>666</v>
      </c>
      <c r="E50" s="22">
        <v>1</v>
      </c>
      <c r="F50" s="22">
        <v>0</v>
      </c>
      <c r="G50" s="22" t="s">
        <v>725</v>
      </c>
      <c r="H50" s="22" t="s">
        <v>668</v>
      </c>
      <c r="I50" s="22" t="s">
        <v>669</v>
      </c>
      <c r="J50" s="22" t="s">
        <v>670</v>
      </c>
      <c r="K50" s="22" t="s">
        <v>671</v>
      </c>
      <c r="L50" s="22" t="s">
        <v>669</v>
      </c>
      <c r="M50" s="22" t="s">
        <v>672</v>
      </c>
      <c r="N50" s="22">
        <v>9.4</v>
      </c>
      <c r="O50" s="22">
        <v>9.4</v>
      </c>
      <c r="P50" s="22" t="s">
        <v>673</v>
      </c>
      <c r="Q50" s="22">
        <v>50600</v>
      </c>
      <c r="R50" s="22" t="s">
        <v>674</v>
      </c>
      <c r="S50" s="22" t="s">
        <v>675</v>
      </c>
      <c r="T50" s="22">
        <v>120</v>
      </c>
      <c r="U50" s="22" t="s">
        <v>676</v>
      </c>
      <c r="V50" s="22"/>
      <c r="W50" s="22"/>
      <c r="X50" s="22"/>
      <c r="Y50" s="22"/>
      <c r="Z50" s="22"/>
      <c r="AA50" s="22"/>
      <c r="AB50" s="22"/>
      <c r="AC50" s="22" t="s">
        <v>677</v>
      </c>
      <c r="AD50" s="22"/>
      <c r="AE50" s="22"/>
      <c r="AF50" s="22"/>
      <c r="AG50" s="22"/>
      <c r="AH50" s="33" t="s">
        <v>23</v>
      </c>
      <c r="AI50" s="23" t="s">
        <v>49</v>
      </c>
      <c r="AJ50" s="33" t="str">
        <f t="shared" si="0"/>
        <v>PD5D_MTG_snRNAseq/samples/ILB_BN1535_MTG_snRNAseq_batch14_rep1.h5</v>
      </c>
      <c r="AK50" t="s">
        <v>1290</v>
      </c>
    </row>
    <row r="51" spans="1:37">
      <c r="A51" s="22" t="s">
        <v>745</v>
      </c>
      <c r="B51" s="22" t="s">
        <v>155</v>
      </c>
      <c r="C51" s="22" t="s">
        <v>155</v>
      </c>
      <c r="D51" s="22" t="s">
        <v>666</v>
      </c>
      <c r="E51" s="22">
        <v>1</v>
      </c>
      <c r="F51" s="22">
        <v>0</v>
      </c>
      <c r="G51" s="22" t="s">
        <v>746</v>
      </c>
      <c r="H51" s="22" t="s">
        <v>668</v>
      </c>
      <c r="I51" s="22" t="s">
        <v>669</v>
      </c>
      <c r="J51" s="22" t="s">
        <v>670</v>
      </c>
      <c r="K51" s="22" t="s">
        <v>671</v>
      </c>
      <c r="L51" s="22" t="s">
        <v>669</v>
      </c>
      <c r="M51" s="22" t="s">
        <v>672</v>
      </c>
      <c r="N51" s="22">
        <v>9.5</v>
      </c>
      <c r="O51" s="22">
        <v>9.5</v>
      </c>
      <c r="P51" s="22" t="s">
        <v>673</v>
      </c>
      <c r="Q51" s="22">
        <v>42746</v>
      </c>
      <c r="R51" s="22" t="s">
        <v>674</v>
      </c>
      <c r="S51" s="22" t="s">
        <v>675</v>
      </c>
      <c r="T51" s="22">
        <v>120</v>
      </c>
      <c r="U51" s="22" t="s">
        <v>676</v>
      </c>
      <c r="V51" s="22"/>
      <c r="W51" s="22"/>
      <c r="X51" s="22"/>
      <c r="Y51" s="22"/>
      <c r="Z51" s="22"/>
      <c r="AA51" s="22"/>
      <c r="AB51" s="22"/>
      <c r="AC51" s="22" t="s">
        <v>677</v>
      </c>
      <c r="AD51" s="22"/>
      <c r="AE51" s="22"/>
      <c r="AF51" s="22"/>
      <c r="AG51" s="22"/>
      <c r="AH51" s="33" t="s">
        <v>23</v>
      </c>
      <c r="AI51" s="23" t="s">
        <v>49</v>
      </c>
      <c r="AJ51" s="33" t="str">
        <f t="shared" si="0"/>
        <v>PD5D_MTG_snRNAseq/samples/HC_BN1546_MTG_snRNAseq_batch18_rep1.h5</v>
      </c>
      <c r="AK51" t="s">
        <v>1290</v>
      </c>
    </row>
    <row r="52" spans="1:37">
      <c r="A52" s="22" t="s">
        <v>747</v>
      </c>
      <c r="B52" s="22" t="s">
        <v>157</v>
      </c>
      <c r="C52" s="22" t="s">
        <v>157</v>
      </c>
      <c r="D52" s="22" t="s">
        <v>666</v>
      </c>
      <c r="E52" s="22">
        <v>1</v>
      </c>
      <c r="F52" s="22">
        <v>0</v>
      </c>
      <c r="G52" s="22" t="s">
        <v>718</v>
      </c>
      <c r="H52" s="22" t="s">
        <v>668</v>
      </c>
      <c r="I52" s="22" t="s">
        <v>669</v>
      </c>
      <c r="J52" s="22" t="s">
        <v>670</v>
      </c>
      <c r="K52" s="22" t="s">
        <v>671</v>
      </c>
      <c r="L52" s="22" t="s">
        <v>669</v>
      </c>
      <c r="M52" s="22" t="s">
        <v>672</v>
      </c>
      <c r="N52" s="22">
        <v>9.4</v>
      </c>
      <c r="O52" s="22">
        <v>9.4</v>
      </c>
      <c r="P52" s="22" t="s">
        <v>673</v>
      </c>
      <c r="Q52" s="22">
        <v>50600</v>
      </c>
      <c r="R52" s="22" t="s">
        <v>674</v>
      </c>
      <c r="S52" s="22" t="s">
        <v>675</v>
      </c>
      <c r="T52" s="22">
        <v>120</v>
      </c>
      <c r="U52" s="22" t="s">
        <v>676</v>
      </c>
      <c r="V52" s="22"/>
      <c r="W52" s="22"/>
      <c r="X52" s="22"/>
      <c r="Y52" s="22"/>
      <c r="Z52" s="22"/>
      <c r="AA52" s="22"/>
      <c r="AB52" s="22"/>
      <c r="AC52" s="22" t="s">
        <v>677</v>
      </c>
      <c r="AD52" s="22"/>
      <c r="AE52" s="22"/>
      <c r="AF52" s="22"/>
      <c r="AG52" s="22"/>
      <c r="AH52" s="33" t="s">
        <v>23</v>
      </c>
      <c r="AI52" s="23" t="s">
        <v>49</v>
      </c>
      <c r="AJ52" s="33" t="str">
        <f t="shared" si="0"/>
        <v>PD5D_MTG_snRNAseq/samples/PD_BN1554_MTG_snRNAseq_batch13_rep1.h5</v>
      </c>
      <c r="AK52" t="s">
        <v>1290</v>
      </c>
    </row>
    <row r="53" spans="1:37">
      <c r="A53" s="22" t="s">
        <v>748</v>
      </c>
      <c r="B53" s="22" t="s">
        <v>159</v>
      </c>
      <c r="C53" s="22" t="s">
        <v>159</v>
      </c>
      <c r="D53" s="22" t="s">
        <v>666</v>
      </c>
      <c r="E53" s="22">
        <v>1</v>
      </c>
      <c r="F53" s="22">
        <v>0</v>
      </c>
      <c r="G53" s="22" t="s">
        <v>733</v>
      </c>
      <c r="H53" s="22" t="s">
        <v>668</v>
      </c>
      <c r="I53" s="22" t="s">
        <v>669</v>
      </c>
      <c r="J53" s="22" t="s">
        <v>670</v>
      </c>
      <c r="K53" s="22" t="s">
        <v>671</v>
      </c>
      <c r="L53" s="22" t="s">
        <v>669</v>
      </c>
      <c r="M53" s="22" t="s">
        <v>672</v>
      </c>
      <c r="N53" s="22">
        <v>8.8000000000000007</v>
      </c>
      <c r="O53" s="22">
        <v>8.8000000000000007</v>
      </c>
      <c r="P53" s="22" t="s">
        <v>673</v>
      </c>
      <c r="Q53" s="22">
        <v>50600</v>
      </c>
      <c r="R53" s="22" t="s">
        <v>674</v>
      </c>
      <c r="S53" s="22" t="s">
        <v>675</v>
      </c>
      <c r="T53" s="22">
        <v>120</v>
      </c>
      <c r="U53" s="22" t="s">
        <v>676</v>
      </c>
      <c r="V53" s="22"/>
      <c r="W53" s="22"/>
      <c r="X53" s="22"/>
      <c r="Y53" s="22"/>
      <c r="Z53" s="22"/>
      <c r="AA53" s="22"/>
      <c r="AB53" s="22"/>
      <c r="AC53" s="22" t="s">
        <v>677</v>
      </c>
      <c r="AD53" s="22"/>
      <c r="AE53" s="22"/>
      <c r="AF53" s="22"/>
      <c r="AG53" s="22"/>
      <c r="AH53" s="33" t="s">
        <v>23</v>
      </c>
      <c r="AI53" s="23" t="s">
        <v>49</v>
      </c>
      <c r="AJ53" s="33" t="str">
        <f t="shared" si="0"/>
        <v>PD5D_MTG_snRNAseq/samples/ILB_BN1567_MTG_snRNAseq_batch15_rep1.h5</v>
      </c>
      <c r="AK53" t="s">
        <v>1290</v>
      </c>
    </row>
    <row r="54" spans="1:37">
      <c r="A54" s="22" t="s">
        <v>749</v>
      </c>
      <c r="B54" s="22" t="s">
        <v>161</v>
      </c>
      <c r="C54" s="22" t="s">
        <v>161</v>
      </c>
      <c r="D54" s="22" t="s">
        <v>666</v>
      </c>
      <c r="E54" s="22">
        <v>1</v>
      </c>
      <c r="F54" s="22">
        <v>0</v>
      </c>
      <c r="G54" s="22" t="s">
        <v>750</v>
      </c>
      <c r="H54" s="22" t="s">
        <v>668</v>
      </c>
      <c r="I54" s="22" t="s">
        <v>669</v>
      </c>
      <c r="J54" s="22" t="s">
        <v>670</v>
      </c>
      <c r="K54" s="22" t="s">
        <v>671</v>
      </c>
      <c r="L54" s="22" t="s">
        <v>669</v>
      </c>
      <c r="M54" s="22" t="s">
        <v>672</v>
      </c>
      <c r="N54" s="22">
        <v>9.4</v>
      </c>
      <c r="O54" s="22">
        <v>9.4</v>
      </c>
      <c r="P54" s="22" t="s">
        <v>673</v>
      </c>
      <c r="Q54" s="22">
        <v>50600</v>
      </c>
      <c r="R54" s="22" t="s">
        <v>674</v>
      </c>
      <c r="S54" s="22" t="s">
        <v>675</v>
      </c>
      <c r="T54" s="22">
        <v>120</v>
      </c>
      <c r="U54" s="22" t="s">
        <v>676</v>
      </c>
      <c r="V54" s="22"/>
      <c r="W54" s="22"/>
      <c r="X54" s="22"/>
      <c r="Y54" s="22"/>
      <c r="Z54" s="22"/>
      <c r="AA54" s="22"/>
      <c r="AB54" s="22"/>
      <c r="AC54" s="22" t="s">
        <v>677</v>
      </c>
      <c r="AD54" s="22"/>
      <c r="AE54" s="22"/>
      <c r="AF54" s="22"/>
      <c r="AG54" s="22"/>
      <c r="AH54" s="33" t="s">
        <v>23</v>
      </c>
      <c r="AI54" s="23" t="s">
        <v>49</v>
      </c>
      <c r="AJ54" s="33" t="str">
        <f t="shared" si="0"/>
        <v>PD5D_MTG_snRNAseq/samples/HC_BN1578_MTG_snRNAseq_batch19_rep1.h5</v>
      </c>
      <c r="AK54" t="s">
        <v>1290</v>
      </c>
    </row>
    <row r="55" spans="1:37">
      <c r="A55" s="22" t="s">
        <v>751</v>
      </c>
      <c r="B55" s="22" t="s">
        <v>163</v>
      </c>
      <c r="C55" s="22" t="s">
        <v>163</v>
      </c>
      <c r="D55" s="22" t="s">
        <v>666</v>
      </c>
      <c r="E55" s="22">
        <v>1</v>
      </c>
      <c r="F55" s="22">
        <v>0</v>
      </c>
      <c r="G55" s="22" t="s">
        <v>723</v>
      </c>
      <c r="H55" s="22" t="s">
        <v>668</v>
      </c>
      <c r="I55" s="22" t="s">
        <v>669</v>
      </c>
      <c r="J55" s="22" t="s">
        <v>670</v>
      </c>
      <c r="K55" s="22" t="s">
        <v>671</v>
      </c>
      <c r="L55" s="22" t="s">
        <v>669</v>
      </c>
      <c r="M55" s="22" t="s">
        <v>672</v>
      </c>
      <c r="N55" s="22">
        <v>9.4</v>
      </c>
      <c r="O55" s="22">
        <v>9.4</v>
      </c>
      <c r="P55" s="22" t="s">
        <v>673</v>
      </c>
      <c r="Q55" s="22">
        <v>50600</v>
      </c>
      <c r="R55" s="22" t="s">
        <v>674</v>
      </c>
      <c r="S55" s="22" t="s">
        <v>675</v>
      </c>
      <c r="T55" s="22">
        <v>120</v>
      </c>
      <c r="U55" s="22" t="s">
        <v>676</v>
      </c>
      <c r="V55" s="22"/>
      <c r="W55" s="22"/>
      <c r="X55" s="22"/>
      <c r="Y55" s="22"/>
      <c r="Z55" s="22"/>
      <c r="AA55" s="22"/>
      <c r="AB55" s="22"/>
      <c r="AC55" s="22" t="s">
        <v>677</v>
      </c>
      <c r="AD55" s="22"/>
      <c r="AE55" s="22"/>
      <c r="AF55" s="22"/>
      <c r="AG55" s="22"/>
      <c r="AH55" s="33" t="s">
        <v>23</v>
      </c>
      <c r="AI55" s="23" t="s">
        <v>49</v>
      </c>
      <c r="AJ55" s="33" t="str">
        <f t="shared" si="0"/>
        <v>PD5D_MTG_snRNAseq/samples/ILB_BN1585_MTG_snRNAseq_batch16_rep1.h5</v>
      </c>
      <c r="AK55" t="s">
        <v>1290</v>
      </c>
    </row>
    <row r="56" spans="1:37">
      <c r="A56" s="22" t="s">
        <v>752</v>
      </c>
      <c r="B56" s="22" t="s">
        <v>165</v>
      </c>
      <c r="C56" s="22" t="s">
        <v>165</v>
      </c>
      <c r="D56" s="22" t="s">
        <v>666</v>
      </c>
      <c r="E56" s="22">
        <v>1</v>
      </c>
      <c r="F56" s="22">
        <v>0</v>
      </c>
      <c r="G56" s="22" t="s">
        <v>725</v>
      </c>
      <c r="H56" s="22" t="s">
        <v>668</v>
      </c>
      <c r="I56" s="22" t="s">
        <v>669</v>
      </c>
      <c r="J56" s="22" t="s">
        <v>670</v>
      </c>
      <c r="K56" s="22" t="s">
        <v>671</v>
      </c>
      <c r="L56" s="22" t="s">
        <v>669</v>
      </c>
      <c r="M56" s="22" t="s">
        <v>672</v>
      </c>
      <c r="N56" s="22">
        <v>8.6</v>
      </c>
      <c r="O56" s="22">
        <v>8.6</v>
      </c>
      <c r="P56" s="22" t="s">
        <v>673</v>
      </c>
      <c r="Q56" s="22">
        <v>50600</v>
      </c>
      <c r="R56" s="22" t="s">
        <v>674</v>
      </c>
      <c r="S56" s="22" t="s">
        <v>675</v>
      </c>
      <c r="T56" s="22">
        <v>120</v>
      </c>
      <c r="U56" s="22" t="s">
        <v>676</v>
      </c>
      <c r="V56" s="22"/>
      <c r="W56" s="22"/>
      <c r="X56" s="22"/>
      <c r="Y56" s="22"/>
      <c r="Z56" s="22"/>
      <c r="AA56" s="22"/>
      <c r="AB56" s="22"/>
      <c r="AC56" s="22" t="s">
        <v>677</v>
      </c>
      <c r="AD56" s="22"/>
      <c r="AE56" s="22"/>
      <c r="AF56" s="22"/>
      <c r="AG56" s="22"/>
      <c r="AH56" s="33" t="s">
        <v>23</v>
      </c>
      <c r="AI56" s="23" t="s">
        <v>49</v>
      </c>
      <c r="AJ56" s="33" t="str">
        <f t="shared" si="0"/>
        <v>PD5D_MTG_snRNAseq/samples/PD_BN1614_MTG_snRNAseq_batch14_rep1.h5</v>
      </c>
      <c r="AK56" t="s">
        <v>1290</v>
      </c>
    </row>
    <row r="57" spans="1:37">
      <c r="A57" s="22" t="s">
        <v>753</v>
      </c>
      <c r="B57" s="22" t="s">
        <v>167</v>
      </c>
      <c r="C57" s="22" t="s">
        <v>167</v>
      </c>
      <c r="D57" s="22" t="s">
        <v>666</v>
      </c>
      <c r="E57" s="22">
        <v>1</v>
      </c>
      <c r="F57" s="22">
        <v>0</v>
      </c>
      <c r="G57" s="22" t="s">
        <v>733</v>
      </c>
      <c r="H57" s="22" t="s">
        <v>668</v>
      </c>
      <c r="I57" s="22" t="s">
        <v>669</v>
      </c>
      <c r="J57" s="22" t="s">
        <v>670</v>
      </c>
      <c r="K57" s="22" t="s">
        <v>671</v>
      </c>
      <c r="L57" s="22" t="s">
        <v>669</v>
      </c>
      <c r="M57" s="22" t="s">
        <v>672</v>
      </c>
      <c r="N57" s="22">
        <v>9</v>
      </c>
      <c r="O57" s="22">
        <v>9</v>
      </c>
      <c r="P57" s="22" t="s">
        <v>673</v>
      </c>
      <c r="Q57" s="22">
        <v>50600</v>
      </c>
      <c r="R57" s="22" t="s">
        <v>674</v>
      </c>
      <c r="S57" s="22" t="s">
        <v>675</v>
      </c>
      <c r="T57" s="22">
        <v>120</v>
      </c>
      <c r="U57" s="22" t="s">
        <v>676</v>
      </c>
      <c r="V57" s="22"/>
      <c r="W57" s="22"/>
      <c r="X57" s="22"/>
      <c r="Y57" s="22"/>
      <c r="Z57" s="22"/>
      <c r="AA57" s="22"/>
      <c r="AB57" s="22"/>
      <c r="AC57" s="22" t="s">
        <v>677</v>
      </c>
      <c r="AD57" s="22"/>
      <c r="AE57" s="22"/>
      <c r="AF57" s="22"/>
      <c r="AG57" s="22"/>
      <c r="AH57" s="33" t="s">
        <v>23</v>
      </c>
      <c r="AI57" s="23" t="s">
        <v>49</v>
      </c>
      <c r="AJ57" s="33" t="str">
        <f t="shared" si="0"/>
        <v>PD5D_MTG_snRNAseq/samples/PD_BN1644_MTG_snRNAseq_batch15_rep1.h5</v>
      </c>
      <c r="AK57" t="s">
        <v>1290</v>
      </c>
    </row>
    <row r="58" spans="1:37">
      <c r="A58" s="22" t="s">
        <v>754</v>
      </c>
      <c r="B58" s="22" t="s">
        <v>169</v>
      </c>
      <c r="C58" s="22" t="s">
        <v>169</v>
      </c>
      <c r="D58" s="22" t="s">
        <v>666</v>
      </c>
      <c r="E58" s="22">
        <v>1</v>
      </c>
      <c r="F58" s="22">
        <v>0</v>
      </c>
      <c r="G58" s="22" t="s">
        <v>755</v>
      </c>
      <c r="H58" s="22" t="s">
        <v>668</v>
      </c>
      <c r="I58" s="22" t="s">
        <v>669</v>
      </c>
      <c r="J58" s="22" t="s">
        <v>670</v>
      </c>
      <c r="K58" s="22" t="s">
        <v>671</v>
      </c>
      <c r="L58" s="22" t="s">
        <v>669</v>
      </c>
      <c r="M58" s="22" t="s">
        <v>672</v>
      </c>
      <c r="N58" s="22">
        <v>9.4</v>
      </c>
      <c r="O58" s="22">
        <v>9.4</v>
      </c>
      <c r="P58" s="22" t="s">
        <v>673</v>
      </c>
      <c r="Q58" s="22">
        <v>50600</v>
      </c>
      <c r="R58" s="22" t="s">
        <v>674</v>
      </c>
      <c r="S58" s="22" t="s">
        <v>675</v>
      </c>
      <c r="T58" s="22">
        <v>120</v>
      </c>
      <c r="U58" s="22" t="s">
        <v>676</v>
      </c>
      <c r="V58" s="22"/>
      <c r="W58" s="22"/>
      <c r="X58" s="22"/>
      <c r="Y58" s="22"/>
      <c r="Z58" s="22"/>
      <c r="AA58" s="22"/>
      <c r="AB58" s="22"/>
      <c r="AC58" s="22" t="s">
        <v>677</v>
      </c>
      <c r="AD58" s="22"/>
      <c r="AE58" s="22"/>
      <c r="AF58" s="22"/>
      <c r="AG58" s="22"/>
      <c r="AH58" s="33" t="s">
        <v>23</v>
      </c>
      <c r="AI58" s="23" t="s">
        <v>49</v>
      </c>
      <c r="AJ58" s="33" t="str">
        <f t="shared" si="0"/>
        <v>PD5D_MTG_snRNAseq/samples/HC_BN1719_MTG_snRNAseq_batch21_rep1.h5</v>
      </c>
      <c r="AK58" t="s">
        <v>1290</v>
      </c>
    </row>
    <row r="59" spans="1:37">
      <c r="A59" s="22" t="s">
        <v>756</v>
      </c>
      <c r="B59" s="22" t="s">
        <v>171</v>
      </c>
      <c r="C59" s="22" t="s">
        <v>171</v>
      </c>
      <c r="D59" s="22" t="s">
        <v>666</v>
      </c>
      <c r="E59" s="22">
        <v>1</v>
      </c>
      <c r="F59" s="22">
        <v>0</v>
      </c>
      <c r="G59" s="22" t="s">
        <v>740</v>
      </c>
      <c r="H59" s="22" t="s">
        <v>668</v>
      </c>
      <c r="I59" s="22" t="s">
        <v>669</v>
      </c>
      <c r="J59" s="22" t="s">
        <v>670</v>
      </c>
      <c r="K59" s="22" t="s">
        <v>671</v>
      </c>
      <c r="L59" s="22" t="s">
        <v>669</v>
      </c>
      <c r="M59" s="22" t="s">
        <v>672</v>
      </c>
      <c r="N59" s="22">
        <v>9.4</v>
      </c>
      <c r="O59" s="22">
        <v>9.4</v>
      </c>
      <c r="P59" s="22" t="s">
        <v>673</v>
      </c>
      <c r="Q59" s="22">
        <v>50600</v>
      </c>
      <c r="R59" s="22" t="s">
        <v>674</v>
      </c>
      <c r="S59" s="22" t="s">
        <v>675</v>
      </c>
      <c r="T59" s="22">
        <v>120</v>
      </c>
      <c r="U59" s="22" t="s">
        <v>676</v>
      </c>
      <c r="V59" s="22"/>
      <c r="W59" s="22"/>
      <c r="X59" s="22"/>
      <c r="Y59" s="22"/>
      <c r="Z59" s="22"/>
      <c r="AA59" s="22"/>
      <c r="AB59" s="22"/>
      <c r="AC59" s="22" t="s">
        <v>677</v>
      </c>
      <c r="AD59" s="22"/>
      <c r="AE59" s="22"/>
      <c r="AF59" s="22"/>
      <c r="AG59" s="22"/>
      <c r="AH59" s="33" t="s">
        <v>23</v>
      </c>
      <c r="AI59" s="23" t="s">
        <v>49</v>
      </c>
      <c r="AJ59" s="33" t="str">
        <f t="shared" si="0"/>
        <v>PD5D_MTG_snRNAseq/samples/ILB_BN1722_MTG_snRNAseq_batch17_rep1.h5</v>
      </c>
      <c r="AK59" t="s">
        <v>1290</v>
      </c>
    </row>
    <row r="60" spans="1:37">
      <c r="A60" s="22" t="s">
        <v>757</v>
      </c>
      <c r="B60" s="22" t="s">
        <v>173</v>
      </c>
      <c r="C60" s="22" t="s">
        <v>173</v>
      </c>
      <c r="D60" s="22" t="s">
        <v>666</v>
      </c>
      <c r="E60" s="22">
        <v>1</v>
      </c>
      <c r="F60" s="22">
        <v>0</v>
      </c>
      <c r="G60" s="22" t="s">
        <v>746</v>
      </c>
      <c r="H60" s="22" t="s">
        <v>668</v>
      </c>
      <c r="I60" s="22" t="s">
        <v>669</v>
      </c>
      <c r="J60" s="22" t="s">
        <v>670</v>
      </c>
      <c r="K60" s="22" t="s">
        <v>671</v>
      </c>
      <c r="L60" s="22" t="s">
        <v>669</v>
      </c>
      <c r="M60" s="22" t="s">
        <v>672</v>
      </c>
      <c r="N60" s="22">
        <v>9.6999999999999993</v>
      </c>
      <c r="O60" s="22">
        <v>9.6999999999999993</v>
      </c>
      <c r="P60" s="22" t="s">
        <v>673</v>
      </c>
      <c r="Q60" s="22">
        <v>50600</v>
      </c>
      <c r="R60" s="22" t="s">
        <v>674</v>
      </c>
      <c r="S60" s="22" t="s">
        <v>675</v>
      </c>
      <c r="T60" s="22">
        <v>120</v>
      </c>
      <c r="U60" s="22" t="s">
        <v>676</v>
      </c>
      <c r="V60" s="22"/>
      <c r="W60" s="22"/>
      <c r="X60" s="22"/>
      <c r="Y60" s="22"/>
      <c r="Z60" s="22"/>
      <c r="AA60" s="22"/>
      <c r="AB60" s="22"/>
      <c r="AC60" s="22" t="s">
        <v>677</v>
      </c>
      <c r="AD60" s="22"/>
      <c r="AE60" s="22"/>
      <c r="AF60" s="22"/>
      <c r="AG60" s="22"/>
      <c r="AH60" s="33" t="s">
        <v>23</v>
      </c>
      <c r="AI60" s="23" t="s">
        <v>49</v>
      </c>
      <c r="AJ60" s="33" t="str">
        <f t="shared" si="0"/>
        <v>PD5D_MTG_snRNAseq/samples/ILB_BN1726_MTG_snRNAseq_batch18_rep1.h5</v>
      </c>
      <c r="AK60" t="s">
        <v>1290</v>
      </c>
    </row>
    <row r="61" spans="1:37">
      <c r="A61" s="22" t="s">
        <v>758</v>
      </c>
      <c r="B61" s="22" t="s">
        <v>175</v>
      </c>
      <c r="C61" s="22" t="s">
        <v>175</v>
      </c>
      <c r="D61" s="22" t="s">
        <v>666</v>
      </c>
      <c r="E61" s="22">
        <v>1</v>
      </c>
      <c r="F61" s="22">
        <v>0</v>
      </c>
      <c r="G61" s="22" t="s">
        <v>721</v>
      </c>
      <c r="H61" s="22" t="s">
        <v>668</v>
      </c>
      <c r="I61" s="22" t="s">
        <v>669</v>
      </c>
      <c r="J61" s="22" t="s">
        <v>670</v>
      </c>
      <c r="K61" s="22" t="s">
        <v>671</v>
      </c>
      <c r="L61" s="22" t="s">
        <v>669</v>
      </c>
      <c r="M61" s="22" t="s">
        <v>672</v>
      </c>
      <c r="N61" s="22">
        <v>7.5</v>
      </c>
      <c r="O61" s="22">
        <v>7.5</v>
      </c>
      <c r="P61" s="22" t="s">
        <v>673</v>
      </c>
      <c r="Q61" s="22">
        <v>40000</v>
      </c>
      <c r="R61" s="22" t="s">
        <v>674</v>
      </c>
      <c r="S61" s="22" t="s">
        <v>675</v>
      </c>
      <c r="T61" s="22">
        <v>120</v>
      </c>
      <c r="U61" s="22" t="s">
        <v>676</v>
      </c>
      <c r="V61" s="22"/>
      <c r="W61" s="22"/>
      <c r="X61" s="22"/>
      <c r="Y61" s="22"/>
      <c r="Z61" s="22"/>
      <c r="AA61" s="22"/>
      <c r="AB61" s="22"/>
      <c r="AC61" s="22" t="s">
        <v>677</v>
      </c>
      <c r="AD61" s="22"/>
      <c r="AE61" s="22"/>
      <c r="AF61" s="22"/>
      <c r="AG61" s="22"/>
      <c r="AH61" s="33" t="s">
        <v>23</v>
      </c>
      <c r="AI61" s="23" t="s">
        <v>49</v>
      </c>
      <c r="AJ61" s="33" t="str">
        <f t="shared" si="0"/>
        <v>PD5D_MTG_snRNAseq/samples/HC_BN1730_MTG_snRNAseq_batch30_rep1.h5</v>
      </c>
      <c r="AK61" t="s">
        <v>1290</v>
      </c>
    </row>
    <row r="62" spans="1:37">
      <c r="A62" s="22" t="s">
        <v>759</v>
      </c>
      <c r="B62" s="22" t="s">
        <v>177</v>
      </c>
      <c r="C62" s="22" t="s">
        <v>177</v>
      </c>
      <c r="D62" s="22" t="s">
        <v>666</v>
      </c>
      <c r="E62" s="22">
        <v>1</v>
      </c>
      <c r="F62" s="22">
        <v>0</v>
      </c>
      <c r="G62" s="22" t="s">
        <v>735</v>
      </c>
      <c r="H62" s="22" t="s">
        <v>668</v>
      </c>
      <c r="I62" s="22" t="s">
        <v>669</v>
      </c>
      <c r="J62" s="22" t="s">
        <v>670</v>
      </c>
      <c r="K62" s="22" t="s">
        <v>671</v>
      </c>
      <c r="L62" s="22" t="s">
        <v>669</v>
      </c>
      <c r="M62" s="22" t="s">
        <v>672</v>
      </c>
      <c r="N62" s="22">
        <v>8.6</v>
      </c>
      <c r="O62" s="22">
        <v>8.6</v>
      </c>
      <c r="P62" s="22" t="s">
        <v>673</v>
      </c>
      <c r="Q62" s="22">
        <v>45000</v>
      </c>
      <c r="R62" s="22" t="s">
        <v>674</v>
      </c>
      <c r="S62" s="22" t="s">
        <v>675</v>
      </c>
      <c r="T62" s="22">
        <v>120</v>
      </c>
      <c r="U62" s="22" t="s">
        <v>676</v>
      </c>
      <c r="V62" s="22"/>
      <c r="W62" s="22"/>
      <c r="X62" s="22"/>
      <c r="Y62" s="22"/>
      <c r="Z62" s="22"/>
      <c r="AA62" s="22"/>
      <c r="AB62" s="22"/>
      <c r="AC62" s="22" t="s">
        <v>677</v>
      </c>
      <c r="AD62" s="22"/>
      <c r="AE62" s="22"/>
      <c r="AF62" s="22"/>
      <c r="AG62" s="22"/>
      <c r="AH62" s="33" t="s">
        <v>23</v>
      </c>
      <c r="AI62" s="23" t="s">
        <v>49</v>
      </c>
      <c r="AJ62" s="33" t="str">
        <f t="shared" si="0"/>
        <v>PD5D_MTG_snRNAseq/samples/HC_BN1737_MTG_snRNAseq_batch12_rep1.h5</v>
      </c>
      <c r="AK62" t="s">
        <v>1290</v>
      </c>
    </row>
    <row r="63" spans="1:37">
      <c r="A63" s="22" t="s">
        <v>760</v>
      </c>
      <c r="B63" s="22" t="s">
        <v>179</v>
      </c>
      <c r="C63" s="22" t="s">
        <v>179</v>
      </c>
      <c r="D63" s="22" t="s">
        <v>666</v>
      </c>
      <c r="E63" s="22">
        <v>1</v>
      </c>
      <c r="F63" s="22">
        <v>0</v>
      </c>
      <c r="G63" s="22" t="s">
        <v>750</v>
      </c>
      <c r="H63" s="22" t="s">
        <v>668</v>
      </c>
      <c r="I63" s="22" t="s">
        <v>669</v>
      </c>
      <c r="J63" s="22" t="s">
        <v>670</v>
      </c>
      <c r="K63" s="22" t="s">
        <v>671</v>
      </c>
      <c r="L63" s="22" t="s">
        <v>669</v>
      </c>
      <c r="M63" s="22" t="s">
        <v>672</v>
      </c>
      <c r="N63" s="22">
        <v>10</v>
      </c>
      <c r="O63" s="22">
        <v>10</v>
      </c>
      <c r="P63" s="22" t="s">
        <v>673</v>
      </c>
      <c r="Q63" s="22">
        <v>50600</v>
      </c>
      <c r="R63" s="22" t="s">
        <v>674</v>
      </c>
      <c r="S63" s="22" t="s">
        <v>675</v>
      </c>
      <c r="T63" s="22">
        <v>120</v>
      </c>
      <c r="U63" s="22" t="s">
        <v>676</v>
      </c>
      <c r="V63" s="22"/>
      <c r="W63" s="22"/>
      <c r="X63" s="22"/>
      <c r="Y63" s="22"/>
      <c r="Z63" s="22"/>
      <c r="AA63" s="22"/>
      <c r="AB63" s="22"/>
      <c r="AC63" s="22" t="s">
        <v>677</v>
      </c>
      <c r="AD63" s="22"/>
      <c r="AE63" s="22"/>
      <c r="AF63" s="22"/>
      <c r="AG63" s="22"/>
      <c r="AH63" s="33" t="s">
        <v>23</v>
      </c>
      <c r="AI63" s="23" t="s">
        <v>49</v>
      </c>
      <c r="AJ63" s="33" t="str">
        <f t="shared" si="0"/>
        <v>PD5D_MTG_snRNAseq/samples/ILB_BN1741_MTG_snRNAseq_batch19_rep1.h5</v>
      </c>
      <c r="AK63" t="s">
        <v>1290</v>
      </c>
    </row>
    <row r="64" spans="1:37">
      <c r="A64" s="22" t="s">
        <v>761</v>
      </c>
      <c r="B64" s="22" t="s">
        <v>181</v>
      </c>
      <c r="C64" s="22" t="s">
        <v>181</v>
      </c>
      <c r="D64" s="22" t="s">
        <v>666</v>
      </c>
      <c r="E64" s="22">
        <v>1</v>
      </c>
      <c r="F64" s="22">
        <v>0</v>
      </c>
      <c r="G64" s="22" t="s">
        <v>723</v>
      </c>
      <c r="H64" s="22" t="s">
        <v>668</v>
      </c>
      <c r="I64" s="22" t="s">
        <v>669</v>
      </c>
      <c r="J64" s="22" t="s">
        <v>670</v>
      </c>
      <c r="K64" s="22" t="s">
        <v>671</v>
      </c>
      <c r="L64" s="22" t="s">
        <v>669</v>
      </c>
      <c r="M64" s="22" t="s">
        <v>672</v>
      </c>
      <c r="N64" s="22">
        <v>9.9</v>
      </c>
      <c r="O64" s="22">
        <v>9.9</v>
      </c>
      <c r="P64" s="22" t="s">
        <v>673</v>
      </c>
      <c r="Q64" s="22">
        <v>50600</v>
      </c>
      <c r="R64" s="22" t="s">
        <v>674</v>
      </c>
      <c r="S64" s="22" t="s">
        <v>675</v>
      </c>
      <c r="T64" s="22">
        <v>120</v>
      </c>
      <c r="U64" s="22" t="s">
        <v>676</v>
      </c>
      <c r="V64" s="22"/>
      <c r="W64" s="22"/>
      <c r="X64" s="22"/>
      <c r="Y64" s="22"/>
      <c r="Z64" s="22"/>
      <c r="AA64" s="22"/>
      <c r="AB64" s="22"/>
      <c r="AC64" s="22" t="s">
        <v>677</v>
      </c>
      <c r="AD64" s="22"/>
      <c r="AE64" s="22"/>
      <c r="AF64" s="22"/>
      <c r="AG64" s="22"/>
      <c r="AH64" s="33" t="s">
        <v>23</v>
      </c>
      <c r="AI64" s="23" t="s">
        <v>49</v>
      </c>
      <c r="AJ64" s="33" t="str">
        <f t="shared" si="0"/>
        <v>PD5D_MTG_snRNAseq/samples/PD_BN1747_MTG_snRNAseq_batch16_rep1.h5</v>
      </c>
      <c r="AK64" t="s">
        <v>1290</v>
      </c>
    </row>
    <row r="65" spans="1:37">
      <c r="A65" s="22" t="s">
        <v>762</v>
      </c>
      <c r="B65" s="22" t="s">
        <v>183</v>
      </c>
      <c r="C65" s="22" t="s">
        <v>183</v>
      </c>
      <c r="D65" s="22" t="s">
        <v>666</v>
      </c>
      <c r="E65" s="22">
        <v>1</v>
      </c>
      <c r="F65" s="22">
        <v>0</v>
      </c>
      <c r="G65" s="22" t="s">
        <v>740</v>
      </c>
      <c r="H65" s="22" t="s">
        <v>668</v>
      </c>
      <c r="I65" s="22" t="s">
        <v>669</v>
      </c>
      <c r="J65" s="22" t="s">
        <v>670</v>
      </c>
      <c r="K65" s="22" t="s">
        <v>671</v>
      </c>
      <c r="L65" s="22" t="s">
        <v>669</v>
      </c>
      <c r="M65" s="22" t="s">
        <v>672</v>
      </c>
      <c r="N65" s="22">
        <v>9.4</v>
      </c>
      <c r="O65" s="22">
        <v>9.4</v>
      </c>
      <c r="P65" s="22" t="s">
        <v>673</v>
      </c>
      <c r="Q65" s="22">
        <v>50600</v>
      </c>
      <c r="R65" s="22" t="s">
        <v>674</v>
      </c>
      <c r="S65" s="22" t="s">
        <v>675</v>
      </c>
      <c r="T65" s="22">
        <v>120</v>
      </c>
      <c r="U65" s="22" t="s">
        <v>676</v>
      </c>
      <c r="V65" s="22"/>
      <c r="W65" s="22"/>
      <c r="X65" s="22"/>
      <c r="Y65" s="22"/>
      <c r="Z65" s="22"/>
      <c r="AA65" s="22"/>
      <c r="AB65" s="22"/>
      <c r="AC65" s="22" t="s">
        <v>677</v>
      </c>
      <c r="AD65" s="22"/>
      <c r="AE65" s="22"/>
      <c r="AF65" s="22"/>
      <c r="AG65" s="22"/>
      <c r="AH65" s="33" t="s">
        <v>23</v>
      </c>
      <c r="AI65" s="23" t="s">
        <v>49</v>
      </c>
      <c r="AJ65" s="33" t="str">
        <f t="shared" si="0"/>
        <v>PD5D_MTG_snRNAseq/samples/PD_BN1749_MTG_snRNAseq_batch17_rep1.h5</v>
      </c>
      <c r="AK65" t="s">
        <v>1290</v>
      </c>
    </row>
    <row r="66" spans="1:37">
      <c r="A66" s="22" t="s">
        <v>763</v>
      </c>
      <c r="B66" s="22" t="s">
        <v>185</v>
      </c>
      <c r="C66" s="22" t="s">
        <v>185</v>
      </c>
      <c r="D66" s="22" t="s">
        <v>666</v>
      </c>
      <c r="E66" s="22">
        <v>1</v>
      </c>
      <c r="F66" s="22">
        <v>0</v>
      </c>
      <c r="G66" s="22" t="s">
        <v>764</v>
      </c>
      <c r="H66" s="22" t="s">
        <v>668</v>
      </c>
      <c r="I66" s="22" t="s">
        <v>669</v>
      </c>
      <c r="J66" s="22" t="s">
        <v>670</v>
      </c>
      <c r="K66" s="22" t="s">
        <v>671</v>
      </c>
      <c r="L66" s="22" t="s">
        <v>669</v>
      </c>
      <c r="M66" s="22" t="s">
        <v>672</v>
      </c>
      <c r="N66" s="22">
        <v>7.4</v>
      </c>
      <c r="O66" s="22">
        <v>7.4</v>
      </c>
      <c r="P66" s="22" t="s">
        <v>673</v>
      </c>
      <c r="Q66" s="22">
        <v>50600</v>
      </c>
      <c r="R66" s="22" t="s">
        <v>674</v>
      </c>
      <c r="S66" s="22" t="s">
        <v>675</v>
      </c>
      <c r="T66" s="22">
        <v>120</v>
      </c>
      <c r="U66" s="22" t="s">
        <v>676</v>
      </c>
      <c r="V66" s="22"/>
      <c r="W66" s="22"/>
      <c r="X66" s="22"/>
      <c r="Y66" s="22"/>
      <c r="Z66" s="22"/>
      <c r="AA66" s="22"/>
      <c r="AB66" s="22"/>
      <c r="AC66" s="22" t="s">
        <v>677</v>
      </c>
      <c r="AD66" s="22"/>
      <c r="AE66" s="22"/>
      <c r="AF66" s="22"/>
      <c r="AG66" s="22"/>
      <c r="AH66" s="33" t="s">
        <v>23</v>
      </c>
      <c r="AI66" s="23" t="s">
        <v>49</v>
      </c>
      <c r="AJ66" s="33" t="str">
        <f t="shared" si="0"/>
        <v>PD5D_MTG_snRNAseq/samples/ILB_BN1752_MTG_snRNAseq_batch20_rep1.h5</v>
      </c>
      <c r="AK66" t="s">
        <v>1290</v>
      </c>
    </row>
    <row r="67" spans="1:37">
      <c r="A67" s="22" t="s">
        <v>765</v>
      </c>
      <c r="B67" s="22" t="s">
        <v>187</v>
      </c>
      <c r="C67" s="22" t="s">
        <v>187</v>
      </c>
      <c r="D67" s="22" t="s">
        <v>666</v>
      </c>
      <c r="E67" s="22">
        <v>1</v>
      </c>
      <c r="F67" s="22">
        <v>0</v>
      </c>
      <c r="G67" s="22" t="s">
        <v>746</v>
      </c>
      <c r="H67" s="22" t="s">
        <v>668</v>
      </c>
      <c r="I67" s="22" t="s">
        <v>669</v>
      </c>
      <c r="J67" s="22" t="s">
        <v>670</v>
      </c>
      <c r="K67" s="22" t="s">
        <v>671</v>
      </c>
      <c r="L67" s="22" t="s">
        <v>669</v>
      </c>
      <c r="M67" s="22" t="s">
        <v>672</v>
      </c>
      <c r="N67" s="22">
        <v>8.6</v>
      </c>
      <c r="O67" s="22">
        <v>8.6</v>
      </c>
      <c r="P67" s="22" t="s">
        <v>673</v>
      </c>
      <c r="Q67" s="22">
        <v>50600</v>
      </c>
      <c r="R67" s="22" t="s">
        <v>674</v>
      </c>
      <c r="S67" s="22" t="s">
        <v>675</v>
      </c>
      <c r="T67" s="22">
        <v>120</v>
      </c>
      <c r="U67" s="22" t="s">
        <v>676</v>
      </c>
      <c r="V67" s="22"/>
      <c r="W67" s="22"/>
      <c r="X67" s="22"/>
      <c r="Y67" s="22"/>
      <c r="Z67" s="22"/>
      <c r="AA67" s="22"/>
      <c r="AB67" s="22"/>
      <c r="AC67" s="22" t="s">
        <v>677</v>
      </c>
      <c r="AD67" s="22"/>
      <c r="AE67" s="22"/>
      <c r="AF67" s="22"/>
      <c r="AG67" s="22"/>
      <c r="AH67" s="33" t="s">
        <v>23</v>
      </c>
      <c r="AI67" s="23" t="s">
        <v>49</v>
      </c>
      <c r="AJ67" s="33" t="str">
        <f t="shared" si="0"/>
        <v>PD5D_MTG_snRNAseq/samples/PD_BN1756_MTG_snRNAseq_batch18_rep1.h5</v>
      </c>
      <c r="AK67" t="s">
        <v>1290</v>
      </c>
    </row>
    <row r="68" spans="1:37">
      <c r="A68" s="22" t="s">
        <v>766</v>
      </c>
      <c r="B68" s="22" t="s">
        <v>189</v>
      </c>
      <c r="C68" s="22" t="s">
        <v>189</v>
      </c>
      <c r="D68" s="22" t="s">
        <v>666</v>
      </c>
      <c r="E68" s="22">
        <v>1</v>
      </c>
      <c r="F68" s="22">
        <v>0</v>
      </c>
      <c r="G68" s="22" t="s">
        <v>727</v>
      </c>
      <c r="H68" s="22" t="s">
        <v>668</v>
      </c>
      <c r="I68" s="22" t="s">
        <v>669</v>
      </c>
      <c r="J68" s="22" t="s">
        <v>670</v>
      </c>
      <c r="K68" s="22" t="s">
        <v>671</v>
      </c>
      <c r="L68" s="22" t="s">
        <v>669</v>
      </c>
      <c r="M68" s="22" t="s">
        <v>672</v>
      </c>
      <c r="N68" s="22">
        <v>7.3</v>
      </c>
      <c r="O68" s="22">
        <v>7.3</v>
      </c>
      <c r="P68" s="22" t="s">
        <v>673</v>
      </c>
      <c r="Q68" s="22">
        <v>40000</v>
      </c>
      <c r="R68" s="22" t="s">
        <v>674</v>
      </c>
      <c r="S68" s="22" t="s">
        <v>675</v>
      </c>
      <c r="T68" s="22">
        <v>120</v>
      </c>
      <c r="U68" s="22" t="s">
        <v>676</v>
      </c>
      <c r="V68" s="22"/>
      <c r="W68" s="22"/>
      <c r="X68" s="22"/>
      <c r="Y68" s="22"/>
      <c r="Z68" s="22"/>
      <c r="AA68" s="22"/>
      <c r="AB68" s="22"/>
      <c r="AC68" s="22" t="s">
        <v>677</v>
      </c>
      <c r="AD68" s="22"/>
      <c r="AE68" s="22"/>
      <c r="AF68" s="22"/>
      <c r="AG68" s="22"/>
      <c r="AH68" s="33" t="s">
        <v>23</v>
      </c>
      <c r="AI68" s="23" t="s">
        <v>49</v>
      </c>
      <c r="AJ68" s="33" t="str">
        <f t="shared" ref="AJ68:AJ131" si="1">_xlfn.CONCAT(AH68,"/samples/",A68,".h5")</f>
        <v>PD5D_MTG_snRNAseq/samples/HC_BN1762_MTG_snRNAseq_batch31_rep1.h5</v>
      </c>
      <c r="AK68" t="s">
        <v>1290</v>
      </c>
    </row>
    <row r="69" spans="1:37">
      <c r="A69" s="22" t="s">
        <v>767</v>
      </c>
      <c r="B69" s="22" t="s">
        <v>197</v>
      </c>
      <c r="C69" s="22" t="s">
        <v>197</v>
      </c>
      <c r="D69" s="22" t="s">
        <v>666</v>
      </c>
      <c r="E69" s="22">
        <v>1</v>
      </c>
      <c r="F69" s="22">
        <v>0</v>
      </c>
      <c r="G69" s="22" t="s">
        <v>750</v>
      </c>
      <c r="H69" s="22" t="s">
        <v>668</v>
      </c>
      <c r="I69" s="22" t="s">
        <v>669</v>
      </c>
      <c r="J69" s="22" t="s">
        <v>670</v>
      </c>
      <c r="K69" s="22" t="s">
        <v>671</v>
      </c>
      <c r="L69" s="22" t="s">
        <v>669</v>
      </c>
      <c r="M69" s="22" t="s">
        <v>672</v>
      </c>
      <c r="N69" s="22">
        <v>9.9</v>
      </c>
      <c r="O69" s="22">
        <v>9.9</v>
      </c>
      <c r="P69" s="22" t="s">
        <v>673</v>
      </c>
      <c r="Q69" s="22">
        <v>50600</v>
      </c>
      <c r="R69" s="22" t="s">
        <v>674</v>
      </c>
      <c r="S69" s="22" t="s">
        <v>675</v>
      </c>
      <c r="T69" s="22">
        <v>120</v>
      </c>
      <c r="U69" s="22" t="s">
        <v>676</v>
      </c>
      <c r="V69" s="22"/>
      <c r="W69" s="22"/>
      <c r="X69" s="22"/>
      <c r="Y69" s="22"/>
      <c r="Z69" s="22"/>
      <c r="AA69" s="22"/>
      <c r="AB69" s="22"/>
      <c r="AC69" s="22" t="s">
        <v>677</v>
      </c>
      <c r="AD69" s="22"/>
      <c r="AE69" s="22"/>
      <c r="AF69" s="22"/>
      <c r="AG69" s="22"/>
      <c r="AH69" s="33" t="s">
        <v>23</v>
      </c>
      <c r="AI69" s="23" t="s">
        <v>49</v>
      </c>
      <c r="AJ69" s="33" t="str">
        <f t="shared" si="1"/>
        <v>PD5D_MTG_snRNAseq/samples/PD_BN1805_MTG_snRNAseq_batch19_rep1.h5</v>
      </c>
      <c r="AK69" t="s">
        <v>1290</v>
      </c>
    </row>
    <row r="70" spans="1:37">
      <c r="A70" s="22" t="s">
        <v>768</v>
      </c>
      <c r="B70" s="22" t="s">
        <v>191</v>
      </c>
      <c r="C70" s="22" t="s">
        <v>191</v>
      </c>
      <c r="D70" s="22" t="s">
        <v>666</v>
      </c>
      <c r="E70" s="22">
        <v>1</v>
      </c>
      <c r="F70" s="22">
        <v>0</v>
      </c>
      <c r="G70" s="22" t="s">
        <v>764</v>
      </c>
      <c r="H70" s="22" t="s">
        <v>668</v>
      </c>
      <c r="I70" s="22" t="s">
        <v>669</v>
      </c>
      <c r="J70" s="22" t="s">
        <v>670</v>
      </c>
      <c r="K70" s="22" t="s">
        <v>671</v>
      </c>
      <c r="L70" s="22" t="s">
        <v>669</v>
      </c>
      <c r="M70" s="22" t="s">
        <v>672</v>
      </c>
      <c r="N70" s="22">
        <v>6.3</v>
      </c>
      <c r="O70" s="22">
        <v>6.3</v>
      </c>
      <c r="P70" s="22" t="s">
        <v>673</v>
      </c>
      <c r="Q70" s="22">
        <v>50600</v>
      </c>
      <c r="R70" s="22" t="s">
        <v>674</v>
      </c>
      <c r="S70" s="22" t="s">
        <v>675</v>
      </c>
      <c r="T70" s="22">
        <v>120</v>
      </c>
      <c r="U70" s="22" t="s">
        <v>676</v>
      </c>
      <c r="V70" s="22"/>
      <c r="W70" s="22"/>
      <c r="X70" s="22"/>
      <c r="Y70" s="22"/>
      <c r="Z70" s="22"/>
      <c r="AA70" s="22"/>
      <c r="AB70" s="22"/>
      <c r="AC70" s="22" t="s">
        <v>677</v>
      </c>
      <c r="AD70" s="22"/>
      <c r="AE70" s="22"/>
      <c r="AF70" s="22"/>
      <c r="AG70" s="22"/>
      <c r="AH70" s="33" t="s">
        <v>23</v>
      </c>
      <c r="AI70" s="23" t="s">
        <v>49</v>
      </c>
      <c r="AJ70" s="33" t="str">
        <f t="shared" si="1"/>
        <v>PD5D_MTG_snRNAseq/samples/PD_BN1809_MTG_snRNAseq_batch20_rep1.h5</v>
      </c>
      <c r="AK70" t="s">
        <v>1290</v>
      </c>
    </row>
    <row r="71" spans="1:37">
      <c r="A71" s="22" t="s">
        <v>769</v>
      </c>
      <c r="B71" s="22" t="s">
        <v>193</v>
      </c>
      <c r="C71" s="22" t="s">
        <v>193</v>
      </c>
      <c r="D71" s="22" t="s">
        <v>666</v>
      </c>
      <c r="E71" s="22">
        <v>1</v>
      </c>
      <c r="F71" s="22">
        <v>0</v>
      </c>
      <c r="G71" s="22" t="s">
        <v>755</v>
      </c>
      <c r="H71" s="22" t="s">
        <v>668</v>
      </c>
      <c r="I71" s="22" t="s">
        <v>669</v>
      </c>
      <c r="J71" s="22" t="s">
        <v>670</v>
      </c>
      <c r="K71" s="22" t="s">
        <v>671</v>
      </c>
      <c r="L71" s="22" t="s">
        <v>669</v>
      </c>
      <c r="M71" s="22" t="s">
        <v>672</v>
      </c>
      <c r="N71" s="22">
        <v>8.6</v>
      </c>
      <c r="O71" s="22">
        <v>8.6</v>
      </c>
      <c r="P71" s="22" t="s">
        <v>673</v>
      </c>
      <c r="Q71" s="22">
        <v>50600</v>
      </c>
      <c r="R71" s="22" t="s">
        <v>674</v>
      </c>
      <c r="S71" s="22" t="s">
        <v>675</v>
      </c>
      <c r="T71" s="22">
        <v>120</v>
      </c>
      <c r="U71" s="22" t="s">
        <v>676</v>
      </c>
      <c r="V71" s="22"/>
      <c r="W71" s="22"/>
      <c r="X71" s="22"/>
      <c r="Y71" s="22"/>
      <c r="Z71" s="22"/>
      <c r="AA71" s="22"/>
      <c r="AB71" s="22"/>
      <c r="AC71" s="22" t="s">
        <v>677</v>
      </c>
      <c r="AD71" s="22"/>
      <c r="AE71" s="22"/>
      <c r="AF71" s="22"/>
      <c r="AG71" s="22"/>
      <c r="AH71" s="33" t="s">
        <v>23</v>
      </c>
      <c r="AI71" s="23" t="s">
        <v>49</v>
      </c>
      <c r="AJ71" s="33" t="str">
        <f t="shared" si="1"/>
        <v>PD5D_MTG_snRNAseq/samples/PD_BN1812_MTG_snRNAseq_batch21_rep1.h5</v>
      </c>
      <c r="AK71" t="s">
        <v>1290</v>
      </c>
    </row>
    <row r="72" spans="1:37">
      <c r="A72" s="22" t="s">
        <v>770</v>
      </c>
      <c r="B72" s="22" t="s">
        <v>195</v>
      </c>
      <c r="C72" s="22" t="s">
        <v>195</v>
      </c>
      <c r="D72" s="22" t="s">
        <v>666</v>
      </c>
      <c r="E72" s="22">
        <v>1</v>
      </c>
      <c r="F72" s="22">
        <v>0</v>
      </c>
      <c r="G72" s="22" t="s">
        <v>771</v>
      </c>
      <c r="H72" s="22" t="s">
        <v>668</v>
      </c>
      <c r="I72" s="22" t="s">
        <v>669</v>
      </c>
      <c r="J72" s="22" t="s">
        <v>670</v>
      </c>
      <c r="K72" s="22" t="s">
        <v>671</v>
      </c>
      <c r="L72" s="22" t="s">
        <v>669</v>
      </c>
      <c r="M72" s="22" t="s">
        <v>672</v>
      </c>
      <c r="N72" s="22">
        <v>9.6999999999999993</v>
      </c>
      <c r="O72" s="22">
        <v>9.6999999999999993</v>
      </c>
      <c r="P72" s="22" t="s">
        <v>673</v>
      </c>
      <c r="Q72" s="22">
        <v>50600</v>
      </c>
      <c r="R72" s="22" t="s">
        <v>674</v>
      </c>
      <c r="S72" s="22" t="s">
        <v>675</v>
      </c>
      <c r="T72" s="22">
        <v>120</v>
      </c>
      <c r="U72" s="22" t="s">
        <v>676</v>
      </c>
      <c r="V72" s="22"/>
      <c r="W72" s="22"/>
      <c r="X72" s="22"/>
      <c r="Y72" s="22"/>
      <c r="Z72" s="22"/>
      <c r="AA72" s="22"/>
      <c r="AB72" s="22"/>
      <c r="AC72" s="22" t="s">
        <v>677</v>
      </c>
      <c r="AD72" s="22"/>
      <c r="AE72" s="22"/>
      <c r="AF72" s="22"/>
      <c r="AG72" s="22"/>
      <c r="AH72" s="33" t="s">
        <v>23</v>
      </c>
      <c r="AI72" s="23" t="s">
        <v>49</v>
      </c>
      <c r="AJ72" s="33" t="str">
        <f t="shared" si="1"/>
        <v>PD5D_MTG_snRNAseq/samples/PD_BN1814_MTG_snRNAseq_batch22_rep1.h5</v>
      </c>
      <c r="AK72" t="s">
        <v>1290</v>
      </c>
    </row>
    <row r="73" spans="1:37">
      <c r="A73" s="22" t="s">
        <v>772</v>
      </c>
      <c r="B73" s="22" t="s">
        <v>199</v>
      </c>
      <c r="C73" s="22" t="s">
        <v>199</v>
      </c>
      <c r="D73" s="22" t="s">
        <v>666</v>
      </c>
      <c r="E73" s="22">
        <v>1</v>
      </c>
      <c r="F73" s="22">
        <v>0</v>
      </c>
      <c r="G73" s="22" t="s">
        <v>773</v>
      </c>
      <c r="H73" s="22" t="s">
        <v>668</v>
      </c>
      <c r="I73" s="22" t="s">
        <v>669</v>
      </c>
      <c r="J73" s="22" t="s">
        <v>670</v>
      </c>
      <c r="K73" s="22" t="s">
        <v>671</v>
      </c>
      <c r="L73" s="22" t="s">
        <v>669</v>
      </c>
      <c r="M73" s="22" t="s">
        <v>672</v>
      </c>
      <c r="N73" s="22">
        <v>8.8000000000000007</v>
      </c>
      <c r="O73" s="22">
        <v>8.8000000000000007</v>
      </c>
      <c r="P73" s="22" t="s">
        <v>673</v>
      </c>
      <c r="Q73" s="22">
        <v>40000</v>
      </c>
      <c r="R73" s="22" t="s">
        <v>674</v>
      </c>
      <c r="S73" s="22" t="s">
        <v>675</v>
      </c>
      <c r="T73" s="22">
        <v>120</v>
      </c>
      <c r="U73" s="22" t="s">
        <v>676</v>
      </c>
      <c r="V73" s="22"/>
      <c r="W73" s="22"/>
      <c r="X73" s="22"/>
      <c r="Y73" s="22"/>
      <c r="Z73" s="22"/>
      <c r="AA73" s="22"/>
      <c r="AB73" s="22"/>
      <c r="AC73" s="22" t="s">
        <v>677</v>
      </c>
      <c r="AD73" s="22"/>
      <c r="AE73" s="22"/>
      <c r="AF73" s="22"/>
      <c r="AG73" s="22"/>
      <c r="AH73" s="33" t="s">
        <v>23</v>
      </c>
      <c r="AI73" s="23" t="s">
        <v>49</v>
      </c>
      <c r="AJ73" s="33" t="str">
        <f t="shared" si="1"/>
        <v>PD5D_MTG_snRNAseq/samples/HC_BN1817_MTG_snRNAseq_batch9_rep1.h5</v>
      </c>
      <c r="AK73" t="s">
        <v>1290</v>
      </c>
    </row>
    <row r="74" spans="1:37">
      <c r="A74" s="22" t="s">
        <v>774</v>
      </c>
      <c r="B74" s="22" t="s">
        <v>201</v>
      </c>
      <c r="C74" s="22" t="s">
        <v>201</v>
      </c>
      <c r="D74" s="22" t="s">
        <v>666</v>
      </c>
      <c r="E74" s="22">
        <v>1</v>
      </c>
      <c r="F74" s="22">
        <v>0</v>
      </c>
      <c r="G74" s="22" t="s">
        <v>775</v>
      </c>
      <c r="H74" s="22" t="s">
        <v>668</v>
      </c>
      <c r="I74" s="22" t="s">
        <v>669</v>
      </c>
      <c r="J74" s="22" t="s">
        <v>670</v>
      </c>
      <c r="K74" s="22" t="s">
        <v>671</v>
      </c>
      <c r="L74" s="22" t="s">
        <v>669</v>
      </c>
      <c r="M74" s="22" t="s">
        <v>672</v>
      </c>
      <c r="N74" s="22">
        <v>8.8000000000000007</v>
      </c>
      <c r="O74" s="22">
        <v>8.8000000000000007</v>
      </c>
      <c r="P74" s="22" t="s">
        <v>673</v>
      </c>
      <c r="Q74" s="22">
        <v>40000</v>
      </c>
      <c r="R74" s="22" t="s">
        <v>674</v>
      </c>
      <c r="S74" s="22" t="s">
        <v>675</v>
      </c>
      <c r="T74" s="22">
        <v>120</v>
      </c>
      <c r="U74" s="22" t="s">
        <v>676</v>
      </c>
      <c r="V74" s="22"/>
      <c r="W74" s="22"/>
      <c r="X74" s="22"/>
      <c r="Y74" s="22"/>
      <c r="Z74" s="22"/>
      <c r="AA74" s="22"/>
      <c r="AB74" s="22"/>
      <c r="AC74" s="22" t="s">
        <v>677</v>
      </c>
      <c r="AD74" s="22"/>
      <c r="AE74" s="22"/>
      <c r="AF74" s="22"/>
      <c r="AG74" s="22"/>
      <c r="AH74" s="33" t="s">
        <v>23</v>
      </c>
      <c r="AI74" s="23" t="s">
        <v>49</v>
      </c>
      <c r="AJ74" s="33" t="str">
        <f t="shared" si="1"/>
        <v>PD5D_MTG_snRNAseq/samples/HC_BN1822_MTG_snRNAseq_batch23_rep1.h5</v>
      </c>
      <c r="AK74" t="s">
        <v>1290</v>
      </c>
    </row>
    <row r="75" spans="1:37">
      <c r="A75" s="22" t="s">
        <v>776</v>
      </c>
      <c r="B75" s="22" t="s">
        <v>203</v>
      </c>
      <c r="C75" s="22" t="s">
        <v>203</v>
      </c>
      <c r="D75" s="22" t="s">
        <v>666</v>
      </c>
      <c r="E75" s="22">
        <v>1</v>
      </c>
      <c r="F75" s="22">
        <v>0</v>
      </c>
      <c r="G75" s="22" t="s">
        <v>777</v>
      </c>
      <c r="H75" s="22" t="s">
        <v>668</v>
      </c>
      <c r="I75" s="22" t="s">
        <v>669</v>
      </c>
      <c r="J75" s="22" t="s">
        <v>670</v>
      </c>
      <c r="K75" s="22" t="s">
        <v>671</v>
      </c>
      <c r="L75" s="22" t="s">
        <v>669</v>
      </c>
      <c r="M75" s="22" t="s">
        <v>672</v>
      </c>
      <c r="N75" s="22">
        <v>8.1999999999999993</v>
      </c>
      <c r="O75" s="22">
        <v>8.1999999999999993</v>
      </c>
      <c r="P75" s="22" t="s">
        <v>673</v>
      </c>
      <c r="Q75" s="22">
        <v>45000</v>
      </c>
      <c r="R75" s="22" t="s">
        <v>674</v>
      </c>
      <c r="S75" s="22" t="s">
        <v>675</v>
      </c>
      <c r="T75" s="22">
        <v>120</v>
      </c>
      <c r="U75" s="22" t="s">
        <v>676</v>
      </c>
      <c r="V75" s="22"/>
      <c r="W75" s="22"/>
      <c r="X75" s="22"/>
      <c r="Y75" s="22"/>
      <c r="Z75" s="22"/>
      <c r="AA75" s="22"/>
      <c r="AB75" s="22"/>
      <c r="AC75" s="22" t="s">
        <v>677</v>
      </c>
      <c r="AD75" s="22"/>
      <c r="AE75" s="22"/>
      <c r="AF75" s="22"/>
      <c r="AG75" s="22"/>
      <c r="AH75" s="33" t="s">
        <v>23</v>
      </c>
      <c r="AI75" s="23" t="s">
        <v>49</v>
      </c>
      <c r="AJ75" s="33" t="str">
        <f t="shared" si="1"/>
        <v>PD5D_MTG_snRNAseq/samples/PD_BN1827_MTG_snRNAseq_batch10_rep1.h5</v>
      </c>
      <c r="AK75" t="s">
        <v>1290</v>
      </c>
    </row>
    <row r="76" spans="1:37">
      <c r="A76" s="22" t="s">
        <v>778</v>
      </c>
      <c r="B76" s="22" t="s">
        <v>205</v>
      </c>
      <c r="C76" s="22" t="s">
        <v>205</v>
      </c>
      <c r="D76" s="22" t="s">
        <v>666</v>
      </c>
      <c r="E76" s="22">
        <v>1</v>
      </c>
      <c r="F76" s="22">
        <v>0</v>
      </c>
      <c r="G76" s="22" t="s">
        <v>755</v>
      </c>
      <c r="H76" s="22" t="s">
        <v>668</v>
      </c>
      <c r="I76" s="22" t="s">
        <v>669</v>
      </c>
      <c r="J76" s="22" t="s">
        <v>670</v>
      </c>
      <c r="K76" s="22" t="s">
        <v>671</v>
      </c>
      <c r="L76" s="22" t="s">
        <v>669</v>
      </c>
      <c r="M76" s="22" t="s">
        <v>672</v>
      </c>
      <c r="N76" s="22">
        <v>8</v>
      </c>
      <c r="O76" s="22">
        <v>8</v>
      </c>
      <c r="P76" s="22" t="s">
        <v>673</v>
      </c>
      <c r="Q76" s="22">
        <v>50600</v>
      </c>
      <c r="R76" s="22" t="s">
        <v>674</v>
      </c>
      <c r="S76" s="22" t="s">
        <v>675</v>
      </c>
      <c r="T76" s="22">
        <v>120</v>
      </c>
      <c r="U76" s="22" t="s">
        <v>676</v>
      </c>
      <c r="V76" s="22"/>
      <c r="W76" s="22"/>
      <c r="X76" s="22"/>
      <c r="Y76" s="22"/>
      <c r="Z76" s="22"/>
      <c r="AA76" s="22"/>
      <c r="AB76" s="22"/>
      <c r="AC76" s="22" t="s">
        <v>677</v>
      </c>
      <c r="AD76" s="22"/>
      <c r="AE76" s="22"/>
      <c r="AF76" s="22"/>
      <c r="AG76" s="22"/>
      <c r="AH76" s="33" t="s">
        <v>23</v>
      </c>
      <c r="AI76" s="23" t="s">
        <v>49</v>
      </c>
      <c r="AJ76" s="33" t="str">
        <f t="shared" si="1"/>
        <v>PD5D_MTG_snRNAseq/samples/ILB_BN1836_MTG_snRNAseq_batch21_rep1.h5</v>
      </c>
      <c r="AK76" t="s">
        <v>1290</v>
      </c>
    </row>
    <row r="77" spans="1:37">
      <c r="A77" s="22" t="s">
        <v>779</v>
      </c>
      <c r="B77" s="22" t="s">
        <v>207</v>
      </c>
      <c r="C77" s="22" t="s">
        <v>207</v>
      </c>
      <c r="D77" s="22" t="s">
        <v>666</v>
      </c>
      <c r="E77" s="22">
        <v>1</v>
      </c>
      <c r="F77" s="22">
        <v>0</v>
      </c>
      <c r="G77" s="22" t="s">
        <v>777</v>
      </c>
      <c r="H77" s="22" t="s">
        <v>668</v>
      </c>
      <c r="I77" s="22" t="s">
        <v>669</v>
      </c>
      <c r="J77" s="22" t="s">
        <v>670</v>
      </c>
      <c r="K77" s="22" t="s">
        <v>671</v>
      </c>
      <c r="L77" s="22" t="s">
        <v>669</v>
      </c>
      <c r="M77" s="22" t="s">
        <v>672</v>
      </c>
      <c r="N77" s="22">
        <v>8.1999999999999993</v>
      </c>
      <c r="O77" s="22">
        <v>8.1999999999999993</v>
      </c>
      <c r="P77" s="22" t="s">
        <v>673</v>
      </c>
      <c r="Q77" s="22">
        <v>40000</v>
      </c>
      <c r="R77" s="22" t="s">
        <v>674</v>
      </c>
      <c r="S77" s="22" t="s">
        <v>675</v>
      </c>
      <c r="T77" s="22">
        <v>120</v>
      </c>
      <c r="U77" s="22" t="s">
        <v>676</v>
      </c>
      <c r="V77" s="22"/>
      <c r="W77" s="22"/>
      <c r="X77" s="22"/>
      <c r="Y77" s="22"/>
      <c r="Z77" s="22"/>
      <c r="AA77" s="22"/>
      <c r="AB77" s="22"/>
      <c r="AC77" s="22" t="s">
        <v>677</v>
      </c>
      <c r="AD77" s="22"/>
      <c r="AE77" s="22"/>
      <c r="AF77" s="22"/>
      <c r="AG77" s="22"/>
      <c r="AH77" s="33" t="s">
        <v>23</v>
      </c>
      <c r="AI77" s="23" t="s">
        <v>49</v>
      </c>
      <c r="AJ77" s="33" t="str">
        <f t="shared" si="1"/>
        <v>PD5D_MTG_snRNAseq/samples/PD_BN1839_MTG_snRNAseq_batch10_rep1.h5</v>
      </c>
      <c r="AK77" t="s">
        <v>1290</v>
      </c>
    </row>
    <row r="78" spans="1:37">
      <c r="A78" s="22" t="s">
        <v>780</v>
      </c>
      <c r="B78" s="22" t="s">
        <v>209</v>
      </c>
      <c r="C78" s="22" t="s">
        <v>209</v>
      </c>
      <c r="D78" s="22" t="s">
        <v>666</v>
      </c>
      <c r="E78" s="22">
        <v>1</v>
      </c>
      <c r="F78" s="22">
        <v>0</v>
      </c>
      <c r="G78" s="22" t="s">
        <v>781</v>
      </c>
      <c r="H78" s="22" t="s">
        <v>668</v>
      </c>
      <c r="I78" s="22" t="s">
        <v>669</v>
      </c>
      <c r="J78" s="22" t="s">
        <v>670</v>
      </c>
      <c r="K78" s="22" t="s">
        <v>671</v>
      </c>
      <c r="L78" s="22" t="s">
        <v>669</v>
      </c>
      <c r="M78" s="22" t="s">
        <v>672</v>
      </c>
      <c r="N78" s="22">
        <v>9.1</v>
      </c>
      <c r="O78" s="22">
        <v>9.1</v>
      </c>
      <c r="P78" s="22" t="s">
        <v>673</v>
      </c>
      <c r="Q78" s="22">
        <v>28000</v>
      </c>
      <c r="R78" s="22" t="s">
        <v>674</v>
      </c>
      <c r="S78" s="22" t="s">
        <v>675</v>
      </c>
      <c r="T78" s="22">
        <v>120</v>
      </c>
      <c r="U78" s="22" t="s">
        <v>676</v>
      </c>
      <c r="V78" s="22"/>
      <c r="W78" s="22"/>
      <c r="X78" s="22"/>
      <c r="Y78" s="22"/>
      <c r="Z78" s="22"/>
      <c r="AA78" s="22"/>
      <c r="AB78" s="22"/>
      <c r="AC78" s="22" t="s">
        <v>677</v>
      </c>
      <c r="AD78" s="22"/>
      <c r="AE78" s="22"/>
      <c r="AF78" s="22"/>
      <c r="AG78" s="22"/>
      <c r="AH78" s="33" t="s">
        <v>23</v>
      </c>
      <c r="AI78" s="23" t="s">
        <v>49</v>
      </c>
      <c r="AJ78" s="33" t="str">
        <f t="shared" si="1"/>
        <v>PD5D_MTG_snRNAseq/samples/HC_BN1842_MTG_snRNAseq_batch24_rep1.h5</v>
      </c>
      <c r="AK78" t="s">
        <v>1290</v>
      </c>
    </row>
    <row r="79" spans="1:37">
      <c r="A79" s="22" t="s">
        <v>782</v>
      </c>
      <c r="B79" s="22" t="s">
        <v>211</v>
      </c>
      <c r="C79" s="22" t="s">
        <v>211</v>
      </c>
      <c r="D79" s="22" t="s">
        <v>666</v>
      </c>
      <c r="E79" s="22">
        <v>1</v>
      </c>
      <c r="F79" s="22">
        <v>0</v>
      </c>
      <c r="G79" s="22" t="s">
        <v>771</v>
      </c>
      <c r="H79" s="22" t="s">
        <v>668</v>
      </c>
      <c r="I79" s="22" t="s">
        <v>669</v>
      </c>
      <c r="J79" s="22" t="s">
        <v>670</v>
      </c>
      <c r="K79" s="22" t="s">
        <v>671</v>
      </c>
      <c r="L79" s="22" t="s">
        <v>669</v>
      </c>
      <c r="M79" s="22" t="s">
        <v>672</v>
      </c>
      <c r="N79" s="22">
        <v>9.6</v>
      </c>
      <c r="O79" s="22">
        <v>9.6</v>
      </c>
      <c r="P79" s="22" t="s">
        <v>673</v>
      </c>
      <c r="Q79" s="22">
        <v>50600</v>
      </c>
      <c r="R79" s="22" t="s">
        <v>674</v>
      </c>
      <c r="S79" s="22" t="s">
        <v>675</v>
      </c>
      <c r="T79" s="22">
        <v>120</v>
      </c>
      <c r="U79" s="22" t="s">
        <v>676</v>
      </c>
      <c r="V79" s="22"/>
      <c r="W79" s="22"/>
      <c r="X79" s="22"/>
      <c r="Y79" s="22"/>
      <c r="Z79" s="22"/>
      <c r="AA79" s="22"/>
      <c r="AB79" s="22"/>
      <c r="AC79" s="22" t="s">
        <v>677</v>
      </c>
      <c r="AD79" s="22"/>
      <c r="AE79" s="22"/>
      <c r="AF79" s="22"/>
      <c r="AG79" s="22"/>
      <c r="AH79" s="33" t="s">
        <v>23</v>
      </c>
      <c r="AI79" s="23" t="s">
        <v>49</v>
      </c>
      <c r="AJ79" s="33" t="str">
        <f t="shared" si="1"/>
        <v>PD5D_MTG_snRNAseq/samples/ILB_BN1848_MTG_snRNAseq_batch22_rep1.h5</v>
      </c>
      <c r="AK79" t="s">
        <v>1290</v>
      </c>
    </row>
    <row r="80" spans="1:37">
      <c r="A80" s="22" t="s">
        <v>783</v>
      </c>
      <c r="B80" s="22" t="s">
        <v>213</v>
      </c>
      <c r="C80" s="22" t="s">
        <v>213</v>
      </c>
      <c r="D80" s="22" t="s">
        <v>666</v>
      </c>
      <c r="E80" s="22">
        <v>1</v>
      </c>
      <c r="F80" s="22">
        <v>0</v>
      </c>
      <c r="G80" s="22" t="s">
        <v>771</v>
      </c>
      <c r="H80" s="22" t="s">
        <v>668</v>
      </c>
      <c r="I80" s="22" t="s">
        <v>669</v>
      </c>
      <c r="J80" s="22" t="s">
        <v>670</v>
      </c>
      <c r="K80" s="22" t="s">
        <v>671</v>
      </c>
      <c r="L80" s="22" t="s">
        <v>669</v>
      </c>
      <c r="M80" s="22" t="s">
        <v>672</v>
      </c>
      <c r="N80" s="22">
        <v>8.9</v>
      </c>
      <c r="O80" s="22">
        <v>8.9</v>
      </c>
      <c r="P80" s="22" t="s">
        <v>673</v>
      </c>
      <c r="Q80" s="22">
        <v>45000</v>
      </c>
      <c r="R80" s="22" t="s">
        <v>674</v>
      </c>
      <c r="S80" s="22" t="s">
        <v>675</v>
      </c>
      <c r="T80" s="22">
        <v>120</v>
      </c>
      <c r="U80" s="22" t="s">
        <v>676</v>
      </c>
      <c r="V80" s="22"/>
      <c r="W80" s="22"/>
      <c r="X80" s="22"/>
      <c r="Y80" s="22"/>
      <c r="Z80" s="22"/>
      <c r="AA80" s="22"/>
      <c r="AB80" s="22"/>
      <c r="AC80" s="22" t="s">
        <v>677</v>
      </c>
      <c r="AD80" s="22"/>
      <c r="AE80" s="22"/>
      <c r="AF80" s="22"/>
      <c r="AG80" s="22"/>
      <c r="AH80" s="33" t="s">
        <v>23</v>
      </c>
      <c r="AI80" s="23" t="s">
        <v>49</v>
      </c>
      <c r="AJ80" s="33" t="str">
        <f t="shared" si="1"/>
        <v>PD5D_MTG_snRNAseq/samples/ILB_BN1849_MTG_snRNAseq_batch22_rep1.h5</v>
      </c>
      <c r="AK80" t="s">
        <v>1290</v>
      </c>
    </row>
    <row r="81" spans="1:37">
      <c r="A81" s="22" t="s">
        <v>784</v>
      </c>
      <c r="B81" s="22" t="s">
        <v>215</v>
      </c>
      <c r="C81" s="22" t="s">
        <v>215</v>
      </c>
      <c r="D81" s="22" t="s">
        <v>666</v>
      </c>
      <c r="E81" s="22">
        <v>1</v>
      </c>
      <c r="F81" s="22">
        <v>0</v>
      </c>
      <c r="G81" s="22" t="s">
        <v>694</v>
      </c>
      <c r="H81" s="22" t="s">
        <v>668</v>
      </c>
      <c r="I81" s="22" t="s">
        <v>669</v>
      </c>
      <c r="J81" s="22" t="s">
        <v>670</v>
      </c>
      <c r="K81" s="22" t="s">
        <v>671</v>
      </c>
      <c r="L81" s="22" t="s">
        <v>669</v>
      </c>
      <c r="M81" s="22" t="s">
        <v>672</v>
      </c>
      <c r="N81" s="22">
        <v>9</v>
      </c>
      <c r="O81" s="22">
        <v>9</v>
      </c>
      <c r="P81" s="22" t="s">
        <v>673</v>
      </c>
      <c r="Q81" s="22">
        <v>50600</v>
      </c>
      <c r="R81" s="22" t="s">
        <v>674</v>
      </c>
      <c r="S81" s="22" t="s">
        <v>675</v>
      </c>
      <c r="T81" s="22">
        <v>120</v>
      </c>
      <c r="U81" s="22" t="s">
        <v>676</v>
      </c>
      <c r="V81" s="22"/>
      <c r="W81" s="22"/>
      <c r="X81" s="22"/>
      <c r="Y81" s="22"/>
      <c r="Z81" s="22"/>
      <c r="AA81" s="22"/>
      <c r="AB81" s="22"/>
      <c r="AC81" s="22" t="s">
        <v>677</v>
      </c>
      <c r="AD81" s="22"/>
      <c r="AE81" s="22"/>
      <c r="AF81" s="22"/>
      <c r="AG81" s="22"/>
      <c r="AH81" s="33" t="s">
        <v>23</v>
      </c>
      <c r="AI81" s="23" t="s">
        <v>49</v>
      </c>
      <c r="AJ81" s="33" t="str">
        <f t="shared" si="1"/>
        <v>PD5D_MTG_snRNAseq/samples/HC_BN1855_MTG_snRNAseq_batch3_rep1.h5</v>
      </c>
      <c r="AK81" t="s">
        <v>1290</v>
      </c>
    </row>
    <row r="82" spans="1:37">
      <c r="A82" s="22" t="s">
        <v>785</v>
      </c>
      <c r="B82" s="22" t="s">
        <v>217</v>
      </c>
      <c r="C82" s="22" t="s">
        <v>217</v>
      </c>
      <c r="D82" s="22" t="s">
        <v>666</v>
      </c>
      <c r="E82" s="22">
        <v>1</v>
      </c>
      <c r="F82" s="22">
        <v>0</v>
      </c>
      <c r="G82" s="22" t="s">
        <v>777</v>
      </c>
      <c r="H82" s="22" t="s">
        <v>668</v>
      </c>
      <c r="I82" s="22" t="s">
        <v>669</v>
      </c>
      <c r="J82" s="22" t="s">
        <v>670</v>
      </c>
      <c r="K82" s="22" t="s">
        <v>671</v>
      </c>
      <c r="L82" s="22" t="s">
        <v>669</v>
      </c>
      <c r="M82" s="22" t="s">
        <v>672</v>
      </c>
      <c r="N82" s="22">
        <v>9.8000000000000007</v>
      </c>
      <c r="O82" s="22">
        <v>9.8000000000000007</v>
      </c>
      <c r="P82" s="22" t="s">
        <v>673</v>
      </c>
      <c r="Q82" s="22">
        <v>40000</v>
      </c>
      <c r="R82" s="22" t="s">
        <v>674</v>
      </c>
      <c r="S82" s="22" t="s">
        <v>675</v>
      </c>
      <c r="T82" s="22">
        <v>120</v>
      </c>
      <c r="U82" s="22" t="s">
        <v>676</v>
      </c>
      <c r="V82" s="22"/>
      <c r="W82" s="22"/>
      <c r="X82" s="22"/>
      <c r="Y82" s="22"/>
      <c r="Z82" s="22"/>
      <c r="AA82" s="22"/>
      <c r="AB82" s="22"/>
      <c r="AC82" s="22" t="s">
        <v>677</v>
      </c>
      <c r="AD82" s="22"/>
      <c r="AE82" s="22"/>
      <c r="AF82" s="22"/>
      <c r="AG82" s="22"/>
      <c r="AH82" s="33" t="s">
        <v>23</v>
      </c>
      <c r="AI82" s="23" t="s">
        <v>49</v>
      </c>
      <c r="AJ82" s="33" t="str">
        <f t="shared" si="1"/>
        <v>PD5D_MTG_snRNAseq/samples/ILB_BN1862_MTG_snRNAseq_batch10_rep1.h5</v>
      </c>
      <c r="AK82" t="s">
        <v>1290</v>
      </c>
    </row>
    <row r="83" spans="1:37">
      <c r="A83" s="22" t="s">
        <v>786</v>
      </c>
      <c r="B83" s="22" t="s">
        <v>219</v>
      </c>
      <c r="C83" s="22" t="s">
        <v>219</v>
      </c>
      <c r="D83" s="22" t="s">
        <v>666</v>
      </c>
      <c r="E83" s="22">
        <v>1</v>
      </c>
      <c r="F83" s="22">
        <v>0</v>
      </c>
      <c r="G83" s="22" t="s">
        <v>773</v>
      </c>
      <c r="H83" s="22" t="s">
        <v>668</v>
      </c>
      <c r="I83" s="22" t="s">
        <v>669</v>
      </c>
      <c r="J83" s="22" t="s">
        <v>670</v>
      </c>
      <c r="K83" s="22" t="s">
        <v>671</v>
      </c>
      <c r="L83" s="22" t="s">
        <v>669</v>
      </c>
      <c r="M83" s="22" t="s">
        <v>672</v>
      </c>
      <c r="N83" s="22">
        <v>9.1</v>
      </c>
      <c r="O83" s="22">
        <v>9.1</v>
      </c>
      <c r="P83" s="22" t="s">
        <v>673</v>
      </c>
      <c r="Q83" s="22">
        <v>40000</v>
      </c>
      <c r="R83" s="22" t="s">
        <v>674</v>
      </c>
      <c r="S83" s="22" t="s">
        <v>675</v>
      </c>
      <c r="T83" s="22">
        <v>120</v>
      </c>
      <c r="U83" s="22" t="s">
        <v>676</v>
      </c>
      <c r="V83" s="22"/>
      <c r="W83" s="22"/>
      <c r="X83" s="22"/>
      <c r="Y83" s="22"/>
      <c r="Z83" s="22"/>
      <c r="AA83" s="22"/>
      <c r="AB83" s="22"/>
      <c r="AC83" s="22" t="s">
        <v>677</v>
      </c>
      <c r="AD83" s="22"/>
      <c r="AE83" s="22"/>
      <c r="AF83" s="22"/>
      <c r="AG83" s="22"/>
      <c r="AH83" s="33" t="s">
        <v>23</v>
      </c>
      <c r="AI83" s="23" t="s">
        <v>49</v>
      </c>
      <c r="AJ83" s="33" t="str">
        <f t="shared" si="1"/>
        <v>PD5D_MTG_snRNAseq/samples/PD_BN1865_MTG_snRNAseq_batch9_rep1.h5</v>
      </c>
      <c r="AK83" t="s">
        <v>1290</v>
      </c>
    </row>
    <row r="84" spans="1:37">
      <c r="A84" s="22" t="s">
        <v>787</v>
      </c>
      <c r="B84" s="22" t="s">
        <v>221</v>
      </c>
      <c r="C84" s="22" t="s">
        <v>221</v>
      </c>
      <c r="D84" s="22" t="s">
        <v>666</v>
      </c>
      <c r="E84" s="22">
        <v>1</v>
      </c>
      <c r="F84" s="22">
        <v>0</v>
      </c>
      <c r="G84" s="22" t="s">
        <v>775</v>
      </c>
      <c r="H84" s="22" t="s">
        <v>668</v>
      </c>
      <c r="I84" s="22" t="s">
        <v>669</v>
      </c>
      <c r="J84" s="22" t="s">
        <v>670</v>
      </c>
      <c r="K84" s="22" t="s">
        <v>671</v>
      </c>
      <c r="L84" s="22" t="s">
        <v>669</v>
      </c>
      <c r="M84" s="22" t="s">
        <v>672</v>
      </c>
      <c r="N84" s="22">
        <v>9.1</v>
      </c>
      <c r="O84" s="22">
        <v>9.1</v>
      </c>
      <c r="P84" s="22" t="s">
        <v>673</v>
      </c>
      <c r="Q84" s="22">
        <v>40000</v>
      </c>
      <c r="R84" s="22" t="s">
        <v>674</v>
      </c>
      <c r="S84" s="22" t="s">
        <v>675</v>
      </c>
      <c r="T84" s="22">
        <v>120</v>
      </c>
      <c r="U84" s="22" t="s">
        <v>676</v>
      </c>
      <c r="V84" s="22"/>
      <c r="W84" s="22"/>
      <c r="X84" s="22"/>
      <c r="Y84" s="22"/>
      <c r="Z84" s="22"/>
      <c r="AA84" s="22"/>
      <c r="AB84" s="22"/>
      <c r="AC84" s="22" t="s">
        <v>677</v>
      </c>
      <c r="AD84" s="22"/>
      <c r="AE84" s="22"/>
      <c r="AF84" s="22"/>
      <c r="AG84" s="22"/>
      <c r="AH84" s="33" t="s">
        <v>23</v>
      </c>
      <c r="AI84" s="23" t="s">
        <v>49</v>
      </c>
      <c r="AJ84" s="33" t="str">
        <f t="shared" si="1"/>
        <v>PD5D_MTG_snRNAseq/samples/PD_BN1872_MTG_snRNAseq_batch23_rep1.h5</v>
      </c>
      <c r="AK84" t="s">
        <v>1290</v>
      </c>
    </row>
    <row r="85" spans="1:37">
      <c r="A85" s="22" t="s">
        <v>788</v>
      </c>
      <c r="B85" s="22" t="s">
        <v>223</v>
      </c>
      <c r="C85" s="22" t="s">
        <v>223</v>
      </c>
      <c r="D85" s="22" t="s">
        <v>666</v>
      </c>
      <c r="E85" s="22">
        <v>1</v>
      </c>
      <c r="F85" s="22">
        <v>0</v>
      </c>
      <c r="G85" s="22" t="s">
        <v>789</v>
      </c>
      <c r="H85" s="22" t="s">
        <v>668</v>
      </c>
      <c r="I85" s="22" t="s">
        <v>669</v>
      </c>
      <c r="J85" s="22" t="s">
        <v>670</v>
      </c>
      <c r="K85" s="22" t="s">
        <v>671</v>
      </c>
      <c r="L85" s="22" t="s">
        <v>669</v>
      </c>
      <c r="M85" s="22" t="s">
        <v>672</v>
      </c>
      <c r="N85" s="22">
        <v>9.5</v>
      </c>
      <c r="O85" s="22">
        <v>9.5</v>
      </c>
      <c r="P85" s="22" t="s">
        <v>673</v>
      </c>
      <c r="Q85" s="22">
        <v>40000</v>
      </c>
      <c r="R85" s="22" t="s">
        <v>674</v>
      </c>
      <c r="S85" s="22" t="s">
        <v>675</v>
      </c>
      <c r="T85" s="22">
        <v>120</v>
      </c>
      <c r="U85" s="22" t="s">
        <v>676</v>
      </c>
      <c r="V85" s="22"/>
      <c r="W85" s="22"/>
      <c r="X85" s="22"/>
      <c r="Y85" s="22"/>
      <c r="Z85" s="22"/>
      <c r="AA85" s="22"/>
      <c r="AB85" s="22"/>
      <c r="AC85" s="22" t="s">
        <v>677</v>
      </c>
      <c r="AD85" s="22"/>
      <c r="AE85" s="22"/>
      <c r="AF85" s="22"/>
      <c r="AG85" s="22"/>
      <c r="AH85" s="33" t="s">
        <v>23</v>
      </c>
      <c r="AI85" s="23" t="s">
        <v>49</v>
      </c>
      <c r="AJ85" s="33" t="str">
        <f t="shared" si="1"/>
        <v>PD5D_MTG_snRNAseq/samples/HC_BN1878_MTG_snRNAseq_batch28_rep1.h5</v>
      </c>
      <c r="AK85" t="s">
        <v>1290</v>
      </c>
    </row>
    <row r="86" spans="1:37">
      <c r="A86" s="22" t="s">
        <v>790</v>
      </c>
      <c r="B86" s="22" t="s">
        <v>225</v>
      </c>
      <c r="C86" s="22" t="s">
        <v>225</v>
      </c>
      <c r="D86" s="22" t="s">
        <v>666</v>
      </c>
      <c r="E86" s="22">
        <v>1</v>
      </c>
      <c r="F86" s="22">
        <v>0</v>
      </c>
      <c r="G86" s="22" t="s">
        <v>708</v>
      </c>
      <c r="H86" s="22" t="s">
        <v>668</v>
      </c>
      <c r="I86" s="22" t="s">
        <v>669</v>
      </c>
      <c r="J86" s="22" t="s">
        <v>670</v>
      </c>
      <c r="K86" s="22" t="s">
        <v>671</v>
      </c>
      <c r="L86" s="22" t="s">
        <v>669</v>
      </c>
      <c r="M86" s="22" t="s">
        <v>672</v>
      </c>
      <c r="N86" s="22">
        <v>9.5</v>
      </c>
      <c r="O86" s="22">
        <v>9.5</v>
      </c>
      <c r="P86" s="22" t="s">
        <v>673</v>
      </c>
      <c r="Q86" s="22">
        <v>40000</v>
      </c>
      <c r="R86" s="22" t="s">
        <v>674</v>
      </c>
      <c r="S86" s="22" t="s">
        <v>675</v>
      </c>
      <c r="T86" s="22">
        <v>120</v>
      </c>
      <c r="U86" s="22" t="s">
        <v>676</v>
      </c>
      <c r="V86" s="22"/>
      <c r="W86" s="22"/>
      <c r="X86" s="22"/>
      <c r="Y86" s="22"/>
      <c r="Z86" s="22"/>
      <c r="AA86" s="22"/>
      <c r="AB86" s="22"/>
      <c r="AC86" s="22" t="s">
        <v>677</v>
      </c>
      <c r="AD86" s="22"/>
      <c r="AE86" s="22"/>
      <c r="AF86" s="22"/>
      <c r="AG86" s="22"/>
      <c r="AH86" s="33" t="s">
        <v>23</v>
      </c>
      <c r="AI86" s="23" t="s">
        <v>49</v>
      </c>
      <c r="AJ86" s="33" t="str">
        <f t="shared" si="1"/>
        <v>PD5D_MTG_snRNAseq/samples/PD_BN1902_MTG_snRNAseq_batch27_rep1.h5</v>
      </c>
      <c r="AK86" t="s">
        <v>1290</v>
      </c>
    </row>
    <row r="87" spans="1:37">
      <c r="A87" s="22" t="s">
        <v>791</v>
      </c>
      <c r="B87" s="22" t="s">
        <v>227</v>
      </c>
      <c r="C87" s="22" t="s">
        <v>227</v>
      </c>
      <c r="D87" s="22" t="s">
        <v>666</v>
      </c>
      <c r="E87" s="22">
        <v>1</v>
      </c>
      <c r="F87" s="22">
        <v>0</v>
      </c>
      <c r="G87" s="22" t="s">
        <v>773</v>
      </c>
      <c r="H87" s="22" t="s">
        <v>668</v>
      </c>
      <c r="I87" s="22" t="s">
        <v>669</v>
      </c>
      <c r="J87" s="22" t="s">
        <v>670</v>
      </c>
      <c r="K87" s="22" t="s">
        <v>671</v>
      </c>
      <c r="L87" s="22" t="s">
        <v>669</v>
      </c>
      <c r="M87" s="22" t="s">
        <v>672</v>
      </c>
      <c r="N87" s="22">
        <v>8.8000000000000007</v>
      </c>
      <c r="O87" s="22">
        <v>8.8000000000000007</v>
      </c>
      <c r="P87" s="22" t="s">
        <v>673</v>
      </c>
      <c r="Q87" s="22">
        <v>40000</v>
      </c>
      <c r="R87" s="22" t="s">
        <v>674</v>
      </c>
      <c r="S87" s="22" t="s">
        <v>675</v>
      </c>
      <c r="T87" s="22">
        <v>120</v>
      </c>
      <c r="U87" s="22" t="s">
        <v>676</v>
      </c>
      <c r="V87" s="22"/>
      <c r="W87" s="22"/>
      <c r="X87" s="22"/>
      <c r="Y87" s="22"/>
      <c r="Z87" s="22"/>
      <c r="AA87" s="22"/>
      <c r="AB87" s="22"/>
      <c r="AC87" s="22" t="s">
        <v>677</v>
      </c>
      <c r="AD87" s="22"/>
      <c r="AE87" s="22"/>
      <c r="AF87" s="22"/>
      <c r="AG87" s="22"/>
      <c r="AH87" s="33" t="s">
        <v>23</v>
      </c>
      <c r="AI87" s="23" t="s">
        <v>49</v>
      </c>
      <c r="AJ87" s="33" t="str">
        <f t="shared" si="1"/>
        <v>PD5D_MTG_snRNAseq/samples/ILB_BN1910_MTG_snRNAseq_batch9_rep1.h5</v>
      </c>
      <c r="AK87" t="s">
        <v>1290</v>
      </c>
    </row>
    <row r="88" spans="1:37">
      <c r="A88" s="22" t="s">
        <v>792</v>
      </c>
      <c r="B88" s="22" t="s">
        <v>229</v>
      </c>
      <c r="C88" s="22" t="s">
        <v>229</v>
      </c>
      <c r="D88" s="22" t="s">
        <v>666</v>
      </c>
      <c r="E88" s="22">
        <v>1</v>
      </c>
      <c r="F88" s="22">
        <v>0</v>
      </c>
      <c r="G88" s="22" t="s">
        <v>793</v>
      </c>
      <c r="H88" s="22" t="s">
        <v>668</v>
      </c>
      <c r="I88" s="22" t="s">
        <v>669</v>
      </c>
      <c r="J88" s="22" t="s">
        <v>670</v>
      </c>
      <c r="K88" s="22" t="s">
        <v>671</v>
      </c>
      <c r="L88" s="22" t="s">
        <v>669</v>
      </c>
      <c r="M88" s="22" t="s">
        <v>672</v>
      </c>
      <c r="N88" s="22">
        <v>9.5</v>
      </c>
      <c r="O88" s="22">
        <v>9.5</v>
      </c>
      <c r="P88" s="22" t="s">
        <v>673</v>
      </c>
      <c r="Q88" s="22">
        <v>40000</v>
      </c>
      <c r="R88" s="22" t="s">
        <v>674</v>
      </c>
      <c r="S88" s="22" t="s">
        <v>675</v>
      </c>
      <c r="T88" s="22">
        <v>120</v>
      </c>
      <c r="U88" s="22" t="s">
        <v>676</v>
      </c>
      <c r="V88" s="22"/>
      <c r="W88" s="22"/>
      <c r="X88" s="22"/>
      <c r="Y88" s="22"/>
      <c r="Z88" s="22"/>
      <c r="AA88" s="22"/>
      <c r="AB88" s="22"/>
      <c r="AC88" s="22" t="s">
        <v>677</v>
      </c>
      <c r="AD88" s="22"/>
      <c r="AE88" s="22"/>
      <c r="AF88" s="22"/>
      <c r="AG88" s="22"/>
      <c r="AH88" s="33" t="s">
        <v>23</v>
      </c>
      <c r="AI88" s="23" t="s">
        <v>49</v>
      </c>
      <c r="AJ88" s="33" t="str">
        <f t="shared" si="1"/>
        <v>PD5D_MTG_snRNAseq/samples/HC_BN1934_MTG_snRNAseq_batch29_rep1.h5</v>
      </c>
      <c r="AK88" t="s">
        <v>1290</v>
      </c>
    </row>
    <row r="89" spans="1:37">
      <c r="A89" s="22" t="s">
        <v>794</v>
      </c>
      <c r="B89" s="22" t="s">
        <v>231</v>
      </c>
      <c r="C89" s="22" t="s">
        <v>231</v>
      </c>
      <c r="D89" s="22" t="s">
        <v>666</v>
      </c>
      <c r="E89" s="22">
        <v>1</v>
      </c>
      <c r="F89" s="22">
        <v>0</v>
      </c>
      <c r="G89" s="22" t="s">
        <v>775</v>
      </c>
      <c r="H89" s="22" t="s">
        <v>668</v>
      </c>
      <c r="I89" s="22" t="s">
        <v>669</v>
      </c>
      <c r="J89" s="22" t="s">
        <v>670</v>
      </c>
      <c r="K89" s="22" t="s">
        <v>671</v>
      </c>
      <c r="L89" s="22" t="s">
        <v>669</v>
      </c>
      <c r="M89" s="22" t="s">
        <v>672</v>
      </c>
      <c r="N89" s="22">
        <v>9.4</v>
      </c>
      <c r="O89" s="22">
        <v>9.4</v>
      </c>
      <c r="P89" s="22" t="s">
        <v>673</v>
      </c>
      <c r="Q89" s="22">
        <v>40000</v>
      </c>
      <c r="R89" s="22" t="s">
        <v>674</v>
      </c>
      <c r="S89" s="22" t="s">
        <v>675</v>
      </c>
      <c r="T89" s="22">
        <v>120</v>
      </c>
      <c r="U89" s="22" t="s">
        <v>676</v>
      </c>
      <c r="V89" s="22"/>
      <c r="W89" s="22"/>
      <c r="X89" s="22"/>
      <c r="Y89" s="22"/>
      <c r="Z89" s="22"/>
      <c r="AA89" s="22"/>
      <c r="AB89" s="22"/>
      <c r="AC89" s="22" t="s">
        <v>677</v>
      </c>
      <c r="AD89" s="22"/>
      <c r="AE89" s="22"/>
      <c r="AF89" s="22"/>
      <c r="AG89" s="22"/>
      <c r="AH89" s="33" t="s">
        <v>23</v>
      </c>
      <c r="AI89" s="23" t="s">
        <v>49</v>
      </c>
      <c r="AJ89" s="33" t="str">
        <f t="shared" si="1"/>
        <v>PD5D_MTG_snRNAseq/samples/ILB_BN1939_MTG_snRNAseq_batch23_rep1.h5</v>
      </c>
      <c r="AK89" t="s">
        <v>1290</v>
      </c>
    </row>
    <row r="90" spans="1:37">
      <c r="A90" s="22" t="s">
        <v>795</v>
      </c>
      <c r="B90" s="22" t="s">
        <v>233</v>
      </c>
      <c r="C90" s="22" t="s">
        <v>233</v>
      </c>
      <c r="D90" s="22" t="s">
        <v>666</v>
      </c>
      <c r="E90" s="22">
        <v>1</v>
      </c>
      <c r="F90" s="22">
        <v>0</v>
      </c>
      <c r="G90" s="22" t="s">
        <v>781</v>
      </c>
      <c r="H90" s="22" t="s">
        <v>668</v>
      </c>
      <c r="I90" s="22" t="s">
        <v>669</v>
      </c>
      <c r="J90" s="22" t="s">
        <v>670</v>
      </c>
      <c r="K90" s="22" t="s">
        <v>671</v>
      </c>
      <c r="L90" s="22" t="s">
        <v>669</v>
      </c>
      <c r="M90" s="22" t="s">
        <v>672</v>
      </c>
      <c r="N90" s="22">
        <v>10</v>
      </c>
      <c r="O90" s="22">
        <v>10</v>
      </c>
      <c r="P90" s="22" t="s">
        <v>673</v>
      </c>
      <c r="Q90" s="22">
        <v>40000</v>
      </c>
      <c r="R90" s="22" t="s">
        <v>674</v>
      </c>
      <c r="S90" s="22" t="s">
        <v>675</v>
      </c>
      <c r="T90" s="22">
        <v>120</v>
      </c>
      <c r="U90" s="22" t="s">
        <v>676</v>
      </c>
      <c r="V90" s="22"/>
      <c r="W90" s="22"/>
      <c r="X90" s="22"/>
      <c r="Y90" s="22"/>
      <c r="Z90" s="22"/>
      <c r="AA90" s="22"/>
      <c r="AB90" s="22"/>
      <c r="AC90" s="22" t="s">
        <v>677</v>
      </c>
      <c r="AD90" s="22"/>
      <c r="AE90" s="22"/>
      <c r="AF90" s="22"/>
      <c r="AG90" s="22"/>
      <c r="AH90" s="33" t="s">
        <v>23</v>
      </c>
      <c r="AI90" s="23" t="s">
        <v>49</v>
      </c>
      <c r="AJ90" s="33" t="str">
        <f t="shared" si="1"/>
        <v>PD5D_MTG_snRNAseq/samples/PD_BN1957_MTG_snRNAseq_batch24_rep1.h5</v>
      </c>
      <c r="AK90" t="s">
        <v>1290</v>
      </c>
    </row>
    <row r="91" spans="1:37">
      <c r="A91" s="22" t="s">
        <v>796</v>
      </c>
      <c r="B91" s="22" t="s">
        <v>235</v>
      </c>
      <c r="C91" s="22" t="s">
        <v>235</v>
      </c>
      <c r="D91" s="22" t="s">
        <v>666</v>
      </c>
      <c r="E91" s="22">
        <v>1</v>
      </c>
      <c r="F91" s="22">
        <v>0</v>
      </c>
      <c r="G91" s="22" t="s">
        <v>789</v>
      </c>
      <c r="H91" s="22" t="s">
        <v>668</v>
      </c>
      <c r="I91" s="22" t="s">
        <v>669</v>
      </c>
      <c r="J91" s="22" t="s">
        <v>670</v>
      </c>
      <c r="K91" s="22" t="s">
        <v>671</v>
      </c>
      <c r="L91" s="22" t="s">
        <v>669</v>
      </c>
      <c r="M91" s="22" t="s">
        <v>672</v>
      </c>
      <c r="N91" s="22">
        <v>8.9</v>
      </c>
      <c r="O91" s="22">
        <v>8.9</v>
      </c>
      <c r="P91" s="22" t="s">
        <v>673</v>
      </c>
      <c r="Q91" s="22">
        <v>40000</v>
      </c>
      <c r="R91" s="22" t="s">
        <v>674</v>
      </c>
      <c r="S91" s="22" t="s">
        <v>675</v>
      </c>
      <c r="T91" s="22">
        <v>120</v>
      </c>
      <c r="U91" s="22" t="s">
        <v>676</v>
      </c>
      <c r="V91" s="22"/>
      <c r="W91" s="22"/>
      <c r="X91" s="22"/>
      <c r="Y91" s="22"/>
      <c r="Z91" s="22"/>
      <c r="AA91" s="22"/>
      <c r="AB91" s="22"/>
      <c r="AC91" s="22" t="s">
        <v>677</v>
      </c>
      <c r="AD91" s="22"/>
      <c r="AE91" s="22"/>
      <c r="AF91" s="22"/>
      <c r="AG91" s="22"/>
      <c r="AH91" s="33" t="s">
        <v>23</v>
      </c>
      <c r="AI91" s="23" t="s">
        <v>49</v>
      </c>
      <c r="AJ91" s="33" t="str">
        <f t="shared" si="1"/>
        <v>PD5D_MTG_snRNAseq/samples/PD_BN1959_MTG_snRNAseq_batch28_rep1.h5</v>
      </c>
      <c r="AK91" t="s">
        <v>1290</v>
      </c>
    </row>
    <row r="92" spans="1:37">
      <c r="A92" s="22" t="s">
        <v>797</v>
      </c>
      <c r="B92" s="22" t="s">
        <v>237</v>
      </c>
      <c r="C92" s="22" t="s">
        <v>237</v>
      </c>
      <c r="D92" s="22" t="s">
        <v>666</v>
      </c>
      <c r="E92" s="22">
        <v>1</v>
      </c>
      <c r="F92" s="22">
        <v>0</v>
      </c>
      <c r="G92" s="22" t="s">
        <v>789</v>
      </c>
      <c r="H92" s="22" t="s">
        <v>668</v>
      </c>
      <c r="I92" s="22" t="s">
        <v>669</v>
      </c>
      <c r="J92" s="22" t="s">
        <v>670</v>
      </c>
      <c r="K92" s="22" t="s">
        <v>671</v>
      </c>
      <c r="L92" s="22" t="s">
        <v>669</v>
      </c>
      <c r="M92" s="22" t="s">
        <v>672</v>
      </c>
      <c r="N92" s="22">
        <v>9.3000000000000007</v>
      </c>
      <c r="O92" s="22">
        <v>9.3000000000000007</v>
      </c>
      <c r="P92" s="22" t="s">
        <v>673</v>
      </c>
      <c r="Q92" s="22">
        <v>40000</v>
      </c>
      <c r="R92" s="22" t="s">
        <v>674</v>
      </c>
      <c r="S92" s="22" t="s">
        <v>675</v>
      </c>
      <c r="T92" s="22">
        <v>120</v>
      </c>
      <c r="U92" s="22" t="s">
        <v>676</v>
      </c>
      <c r="V92" s="22"/>
      <c r="W92" s="22"/>
      <c r="X92" s="22"/>
      <c r="Y92" s="22"/>
      <c r="Z92" s="22"/>
      <c r="AA92" s="22"/>
      <c r="AB92" s="22"/>
      <c r="AC92" s="22" t="s">
        <v>677</v>
      </c>
      <c r="AD92" s="22"/>
      <c r="AE92" s="22"/>
      <c r="AF92" s="22"/>
      <c r="AG92" s="22"/>
      <c r="AH92" s="33" t="s">
        <v>23</v>
      </c>
      <c r="AI92" s="23" t="s">
        <v>49</v>
      </c>
      <c r="AJ92" s="33" t="str">
        <f t="shared" si="1"/>
        <v>PD5D_MTG_snRNAseq/samples/PD_BN1960_MTG_snRNAseq_batch28_rep1.h5</v>
      </c>
      <c r="AK92" t="s">
        <v>1290</v>
      </c>
    </row>
    <row r="93" spans="1:37">
      <c r="A93" s="22" t="s">
        <v>798</v>
      </c>
      <c r="B93" s="22" t="s">
        <v>239</v>
      </c>
      <c r="C93" s="22" t="s">
        <v>239</v>
      </c>
      <c r="D93" s="22" t="s">
        <v>666</v>
      </c>
      <c r="E93" s="22">
        <v>1</v>
      </c>
      <c r="F93" s="22">
        <v>0</v>
      </c>
      <c r="G93" s="22" t="s">
        <v>773</v>
      </c>
      <c r="H93" s="22" t="s">
        <v>668</v>
      </c>
      <c r="I93" s="22" t="s">
        <v>669</v>
      </c>
      <c r="J93" s="22" t="s">
        <v>670</v>
      </c>
      <c r="K93" s="22" t="s">
        <v>671</v>
      </c>
      <c r="L93" s="22" t="s">
        <v>669</v>
      </c>
      <c r="M93" s="22" t="s">
        <v>672</v>
      </c>
      <c r="N93" s="22">
        <v>9</v>
      </c>
      <c r="O93" s="22">
        <v>9</v>
      </c>
      <c r="P93" s="22" t="s">
        <v>673</v>
      </c>
      <c r="Q93" s="22">
        <v>40000</v>
      </c>
      <c r="R93" s="22" t="s">
        <v>674</v>
      </c>
      <c r="S93" s="22" t="s">
        <v>675</v>
      </c>
      <c r="T93" s="22">
        <v>120</v>
      </c>
      <c r="U93" s="22" t="s">
        <v>676</v>
      </c>
      <c r="V93" s="22"/>
      <c r="W93" s="22"/>
      <c r="X93" s="22"/>
      <c r="Y93" s="22"/>
      <c r="Z93" s="22"/>
      <c r="AA93" s="22"/>
      <c r="AB93" s="22"/>
      <c r="AC93" s="22" t="s">
        <v>677</v>
      </c>
      <c r="AD93" s="22"/>
      <c r="AE93" s="22"/>
      <c r="AF93" s="22"/>
      <c r="AG93" s="22"/>
      <c r="AH93" s="33" t="s">
        <v>23</v>
      </c>
      <c r="AI93" s="23" t="s">
        <v>49</v>
      </c>
      <c r="AJ93" s="33" t="str">
        <f t="shared" si="1"/>
        <v>PD5D_MTG_snRNAseq/samples/ILB_BN1974_MTG_snRNAseq_batch9_rep1.h5</v>
      </c>
      <c r="AK93" t="s">
        <v>1290</v>
      </c>
    </row>
    <row r="94" spans="1:37">
      <c r="A94" s="22" t="s">
        <v>799</v>
      </c>
      <c r="B94" s="22" t="s">
        <v>241</v>
      </c>
      <c r="C94" s="22" t="s">
        <v>241</v>
      </c>
      <c r="D94" s="22" t="s">
        <v>666</v>
      </c>
      <c r="E94" s="22">
        <v>1</v>
      </c>
      <c r="F94" s="22">
        <v>0</v>
      </c>
      <c r="G94" s="22" t="s">
        <v>793</v>
      </c>
      <c r="H94" s="22" t="s">
        <v>668</v>
      </c>
      <c r="I94" s="22" t="s">
        <v>669</v>
      </c>
      <c r="J94" s="22" t="s">
        <v>670</v>
      </c>
      <c r="K94" s="22" t="s">
        <v>671</v>
      </c>
      <c r="L94" s="22" t="s">
        <v>669</v>
      </c>
      <c r="M94" s="22" t="s">
        <v>672</v>
      </c>
      <c r="N94" s="22">
        <v>9.1999999999999993</v>
      </c>
      <c r="O94" s="22">
        <v>9.1999999999999993</v>
      </c>
      <c r="P94" s="22" t="s">
        <v>673</v>
      </c>
      <c r="Q94" s="22">
        <v>40000</v>
      </c>
      <c r="R94" s="22" t="s">
        <v>674</v>
      </c>
      <c r="S94" s="22" t="s">
        <v>675</v>
      </c>
      <c r="T94" s="22">
        <v>120</v>
      </c>
      <c r="U94" s="22" t="s">
        <v>676</v>
      </c>
      <c r="V94" s="22"/>
      <c r="W94" s="22"/>
      <c r="X94" s="22"/>
      <c r="Y94" s="22"/>
      <c r="Z94" s="22"/>
      <c r="AA94" s="22"/>
      <c r="AB94" s="22"/>
      <c r="AC94" s="22" t="s">
        <v>677</v>
      </c>
      <c r="AD94" s="22"/>
      <c r="AE94" s="22"/>
      <c r="AF94" s="22"/>
      <c r="AG94" s="22"/>
      <c r="AH94" s="33" t="s">
        <v>23</v>
      </c>
      <c r="AI94" s="23" t="s">
        <v>49</v>
      </c>
      <c r="AJ94" s="33" t="str">
        <f t="shared" si="1"/>
        <v>PD5D_MTG_snRNAseq/samples/PD_BN2003_MTG_snRNAseq_batch29_rep1.h5</v>
      </c>
      <c r="AK94" t="s">
        <v>1290</v>
      </c>
    </row>
    <row r="95" spans="1:37">
      <c r="A95" s="22" t="s">
        <v>800</v>
      </c>
      <c r="B95" s="22" t="s">
        <v>243</v>
      </c>
      <c r="C95" s="22" t="s">
        <v>243</v>
      </c>
      <c r="D95" s="22" t="s">
        <v>666</v>
      </c>
      <c r="E95" s="22">
        <v>1</v>
      </c>
      <c r="F95" s="22">
        <v>0</v>
      </c>
      <c r="G95" s="22" t="s">
        <v>692</v>
      </c>
      <c r="H95" s="22" t="s">
        <v>668</v>
      </c>
      <c r="I95" s="22" t="s">
        <v>669</v>
      </c>
      <c r="J95" s="22" t="s">
        <v>670</v>
      </c>
      <c r="K95" s="22" t="s">
        <v>671</v>
      </c>
      <c r="L95" s="22" t="s">
        <v>669</v>
      </c>
      <c r="M95" s="22" t="s">
        <v>672</v>
      </c>
      <c r="N95" s="22">
        <v>7.3</v>
      </c>
      <c r="O95" s="22">
        <v>7.3</v>
      </c>
      <c r="P95" s="22" t="s">
        <v>673</v>
      </c>
      <c r="Q95" s="22">
        <v>50600</v>
      </c>
      <c r="R95" s="22" t="s">
        <v>674</v>
      </c>
      <c r="S95" s="22" t="s">
        <v>675</v>
      </c>
      <c r="T95" s="22">
        <v>120</v>
      </c>
      <c r="U95" s="22" t="s">
        <v>676</v>
      </c>
      <c r="V95" s="22"/>
      <c r="W95" s="22"/>
      <c r="X95" s="22"/>
      <c r="Y95" s="22"/>
      <c r="Z95" s="22"/>
      <c r="AA95" s="22"/>
      <c r="AB95" s="22"/>
      <c r="AC95" s="22" t="s">
        <v>677</v>
      </c>
      <c r="AD95" s="22"/>
      <c r="AE95" s="22"/>
      <c r="AF95" s="22"/>
      <c r="AG95" s="22"/>
      <c r="AH95" s="33" t="s">
        <v>23</v>
      </c>
      <c r="AI95" s="23" t="s">
        <v>49</v>
      </c>
      <c r="AJ95" s="33" t="str">
        <f t="shared" si="1"/>
        <v>PD5D_MTG_snRNAseq/samples/ILB_BN2015_MTG_snRNAseq_batch4_rep1.h5</v>
      </c>
      <c r="AK95" t="s">
        <v>1290</v>
      </c>
    </row>
    <row r="96" spans="1:37">
      <c r="A96" s="22" t="s">
        <v>801</v>
      </c>
      <c r="B96" s="22" t="s">
        <v>245</v>
      </c>
      <c r="C96" s="22" t="s">
        <v>245</v>
      </c>
      <c r="D96" s="22" t="s">
        <v>666</v>
      </c>
      <c r="E96" s="22">
        <v>1</v>
      </c>
      <c r="F96" s="22">
        <v>0</v>
      </c>
      <c r="G96" s="22" t="s">
        <v>721</v>
      </c>
      <c r="H96" s="22" t="s">
        <v>668</v>
      </c>
      <c r="I96" s="22" t="s">
        <v>669</v>
      </c>
      <c r="J96" s="22" t="s">
        <v>670</v>
      </c>
      <c r="K96" s="22" t="s">
        <v>671</v>
      </c>
      <c r="L96" s="22" t="s">
        <v>669</v>
      </c>
      <c r="M96" s="22" t="s">
        <v>672</v>
      </c>
      <c r="N96" s="22">
        <v>9.4</v>
      </c>
      <c r="O96" s="22">
        <v>9.4</v>
      </c>
      <c r="P96" s="22" t="s">
        <v>673</v>
      </c>
      <c r="Q96" s="22">
        <v>40000</v>
      </c>
      <c r="R96" s="22" t="s">
        <v>674</v>
      </c>
      <c r="S96" s="22" t="s">
        <v>675</v>
      </c>
      <c r="T96" s="22">
        <v>120</v>
      </c>
      <c r="U96" s="22" t="s">
        <v>676</v>
      </c>
      <c r="V96" s="22"/>
      <c r="W96" s="22"/>
      <c r="X96" s="22"/>
      <c r="Y96" s="22"/>
      <c r="Z96" s="22"/>
      <c r="AA96" s="22"/>
      <c r="AB96" s="22"/>
      <c r="AC96" s="22" t="s">
        <v>677</v>
      </c>
      <c r="AD96" s="22"/>
      <c r="AE96" s="22"/>
      <c r="AF96" s="22"/>
      <c r="AG96" s="22"/>
      <c r="AH96" s="33" t="s">
        <v>23</v>
      </c>
      <c r="AI96" s="23" t="s">
        <v>49</v>
      </c>
      <c r="AJ96" s="33" t="str">
        <f t="shared" si="1"/>
        <v>PD5D_MTG_snRNAseq/samples/HC_BN9944_MTG_snRNAseq_batch30_rep1.h5</v>
      </c>
      <c r="AK96" t="s">
        <v>1290</v>
      </c>
    </row>
    <row r="97" spans="1:37">
      <c r="A97" s="22" t="s">
        <v>802</v>
      </c>
      <c r="B97" s="22" t="s">
        <v>247</v>
      </c>
      <c r="C97" s="22" t="s">
        <v>247</v>
      </c>
      <c r="D97" s="22" t="s">
        <v>666</v>
      </c>
      <c r="E97" s="22">
        <v>1</v>
      </c>
      <c r="F97" s="22">
        <v>0</v>
      </c>
      <c r="G97" s="22" t="s">
        <v>690</v>
      </c>
      <c r="H97" s="22" t="s">
        <v>668</v>
      </c>
      <c r="I97" s="22" t="s">
        <v>669</v>
      </c>
      <c r="J97" s="22" t="s">
        <v>670</v>
      </c>
      <c r="K97" s="22" t="s">
        <v>671</v>
      </c>
      <c r="L97" s="22" t="s">
        <v>669</v>
      </c>
      <c r="M97" s="22" t="s">
        <v>672</v>
      </c>
      <c r="N97" s="22">
        <v>9.8000000000000007</v>
      </c>
      <c r="O97" s="22">
        <v>9.8000000000000007</v>
      </c>
      <c r="P97" s="22" t="s">
        <v>673</v>
      </c>
      <c r="Q97" s="22">
        <v>40000</v>
      </c>
      <c r="R97" s="22" t="s">
        <v>674</v>
      </c>
      <c r="S97" s="22" t="s">
        <v>675</v>
      </c>
      <c r="T97" s="22">
        <v>120</v>
      </c>
      <c r="U97" s="22" t="s">
        <v>676</v>
      </c>
      <c r="V97" s="22"/>
      <c r="W97" s="22"/>
      <c r="X97" s="22"/>
      <c r="Y97" s="22"/>
      <c r="Z97" s="22"/>
      <c r="AA97" s="22"/>
      <c r="AB97" s="22"/>
      <c r="AC97" s="22" t="s">
        <v>677</v>
      </c>
      <c r="AD97" s="22"/>
      <c r="AE97" s="22"/>
      <c r="AF97" s="22"/>
      <c r="AG97" s="22"/>
      <c r="AH97" s="33" t="s">
        <v>23</v>
      </c>
      <c r="AI97" s="23" t="s">
        <v>49</v>
      </c>
      <c r="AJ97" s="33" t="str">
        <f t="shared" si="1"/>
        <v>PD5D_MTG_snRNAseq/samples/ILB_BN9947_MTG_snRNAseq_batch26_rep1.h5</v>
      </c>
      <c r="AK97" t="s">
        <v>1290</v>
      </c>
    </row>
    <row r="98" spans="1:37">
      <c r="A98" s="22" t="s">
        <v>803</v>
      </c>
      <c r="B98" s="22" t="s">
        <v>249</v>
      </c>
      <c r="C98" s="22" t="s">
        <v>249</v>
      </c>
      <c r="D98" s="22" t="s">
        <v>666</v>
      </c>
      <c r="E98" s="22">
        <v>1</v>
      </c>
      <c r="F98" s="22">
        <v>0</v>
      </c>
      <c r="G98" s="22" t="s">
        <v>804</v>
      </c>
      <c r="H98" s="22" t="s">
        <v>668</v>
      </c>
      <c r="I98" s="22" t="s">
        <v>669</v>
      </c>
      <c r="J98" s="22" t="s">
        <v>670</v>
      </c>
      <c r="K98" s="22" t="s">
        <v>671</v>
      </c>
      <c r="L98" s="22" t="s">
        <v>669</v>
      </c>
      <c r="M98" s="22" t="s">
        <v>672</v>
      </c>
      <c r="N98" s="22">
        <v>9.5</v>
      </c>
      <c r="O98" s="22">
        <v>9.5</v>
      </c>
      <c r="P98" s="22" t="s">
        <v>673</v>
      </c>
      <c r="Q98" s="22">
        <v>33000</v>
      </c>
      <c r="R98" s="22" t="s">
        <v>674</v>
      </c>
      <c r="S98" s="22" t="s">
        <v>675</v>
      </c>
      <c r="T98" s="22">
        <v>120</v>
      </c>
      <c r="U98" s="22" t="s">
        <v>676</v>
      </c>
      <c r="V98" s="22"/>
      <c r="W98" s="22"/>
      <c r="X98" s="22"/>
      <c r="Y98" s="22"/>
      <c r="Z98" s="22"/>
      <c r="AA98" s="22"/>
      <c r="AB98" s="22"/>
      <c r="AC98" s="22" t="s">
        <v>677</v>
      </c>
      <c r="AD98" s="22"/>
      <c r="AE98" s="22"/>
      <c r="AF98" s="22"/>
      <c r="AG98" s="22"/>
      <c r="AH98" s="33" t="s">
        <v>23</v>
      </c>
      <c r="AI98" s="23" t="s">
        <v>49</v>
      </c>
      <c r="AJ98" s="33" t="str">
        <f t="shared" si="1"/>
        <v>PD5D_MTG_snRNAseq/samples/ILB_BN9966_MTG_snRNAseq_batch25_rep1.h5</v>
      </c>
      <c r="AK98" t="s">
        <v>1290</v>
      </c>
    </row>
    <row r="99" spans="1:37">
      <c r="A99" s="24" t="s">
        <v>805</v>
      </c>
      <c r="B99" s="24" t="s">
        <v>66</v>
      </c>
      <c r="C99" s="24" t="s">
        <v>66</v>
      </c>
      <c r="D99" s="24" t="s">
        <v>666</v>
      </c>
      <c r="E99" s="24">
        <v>3</v>
      </c>
      <c r="F99" s="24">
        <v>0</v>
      </c>
      <c r="G99" s="24" t="s">
        <v>777</v>
      </c>
      <c r="H99" s="24" t="s">
        <v>668</v>
      </c>
      <c r="I99" s="24" t="s">
        <v>806</v>
      </c>
      <c r="J99" s="24" t="s">
        <v>807</v>
      </c>
      <c r="K99" s="24" t="s">
        <v>807</v>
      </c>
      <c r="L99" s="24" t="s">
        <v>807</v>
      </c>
      <c r="M99" s="24" t="s">
        <v>807</v>
      </c>
      <c r="N99" s="24">
        <v>8.6999999999999993</v>
      </c>
      <c r="O99" s="24">
        <v>8.6999999999999993</v>
      </c>
      <c r="P99" s="24" t="s">
        <v>808</v>
      </c>
      <c r="Q99" s="25">
        <v>7161</v>
      </c>
      <c r="R99" s="24" t="s">
        <v>809</v>
      </c>
      <c r="S99" s="24" t="s">
        <v>675</v>
      </c>
      <c r="T99" s="24">
        <v>131</v>
      </c>
      <c r="U99" s="24" t="s">
        <v>810</v>
      </c>
      <c r="V99" s="24" t="s">
        <v>807</v>
      </c>
      <c r="W99" s="26"/>
      <c r="X99" s="26"/>
      <c r="Y99" s="26"/>
      <c r="Z99" s="26"/>
      <c r="AA99" s="26"/>
      <c r="AB99" s="26"/>
      <c r="AC99" s="26"/>
      <c r="AD99" s="26"/>
      <c r="AE99" s="26"/>
      <c r="AF99" s="26"/>
      <c r="AG99" s="26"/>
      <c r="AH99" s="33" t="s">
        <v>1260</v>
      </c>
      <c r="AI99" s="23" t="s">
        <v>811</v>
      </c>
      <c r="AJ99" s="33" t="str">
        <f t="shared" si="1"/>
        <v>PD5D_MB_Moactcseq/samples/HC_BN0339_MB_MOactcseq_batch10_rep1.h5</v>
      </c>
      <c r="AK99" t="s">
        <v>1290</v>
      </c>
    </row>
    <row r="100" spans="1:37">
      <c r="A100" s="24" t="s">
        <v>812</v>
      </c>
      <c r="B100" s="24" t="s">
        <v>66</v>
      </c>
      <c r="C100" s="24" t="s">
        <v>66</v>
      </c>
      <c r="D100" s="24" t="s">
        <v>689</v>
      </c>
      <c r="E100" s="24">
        <v>3</v>
      </c>
      <c r="F100" s="24">
        <v>0</v>
      </c>
      <c r="G100" s="24" t="s">
        <v>777</v>
      </c>
      <c r="H100" s="24" t="s">
        <v>668</v>
      </c>
      <c r="I100" s="24" t="s">
        <v>806</v>
      </c>
      <c r="J100" s="24" t="s">
        <v>807</v>
      </c>
      <c r="K100" s="24" t="s">
        <v>807</v>
      </c>
      <c r="L100" s="24" t="s">
        <v>807</v>
      </c>
      <c r="M100" s="24" t="s">
        <v>807</v>
      </c>
      <c r="N100" s="24">
        <v>8.6999999999999993</v>
      </c>
      <c r="O100" s="24">
        <v>8.6999999999999993</v>
      </c>
      <c r="P100" s="24" t="s">
        <v>808</v>
      </c>
      <c r="Q100" s="25">
        <v>7161</v>
      </c>
      <c r="R100" s="24" t="s">
        <v>809</v>
      </c>
      <c r="S100" s="24" t="s">
        <v>675</v>
      </c>
      <c r="T100" s="24">
        <v>131</v>
      </c>
      <c r="U100" s="24" t="s">
        <v>810</v>
      </c>
      <c r="V100" s="24" t="s">
        <v>807</v>
      </c>
      <c r="W100" s="26"/>
      <c r="X100" s="26"/>
      <c r="Y100" s="26"/>
      <c r="Z100" s="26"/>
      <c r="AA100" s="26"/>
      <c r="AB100" s="26"/>
      <c r="AC100" s="26"/>
      <c r="AD100" s="26"/>
      <c r="AE100" s="26"/>
      <c r="AF100" s="26"/>
      <c r="AG100" s="26"/>
      <c r="AH100" s="33" t="s">
        <v>1260</v>
      </c>
      <c r="AI100" s="23" t="s">
        <v>811</v>
      </c>
      <c r="AJ100" s="33" t="str">
        <f t="shared" si="1"/>
        <v>PD5D_MB_Moactcseq/samples/HC_BN0339_MB_MOactcseq_batch10_rep2.h5</v>
      </c>
      <c r="AK100" t="s">
        <v>1290</v>
      </c>
    </row>
    <row r="101" spans="1:37">
      <c r="A101" s="24" t="s">
        <v>813</v>
      </c>
      <c r="B101" s="24" t="s">
        <v>66</v>
      </c>
      <c r="C101" s="24" t="s">
        <v>66</v>
      </c>
      <c r="D101" s="24" t="s">
        <v>814</v>
      </c>
      <c r="E101" s="24">
        <v>3</v>
      </c>
      <c r="F101" s="24">
        <v>0</v>
      </c>
      <c r="G101" s="24" t="s">
        <v>777</v>
      </c>
      <c r="H101" s="24" t="s">
        <v>668</v>
      </c>
      <c r="I101" s="24" t="s">
        <v>806</v>
      </c>
      <c r="J101" s="24" t="s">
        <v>807</v>
      </c>
      <c r="K101" s="24" t="s">
        <v>807</v>
      </c>
      <c r="L101" s="24" t="s">
        <v>807</v>
      </c>
      <c r="M101" s="24" t="s">
        <v>807</v>
      </c>
      <c r="N101" s="24">
        <v>8.6999999999999993</v>
      </c>
      <c r="O101" s="24">
        <v>8.6999999999999993</v>
      </c>
      <c r="P101" s="24" t="s">
        <v>808</v>
      </c>
      <c r="Q101" s="25">
        <v>7161</v>
      </c>
      <c r="R101" s="24" t="s">
        <v>809</v>
      </c>
      <c r="S101" s="24" t="s">
        <v>675</v>
      </c>
      <c r="T101" s="24">
        <v>131</v>
      </c>
      <c r="U101" s="24" t="s">
        <v>810</v>
      </c>
      <c r="V101" s="24" t="s">
        <v>807</v>
      </c>
      <c r="W101" s="26"/>
      <c r="X101" s="26"/>
      <c r="Y101" s="26"/>
      <c r="Z101" s="26"/>
      <c r="AA101" s="26"/>
      <c r="AB101" s="26"/>
      <c r="AC101" s="26"/>
      <c r="AD101" s="26"/>
      <c r="AE101" s="26"/>
      <c r="AF101" s="26"/>
      <c r="AG101" s="26"/>
      <c r="AH101" s="33" t="s">
        <v>1260</v>
      </c>
      <c r="AI101" s="23" t="s">
        <v>811</v>
      </c>
      <c r="AJ101" s="33" t="str">
        <f t="shared" si="1"/>
        <v>PD5D_MB_Moactcseq/samples/HC_BN0339_MB_MOactcseq_batch10_rep3.h5</v>
      </c>
      <c r="AK101" t="s">
        <v>1290</v>
      </c>
    </row>
    <row r="102" spans="1:37">
      <c r="A102" s="24" t="s">
        <v>815</v>
      </c>
      <c r="B102" s="24" t="s">
        <v>71</v>
      </c>
      <c r="C102" s="24" t="s">
        <v>71</v>
      </c>
      <c r="D102" s="24" t="s">
        <v>666</v>
      </c>
      <c r="E102" s="24">
        <v>6</v>
      </c>
      <c r="F102" s="24">
        <v>0</v>
      </c>
      <c r="G102" s="24" t="s">
        <v>725</v>
      </c>
      <c r="H102" s="24" t="s">
        <v>668</v>
      </c>
      <c r="I102" s="24" t="s">
        <v>806</v>
      </c>
      <c r="J102" s="24" t="s">
        <v>807</v>
      </c>
      <c r="K102" s="24" t="s">
        <v>807</v>
      </c>
      <c r="L102" s="24" t="s">
        <v>807</v>
      </c>
      <c r="M102" s="24" t="s">
        <v>807</v>
      </c>
      <c r="N102" s="24">
        <v>8.8000000000000007</v>
      </c>
      <c r="O102" s="24">
        <v>8.8000000000000007</v>
      </c>
      <c r="P102" s="24" t="s">
        <v>808</v>
      </c>
      <c r="Q102" s="25">
        <v>3018</v>
      </c>
      <c r="R102" s="24" t="s">
        <v>809</v>
      </c>
      <c r="S102" s="24" t="s">
        <v>675</v>
      </c>
      <c r="T102" s="24">
        <v>131</v>
      </c>
      <c r="U102" s="24" t="s">
        <v>810</v>
      </c>
      <c r="V102" s="24" t="s">
        <v>807</v>
      </c>
      <c r="W102" s="26"/>
      <c r="X102" s="26"/>
      <c r="Y102" s="26"/>
      <c r="Z102" s="26"/>
      <c r="AA102" s="26"/>
      <c r="AB102" s="26"/>
      <c r="AC102" s="26"/>
      <c r="AD102" s="26"/>
      <c r="AE102" s="26"/>
      <c r="AF102" s="26"/>
      <c r="AG102" s="26"/>
      <c r="AH102" s="33" t="s">
        <v>1260</v>
      </c>
      <c r="AI102" s="23" t="s">
        <v>811</v>
      </c>
      <c r="AJ102" s="33" t="str">
        <f t="shared" si="1"/>
        <v>PD5D_MB_Moactcseq/samples/HC_BN0341_MB_MOactcseq_batch14_rep1.h5</v>
      </c>
      <c r="AK102" t="s">
        <v>1290</v>
      </c>
    </row>
    <row r="103" spans="1:37">
      <c r="A103" s="24" t="s">
        <v>816</v>
      </c>
      <c r="B103" s="24" t="s">
        <v>71</v>
      </c>
      <c r="C103" s="24" t="s">
        <v>71</v>
      </c>
      <c r="D103" s="24" t="s">
        <v>689</v>
      </c>
      <c r="E103" s="24">
        <v>6</v>
      </c>
      <c r="F103" s="24">
        <v>0</v>
      </c>
      <c r="G103" s="24" t="s">
        <v>725</v>
      </c>
      <c r="H103" s="24" t="s">
        <v>668</v>
      </c>
      <c r="I103" s="24" t="s">
        <v>806</v>
      </c>
      <c r="J103" s="24" t="s">
        <v>807</v>
      </c>
      <c r="K103" s="24" t="s">
        <v>807</v>
      </c>
      <c r="L103" s="24" t="s">
        <v>807</v>
      </c>
      <c r="M103" s="24" t="s">
        <v>807</v>
      </c>
      <c r="N103" s="24">
        <v>8.8000000000000007</v>
      </c>
      <c r="O103" s="24">
        <v>8.8000000000000007</v>
      </c>
      <c r="P103" s="24" t="s">
        <v>808</v>
      </c>
      <c r="Q103" s="25">
        <v>3018</v>
      </c>
      <c r="R103" s="24" t="s">
        <v>809</v>
      </c>
      <c r="S103" s="24" t="s">
        <v>675</v>
      </c>
      <c r="T103" s="24">
        <v>131</v>
      </c>
      <c r="U103" s="24" t="s">
        <v>810</v>
      </c>
      <c r="V103" s="24" t="s">
        <v>807</v>
      </c>
      <c r="W103" s="26"/>
      <c r="X103" s="26"/>
      <c r="Y103" s="26"/>
      <c r="Z103" s="26"/>
      <c r="AA103" s="26"/>
      <c r="AB103" s="26"/>
      <c r="AC103" s="26"/>
      <c r="AD103" s="26"/>
      <c r="AE103" s="26"/>
      <c r="AF103" s="26"/>
      <c r="AG103" s="26"/>
      <c r="AH103" s="33" t="s">
        <v>1260</v>
      </c>
      <c r="AI103" s="23" t="s">
        <v>811</v>
      </c>
      <c r="AJ103" s="33" t="str">
        <f t="shared" si="1"/>
        <v>PD5D_MB_Moactcseq/samples/HC_BN0341_MB_MOactcseq_batch14_rep2.h5</v>
      </c>
      <c r="AK103" t="s">
        <v>1290</v>
      </c>
    </row>
    <row r="104" spans="1:37">
      <c r="A104" s="24" t="s">
        <v>817</v>
      </c>
      <c r="B104" s="24" t="s">
        <v>71</v>
      </c>
      <c r="C104" s="24" t="s">
        <v>71</v>
      </c>
      <c r="D104" s="24" t="s">
        <v>814</v>
      </c>
      <c r="E104" s="24">
        <v>6</v>
      </c>
      <c r="F104" s="24">
        <v>0</v>
      </c>
      <c r="G104" s="24" t="s">
        <v>725</v>
      </c>
      <c r="H104" s="24" t="s">
        <v>668</v>
      </c>
      <c r="I104" s="24" t="s">
        <v>806</v>
      </c>
      <c r="J104" s="24" t="s">
        <v>807</v>
      </c>
      <c r="K104" s="24" t="s">
        <v>807</v>
      </c>
      <c r="L104" s="24" t="s">
        <v>807</v>
      </c>
      <c r="M104" s="24" t="s">
        <v>807</v>
      </c>
      <c r="N104" s="24">
        <v>8.8000000000000007</v>
      </c>
      <c r="O104" s="24">
        <v>8.8000000000000007</v>
      </c>
      <c r="P104" s="24" t="s">
        <v>808</v>
      </c>
      <c r="Q104" s="25">
        <v>3018</v>
      </c>
      <c r="R104" s="24" t="s">
        <v>809</v>
      </c>
      <c r="S104" s="24" t="s">
        <v>675</v>
      </c>
      <c r="T104" s="24">
        <v>131</v>
      </c>
      <c r="U104" s="24" t="s">
        <v>810</v>
      </c>
      <c r="V104" s="24" t="s">
        <v>807</v>
      </c>
      <c r="W104" s="26"/>
      <c r="X104" s="26"/>
      <c r="Y104" s="26"/>
      <c r="Z104" s="26"/>
      <c r="AA104" s="26"/>
      <c r="AB104" s="26"/>
      <c r="AC104" s="26"/>
      <c r="AD104" s="26"/>
      <c r="AE104" s="26"/>
      <c r="AF104" s="26"/>
      <c r="AG104" s="26"/>
      <c r="AH104" s="33" t="s">
        <v>1260</v>
      </c>
      <c r="AI104" s="23" t="s">
        <v>811</v>
      </c>
      <c r="AJ104" s="33" t="str">
        <f t="shared" si="1"/>
        <v>PD5D_MB_Moactcseq/samples/HC_BN0341_MB_MOactcseq_batch14_rep3.h5</v>
      </c>
      <c r="AK104" t="s">
        <v>1290</v>
      </c>
    </row>
    <row r="105" spans="1:37">
      <c r="A105" s="24" t="s">
        <v>818</v>
      </c>
      <c r="B105" s="24" t="s">
        <v>71</v>
      </c>
      <c r="C105" s="24" t="s">
        <v>71</v>
      </c>
      <c r="D105" s="24" t="s">
        <v>819</v>
      </c>
      <c r="E105" s="24">
        <v>6</v>
      </c>
      <c r="F105" s="24">
        <v>0</v>
      </c>
      <c r="G105" s="24" t="s">
        <v>725</v>
      </c>
      <c r="H105" s="24" t="s">
        <v>668</v>
      </c>
      <c r="I105" s="24" t="s">
        <v>806</v>
      </c>
      <c r="J105" s="24" t="s">
        <v>807</v>
      </c>
      <c r="K105" s="24" t="s">
        <v>807</v>
      </c>
      <c r="L105" s="24" t="s">
        <v>807</v>
      </c>
      <c r="M105" s="24" t="s">
        <v>807</v>
      </c>
      <c r="N105" s="24">
        <v>8.8000000000000007</v>
      </c>
      <c r="O105" s="24">
        <v>8.8000000000000007</v>
      </c>
      <c r="P105" s="24" t="s">
        <v>808</v>
      </c>
      <c r="Q105" s="25">
        <v>3018</v>
      </c>
      <c r="R105" s="24" t="s">
        <v>809</v>
      </c>
      <c r="S105" s="24" t="s">
        <v>675</v>
      </c>
      <c r="T105" s="24">
        <v>131</v>
      </c>
      <c r="U105" s="24" t="s">
        <v>810</v>
      </c>
      <c r="V105" s="24" t="s">
        <v>807</v>
      </c>
      <c r="W105" s="26"/>
      <c r="X105" s="26"/>
      <c r="Y105" s="26"/>
      <c r="Z105" s="26"/>
      <c r="AA105" s="26"/>
      <c r="AB105" s="26"/>
      <c r="AC105" s="26"/>
      <c r="AD105" s="26"/>
      <c r="AE105" s="26"/>
      <c r="AF105" s="26"/>
      <c r="AG105" s="26"/>
      <c r="AH105" s="33" t="s">
        <v>1260</v>
      </c>
      <c r="AI105" s="23" t="s">
        <v>811</v>
      </c>
      <c r="AJ105" s="33" t="str">
        <f t="shared" si="1"/>
        <v>PD5D_MB_Moactcseq/samples/HC_BN0341_MB_MOactcseq_batch14_rep4.h5</v>
      </c>
      <c r="AK105" t="s">
        <v>1290</v>
      </c>
    </row>
    <row r="106" spans="1:37">
      <c r="A106" s="24" t="s">
        <v>820</v>
      </c>
      <c r="B106" s="24" t="s">
        <v>71</v>
      </c>
      <c r="C106" s="24" t="s">
        <v>71</v>
      </c>
      <c r="D106" s="24" t="s">
        <v>821</v>
      </c>
      <c r="E106" s="24">
        <v>6</v>
      </c>
      <c r="F106" s="24">
        <v>0</v>
      </c>
      <c r="G106" s="24" t="s">
        <v>725</v>
      </c>
      <c r="H106" s="24" t="s">
        <v>668</v>
      </c>
      <c r="I106" s="24" t="s">
        <v>806</v>
      </c>
      <c r="J106" s="24" t="s">
        <v>807</v>
      </c>
      <c r="K106" s="24" t="s">
        <v>807</v>
      </c>
      <c r="L106" s="24" t="s">
        <v>807</v>
      </c>
      <c r="M106" s="24" t="s">
        <v>807</v>
      </c>
      <c r="N106" s="24">
        <v>8.8000000000000007</v>
      </c>
      <c r="O106" s="24">
        <v>8.8000000000000007</v>
      </c>
      <c r="P106" s="24" t="s">
        <v>808</v>
      </c>
      <c r="Q106" s="25">
        <v>3018</v>
      </c>
      <c r="R106" s="24" t="s">
        <v>809</v>
      </c>
      <c r="S106" s="24" t="s">
        <v>675</v>
      </c>
      <c r="T106" s="24">
        <v>131</v>
      </c>
      <c r="U106" s="24" t="s">
        <v>810</v>
      </c>
      <c r="V106" s="24" t="s">
        <v>807</v>
      </c>
      <c r="W106" s="26"/>
      <c r="X106" s="26"/>
      <c r="Y106" s="26"/>
      <c r="Z106" s="26"/>
      <c r="AA106" s="26"/>
      <c r="AB106" s="26"/>
      <c r="AC106" s="26"/>
      <c r="AD106" s="26"/>
      <c r="AE106" s="26"/>
      <c r="AF106" s="26"/>
      <c r="AG106" s="26"/>
      <c r="AH106" s="33" t="s">
        <v>1260</v>
      </c>
      <c r="AI106" s="23" t="s">
        <v>811</v>
      </c>
      <c r="AJ106" s="33" t="str">
        <f t="shared" si="1"/>
        <v>PD5D_MB_Moactcseq/samples/HC_BN0341_MB_MOactcseq_batch14_rep5.h5</v>
      </c>
      <c r="AK106" t="s">
        <v>1290</v>
      </c>
    </row>
    <row r="107" spans="1:37">
      <c r="A107" s="24" t="s">
        <v>822</v>
      </c>
      <c r="B107" s="24" t="s">
        <v>71</v>
      </c>
      <c r="C107" s="24" t="s">
        <v>71</v>
      </c>
      <c r="D107" s="24" t="s">
        <v>823</v>
      </c>
      <c r="E107" s="24">
        <v>6</v>
      </c>
      <c r="F107" s="24">
        <v>0</v>
      </c>
      <c r="G107" s="24" t="s">
        <v>725</v>
      </c>
      <c r="H107" s="24" t="s">
        <v>668</v>
      </c>
      <c r="I107" s="24" t="s">
        <v>806</v>
      </c>
      <c r="J107" s="24" t="s">
        <v>807</v>
      </c>
      <c r="K107" s="24" t="s">
        <v>807</v>
      </c>
      <c r="L107" s="24" t="s">
        <v>807</v>
      </c>
      <c r="M107" s="24" t="s">
        <v>807</v>
      </c>
      <c r="N107" s="24">
        <v>8.8000000000000007</v>
      </c>
      <c r="O107" s="24">
        <v>8.8000000000000007</v>
      </c>
      <c r="P107" s="24" t="s">
        <v>808</v>
      </c>
      <c r="Q107" s="25">
        <v>3018</v>
      </c>
      <c r="R107" s="24" t="s">
        <v>809</v>
      </c>
      <c r="S107" s="24" t="s">
        <v>675</v>
      </c>
      <c r="T107" s="24">
        <v>131</v>
      </c>
      <c r="U107" s="24" t="s">
        <v>810</v>
      </c>
      <c r="V107" s="24" t="s">
        <v>807</v>
      </c>
      <c r="W107" s="26"/>
      <c r="X107" s="26"/>
      <c r="Y107" s="26"/>
      <c r="Z107" s="26"/>
      <c r="AA107" s="26"/>
      <c r="AB107" s="26"/>
      <c r="AC107" s="26"/>
      <c r="AD107" s="26"/>
      <c r="AE107" s="26"/>
      <c r="AF107" s="26"/>
      <c r="AG107" s="26"/>
      <c r="AH107" s="33" t="s">
        <v>1260</v>
      </c>
      <c r="AI107" s="23" t="s">
        <v>811</v>
      </c>
      <c r="AJ107" s="33" t="str">
        <f t="shared" si="1"/>
        <v>PD5D_MB_Moactcseq/samples/HC_BN0341_MB_MOactcseq_batch14_rep6.h5</v>
      </c>
      <c r="AK107" t="s">
        <v>1290</v>
      </c>
    </row>
    <row r="108" spans="1:37">
      <c r="A108" s="24" t="s">
        <v>824</v>
      </c>
      <c r="B108" s="24" t="s">
        <v>74</v>
      </c>
      <c r="C108" s="24" t="s">
        <v>74</v>
      </c>
      <c r="D108" s="24" t="s">
        <v>666</v>
      </c>
      <c r="E108" s="24">
        <v>6</v>
      </c>
      <c r="F108" s="24">
        <v>0</v>
      </c>
      <c r="G108" s="24" t="s">
        <v>777</v>
      </c>
      <c r="H108" s="24" t="s">
        <v>668</v>
      </c>
      <c r="I108" s="24" t="s">
        <v>806</v>
      </c>
      <c r="J108" s="24" t="s">
        <v>807</v>
      </c>
      <c r="K108" s="24" t="s">
        <v>807</v>
      </c>
      <c r="L108" s="24" t="s">
        <v>807</v>
      </c>
      <c r="M108" s="24" t="s">
        <v>807</v>
      </c>
      <c r="N108" s="24">
        <v>8.9</v>
      </c>
      <c r="O108" s="24">
        <v>8.9</v>
      </c>
      <c r="P108" s="24" t="s">
        <v>808</v>
      </c>
      <c r="Q108" s="25">
        <v>9754</v>
      </c>
      <c r="R108" s="24" t="s">
        <v>809</v>
      </c>
      <c r="S108" s="24" t="s">
        <v>675</v>
      </c>
      <c r="T108" s="24">
        <v>131</v>
      </c>
      <c r="U108" s="24" t="s">
        <v>810</v>
      </c>
      <c r="V108" s="24" t="s">
        <v>807</v>
      </c>
      <c r="W108" s="26"/>
      <c r="X108" s="26"/>
      <c r="Y108" s="26"/>
      <c r="Z108" s="26"/>
      <c r="AA108" s="26"/>
      <c r="AB108" s="26"/>
      <c r="AC108" s="26"/>
      <c r="AD108" s="26"/>
      <c r="AE108" s="26"/>
      <c r="AF108" s="26"/>
      <c r="AG108" s="26"/>
      <c r="AH108" s="33" t="s">
        <v>1260</v>
      </c>
      <c r="AI108" s="23" t="s">
        <v>811</v>
      </c>
      <c r="AJ108" s="33" t="str">
        <f t="shared" si="1"/>
        <v>PD5D_MB_Moactcseq/samples/HC_BN0347_MB_MOactcseq_batch10_rep1.h5</v>
      </c>
      <c r="AK108" t="s">
        <v>1290</v>
      </c>
    </row>
    <row r="109" spans="1:37">
      <c r="A109" s="24" t="s">
        <v>825</v>
      </c>
      <c r="B109" s="24" t="s">
        <v>74</v>
      </c>
      <c r="C109" s="24" t="s">
        <v>74</v>
      </c>
      <c r="D109" s="24" t="s">
        <v>689</v>
      </c>
      <c r="E109" s="24">
        <v>6</v>
      </c>
      <c r="F109" s="24">
        <v>0</v>
      </c>
      <c r="G109" s="24" t="s">
        <v>777</v>
      </c>
      <c r="H109" s="24" t="s">
        <v>668</v>
      </c>
      <c r="I109" s="24" t="s">
        <v>806</v>
      </c>
      <c r="J109" s="24" t="s">
        <v>807</v>
      </c>
      <c r="K109" s="24" t="s">
        <v>807</v>
      </c>
      <c r="L109" s="24" t="s">
        <v>807</v>
      </c>
      <c r="M109" s="24" t="s">
        <v>807</v>
      </c>
      <c r="N109" s="24">
        <v>8.9</v>
      </c>
      <c r="O109" s="24">
        <v>8.9</v>
      </c>
      <c r="P109" s="24" t="s">
        <v>808</v>
      </c>
      <c r="Q109" s="25">
        <v>9754</v>
      </c>
      <c r="R109" s="24" t="s">
        <v>809</v>
      </c>
      <c r="S109" s="24" t="s">
        <v>675</v>
      </c>
      <c r="T109" s="24">
        <v>131</v>
      </c>
      <c r="U109" s="24" t="s">
        <v>810</v>
      </c>
      <c r="V109" s="24" t="s">
        <v>807</v>
      </c>
      <c r="W109" s="26"/>
      <c r="X109" s="26"/>
      <c r="Y109" s="26"/>
      <c r="Z109" s="26"/>
      <c r="AA109" s="26"/>
      <c r="AB109" s="26"/>
      <c r="AC109" s="26"/>
      <c r="AD109" s="26"/>
      <c r="AE109" s="26"/>
      <c r="AF109" s="26"/>
      <c r="AG109" s="26"/>
      <c r="AH109" s="33" t="s">
        <v>1260</v>
      </c>
      <c r="AI109" s="23" t="s">
        <v>811</v>
      </c>
      <c r="AJ109" s="33" t="str">
        <f t="shared" si="1"/>
        <v>PD5D_MB_Moactcseq/samples/HC_BN0347_MB_MOactcseq_batch10_rep2.h5</v>
      </c>
      <c r="AK109" t="s">
        <v>1290</v>
      </c>
    </row>
    <row r="110" spans="1:37">
      <c r="A110" s="24" t="s">
        <v>826</v>
      </c>
      <c r="B110" s="24" t="s">
        <v>74</v>
      </c>
      <c r="C110" s="24" t="s">
        <v>74</v>
      </c>
      <c r="D110" s="24" t="s">
        <v>814</v>
      </c>
      <c r="E110" s="24">
        <v>6</v>
      </c>
      <c r="F110" s="24">
        <v>0</v>
      </c>
      <c r="G110" s="24" t="s">
        <v>777</v>
      </c>
      <c r="H110" s="24" t="s">
        <v>668</v>
      </c>
      <c r="I110" s="24" t="s">
        <v>806</v>
      </c>
      <c r="J110" s="24" t="s">
        <v>807</v>
      </c>
      <c r="K110" s="24" t="s">
        <v>807</v>
      </c>
      <c r="L110" s="24" t="s">
        <v>807</v>
      </c>
      <c r="M110" s="24" t="s">
        <v>807</v>
      </c>
      <c r="N110" s="24">
        <v>8.9</v>
      </c>
      <c r="O110" s="24">
        <v>8.9</v>
      </c>
      <c r="P110" s="24" t="s">
        <v>808</v>
      </c>
      <c r="Q110" s="25">
        <v>9754</v>
      </c>
      <c r="R110" s="24" t="s">
        <v>809</v>
      </c>
      <c r="S110" s="24" t="s">
        <v>675</v>
      </c>
      <c r="T110" s="24">
        <v>131</v>
      </c>
      <c r="U110" s="24" t="s">
        <v>810</v>
      </c>
      <c r="V110" s="24" t="s">
        <v>807</v>
      </c>
      <c r="W110" s="26"/>
      <c r="X110" s="26"/>
      <c r="Y110" s="26"/>
      <c r="Z110" s="26"/>
      <c r="AA110" s="26"/>
      <c r="AB110" s="26"/>
      <c r="AC110" s="26"/>
      <c r="AD110" s="26"/>
      <c r="AE110" s="26"/>
      <c r="AF110" s="26"/>
      <c r="AG110" s="26"/>
      <c r="AH110" s="33" t="s">
        <v>1260</v>
      </c>
      <c r="AI110" s="23" t="s">
        <v>811</v>
      </c>
      <c r="AJ110" s="33" t="str">
        <f t="shared" si="1"/>
        <v>PD5D_MB_Moactcseq/samples/HC_BN0347_MB_MOactcseq_batch10_rep3.h5</v>
      </c>
      <c r="AK110" t="s">
        <v>1290</v>
      </c>
    </row>
    <row r="111" spans="1:37">
      <c r="A111" s="24" t="s">
        <v>827</v>
      </c>
      <c r="B111" s="24" t="s">
        <v>74</v>
      </c>
      <c r="C111" s="24" t="s">
        <v>74</v>
      </c>
      <c r="D111" s="24" t="s">
        <v>819</v>
      </c>
      <c r="E111" s="24">
        <v>6</v>
      </c>
      <c r="F111" s="24">
        <v>0</v>
      </c>
      <c r="G111" s="24" t="s">
        <v>777</v>
      </c>
      <c r="H111" s="24" t="s">
        <v>668</v>
      </c>
      <c r="I111" s="24" t="s">
        <v>806</v>
      </c>
      <c r="J111" s="24" t="s">
        <v>807</v>
      </c>
      <c r="K111" s="24" t="s">
        <v>807</v>
      </c>
      <c r="L111" s="24" t="s">
        <v>807</v>
      </c>
      <c r="M111" s="24" t="s">
        <v>807</v>
      </c>
      <c r="N111" s="24">
        <v>8.9</v>
      </c>
      <c r="O111" s="24">
        <v>8.9</v>
      </c>
      <c r="P111" s="24" t="s">
        <v>808</v>
      </c>
      <c r="Q111" s="25">
        <v>9754</v>
      </c>
      <c r="R111" s="24" t="s">
        <v>809</v>
      </c>
      <c r="S111" s="24" t="s">
        <v>675</v>
      </c>
      <c r="T111" s="24">
        <v>131</v>
      </c>
      <c r="U111" s="24" t="s">
        <v>810</v>
      </c>
      <c r="V111" s="24" t="s">
        <v>807</v>
      </c>
      <c r="W111" s="26"/>
      <c r="X111" s="26"/>
      <c r="Y111" s="26"/>
      <c r="Z111" s="26"/>
      <c r="AA111" s="26"/>
      <c r="AB111" s="26"/>
      <c r="AC111" s="26"/>
      <c r="AD111" s="26"/>
      <c r="AE111" s="26"/>
      <c r="AF111" s="26"/>
      <c r="AG111" s="26"/>
      <c r="AH111" s="33" t="s">
        <v>1260</v>
      </c>
      <c r="AI111" s="23" t="s">
        <v>811</v>
      </c>
      <c r="AJ111" s="33" t="str">
        <f t="shared" si="1"/>
        <v>PD5D_MB_Moactcseq/samples/HC_BN0347_MB_MOactcseq_batch10_rep4.h5</v>
      </c>
      <c r="AK111" t="s">
        <v>1290</v>
      </c>
    </row>
    <row r="112" spans="1:37">
      <c r="A112" s="24" t="s">
        <v>828</v>
      </c>
      <c r="B112" s="24" t="s">
        <v>74</v>
      </c>
      <c r="C112" s="24" t="s">
        <v>74</v>
      </c>
      <c r="D112" s="24" t="s">
        <v>821</v>
      </c>
      <c r="E112" s="24">
        <v>6</v>
      </c>
      <c r="F112" s="24">
        <v>0</v>
      </c>
      <c r="G112" s="24" t="s">
        <v>777</v>
      </c>
      <c r="H112" s="24" t="s">
        <v>668</v>
      </c>
      <c r="I112" s="24" t="s">
        <v>806</v>
      </c>
      <c r="J112" s="24" t="s">
        <v>807</v>
      </c>
      <c r="K112" s="24" t="s">
        <v>807</v>
      </c>
      <c r="L112" s="24" t="s">
        <v>807</v>
      </c>
      <c r="M112" s="24" t="s">
        <v>807</v>
      </c>
      <c r="N112" s="24">
        <v>8.9</v>
      </c>
      <c r="O112" s="24">
        <v>8.9</v>
      </c>
      <c r="P112" s="24" t="s">
        <v>808</v>
      </c>
      <c r="Q112" s="25">
        <v>9754</v>
      </c>
      <c r="R112" s="24" t="s">
        <v>809</v>
      </c>
      <c r="S112" s="24" t="s">
        <v>675</v>
      </c>
      <c r="T112" s="24">
        <v>131</v>
      </c>
      <c r="U112" s="24" t="s">
        <v>810</v>
      </c>
      <c r="V112" s="24" t="s">
        <v>807</v>
      </c>
      <c r="W112" s="26"/>
      <c r="X112" s="26"/>
      <c r="Y112" s="26"/>
      <c r="Z112" s="26"/>
      <c r="AA112" s="26"/>
      <c r="AB112" s="26"/>
      <c r="AC112" s="26"/>
      <c r="AD112" s="26"/>
      <c r="AE112" s="26"/>
      <c r="AF112" s="26"/>
      <c r="AG112" s="26"/>
      <c r="AH112" s="33" t="s">
        <v>1260</v>
      </c>
      <c r="AI112" s="23" t="s">
        <v>811</v>
      </c>
      <c r="AJ112" s="33" t="str">
        <f t="shared" si="1"/>
        <v>PD5D_MB_Moactcseq/samples/HC_BN0347_MB_MOactcseq_batch10_rep5.h5</v>
      </c>
      <c r="AK112" t="s">
        <v>1290</v>
      </c>
    </row>
    <row r="113" spans="1:37">
      <c r="A113" s="24" t="s">
        <v>829</v>
      </c>
      <c r="B113" s="24" t="s">
        <v>74</v>
      </c>
      <c r="C113" s="24" t="s">
        <v>74</v>
      </c>
      <c r="D113" s="24" t="s">
        <v>823</v>
      </c>
      <c r="E113" s="24">
        <v>6</v>
      </c>
      <c r="F113" s="24">
        <v>0</v>
      </c>
      <c r="G113" s="24" t="s">
        <v>777</v>
      </c>
      <c r="H113" s="24" t="s">
        <v>668</v>
      </c>
      <c r="I113" s="24" t="s">
        <v>806</v>
      </c>
      <c r="J113" s="24" t="s">
        <v>807</v>
      </c>
      <c r="K113" s="24" t="s">
        <v>807</v>
      </c>
      <c r="L113" s="24" t="s">
        <v>807</v>
      </c>
      <c r="M113" s="24" t="s">
        <v>807</v>
      </c>
      <c r="N113" s="24">
        <v>8.9</v>
      </c>
      <c r="O113" s="24">
        <v>8.9</v>
      </c>
      <c r="P113" s="24" t="s">
        <v>808</v>
      </c>
      <c r="Q113" s="25">
        <v>9754</v>
      </c>
      <c r="R113" s="24" t="s">
        <v>809</v>
      </c>
      <c r="S113" s="24" t="s">
        <v>675</v>
      </c>
      <c r="T113" s="24">
        <v>131</v>
      </c>
      <c r="U113" s="24" t="s">
        <v>810</v>
      </c>
      <c r="V113" s="24" t="s">
        <v>807</v>
      </c>
      <c r="W113" s="26"/>
      <c r="X113" s="26"/>
      <c r="Y113" s="26"/>
      <c r="Z113" s="26"/>
      <c r="AA113" s="26"/>
      <c r="AB113" s="26"/>
      <c r="AC113" s="26"/>
      <c r="AD113" s="26"/>
      <c r="AE113" s="26"/>
      <c r="AF113" s="26"/>
      <c r="AG113" s="26"/>
      <c r="AH113" s="33" t="s">
        <v>1260</v>
      </c>
      <c r="AI113" s="23" t="s">
        <v>811</v>
      </c>
      <c r="AJ113" s="33" t="str">
        <f t="shared" si="1"/>
        <v>PD5D_MB_Moactcseq/samples/HC_BN0347_MB_MOactcseq_batch10_rep6.h5</v>
      </c>
      <c r="AK113" t="s">
        <v>1290</v>
      </c>
    </row>
    <row r="114" spans="1:37">
      <c r="A114" s="24" t="s">
        <v>830</v>
      </c>
      <c r="B114" s="24" t="s">
        <v>83</v>
      </c>
      <c r="C114" s="24" t="s">
        <v>83</v>
      </c>
      <c r="D114" s="24" t="s">
        <v>666</v>
      </c>
      <c r="E114" s="24">
        <v>3</v>
      </c>
      <c r="F114" s="24">
        <v>0</v>
      </c>
      <c r="G114" s="24" t="s">
        <v>773</v>
      </c>
      <c r="H114" s="24" t="s">
        <v>668</v>
      </c>
      <c r="I114" s="24" t="s">
        <v>806</v>
      </c>
      <c r="J114" s="24" t="s">
        <v>807</v>
      </c>
      <c r="K114" s="24" t="s">
        <v>807</v>
      </c>
      <c r="L114" s="24" t="s">
        <v>807</v>
      </c>
      <c r="M114" s="24" t="s">
        <v>807</v>
      </c>
      <c r="N114" s="24">
        <v>7.7</v>
      </c>
      <c r="O114" s="24">
        <v>7.7</v>
      </c>
      <c r="P114" s="24" t="s">
        <v>808</v>
      </c>
      <c r="Q114" s="25">
        <v>1025</v>
      </c>
      <c r="R114" s="24" t="s">
        <v>809</v>
      </c>
      <c r="S114" s="24" t="s">
        <v>675</v>
      </c>
      <c r="T114" s="24">
        <v>131</v>
      </c>
      <c r="U114" s="24" t="s">
        <v>810</v>
      </c>
      <c r="V114" s="24" t="s">
        <v>807</v>
      </c>
      <c r="W114" s="26"/>
      <c r="X114" s="26"/>
      <c r="Y114" s="26"/>
      <c r="Z114" s="26"/>
      <c r="AA114" s="26"/>
      <c r="AB114" s="26"/>
      <c r="AC114" s="26"/>
      <c r="AD114" s="26"/>
      <c r="AE114" s="26"/>
      <c r="AF114" s="26"/>
      <c r="AG114" s="26"/>
      <c r="AH114" s="33" t="s">
        <v>1260</v>
      </c>
      <c r="AI114" s="23" t="s">
        <v>811</v>
      </c>
      <c r="AJ114" s="33" t="str">
        <f t="shared" si="1"/>
        <v>PD5D_MB_Moactcseq/samples/HC_BN0452_MB_MOactcseq_batch9_rep1.h5</v>
      </c>
      <c r="AK114" t="s">
        <v>1290</v>
      </c>
    </row>
    <row r="115" spans="1:37">
      <c r="A115" s="24" t="s">
        <v>831</v>
      </c>
      <c r="B115" s="24" t="s">
        <v>83</v>
      </c>
      <c r="C115" s="24" t="s">
        <v>83</v>
      </c>
      <c r="D115" s="24" t="s">
        <v>689</v>
      </c>
      <c r="E115" s="24">
        <v>3</v>
      </c>
      <c r="F115" s="24">
        <v>0</v>
      </c>
      <c r="G115" s="24" t="s">
        <v>773</v>
      </c>
      <c r="H115" s="24" t="s">
        <v>668</v>
      </c>
      <c r="I115" s="24" t="s">
        <v>806</v>
      </c>
      <c r="J115" s="24" t="s">
        <v>807</v>
      </c>
      <c r="K115" s="24" t="s">
        <v>807</v>
      </c>
      <c r="L115" s="24" t="s">
        <v>807</v>
      </c>
      <c r="M115" s="24" t="s">
        <v>807</v>
      </c>
      <c r="N115" s="24">
        <v>7.7</v>
      </c>
      <c r="O115" s="24">
        <v>7.7</v>
      </c>
      <c r="P115" s="24" t="s">
        <v>808</v>
      </c>
      <c r="Q115" s="25">
        <v>1025</v>
      </c>
      <c r="R115" s="24" t="s">
        <v>809</v>
      </c>
      <c r="S115" s="24" t="s">
        <v>675</v>
      </c>
      <c r="T115" s="24">
        <v>131</v>
      </c>
      <c r="U115" s="24" t="s">
        <v>810</v>
      </c>
      <c r="V115" s="24" t="s">
        <v>807</v>
      </c>
      <c r="W115" s="26"/>
      <c r="X115" s="26"/>
      <c r="Y115" s="26"/>
      <c r="Z115" s="26"/>
      <c r="AA115" s="26"/>
      <c r="AB115" s="26"/>
      <c r="AC115" s="26"/>
      <c r="AD115" s="26"/>
      <c r="AE115" s="26"/>
      <c r="AF115" s="26"/>
      <c r="AG115" s="26"/>
      <c r="AH115" s="33" t="s">
        <v>1260</v>
      </c>
      <c r="AI115" s="23" t="s">
        <v>811</v>
      </c>
      <c r="AJ115" s="33" t="str">
        <f t="shared" si="1"/>
        <v>PD5D_MB_Moactcseq/samples/HC_BN0452_MB_MOactcseq_batch9_rep2.h5</v>
      </c>
      <c r="AK115" t="s">
        <v>1290</v>
      </c>
    </row>
    <row r="116" spans="1:37">
      <c r="A116" s="24" t="s">
        <v>832</v>
      </c>
      <c r="B116" s="24" t="s">
        <v>83</v>
      </c>
      <c r="C116" s="24" t="s">
        <v>83</v>
      </c>
      <c r="D116" s="24" t="s">
        <v>814</v>
      </c>
      <c r="E116" s="24">
        <v>3</v>
      </c>
      <c r="F116" s="24">
        <v>0</v>
      </c>
      <c r="G116" s="24" t="s">
        <v>773</v>
      </c>
      <c r="H116" s="24" t="s">
        <v>668</v>
      </c>
      <c r="I116" s="24" t="s">
        <v>806</v>
      </c>
      <c r="J116" s="24" t="s">
        <v>807</v>
      </c>
      <c r="K116" s="24" t="s">
        <v>807</v>
      </c>
      <c r="L116" s="24" t="s">
        <v>807</v>
      </c>
      <c r="M116" s="24" t="s">
        <v>807</v>
      </c>
      <c r="N116" s="24">
        <v>7.7</v>
      </c>
      <c r="O116" s="24">
        <v>7.7</v>
      </c>
      <c r="P116" s="24" t="s">
        <v>808</v>
      </c>
      <c r="Q116" s="25">
        <v>1025</v>
      </c>
      <c r="R116" s="24" t="s">
        <v>809</v>
      </c>
      <c r="S116" s="24" t="s">
        <v>675</v>
      </c>
      <c r="T116" s="24">
        <v>131</v>
      </c>
      <c r="U116" s="24" t="s">
        <v>810</v>
      </c>
      <c r="V116" s="24" t="s">
        <v>807</v>
      </c>
      <c r="W116" s="26"/>
      <c r="X116" s="26"/>
      <c r="Y116" s="26"/>
      <c r="Z116" s="26"/>
      <c r="AA116" s="26"/>
      <c r="AB116" s="26"/>
      <c r="AC116" s="26"/>
      <c r="AD116" s="26"/>
      <c r="AE116" s="26"/>
      <c r="AF116" s="26"/>
      <c r="AG116" s="26"/>
      <c r="AH116" s="33" t="s">
        <v>1260</v>
      </c>
      <c r="AI116" s="23" t="s">
        <v>811</v>
      </c>
      <c r="AJ116" s="33" t="str">
        <f t="shared" si="1"/>
        <v>PD5D_MB_Moactcseq/samples/HC_BN0452_MB_MOactcseq_batch9_rep3.h5</v>
      </c>
      <c r="AK116" t="s">
        <v>1290</v>
      </c>
    </row>
    <row r="117" spans="1:37">
      <c r="A117" s="24" t="s">
        <v>833</v>
      </c>
      <c r="B117" s="24" t="s">
        <v>87</v>
      </c>
      <c r="C117" s="24" t="s">
        <v>87</v>
      </c>
      <c r="D117" s="24" t="s">
        <v>666</v>
      </c>
      <c r="E117" s="24">
        <v>6</v>
      </c>
      <c r="F117" s="24">
        <v>0</v>
      </c>
      <c r="G117" s="24" t="s">
        <v>773</v>
      </c>
      <c r="H117" s="24" t="s">
        <v>668</v>
      </c>
      <c r="I117" s="24" t="s">
        <v>806</v>
      </c>
      <c r="J117" s="24" t="s">
        <v>807</v>
      </c>
      <c r="K117" s="24" t="s">
        <v>807</v>
      </c>
      <c r="L117" s="24" t="s">
        <v>807</v>
      </c>
      <c r="M117" s="24" t="s">
        <v>807</v>
      </c>
      <c r="N117" s="24">
        <v>8.8000000000000007</v>
      </c>
      <c r="O117" s="24">
        <v>8.8000000000000007</v>
      </c>
      <c r="P117" s="24" t="s">
        <v>808</v>
      </c>
      <c r="Q117" s="25">
        <v>3232</v>
      </c>
      <c r="R117" s="24" t="s">
        <v>809</v>
      </c>
      <c r="S117" s="24" t="s">
        <v>675</v>
      </c>
      <c r="T117" s="24">
        <v>131</v>
      </c>
      <c r="U117" s="24" t="s">
        <v>810</v>
      </c>
      <c r="V117" s="24" t="s">
        <v>807</v>
      </c>
      <c r="W117" s="26"/>
      <c r="X117" s="26"/>
      <c r="Y117" s="26"/>
      <c r="Z117" s="26"/>
      <c r="AA117" s="26"/>
      <c r="AB117" s="26"/>
      <c r="AC117" s="26"/>
      <c r="AD117" s="26"/>
      <c r="AE117" s="26"/>
      <c r="AF117" s="26"/>
      <c r="AG117" s="26"/>
      <c r="AH117" s="33" t="s">
        <v>1260</v>
      </c>
      <c r="AI117" s="23" t="s">
        <v>811</v>
      </c>
      <c r="AJ117" s="33" t="str">
        <f t="shared" si="1"/>
        <v>PD5D_MB_Moactcseq/samples/HC_BN0536_MB_MOactcseq_batch9_rep1.h5</v>
      </c>
      <c r="AK117" t="s">
        <v>1290</v>
      </c>
    </row>
    <row r="118" spans="1:37">
      <c r="A118" s="24" t="s">
        <v>834</v>
      </c>
      <c r="B118" s="24" t="s">
        <v>87</v>
      </c>
      <c r="C118" s="24" t="s">
        <v>87</v>
      </c>
      <c r="D118" s="24" t="s">
        <v>689</v>
      </c>
      <c r="E118" s="24">
        <v>6</v>
      </c>
      <c r="F118" s="24">
        <v>0</v>
      </c>
      <c r="G118" s="24" t="s">
        <v>773</v>
      </c>
      <c r="H118" s="24" t="s">
        <v>668</v>
      </c>
      <c r="I118" s="24" t="s">
        <v>806</v>
      </c>
      <c r="J118" s="24" t="s">
        <v>807</v>
      </c>
      <c r="K118" s="24" t="s">
        <v>807</v>
      </c>
      <c r="L118" s="24" t="s">
        <v>807</v>
      </c>
      <c r="M118" s="24" t="s">
        <v>807</v>
      </c>
      <c r="N118" s="24">
        <v>8.8000000000000007</v>
      </c>
      <c r="O118" s="24">
        <v>8.8000000000000007</v>
      </c>
      <c r="P118" s="24" t="s">
        <v>808</v>
      </c>
      <c r="Q118" s="25">
        <v>3232</v>
      </c>
      <c r="R118" s="24" t="s">
        <v>809</v>
      </c>
      <c r="S118" s="24" t="s">
        <v>675</v>
      </c>
      <c r="T118" s="24">
        <v>131</v>
      </c>
      <c r="U118" s="24" t="s">
        <v>810</v>
      </c>
      <c r="V118" s="24" t="s">
        <v>807</v>
      </c>
      <c r="W118" s="26"/>
      <c r="X118" s="26"/>
      <c r="Y118" s="26"/>
      <c r="Z118" s="26"/>
      <c r="AA118" s="26"/>
      <c r="AB118" s="26"/>
      <c r="AC118" s="26"/>
      <c r="AD118" s="26"/>
      <c r="AE118" s="26"/>
      <c r="AF118" s="26"/>
      <c r="AG118" s="26"/>
      <c r="AH118" s="33" t="s">
        <v>1260</v>
      </c>
      <c r="AI118" s="23" t="s">
        <v>811</v>
      </c>
      <c r="AJ118" s="33" t="str">
        <f t="shared" si="1"/>
        <v>PD5D_MB_Moactcseq/samples/HC_BN0536_MB_MOactcseq_batch9_rep2.h5</v>
      </c>
      <c r="AK118" t="s">
        <v>1290</v>
      </c>
    </row>
    <row r="119" spans="1:37">
      <c r="A119" s="24" t="s">
        <v>835</v>
      </c>
      <c r="B119" s="24" t="s">
        <v>87</v>
      </c>
      <c r="C119" s="24" t="s">
        <v>87</v>
      </c>
      <c r="D119" s="24" t="s">
        <v>814</v>
      </c>
      <c r="E119" s="24">
        <v>6</v>
      </c>
      <c r="F119" s="24">
        <v>0</v>
      </c>
      <c r="G119" s="24" t="s">
        <v>773</v>
      </c>
      <c r="H119" s="24" t="s">
        <v>668</v>
      </c>
      <c r="I119" s="24" t="s">
        <v>806</v>
      </c>
      <c r="J119" s="24" t="s">
        <v>807</v>
      </c>
      <c r="K119" s="24" t="s">
        <v>807</v>
      </c>
      <c r="L119" s="24" t="s">
        <v>807</v>
      </c>
      <c r="M119" s="24" t="s">
        <v>807</v>
      </c>
      <c r="N119" s="24">
        <v>8.8000000000000007</v>
      </c>
      <c r="O119" s="24">
        <v>8.8000000000000007</v>
      </c>
      <c r="P119" s="24" t="s">
        <v>808</v>
      </c>
      <c r="Q119" s="25">
        <v>3232</v>
      </c>
      <c r="R119" s="24" t="s">
        <v>809</v>
      </c>
      <c r="S119" s="24" t="s">
        <v>675</v>
      </c>
      <c r="T119" s="24">
        <v>131</v>
      </c>
      <c r="U119" s="24" t="s">
        <v>810</v>
      </c>
      <c r="V119" s="24" t="s">
        <v>807</v>
      </c>
      <c r="W119" s="26"/>
      <c r="X119" s="26"/>
      <c r="Y119" s="26"/>
      <c r="Z119" s="26"/>
      <c r="AA119" s="26"/>
      <c r="AB119" s="26"/>
      <c r="AC119" s="26"/>
      <c r="AD119" s="26"/>
      <c r="AE119" s="26"/>
      <c r="AF119" s="26"/>
      <c r="AG119" s="26"/>
      <c r="AH119" s="33" t="s">
        <v>1260</v>
      </c>
      <c r="AI119" s="23" t="s">
        <v>811</v>
      </c>
      <c r="AJ119" s="33" t="str">
        <f t="shared" si="1"/>
        <v>PD5D_MB_Moactcseq/samples/HC_BN0536_MB_MOactcseq_batch9_rep3.h5</v>
      </c>
      <c r="AK119" t="s">
        <v>1290</v>
      </c>
    </row>
    <row r="120" spans="1:37">
      <c r="A120" s="24" t="s">
        <v>836</v>
      </c>
      <c r="B120" s="24" t="s">
        <v>87</v>
      </c>
      <c r="C120" s="24" t="s">
        <v>87</v>
      </c>
      <c r="D120" s="24" t="s">
        <v>819</v>
      </c>
      <c r="E120" s="24">
        <v>6</v>
      </c>
      <c r="F120" s="24">
        <v>0</v>
      </c>
      <c r="G120" s="24" t="s">
        <v>773</v>
      </c>
      <c r="H120" s="24" t="s">
        <v>668</v>
      </c>
      <c r="I120" s="24" t="s">
        <v>806</v>
      </c>
      <c r="J120" s="24" t="s">
        <v>807</v>
      </c>
      <c r="K120" s="24" t="s">
        <v>807</v>
      </c>
      <c r="L120" s="24" t="s">
        <v>807</v>
      </c>
      <c r="M120" s="24" t="s">
        <v>807</v>
      </c>
      <c r="N120" s="24">
        <v>8.8000000000000007</v>
      </c>
      <c r="O120" s="24">
        <v>8.8000000000000007</v>
      </c>
      <c r="P120" s="24" t="s">
        <v>808</v>
      </c>
      <c r="Q120" s="25">
        <v>3232</v>
      </c>
      <c r="R120" s="24" t="s">
        <v>809</v>
      </c>
      <c r="S120" s="24" t="s">
        <v>675</v>
      </c>
      <c r="T120" s="24">
        <v>131</v>
      </c>
      <c r="U120" s="24" t="s">
        <v>810</v>
      </c>
      <c r="V120" s="24" t="s">
        <v>807</v>
      </c>
      <c r="W120" s="26"/>
      <c r="X120" s="26"/>
      <c r="Y120" s="26"/>
      <c r="Z120" s="26"/>
      <c r="AA120" s="26"/>
      <c r="AB120" s="26"/>
      <c r="AC120" s="26"/>
      <c r="AD120" s="26"/>
      <c r="AE120" s="26"/>
      <c r="AF120" s="26"/>
      <c r="AG120" s="26"/>
      <c r="AH120" s="33" t="s">
        <v>1260</v>
      </c>
      <c r="AI120" s="23" t="s">
        <v>811</v>
      </c>
      <c r="AJ120" s="33" t="str">
        <f t="shared" si="1"/>
        <v>PD5D_MB_Moactcseq/samples/HC_BN0536_MB_MOactcseq_batch9_rep4.h5</v>
      </c>
      <c r="AK120" t="s">
        <v>1290</v>
      </c>
    </row>
    <row r="121" spans="1:37">
      <c r="A121" s="24" t="s">
        <v>837</v>
      </c>
      <c r="B121" s="24" t="s">
        <v>87</v>
      </c>
      <c r="C121" s="24" t="s">
        <v>87</v>
      </c>
      <c r="D121" s="24" t="s">
        <v>821</v>
      </c>
      <c r="E121" s="24">
        <v>6</v>
      </c>
      <c r="F121" s="24">
        <v>0</v>
      </c>
      <c r="G121" s="24" t="s">
        <v>773</v>
      </c>
      <c r="H121" s="24" t="s">
        <v>668</v>
      </c>
      <c r="I121" s="24" t="s">
        <v>806</v>
      </c>
      <c r="J121" s="24" t="s">
        <v>807</v>
      </c>
      <c r="K121" s="24" t="s">
        <v>807</v>
      </c>
      <c r="L121" s="24" t="s">
        <v>807</v>
      </c>
      <c r="M121" s="24" t="s">
        <v>807</v>
      </c>
      <c r="N121" s="24">
        <v>8.8000000000000007</v>
      </c>
      <c r="O121" s="24">
        <v>8.8000000000000007</v>
      </c>
      <c r="P121" s="24" t="s">
        <v>808</v>
      </c>
      <c r="Q121" s="25">
        <v>3232</v>
      </c>
      <c r="R121" s="24" t="s">
        <v>809</v>
      </c>
      <c r="S121" s="24" t="s">
        <v>675</v>
      </c>
      <c r="T121" s="24">
        <v>131</v>
      </c>
      <c r="U121" s="24" t="s">
        <v>810</v>
      </c>
      <c r="V121" s="24" t="s">
        <v>807</v>
      </c>
      <c r="W121" s="26"/>
      <c r="X121" s="26"/>
      <c r="Y121" s="26"/>
      <c r="Z121" s="26"/>
      <c r="AA121" s="26"/>
      <c r="AB121" s="26"/>
      <c r="AC121" s="26"/>
      <c r="AD121" s="26"/>
      <c r="AE121" s="26"/>
      <c r="AF121" s="26"/>
      <c r="AG121" s="26"/>
      <c r="AH121" s="33" t="s">
        <v>1260</v>
      </c>
      <c r="AI121" s="23" t="s">
        <v>811</v>
      </c>
      <c r="AJ121" s="33" t="str">
        <f t="shared" si="1"/>
        <v>PD5D_MB_Moactcseq/samples/HC_BN0536_MB_MOactcseq_batch9_rep5.h5</v>
      </c>
      <c r="AK121" t="s">
        <v>1290</v>
      </c>
    </row>
    <row r="122" spans="1:37">
      <c r="A122" s="24" t="s">
        <v>838</v>
      </c>
      <c r="B122" s="24" t="s">
        <v>87</v>
      </c>
      <c r="C122" s="24" t="s">
        <v>87</v>
      </c>
      <c r="D122" s="24" t="s">
        <v>823</v>
      </c>
      <c r="E122" s="24">
        <v>6</v>
      </c>
      <c r="F122" s="24">
        <v>0</v>
      </c>
      <c r="G122" s="24" t="s">
        <v>773</v>
      </c>
      <c r="H122" s="24" t="s">
        <v>668</v>
      </c>
      <c r="I122" s="24" t="s">
        <v>806</v>
      </c>
      <c r="J122" s="24" t="s">
        <v>807</v>
      </c>
      <c r="K122" s="24" t="s">
        <v>807</v>
      </c>
      <c r="L122" s="24" t="s">
        <v>807</v>
      </c>
      <c r="M122" s="24" t="s">
        <v>807</v>
      </c>
      <c r="N122" s="24">
        <v>8.8000000000000007</v>
      </c>
      <c r="O122" s="24">
        <v>8.8000000000000007</v>
      </c>
      <c r="P122" s="24" t="s">
        <v>808</v>
      </c>
      <c r="Q122" s="25">
        <v>3232</v>
      </c>
      <c r="R122" s="24" t="s">
        <v>809</v>
      </c>
      <c r="S122" s="24" t="s">
        <v>675</v>
      </c>
      <c r="T122" s="24">
        <v>131</v>
      </c>
      <c r="U122" s="24" t="s">
        <v>810</v>
      </c>
      <c r="V122" s="24" t="s">
        <v>807</v>
      </c>
      <c r="W122" s="26"/>
      <c r="X122" s="26"/>
      <c r="Y122" s="26"/>
      <c r="Z122" s="26"/>
      <c r="AA122" s="26"/>
      <c r="AB122" s="26"/>
      <c r="AC122" s="26"/>
      <c r="AD122" s="26"/>
      <c r="AE122" s="26"/>
      <c r="AF122" s="26"/>
      <c r="AG122" s="26"/>
      <c r="AH122" s="33" t="s">
        <v>1260</v>
      </c>
      <c r="AI122" s="23" t="s">
        <v>811</v>
      </c>
      <c r="AJ122" s="33" t="str">
        <f t="shared" si="1"/>
        <v>PD5D_MB_Moactcseq/samples/HC_BN0536_MB_MOactcseq_batch9_rep6.h5</v>
      </c>
      <c r="AK122" t="s">
        <v>1290</v>
      </c>
    </row>
    <row r="123" spans="1:37">
      <c r="A123" s="24" t="s">
        <v>839</v>
      </c>
      <c r="B123" s="24" t="s">
        <v>90</v>
      </c>
      <c r="C123" s="24" t="s">
        <v>90</v>
      </c>
      <c r="D123" s="24" t="s">
        <v>666</v>
      </c>
      <c r="E123" s="24">
        <v>3</v>
      </c>
      <c r="F123" s="24">
        <v>0</v>
      </c>
      <c r="G123" s="24" t="s">
        <v>773</v>
      </c>
      <c r="H123" s="24" t="s">
        <v>668</v>
      </c>
      <c r="I123" s="24" t="s">
        <v>806</v>
      </c>
      <c r="J123" s="24" t="s">
        <v>807</v>
      </c>
      <c r="K123" s="24" t="s">
        <v>807</v>
      </c>
      <c r="L123" s="24" t="s">
        <v>807</v>
      </c>
      <c r="M123" s="24" t="s">
        <v>807</v>
      </c>
      <c r="N123" s="24">
        <v>9.5</v>
      </c>
      <c r="O123" s="24">
        <v>9.5</v>
      </c>
      <c r="P123" s="24" t="s">
        <v>808</v>
      </c>
      <c r="Q123" s="25">
        <v>1078</v>
      </c>
      <c r="R123" s="24" t="s">
        <v>809</v>
      </c>
      <c r="S123" s="24" t="s">
        <v>675</v>
      </c>
      <c r="T123" s="24">
        <v>131</v>
      </c>
      <c r="U123" s="24" t="s">
        <v>810</v>
      </c>
      <c r="V123" s="24" t="s">
        <v>807</v>
      </c>
      <c r="W123" s="26"/>
      <c r="X123" s="26"/>
      <c r="Y123" s="26"/>
      <c r="Z123" s="26"/>
      <c r="AA123" s="26"/>
      <c r="AB123" s="26"/>
      <c r="AC123" s="26"/>
      <c r="AD123" s="26"/>
      <c r="AE123" s="26"/>
      <c r="AF123" s="26"/>
      <c r="AG123" s="26"/>
      <c r="AH123" s="33" t="s">
        <v>1260</v>
      </c>
      <c r="AI123" s="23" t="s">
        <v>811</v>
      </c>
      <c r="AJ123" s="33" t="str">
        <f t="shared" si="1"/>
        <v>PD5D_MB_Moactcseq/samples/HC_BN0615_MB_MOactcseq_batch9_rep1.h5</v>
      </c>
      <c r="AK123" t="s">
        <v>1290</v>
      </c>
    </row>
    <row r="124" spans="1:37">
      <c r="A124" s="24" t="s">
        <v>840</v>
      </c>
      <c r="B124" s="24" t="s">
        <v>90</v>
      </c>
      <c r="C124" s="24" t="s">
        <v>90</v>
      </c>
      <c r="D124" s="24" t="s">
        <v>689</v>
      </c>
      <c r="E124" s="24">
        <v>3</v>
      </c>
      <c r="F124" s="24">
        <v>0</v>
      </c>
      <c r="G124" s="24" t="s">
        <v>773</v>
      </c>
      <c r="H124" s="24" t="s">
        <v>668</v>
      </c>
      <c r="I124" s="24" t="s">
        <v>806</v>
      </c>
      <c r="J124" s="24" t="s">
        <v>807</v>
      </c>
      <c r="K124" s="24" t="s">
        <v>807</v>
      </c>
      <c r="L124" s="24" t="s">
        <v>807</v>
      </c>
      <c r="M124" s="24" t="s">
        <v>807</v>
      </c>
      <c r="N124" s="24">
        <v>9.5</v>
      </c>
      <c r="O124" s="24">
        <v>9.5</v>
      </c>
      <c r="P124" s="24" t="s">
        <v>808</v>
      </c>
      <c r="Q124" s="25">
        <v>1078</v>
      </c>
      <c r="R124" s="24" t="s">
        <v>809</v>
      </c>
      <c r="S124" s="24" t="s">
        <v>675</v>
      </c>
      <c r="T124" s="24">
        <v>131</v>
      </c>
      <c r="U124" s="24" t="s">
        <v>810</v>
      </c>
      <c r="V124" s="24" t="s">
        <v>807</v>
      </c>
      <c r="W124" s="26"/>
      <c r="X124" s="26"/>
      <c r="Y124" s="26"/>
      <c r="Z124" s="26"/>
      <c r="AA124" s="26"/>
      <c r="AB124" s="26"/>
      <c r="AC124" s="26"/>
      <c r="AD124" s="26"/>
      <c r="AE124" s="26"/>
      <c r="AF124" s="26"/>
      <c r="AG124" s="26"/>
      <c r="AH124" s="33" t="s">
        <v>1260</v>
      </c>
      <c r="AI124" s="23" t="s">
        <v>811</v>
      </c>
      <c r="AJ124" s="33" t="str">
        <f t="shared" si="1"/>
        <v>PD5D_MB_Moactcseq/samples/HC_BN0615_MB_MOactcseq_batch9_rep2.h5</v>
      </c>
      <c r="AK124" t="s">
        <v>1290</v>
      </c>
    </row>
    <row r="125" spans="1:37">
      <c r="A125" s="24" t="s">
        <v>841</v>
      </c>
      <c r="B125" s="24" t="s">
        <v>90</v>
      </c>
      <c r="C125" s="24" t="s">
        <v>90</v>
      </c>
      <c r="D125" s="24" t="s">
        <v>814</v>
      </c>
      <c r="E125" s="24">
        <v>3</v>
      </c>
      <c r="F125" s="24">
        <v>0</v>
      </c>
      <c r="G125" s="24" t="s">
        <v>773</v>
      </c>
      <c r="H125" s="24" t="s">
        <v>668</v>
      </c>
      <c r="I125" s="24" t="s">
        <v>806</v>
      </c>
      <c r="J125" s="24" t="s">
        <v>807</v>
      </c>
      <c r="K125" s="24" t="s">
        <v>807</v>
      </c>
      <c r="L125" s="24" t="s">
        <v>807</v>
      </c>
      <c r="M125" s="24" t="s">
        <v>807</v>
      </c>
      <c r="N125" s="24">
        <v>9.5</v>
      </c>
      <c r="O125" s="24">
        <v>9.5</v>
      </c>
      <c r="P125" s="24" t="s">
        <v>808</v>
      </c>
      <c r="Q125" s="25">
        <v>1078</v>
      </c>
      <c r="R125" s="24" t="s">
        <v>809</v>
      </c>
      <c r="S125" s="24" t="s">
        <v>675</v>
      </c>
      <c r="T125" s="24">
        <v>131</v>
      </c>
      <c r="U125" s="24" t="s">
        <v>810</v>
      </c>
      <c r="V125" s="24" t="s">
        <v>807</v>
      </c>
      <c r="W125" s="26"/>
      <c r="X125" s="26"/>
      <c r="Y125" s="26"/>
      <c r="Z125" s="26"/>
      <c r="AA125" s="26"/>
      <c r="AB125" s="26"/>
      <c r="AC125" s="26"/>
      <c r="AD125" s="26"/>
      <c r="AE125" s="26"/>
      <c r="AF125" s="26"/>
      <c r="AG125" s="26"/>
      <c r="AH125" s="33" t="s">
        <v>1260</v>
      </c>
      <c r="AI125" s="23" t="s">
        <v>811</v>
      </c>
      <c r="AJ125" s="33" t="str">
        <f t="shared" si="1"/>
        <v>PD5D_MB_Moactcseq/samples/HC_BN0615_MB_MOactcseq_batch9_rep3.h5</v>
      </c>
      <c r="AK125" t="s">
        <v>1290</v>
      </c>
    </row>
    <row r="126" spans="1:37">
      <c r="A126" s="24" t="s">
        <v>842</v>
      </c>
      <c r="B126" s="24" t="s">
        <v>102</v>
      </c>
      <c r="C126" s="24" t="s">
        <v>102</v>
      </c>
      <c r="D126" s="24" t="s">
        <v>666</v>
      </c>
      <c r="E126" s="24">
        <v>6</v>
      </c>
      <c r="F126" s="24">
        <v>0</v>
      </c>
      <c r="G126" s="24" t="s">
        <v>706</v>
      </c>
      <c r="H126" s="24" t="s">
        <v>668</v>
      </c>
      <c r="I126" s="24" t="s">
        <v>806</v>
      </c>
      <c r="J126" s="24" t="s">
        <v>807</v>
      </c>
      <c r="K126" s="24" t="s">
        <v>807</v>
      </c>
      <c r="L126" s="24" t="s">
        <v>807</v>
      </c>
      <c r="M126" s="24" t="s">
        <v>807</v>
      </c>
      <c r="N126" s="24">
        <v>9.1999999999999993</v>
      </c>
      <c r="O126" s="24">
        <v>9.1999999999999993</v>
      </c>
      <c r="P126" s="24" t="s">
        <v>808</v>
      </c>
      <c r="Q126" s="25">
        <v>5771</v>
      </c>
      <c r="R126" s="24" t="s">
        <v>809</v>
      </c>
      <c r="S126" s="24" t="s">
        <v>675</v>
      </c>
      <c r="T126" s="24">
        <v>131</v>
      </c>
      <c r="U126" s="24" t="s">
        <v>810</v>
      </c>
      <c r="V126" s="24" t="s">
        <v>807</v>
      </c>
      <c r="W126" s="26"/>
      <c r="X126" s="26"/>
      <c r="Y126" s="26"/>
      <c r="Z126" s="26"/>
      <c r="AA126" s="26"/>
      <c r="AB126" s="26"/>
      <c r="AC126" s="26"/>
      <c r="AD126" s="26"/>
      <c r="AE126" s="26"/>
      <c r="AF126" s="26"/>
      <c r="AG126" s="26"/>
      <c r="AH126" s="33" t="s">
        <v>1260</v>
      </c>
      <c r="AI126" s="23" t="s">
        <v>811</v>
      </c>
      <c r="AJ126" s="33" t="str">
        <f t="shared" si="1"/>
        <v>PD5D_MB_Moactcseq/samples/HC_BN0737_MB_MOactcseq_batch8_rep1.h5</v>
      </c>
      <c r="AK126" t="s">
        <v>1290</v>
      </c>
    </row>
    <row r="127" spans="1:37">
      <c r="A127" s="24" t="s">
        <v>843</v>
      </c>
      <c r="B127" s="24" t="s">
        <v>102</v>
      </c>
      <c r="C127" s="24" t="s">
        <v>102</v>
      </c>
      <c r="D127" s="24" t="s">
        <v>689</v>
      </c>
      <c r="E127" s="24">
        <v>6</v>
      </c>
      <c r="F127" s="24">
        <v>0</v>
      </c>
      <c r="G127" s="24" t="s">
        <v>706</v>
      </c>
      <c r="H127" s="24" t="s">
        <v>668</v>
      </c>
      <c r="I127" s="24" t="s">
        <v>806</v>
      </c>
      <c r="J127" s="24" t="s">
        <v>807</v>
      </c>
      <c r="K127" s="24" t="s">
        <v>807</v>
      </c>
      <c r="L127" s="24" t="s">
        <v>807</v>
      </c>
      <c r="M127" s="24" t="s">
        <v>807</v>
      </c>
      <c r="N127" s="24">
        <v>9.1999999999999993</v>
      </c>
      <c r="O127" s="24">
        <v>9.1999999999999993</v>
      </c>
      <c r="P127" s="24" t="s">
        <v>808</v>
      </c>
      <c r="Q127" s="25">
        <v>5771</v>
      </c>
      <c r="R127" s="24" t="s">
        <v>809</v>
      </c>
      <c r="S127" s="24" t="s">
        <v>675</v>
      </c>
      <c r="T127" s="24">
        <v>131</v>
      </c>
      <c r="U127" s="24" t="s">
        <v>810</v>
      </c>
      <c r="V127" s="24" t="s">
        <v>807</v>
      </c>
      <c r="W127" s="26"/>
      <c r="X127" s="26"/>
      <c r="Y127" s="26"/>
      <c r="Z127" s="26"/>
      <c r="AA127" s="26"/>
      <c r="AB127" s="26"/>
      <c r="AC127" s="26"/>
      <c r="AD127" s="26"/>
      <c r="AE127" s="26"/>
      <c r="AF127" s="26"/>
      <c r="AG127" s="26"/>
      <c r="AH127" s="33" t="s">
        <v>1260</v>
      </c>
      <c r="AI127" s="23" t="s">
        <v>811</v>
      </c>
      <c r="AJ127" s="33" t="str">
        <f t="shared" si="1"/>
        <v>PD5D_MB_Moactcseq/samples/HC_BN0737_MB_MOactcseq_batch8_rep2.h5</v>
      </c>
      <c r="AK127" t="s">
        <v>1290</v>
      </c>
    </row>
    <row r="128" spans="1:37">
      <c r="A128" s="24" t="s">
        <v>844</v>
      </c>
      <c r="B128" s="24" t="s">
        <v>102</v>
      </c>
      <c r="C128" s="24" t="s">
        <v>102</v>
      </c>
      <c r="D128" s="24" t="s">
        <v>814</v>
      </c>
      <c r="E128" s="24">
        <v>6</v>
      </c>
      <c r="F128" s="24">
        <v>0</v>
      </c>
      <c r="G128" s="24" t="s">
        <v>706</v>
      </c>
      <c r="H128" s="24" t="s">
        <v>668</v>
      </c>
      <c r="I128" s="24" t="s">
        <v>806</v>
      </c>
      <c r="J128" s="24" t="s">
        <v>807</v>
      </c>
      <c r="K128" s="24" t="s">
        <v>807</v>
      </c>
      <c r="L128" s="24" t="s">
        <v>807</v>
      </c>
      <c r="M128" s="24" t="s">
        <v>807</v>
      </c>
      <c r="N128" s="24">
        <v>9.1999999999999993</v>
      </c>
      <c r="O128" s="24">
        <v>9.1999999999999993</v>
      </c>
      <c r="P128" s="24" t="s">
        <v>808</v>
      </c>
      <c r="Q128" s="25">
        <v>5771</v>
      </c>
      <c r="R128" s="24" t="s">
        <v>809</v>
      </c>
      <c r="S128" s="24" t="s">
        <v>675</v>
      </c>
      <c r="T128" s="24">
        <v>131</v>
      </c>
      <c r="U128" s="24" t="s">
        <v>810</v>
      </c>
      <c r="V128" s="24" t="s">
        <v>807</v>
      </c>
      <c r="W128" s="26"/>
      <c r="X128" s="26"/>
      <c r="Y128" s="26"/>
      <c r="Z128" s="26"/>
      <c r="AA128" s="26"/>
      <c r="AB128" s="26"/>
      <c r="AC128" s="26"/>
      <c r="AD128" s="26"/>
      <c r="AE128" s="26"/>
      <c r="AF128" s="26"/>
      <c r="AG128" s="26"/>
      <c r="AH128" s="33" t="s">
        <v>1260</v>
      </c>
      <c r="AI128" s="23" t="s">
        <v>811</v>
      </c>
      <c r="AJ128" s="33" t="str">
        <f t="shared" si="1"/>
        <v>PD5D_MB_Moactcseq/samples/HC_BN0737_MB_MOactcseq_batch8_rep3.h5</v>
      </c>
      <c r="AK128" t="s">
        <v>1290</v>
      </c>
    </row>
    <row r="129" spans="1:37">
      <c r="A129" s="24" t="s">
        <v>845</v>
      </c>
      <c r="B129" s="24" t="s">
        <v>102</v>
      </c>
      <c r="C129" s="24" t="s">
        <v>102</v>
      </c>
      <c r="D129" s="24" t="s">
        <v>819</v>
      </c>
      <c r="E129" s="24">
        <v>6</v>
      </c>
      <c r="F129" s="24">
        <v>0</v>
      </c>
      <c r="G129" s="24" t="s">
        <v>706</v>
      </c>
      <c r="H129" s="24" t="s">
        <v>668</v>
      </c>
      <c r="I129" s="24" t="s">
        <v>806</v>
      </c>
      <c r="J129" s="24" t="s">
        <v>807</v>
      </c>
      <c r="K129" s="24" t="s">
        <v>807</v>
      </c>
      <c r="L129" s="24" t="s">
        <v>807</v>
      </c>
      <c r="M129" s="24" t="s">
        <v>807</v>
      </c>
      <c r="N129" s="24">
        <v>9.1999999999999993</v>
      </c>
      <c r="O129" s="24">
        <v>9.1999999999999993</v>
      </c>
      <c r="P129" s="24" t="s">
        <v>808</v>
      </c>
      <c r="Q129" s="25">
        <v>5771</v>
      </c>
      <c r="R129" s="24" t="s">
        <v>809</v>
      </c>
      <c r="S129" s="24" t="s">
        <v>675</v>
      </c>
      <c r="T129" s="24">
        <v>131</v>
      </c>
      <c r="U129" s="24" t="s">
        <v>810</v>
      </c>
      <c r="V129" s="24" t="s">
        <v>807</v>
      </c>
      <c r="W129" s="26"/>
      <c r="X129" s="26"/>
      <c r="Y129" s="26"/>
      <c r="Z129" s="26"/>
      <c r="AA129" s="26"/>
      <c r="AB129" s="26"/>
      <c r="AC129" s="26"/>
      <c r="AD129" s="26"/>
      <c r="AE129" s="26"/>
      <c r="AF129" s="26"/>
      <c r="AG129" s="26"/>
      <c r="AH129" s="33" t="s">
        <v>1260</v>
      </c>
      <c r="AI129" s="23" t="s">
        <v>811</v>
      </c>
      <c r="AJ129" s="33" t="str">
        <f t="shared" si="1"/>
        <v>PD5D_MB_Moactcseq/samples/HC_BN0737_MB_MOactcseq_batch8_rep4.h5</v>
      </c>
      <c r="AK129" t="s">
        <v>1290</v>
      </c>
    </row>
    <row r="130" spans="1:37">
      <c r="A130" s="24" t="s">
        <v>846</v>
      </c>
      <c r="B130" s="24" t="s">
        <v>102</v>
      </c>
      <c r="C130" s="24" t="s">
        <v>102</v>
      </c>
      <c r="D130" s="24" t="s">
        <v>821</v>
      </c>
      <c r="E130" s="24">
        <v>6</v>
      </c>
      <c r="F130" s="24">
        <v>0</v>
      </c>
      <c r="G130" s="24" t="s">
        <v>706</v>
      </c>
      <c r="H130" s="24" t="s">
        <v>668</v>
      </c>
      <c r="I130" s="24" t="s">
        <v>806</v>
      </c>
      <c r="J130" s="24" t="s">
        <v>807</v>
      </c>
      <c r="K130" s="24" t="s">
        <v>807</v>
      </c>
      <c r="L130" s="24" t="s">
        <v>807</v>
      </c>
      <c r="M130" s="24" t="s">
        <v>807</v>
      </c>
      <c r="N130" s="24">
        <v>9.1999999999999993</v>
      </c>
      <c r="O130" s="24">
        <v>9.1999999999999993</v>
      </c>
      <c r="P130" s="24" t="s">
        <v>808</v>
      </c>
      <c r="Q130" s="25">
        <v>5771</v>
      </c>
      <c r="R130" s="24" t="s">
        <v>809</v>
      </c>
      <c r="S130" s="24" t="s">
        <v>675</v>
      </c>
      <c r="T130" s="24">
        <v>131</v>
      </c>
      <c r="U130" s="24" t="s">
        <v>810</v>
      </c>
      <c r="V130" s="24" t="s">
        <v>807</v>
      </c>
      <c r="W130" s="26"/>
      <c r="X130" s="26"/>
      <c r="Y130" s="26"/>
      <c r="Z130" s="26"/>
      <c r="AA130" s="26"/>
      <c r="AB130" s="26"/>
      <c r="AC130" s="26"/>
      <c r="AD130" s="26"/>
      <c r="AE130" s="26"/>
      <c r="AF130" s="26"/>
      <c r="AG130" s="26"/>
      <c r="AH130" s="33" t="s">
        <v>1260</v>
      </c>
      <c r="AI130" s="23" t="s">
        <v>811</v>
      </c>
      <c r="AJ130" s="33" t="str">
        <f t="shared" si="1"/>
        <v>PD5D_MB_Moactcseq/samples/HC_BN0737_MB_MOactcseq_batch8_rep5.h5</v>
      </c>
      <c r="AK130" t="s">
        <v>1290</v>
      </c>
    </row>
    <row r="131" spans="1:37">
      <c r="A131" s="24" t="s">
        <v>847</v>
      </c>
      <c r="B131" s="24" t="s">
        <v>102</v>
      </c>
      <c r="C131" s="24" t="s">
        <v>102</v>
      </c>
      <c r="D131" s="24" t="s">
        <v>823</v>
      </c>
      <c r="E131" s="24">
        <v>6</v>
      </c>
      <c r="F131" s="24">
        <v>0</v>
      </c>
      <c r="G131" s="24" t="s">
        <v>706</v>
      </c>
      <c r="H131" s="24" t="s">
        <v>668</v>
      </c>
      <c r="I131" s="24" t="s">
        <v>806</v>
      </c>
      <c r="J131" s="24" t="s">
        <v>807</v>
      </c>
      <c r="K131" s="24" t="s">
        <v>807</v>
      </c>
      <c r="L131" s="24" t="s">
        <v>807</v>
      </c>
      <c r="M131" s="24" t="s">
        <v>807</v>
      </c>
      <c r="N131" s="24">
        <v>9.1999999999999993</v>
      </c>
      <c r="O131" s="24">
        <v>9.1999999999999993</v>
      </c>
      <c r="P131" s="24" t="s">
        <v>808</v>
      </c>
      <c r="Q131" s="25">
        <v>5771</v>
      </c>
      <c r="R131" s="24" t="s">
        <v>809</v>
      </c>
      <c r="S131" s="24" t="s">
        <v>675</v>
      </c>
      <c r="T131" s="24">
        <v>131</v>
      </c>
      <c r="U131" s="24" t="s">
        <v>810</v>
      </c>
      <c r="V131" s="24" t="s">
        <v>807</v>
      </c>
      <c r="W131" s="26"/>
      <c r="X131" s="26"/>
      <c r="Y131" s="26"/>
      <c r="Z131" s="26"/>
      <c r="AA131" s="26"/>
      <c r="AB131" s="26"/>
      <c r="AC131" s="26"/>
      <c r="AD131" s="26"/>
      <c r="AE131" s="26"/>
      <c r="AF131" s="26"/>
      <c r="AG131" s="26"/>
      <c r="AH131" s="33" t="s">
        <v>1260</v>
      </c>
      <c r="AI131" s="23" t="s">
        <v>811</v>
      </c>
      <c r="AJ131" s="33" t="str">
        <f t="shared" si="1"/>
        <v>PD5D_MB_Moactcseq/samples/HC_BN0737_MB_MOactcseq_batch8_rep6.h5</v>
      </c>
      <c r="AK131" t="s">
        <v>1290</v>
      </c>
    </row>
    <row r="132" spans="1:37">
      <c r="A132" s="24" t="s">
        <v>848</v>
      </c>
      <c r="B132" s="24" t="s">
        <v>104</v>
      </c>
      <c r="C132" s="24" t="s">
        <v>104</v>
      </c>
      <c r="D132" s="24" t="s">
        <v>666</v>
      </c>
      <c r="E132" s="24">
        <v>3</v>
      </c>
      <c r="F132" s="24">
        <v>0</v>
      </c>
      <c r="G132" s="24" t="s">
        <v>706</v>
      </c>
      <c r="H132" s="24" t="s">
        <v>668</v>
      </c>
      <c r="I132" s="24" t="s">
        <v>806</v>
      </c>
      <c r="J132" s="24" t="s">
        <v>807</v>
      </c>
      <c r="K132" s="24" t="s">
        <v>807</v>
      </c>
      <c r="L132" s="24" t="s">
        <v>807</v>
      </c>
      <c r="M132" s="24" t="s">
        <v>807</v>
      </c>
      <c r="N132" s="24">
        <v>9.5</v>
      </c>
      <c r="O132" s="24">
        <v>9.5</v>
      </c>
      <c r="P132" s="24" t="s">
        <v>808</v>
      </c>
      <c r="Q132" s="25">
        <v>1768</v>
      </c>
      <c r="R132" s="24" t="s">
        <v>809</v>
      </c>
      <c r="S132" s="24" t="s">
        <v>675</v>
      </c>
      <c r="T132" s="24">
        <v>131</v>
      </c>
      <c r="U132" s="24" t="s">
        <v>810</v>
      </c>
      <c r="V132" s="24" t="s">
        <v>807</v>
      </c>
      <c r="W132" s="26"/>
      <c r="X132" s="26"/>
      <c r="Y132" s="26"/>
      <c r="Z132" s="26"/>
      <c r="AA132" s="26"/>
      <c r="AB132" s="26"/>
      <c r="AC132" s="26"/>
      <c r="AD132" s="26"/>
      <c r="AE132" s="26"/>
      <c r="AF132" s="26"/>
      <c r="AG132" s="26"/>
      <c r="AH132" s="33" t="s">
        <v>1260</v>
      </c>
      <c r="AI132" s="23" t="s">
        <v>811</v>
      </c>
      <c r="AJ132" s="33" t="str">
        <f t="shared" ref="AJ132:AJ195" si="2">_xlfn.CONCAT(AH132,"/samples/",A132,".h5")</f>
        <v>PD5D_MB_Moactcseq/samples/HC_BN0746_MB_MOactcseq_batch8_rep1.h5</v>
      </c>
      <c r="AK132" t="s">
        <v>1290</v>
      </c>
    </row>
    <row r="133" spans="1:37">
      <c r="A133" s="24" t="s">
        <v>849</v>
      </c>
      <c r="B133" s="24" t="s">
        <v>104</v>
      </c>
      <c r="C133" s="24" t="s">
        <v>104</v>
      </c>
      <c r="D133" s="24" t="s">
        <v>689</v>
      </c>
      <c r="E133" s="24">
        <v>3</v>
      </c>
      <c r="F133" s="24">
        <v>0</v>
      </c>
      <c r="G133" s="24" t="s">
        <v>706</v>
      </c>
      <c r="H133" s="24" t="s">
        <v>668</v>
      </c>
      <c r="I133" s="24" t="s">
        <v>806</v>
      </c>
      <c r="J133" s="24" t="s">
        <v>807</v>
      </c>
      <c r="K133" s="24" t="s">
        <v>807</v>
      </c>
      <c r="L133" s="24" t="s">
        <v>807</v>
      </c>
      <c r="M133" s="24" t="s">
        <v>807</v>
      </c>
      <c r="N133" s="24">
        <v>9.5</v>
      </c>
      <c r="O133" s="24">
        <v>9.5</v>
      </c>
      <c r="P133" s="24" t="s">
        <v>808</v>
      </c>
      <c r="Q133" s="25">
        <v>1768</v>
      </c>
      <c r="R133" s="24" t="s">
        <v>809</v>
      </c>
      <c r="S133" s="24" t="s">
        <v>675</v>
      </c>
      <c r="T133" s="24">
        <v>131</v>
      </c>
      <c r="U133" s="24" t="s">
        <v>810</v>
      </c>
      <c r="V133" s="24" t="s">
        <v>807</v>
      </c>
      <c r="W133" s="26"/>
      <c r="X133" s="26"/>
      <c r="Y133" s="26"/>
      <c r="Z133" s="26"/>
      <c r="AA133" s="26"/>
      <c r="AB133" s="26"/>
      <c r="AC133" s="26"/>
      <c r="AD133" s="26"/>
      <c r="AE133" s="26"/>
      <c r="AF133" s="26"/>
      <c r="AG133" s="26"/>
      <c r="AH133" s="33" t="s">
        <v>1260</v>
      </c>
      <c r="AI133" s="23" t="s">
        <v>811</v>
      </c>
      <c r="AJ133" s="33" t="str">
        <f t="shared" si="2"/>
        <v>PD5D_MB_Moactcseq/samples/HC_BN0746_MB_MOactcseq_batch8_rep2.h5</v>
      </c>
      <c r="AK133" t="s">
        <v>1290</v>
      </c>
    </row>
    <row r="134" spans="1:37">
      <c r="A134" s="24" t="s">
        <v>850</v>
      </c>
      <c r="B134" s="24" t="s">
        <v>104</v>
      </c>
      <c r="C134" s="24" t="s">
        <v>104</v>
      </c>
      <c r="D134" s="24" t="s">
        <v>814</v>
      </c>
      <c r="E134" s="24">
        <v>3</v>
      </c>
      <c r="F134" s="24">
        <v>0</v>
      </c>
      <c r="G134" s="24" t="s">
        <v>706</v>
      </c>
      <c r="H134" s="24" t="s">
        <v>668</v>
      </c>
      <c r="I134" s="24" t="s">
        <v>806</v>
      </c>
      <c r="J134" s="24" t="s">
        <v>807</v>
      </c>
      <c r="K134" s="24" t="s">
        <v>807</v>
      </c>
      <c r="L134" s="24" t="s">
        <v>807</v>
      </c>
      <c r="M134" s="24" t="s">
        <v>807</v>
      </c>
      <c r="N134" s="24">
        <v>9.5</v>
      </c>
      <c r="O134" s="24">
        <v>9.5</v>
      </c>
      <c r="P134" s="24" t="s">
        <v>808</v>
      </c>
      <c r="Q134" s="25">
        <v>1768</v>
      </c>
      <c r="R134" s="24" t="s">
        <v>809</v>
      </c>
      <c r="S134" s="24" t="s">
        <v>675</v>
      </c>
      <c r="T134" s="24">
        <v>131</v>
      </c>
      <c r="U134" s="24" t="s">
        <v>810</v>
      </c>
      <c r="V134" s="24" t="s">
        <v>807</v>
      </c>
      <c r="W134" s="26"/>
      <c r="X134" s="26"/>
      <c r="Y134" s="26"/>
      <c r="Z134" s="26"/>
      <c r="AA134" s="26"/>
      <c r="AB134" s="26"/>
      <c r="AC134" s="26"/>
      <c r="AD134" s="26"/>
      <c r="AE134" s="26"/>
      <c r="AF134" s="26"/>
      <c r="AG134" s="26"/>
      <c r="AH134" s="33" t="s">
        <v>1260</v>
      </c>
      <c r="AI134" s="23" t="s">
        <v>811</v>
      </c>
      <c r="AJ134" s="33" t="str">
        <f t="shared" si="2"/>
        <v>PD5D_MB_Moactcseq/samples/HC_BN0746_MB_MOactcseq_batch8_rep3.h5</v>
      </c>
      <c r="AK134" t="s">
        <v>1290</v>
      </c>
    </row>
    <row r="135" spans="1:37">
      <c r="A135" s="24" t="s">
        <v>851</v>
      </c>
      <c r="B135" s="24" t="s">
        <v>106</v>
      </c>
      <c r="C135" s="24" t="s">
        <v>106</v>
      </c>
      <c r="D135" s="24" t="s">
        <v>666</v>
      </c>
      <c r="E135" s="24">
        <v>3</v>
      </c>
      <c r="F135" s="24">
        <v>0</v>
      </c>
      <c r="G135" s="24" t="s">
        <v>706</v>
      </c>
      <c r="H135" s="24" t="s">
        <v>668</v>
      </c>
      <c r="I135" s="24" t="s">
        <v>806</v>
      </c>
      <c r="J135" s="24" t="s">
        <v>807</v>
      </c>
      <c r="K135" s="24" t="s">
        <v>807</v>
      </c>
      <c r="L135" s="24" t="s">
        <v>807</v>
      </c>
      <c r="M135" s="24" t="s">
        <v>807</v>
      </c>
      <c r="N135" s="24">
        <v>9.4</v>
      </c>
      <c r="O135" s="24">
        <v>9.4</v>
      </c>
      <c r="P135" s="24" t="s">
        <v>808</v>
      </c>
      <c r="Q135" s="24">
        <v>312</v>
      </c>
      <c r="R135" s="24" t="s">
        <v>809</v>
      </c>
      <c r="S135" s="24" t="s">
        <v>675</v>
      </c>
      <c r="T135" s="24">
        <v>131</v>
      </c>
      <c r="U135" s="24" t="s">
        <v>810</v>
      </c>
      <c r="V135" s="24" t="s">
        <v>807</v>
      </c>
      <c r="W135" s="26"/>
      <c r="X135" s="26"/>
      <c r="Y135" s="26"/>
      <c r="Z135" s="26"/>
      <c r="AA135" s="26"/>
      <c r="AB135" s="26"/>
      <c r="AC135" s="26"/>
      <c r="AD135" s="26"/>
      <c r="AE135" s="26"/>
      <c r="AF135" s="26"/>
      <c r="AG135" s="26"/>
      <c r="AH135" s="33" t="s">
        <v>1260</v>
      </c>
      <c r="AI135" s="23" t="s">
        <v>811</v>
      </c>
      <c r="AJ135" s="33" t="str">
        <f t="shared" si="2"/>
        <v>PD5D_MB_Moactcseq/samples/HC_BN0855_MB_MOactcseq_batch8_rep1.h5</v>
      </c>
      <c r="AK135" t="s">
        <v>1290</v>
      </c>
    </row>
    <row r="136" spans="1:37">
      <c r="A136" s="24" t="s">
        <v>852</v>
      </c>
      <c r="B136" s="24" t="s">
        <v>106</v>
      </c>
      <c r="C136" s="24" t="s">
        <v>106</v>
      </c>
      <c r="D136" s="24" t="s">
        <v>689</v>
      </c>
      <c r="E136" s="24">
        <v>3</v>
      </c>
      <c r="F136" s="24">
        <v>0</v>
      </c>
      <c r="G136" s="24" t="s">
        <v>706</v>
      </c>
      <c r="H136" s="24" t="s">
        <v>668</v>
      </c>
      <c r="I136" s="24" t="s">
        <v>806</v>
      </c>
      <c r="J136" s="24" t="s">
        <v>807</v>
      </c>
      <c r="K136" s="24" t="s">
        <v>807</v>
      </c>
      <c r="L136" s="24" t="s">
        <v>807</v>
      </c>
      <c r="M136" s="24" t="s">
        <v>807</v>
      </c>
      <c r="N136" s="24">
        <v>9.4</v>
      </c>
      <c r="O136" s="24">
        <v>9.4</v>
      </c>
      <c r="P136" s="24" t="s">
        <v>808</v>
      </c>
      <c r="Q136" s="24">
        <v>312</v>
      </c>
      <c r="R136" s="24" t="s">
        <v>809</v>
      </c>
      <c r="S136" s="24" t="s">
        <v>675</v>
      </c>
      <c r="T136" s="24">
        <v>131</v>
      </c>
      <c r="U136" s="24" t="s">
        <v>810</v>
      </c>
      <c r="V136" s="24" t="s">
        <v>807</v>
      </c>
      <c r="W136" s="26"/>
      <c r="X136" s="26"/>
      <c r="Y136" s="26"/>
      <c r="Z136" s="26"/>
      <c r="AA136" s="26"/>
      <c r="AB136" s="26"/>
      <c r="AC136" s="26"/>
      <c r="AD136" s="26"/>
      <c r="AE136" s="26"/>
      <c r="AF136" s="26"/>
      <c r="AG136" s="26"/>
      <c r="AH136" s="33" t="s">
        <v>1260</v>
      </c>
      <c r="AI136" s="23" t="s">
        <v>811</v>
      </c>
      <c r="AJ136" s="33" t="str">
        <f t="shared" si="2"/>
        <v>PD5D_MB_Moactcseq/samples/HC_BN0855_MB_MOactcseq_batch8_rep2.h5</v>
      </c>
      <c r="AK136" t="s">
        <v>1290</v>
      </c>
    </row>
    <row r="137" spans="1:37">
      <c r="A137" s="24" t="s">
        <v>853</v>
      </c>
      <c r="B137" s="24" t="s">
        <v>106</v>
      </c>
      <c r="C137" s="24" t="s">
        <v>106</v>
      </c>
      <c r="D137" s="24" t="s">
        <v>814</v>
      </c>
      <c r="E137" s="24">
        <v>3</v>
      </c>
      <c r="F137" s="24">
        <v>0</v>
      </c>
      <c r="G137" s="24" t="s">
        <v>706</v>
      </c>
      <c r="H137" s="24" t="s">
        <v>668</v>
      </c>
      <c r="I137" s="24" t="s">
        <v>806</v>
      </c>
      <c r="J137" s="24" t="s">
        <v>807</v>
      </c>
      <c r="K137" s="24" t="s">
        <v>807</v>
      </c>
      <c r="L137" s="24" t="s">
        <v>807</v>
      </c>
      <c r="M137" s="24" t="s">
        <v>807</v>
      </c>
      <c r="N137" s="24">
        <v>9.4</v>
      </c>
      <c r="O137" s="24">
        <v>9.4</v>
      </c>
      <c r="P137" s="24" t="s">
        <v>808</v>
      </c>
      <c r="Q137" s="24">
        <v>312</v>
      </c>
      <c r="R137" s="24" t="s">
        <v>809</v>
      </c>
      <c r="S137" s="24" t="s">
        <v>675</v>
      </c>
      <c r="T137" s="24">
        <v>131</v>
      </c>
      <c r="U137" s="24" t="s">
        <v>810</v>
      </c>
      <c r="V137" s="24" t="s">
        <v>807</v>
      </c>
      <c r="W137" s="26"/>
      <c r="X137" s="26"/>
      <c r="Y137" s="26"/>
      <c r="Z137" s="26"/>
      <c r="AA137" s="26"/>
      <c r="AB137" s="26"/>
      <c r="AC137" s="26"/>
      <c r="AD137" s="26"/>
      <c r="AE137" s="26"/>
      <c r="AF137" s="26"/>
      <c r="AG137" s="26"/>
      <c r="AH137" s="33" t="s">
        <v>1260</v>
      </c>
      <c r="AI137" s="23" t="s">
        <v>811</v>
      </c>
      <c r="AJ137" s="33" t="str">
        <f t="shared" si="2"/>
        <v>PD5D_MB_Moactcseq/samples/HC_BN0855_MB_MOactcseq_batch8_rep3.h5</v>
      </c>
      <c r="AK137" t="s">
        <v>1290</v>
      </c>
    </row>
    <row r="138" spans="1:37">
      <c r="A138" s="24" t="s">
        <v>854</v>
      </c>
      <c r="B138" s="24" t="s">
        <v>116</v>
      </c>
      <c r="C138" s="24" t="s">
        <v>116</v>
      </c>
      <c r="D138" s="24" t="s">
        <v>666</v>
      </c>
      <c r="E138" s="24">
        <v>5</v>
      </c>
      <c r="F138" s="24">
        <v>0</v>
      </c>
      <c r="G138" s="24" t="s">
        <v>718</v>
      </c>
      <c r="H138" s="24" t="s">
        <v>668</v>
      </c>
      <c r="I138" s="24" t="s">
        <v>806</v>
      </c>
      <c r="J138" s="24" t="s">
        <v>807</v>
      </c>
      <c r="K138" s="24" t="s">
        <v>807</v>
      </c>
      <c r="L138" s="24" t="s">
        <v>807</v>
      </c>
      <c r="M138" s="24" t="s">
        <v>807</v>
      </c>
      <c r="N138" s="24">
        <v>9.6</v>
      </c>
      <c r="O138" s="24">
        <v>9.6</v>
      </c>
      <c r="P138" s="24" t="s">
        <v>808</v>
      </c>
      <c r="Q138" s="25">
        <v>3137</v>
      </c>
      <c r="R138" s="24" t="s">
        <v>809</v>
      </c>
      <c r="S138" s="24" t="s">
        <v>675</v>
      </c>
      <c r="T138" s="24">
        <v>131</v>
      </c>
      <c r="U138" s="24" t="s">
        <v>810</v>
      </c>
      <c r="V138" s="24" t="s">
        <v>807</v>
      </c>
      <c r="W138" s="26"/>
      <c r="X138" s="26"/>
      <c r="Y138" s="26"/>
      <c r="Z138" s="26"/>
      <c r="AA138" s="26"/>
      <c r="AB138" s="26"/>
      <c r="AC138" s="26"/>
      <c r="AD138" s="26"/>
      <c r="AE138" s="26"/>
      <c r="AF138" s="26"/>
      <c r="AG138" s="26"/>
      <c r="AH138" s="33" t="s">
        <v>1260</v>
      </c>
      <c r="AI138" s="23" t="s">
        <v>811</v>
      </c>
      <c r="AJ138" s="33" t="str">
        <f t="shared" si="2"/>
        <v>PD5D_MB_Moactcseq/samples/HC_BN1144_MB_MOactcseq_batch13_rep1.h5</v>
      </c>
      <c r="AK138" t="s">
        <v>1290</v>
      </c>
    </row>
    <row r="139" spans="1:37">
      <c r="A139" s="24" t="s">
        <v>855</v>
      </c>
      <c r="B139" s="24" t="s">
        <v>116</v>
      </c>
      <c r="C139" s="24" t="s">
        <v>116</v>
      </c>
      <c r="D139" s="24" t="s">
        <v>689</v>
      </c>
      <c r="E139" s="24">
        <v>5</v>
      </c>
      <c r="F139" s="24">
        <v>0</v>
      </c>
      <c r="G139" s="24" t="s">
        <v>718</v>
      </c>
      <c r="H139" s="24" t="s">
        <v>668</v>
      </c>
      <c r="I139" s="24" t="s">
        <v>806</v>
      </c>
      <c r="J139" s="24" t="s">
        <v>807</v>
      </c>
      <c r="K139" s="24" t="s">
        <v>807</v>
      </c>
      <c r="L139" s="24" t="s">
        <v>807</v>
      </c>
      <c r="M139" s="24" t="s">
        <v>807</v>
      </c>
      <c r="N139" s="24">
        <v>9.6</v>
      </c>
      <c r="O139" s="24">
        <v>9.6</v>
      </c>
      <c r="P139" s="24" t="s">
        <v>808</v>
      </c>
      <c r="Q139" s="25">
        <v>3137</v>
      </c>
      <c r="R139" s="24" t="s">
        <v>809</v>
      </c>
      <c r="S139" s="24" t="s">
        <v>675</v>
      </c>
      <c r="T139" s="24">
        <v>131</v>
      </c>
      <c r="U139" s="24" t="s">
        <v>810</v>
      </c>
      <c r="V139" s="24" t="s">
        <v>807</v>
      </c>
      <c r="W139" s="26"/>
      <c r="X139" s="26"/>
      <c r="Y139" s="26"/>
      <c r="Z139" s="26"/>
      <c r="AA139" s="26"/>
      <c r="AB139" s="26"/>
      <c r="AC139" s="26"/>
      <c r="AD139" s="26"/>
      <c r="AE139" s="26"/>
      <c r="AF139" s="26"/>
      <c r="AG139" s="26"/>
      <c r="AH139" s="33" t="s">
        <v>1260</v>
      </c>
      <c r="AI139" s="23" t="s">
        <v>811</v>
      </c>
      <c r="AJ139" s="33" t="str">
        <f t="shared" si="2"/>
        <v>PD5D_MB_Moactcseq/samples/HC_BN1144_MB_MOactcseq_batch13_rep2.h5</v>
      </c>
      <c r="AK139" t="s">
        <v>1290</v>
      </c>
    </row>
    <row r="140" spans="1:37">
      <c r="A140" s="24" t="s">
        <v>856</v>
      </c>
      <c r="B140" s="24" t="s">
        <v>116</v>
      </c>
      <c r="C140" s="24" t="s">
        <v>116</v>
      </c>
      <c r="D140" s="24" t="s">
        <v>814</v>
      </c>
      <c r="E140" s="24">
        <v>5</v>
      </c>
      <c r="F140" s="24">
        <v>0</v>
      </c>
      <c r="G140" s="24" t="s">
        <v>718</v>
      </c>
      <c r="H140" s="24" t="s">
        <v>668</v>
      </c>
      <c r="I140" s="24" t="s">
        <v>806</v>
      </c>
      <c r="J140" s="24" t="s">
        <v>807</v>
      </c>
      <c r="K140" s="24" t="s">
        <v>807</v>
      </c>
      <c r="L140" s="24" t="s">
        <v>807</v>
      </c>
      <c r="M140" s="24" t="s">
        <v>807</v>
      </c>
      <c r="N140" s="24">
        <v>9.6</v>
      </c>
      <c r="O140" s="24">
        <v>9.6</v>
      </c>
      <c r="P140" s="24" t="s">
        <v>808</v>
      </c>
      <c r="Q140" s="25">
        <v>3137</v>
      </c>
      <c r="R140" s="24" t="s">
        <v>809</v>
      </c>
      <c r="S140" s="24" t="s">
        <v>675</v>
      </c>
      <c r="T140" s="24">
        <v>131</v>
      </c>
      <c r="U140" s="24" t="s">
        <v>810</v>
      </c>
      <c r="V140" s="24" t="s">
        <v>807</v>
      </c>
      <c r="W140" s="26"/>
      <c r="X140" s="26"/>
      <c r="Y140" s="26"/>
      <c r="Z140" s="26"/>
      <c r="AA140" s="26"/>
      <c r="AB140" s="26"/>
      <c r="AC140" s="26"/>
      <c r="AD140" s="26"/>
      <c r="AE140" s="26"/>
      <c r="AF140" s="26"/>
      <c r="AG140" s="26"/>
      <c r="AH140" s="33" t="s">
        <v>1260</v>
      </c>
      <c r="AI140" s="23" t="s">
        <v>811</v>
      </c>
      <c r="AJ140" s="33" t="str">
        <f t="shared" si="2"/>
        <v>PD5D_MB_Moactcseq/samples/HC_BN1144_MB_MOactcseq_batch13_rep3.h5</v>
      </c>
      <c r="AK140" t="s">
        <v>1290</v>
      </c>
    </row>
    <row r="141" spans="1:37">
      <c r="A141" s="24" t="s">
        <v>857</v>
      </c>
      <c r="B141" s="24" t="s">
        <v>116</v>
      </c>
      <c r="C141" s="24" t="s">
        <v>116</v>
      </c>
      <c r="D141" s="24" t="s">
        <v>819</v>
      </c>
      <c r="E141" s="24">
        <v>5</v>
      </c>
      <c r="F141" s="24">
        <v>0</v>
      </c>
      <c r="G141" s="24" t="s">
        <v>718</v>
      </c>
      <c r="H141" s="24" t="s">
        <v>668</v>
      </c>
      <c r="I141" s="24" t="s">
        <v>806</v>
      </c>
      <c r="J141" s="24" t="s">
        <v>807</v>
      </c>
      <c r="K141" s="24" t="s">
        <v>807</v>
      </c>
      <c r="L141" s="24" t="s">
        <v>807</v>
      </c>
      <c r="M141" s="24" t="s">
        <v>807</v>
      </c>
      <c r="N141" s="24">
        <v>9.6</v>
      </c>
      <c r="O141" s="24">
        <v>9.6</v>
      </c>
      <c r="P141" s="24" t="s">
        <v>808</v>
      </c>
      <c r="Q141" s="25">
        <v>3137</v>
      </c>
      <c r="R141" s="24" t="s">
        <v>809</v>
      </c>
      <c r="S141" s="24" t="s">
        <v>675</v>
      </c>
      <c r="T141" s="24">
        <v>131</v>
      </c>
      <c r="U141" s="24" t="s">
        <v>810</v>
      </c>
      <c r="V141" s="24" t="s">
        <v>807</v>
      </c>
      <c r="W141" s="26"/>
      <c r="X141" s="26"/>
      <c r="Y141" s="26"/>
      <c r="Z141" s="26"/>
      <c r="AA141" s="26"/>
      <c r="AB141" s="26"/>
      <c r="AC141" s="26"/>
      <c r="AD141" s="26"/>
      <c r="AE141" s="26"/>
      <c r="AF141" s="26"/>
      <c r="AG141" s="26"/>
      <c r="AH141" s="33" t="s">
        <v>1260</v>
      </c>
      <c r="AI141" s="23" t="s">
        <v>811</v>
      </c>
      <c r="AJ141" s="33" t="str">
        <f t="shared" si="2"/>
        <v>PD5D_MB_Moactcseq/samples/HC_BN1144_MB_MOactcseq_batch13_rep4.h5</v>
      </c>
      <c r="AK141" t="s">
        <v>1290</v>
      </c>
    </row>
    <row r="142" spans="1:37">
      <c r="A142" s="24" t="s">
        <v>858</v>
      </c>
      <c r="B142" s="24" t="s">
        <v>116</v>
      </c>
      <c r="C142" s="24" t="s">
        <v>116</v>
      </c>
      <c r="D142" s="24" t="s">
        <v>821</v>
      </c>
      <c r="E142" s="24">
        <v>5</v>
      </c>
      <c r="F142" s="24">
        <v>0</v>
      </c>
      <c r="G142" s="24" t="s">
        <v>718</v>
      </c>
      <c r="H142" s="24" t="s">
        <v>668</v>
      </c>
      <c r="I142" s="24" t="s">
        <v>806</v>
      </c>
      <c r="J142" s="24" t="s">
        <v>807</v>
      </c>
      <c r="K142" s="24" t="s">
        <v>807</v>
      </c>
      <c r="L142" s="24" t="s">
        <v>807</v>
      </c>
      <c r="M142" s="24" t="s">
        <v>807</v>
      </c>
      <c r="N142" s="24">
        <v>9.6</v>
      </c>
      <c r="O142" s="24">
        <v>9.6</v>
      </c>
      <c r="P142" s="24" t="s">
        <v>808</v>
      </c>
      <c r="Q142" s="25">
        <v>3137</v>
      </c>
      <c r="R142" s="24" t="s">
        <v>809</v>
      </c>
      <c r="S142" s="24" t="s">
        <v>675</v>
      </c>
      <c r="T142" s="24">
        <v>131</v>
      </c>
      <c r="U142" s="24" t="s">
        <v>810</v>
      </c>
      <c r="V142" s="24" t="s">
        <v>807</v>
      </c>
      <c r="W142" s="26"/>
      <c r="X142" s="26"/>
      <c r="Y142" s="26"/>
      <c r="Z142" s="26"/>
      <c r="AA142" s="26"/>
      <c r="AB142" s="26"/>
      <c r="AC142" s="26"/>
      <c r="AD142" s="26"/>
      <c r="AE142" s="26"/>
      <c r="AF142" s="26"/>
      <c r="AG142" s="26"/>
      <c r="AH142" s="33" t="s">
        <v>1260</v>
      </c>
      <c r="AI142" s="23" t="s">
        <v>811</v>
      </c>
      <c r="AJ142" s="33" t="str">
        <f t="shared" si="2"/>
        <v>PD5D_MB_Moactcseq/samples/HC_BN1144_MB_MOactcseq_batch13_rep5.h5</v>
      </c>
      <c r="AK142" t="s">
        <v>1290</v>
      </c>
    </row>
    <row r="143" spans="1:37">
      <c r="A143" s="24" t="s">
        <v>859</v>
      </c>
      <c r="B143" s="24" t="s">
        <v>122</v>
      </c>
      <c r="C143" s="24" t="s">
        <v>122</v>
      </c>
      <c r="D143" s="24" t="s">
        <v>666</v>
      </c>
      <c r="E143" s="24">
        <v>5</v>
      </c>
      <c r="F143" s="24">
        <v>0</v>
      </c>
      <c r="G143" s="24" t="s">
        <v>718</v>
      </c>
      <c r="H143" s="24" t="s">
        <v>668</v>
      </c>
      <c r="I143" s="24" t="s">
        <v>806</v>
      </c>
      <c r="J143" s="24" t="s">
        <v>807</v>
      </c>
      <c r="K143" s="24" t="s">
        <v>807</v>
      </c>
      <c r="L143" s="24" t="s">
        <v>807</v>
      </c>
      <c r="M143" s="24" t="s">
        <v>807</v>
      </c>
      <c r="N143" s="24">
        <v>9.6</v>
      </c>
      <c r="O143" s="24">
        <v>9.6</v>
      </c>
      <c r="P143" s="24" t="s">
        <v>808</v>
      </c>
      <c r="Q143" s="25">
        <v>6849</v>
      </c>
      <c r="R143" s="24" t="s">
        <v>809</v>
      </c>
      <c r="S143" s="24" t="s">
        <v>675</v>
      </c>
      <c r="T143" s="24">
        <v>131</v>
      </c>
      <c r="U143" s="24" t="s">
        <v>810</v>
      </c>
      <c r="V143" s="24" t="s">
        <v>807</v>
      </c>
      <c r="W143" s="26"/>
      <c r="X143" s="26"/>
      <c r="Y143" s="26"/>
      <c r="Z143" s="26"/>
      <c r="AA143" s="26"/>
      <c r="AB143" s="26"/>
      <c r="AC143" s="26"/>
      <c r="AD143" s="26"/>
      <c r="AE143" s="26"/>
      <c r="AF143" s="26"/>
      <c r="AG143" s="26"/>
      <c r="AH143" s="33" t="s">
        <v>1260</v>
      </c>
      <c r="AI143" s="23" t="s">
        <v>811</v>
      </c>
      <c r="AJ143" s="33" t="str">
        <f t="shared" si="2"/>
        <v>PD5D_MB_Moactcseq/samples/HC_BN1206_MB_MOactcseq_batch13_rep1.h5</v>
      </c>
      <c r="AK143" t="s">
        <v>1290</v>
      </c>
    </row>
    <row r="144" spans="1:37">
      <c r="A144" s="24" t="s">
        <v>860</v>
      </c>
      <c r="B144" s="24" t="s">
        <v>122</v>
      </c>
      <c r="C144" s="24" t="s">
        <v>122</v>
      </c>
      <c r="D144" s="24" t="s">
        <v>689</v>
      </c>
      <c r="E144" s="24">
        <v>5</v>
      </c>
      <c r="F144" s="24">
        <v>0</v>
      </c>
      <c r="G144" s="24" t="s">
        <v>718</v>
      </c>
      <c r="H144" s="24" t="s">
        <v>668</v>
      </c>
      <c r="I144" s="24" t="s">
        <v>806</v>
      </c>
      <c r="J144" s="24" t="s">
        <v>807</v>
      </c>
      <c r="K144" s="24" t="s">
        <v>807</v>
      </c>
      <c r="L144" s="24" t="s">
        <v>807</v>
      </c>
      <c r="M144" s="24" t="s">
        <v>807</v>
      </c>
      <c r="N144" s="24">
        <v>9.6</v>
      </c>
      <c r="O144" s="24">
        <v>9.6</v>
      </c>
      <c r="P144" s="24" t="s">
        <v>808</v>
      </c>
      <c r="Q144" s="25">
        <v>6849</v>
      </c>
      <c r="R144" s="24" t="s">
        <v>809</v>
      </c>
      <c r="S144" s="24" t="s">
        <v>675</v>
      </c>
      <c r="T144" s="24">
        <v>131</v>
      </c>
      <c r="U144" s="24" t="s">
        <v>810</v>
      </c>
      <c r="V144" s="24" t="s">
        <v>807</v>
      </c>
      <c r="W144" s="26"/>
      <c r="X144" s="26"/>
      <c r="Y144" s="26"/>
      <c r="Z144" s="26"/>
      <c r="AA144" s="26"/>
      <c r="AB144" s="26"/>
      <c r="AC144" s="26"/>
      <c r="AD144" s="26"/>
      <c r="AE144" s="26"/>
      <c r="AF144" s="26"/>
      <c r="AG144" s="26"/>
      <c r="AH144" s="33" t="s">
        <v>1260</v>
      </c>
      <c r="AI144" s="23" t="s">
        <v>811</v>
      </c>
      <c r="AJ144" s="33" t="str">
        <f t="shared" si="2"/>
        <v>PD5D_MB_Moactcseq/samples/HC_BN1206_MB_MOactcseq_batch13_rep2.h5</v>
      </c>
      <c r="AK144" t="s">
        <v>1290</v>
      </c>
    </row>
    <row r="145" spans="1:37">
      <c r="A145" s="24" t="s">
        <v>861</v>
      </c>
      <c r="B145" s="24" t="s">
        <v>122</v>
      </c>
      <c r="C145" s="24" t="s">
        <v>122</v>
      </c>
      <c r="D145" s="24" t="s">
        <v>814</v>
      </c>
      <c r="E145" s="24">
        <v>5</v>
      </c>
      <c r="F145" s="24">
        <v>0</v>
      </c>
      <c r="G145" s="24" t="s">
        <v>718</v>
      </c>
      <c r="H145" s="24" t="s">
        <v>668</v>
      </c>
      <c r="I145" s="24" t="s">
        <v>806</v>
      </c>
      <c r="J145" s="24" t="s">
        <v>807</v>
      </c>
      <c r="K145" s="24" t="s">
        <v>807</v>
      </c>
      <c r="L145" s="24" t="s">
        <v>807</v>
      </c>
      <c r="M145" s="24" t="s">
        <v>807</v>
      </c>
      <c r="N145" s="24">
        <v>9.6</v>
      </c>
      <c r="O145" s="24">
        <v>9.6</v>
      </c>
      <c r="P145" s="24" t="s">
        <v>808</v>
      </c>
      <c r="Q145" s="25">
        <v>6849</v>
      </c>
      <c r="R145" s="24" t="s">
        <v>809</v>
      </c>
      <c r="S145" s="24" t="s">
        <v>675</v>
      </c>
      <c r="T145" s="24">
        <v>131</v>
      </c>
      <c r="U145" s="24" t="s">
        <v>810</v>
      </c>
      <c r="V145" s="24" t="s">
        <v>807</v>
      </c>
      <c r="W145" s="26"/>
      <c r="X145" s="26"/>
      <c r="Y145" s="26"/>
      <c r="Z145" s="26"/>
      <c r="AA145" s="26"/>
      <c r="AB145" s="26"/>
      <c r="AC145" s="26"/>
      <c r="AD145" s="26"/>
      <c r="AE145" s="26"/>
      <c r="AF145" s="26"/>
      <c r="AG145" s="26"/>
      <c r="AH145" s="33" t="s">
        <v>1260</v>
      </c>
      <c r="AI145" s="23" t="s">
        <v>811</v>
      </c>
      <c r="AJ145" s="33" t="str">
        <f t="shared" si="2"/>
        <v>PD5D_MB_Moactcseq/samples/HC_BN1206_MB_MOactcseq_batch13_rep3.h5</v>
      </c>
      <c r="AK145" t="s">
        <v>1290</v>
      </c>
    </row>
    <row r="146" spans="1:37">
      <c r="A146" s="24" t="s">
        <v>862</v>
      </c>
      <c r="B146" s="24" t="s">
        <v>122</v>
      </c>
      <c r="C146" s="24" t="s">
        <v>122</v>
      </c>
      <c r="D146" s="24" t="s">
        <v>819</v>
      </c>
      <c r="E146" s="24">
        <v>5</v>
      </c>
      <c r="F146" s="24">
        <v>0</v>
      </c>
      <c r="G146" s="24" t="s">
        <v>718</v>
      </c>
      <c r="H146" s="24" t="s">
        <v>668</v>
      </c>
      <c r="I146" s="24" t="s">
        <v>806</v>
      </c>
      <c r="J146" s="24" t="s">
        <v>807</v>
      </c>
      <c r="K146" s="24" t="s">
        <v>807</v>
      </c>
      <c r="L146" s="24" t="s">
        <v>807</v>
      </c>
      <c r="M146" s="24" t="s">
        <v>807</v>
      </c>
      <c r="N146" s="24">
        <v>9.6</v>
      </c>
      <c r="O146" s="24">
        <v>9.6</v>
      </c>
      <c r="P146" s="24" t="s">
        <v>808</v>
      </c>
      <c r="Q146" s="25">
        <v>6849</v>
      </c>
      <c r="R146" s="24" t="s">
        <v>809</v>
      </c>
      <c r="S146" s="24" t="s">
        <v>675</v>
      </c>
      <c r="T146" s="24">
        <v>131</v>
      </c>
      <c r="U146" s="24" t="s">
        <v>810</v>
      </c>
      <c r="V146" s="24" t="s">
        <v>807</v>
      </c>
      <c r="W146" s="26"/>
      <c r="X146" s="26"/>
      <c r="Y146" s="26"/>
      <c r="Z146" s="26"/>
      <c r="AA146" s="26"/>
      <c r="AB146" s="26"/>
      <c r="AC146" s="26"/>
      <c r="AD146" s="26"/>
      <c r="AE146" s="26"/>
      <c r="AF146" s="26"/>
      <c r="AG146" s="26"/>
      <c r="AH146" s="33" t="s">
        <v>1260</v>
      </c>
      <c r="AI146" s="23" t="s">
        <v>811</v>
      </c>
      <c r="AJ146" s="33" t="str">
        <f t="shared" si="2"/>
        <v>PD5D_MB_Moactcseq/samples/HC_BN1206_MB_MOactcseq_batch13_rep4.h5</v>
      </c>
      <c r="AK146" t="s">
        <v>1290</v>
      </c>
    </row>
    <row r="147" spans="1:37">
      <c r="A147" s="24" t="s">
        <v>863</v>
      </c>
      <c r="B147" s="24" t="s">
        <v>122</v>
      </c>
      <c r="C147" s="24" t="s">
        <v>122</v>
      </c>
      <c r="D147" s="24" t="s">
        <v>821</v>
      </c>
      <c r="E147" s="24">
        <v>5</v>
      </c>
      <c r="F147" s="24">
        <v>0</v>
      </c>
      <c r="G147" s="24" t="s">
        <v>718</v>
      </c>
      <c r="H147" s="24" t="s">
        <v>668</v>
      </c>
      <c r="I147" s="24" t="s">
        <v>806</v>
      </c>
      <c r="J147" s="24" t="s">
        <v>807</v>
      </c>
      <c r="K147" s="24" t="s">
        <v>807</v>
      </c>
      <c r="L147" s="24" t="s">
        <v>807</v>
      </c>
      <c r="M147" s="24" t="s">
        <v>807</v>
      </c>
      <c r="N147" s="24">
        <v>9.6</v>
      </c>
      <c r="O147" s="24">
        <v>9.6</v>
      </c>
      <c r="P147" s="24" t="s">
        <v>808</v>
      </c>
      <c r="Q147" s="25">
        <v>6849</v>
      </c>
      <c r="R147" s="24" t="s">
        <v>809</v>
      </c>
      <c r="S147" s="24" t="s">
        <v>675</v>
      </c>
      <c r="T147" s="24">
        <v>131</v>
      </c>
      <c r="U147" s="24" t="s">
        <v>810</v>
      </c>
      <c r="V147" s="24" t="s">
        <v>807</v>
      </c>
      <c r="W147" s="26"/>
      <c r="X147" s="26"/>
      <c r="Y147" s="26"/>
      <c r="Z147" s="26"/>
      <c r="AA147" s="26"/>
      <c r="AB147" s="26"/>
      <c r="AC147" s="26"/>
      <c r="AD147" s="26"/>
      <c r="AE147" s="26"/>
      <c r="AF147" s="26"/>
      <c r="AG147" s="26"/>
      <c r="AH147" s="33" t="s">
        <v>1260</v>
      </c>
      <c r="AI147" s="23" t="s">
        <v>811</v>
      </c>
      <c r="AJ147" s="33" t="str">
        <f t="shared" si="2"/>
        <v>PD5D_MB_Moactcseq/samples/HC_BN1206_MB_MOactcseq_batch13_rep5.h5</v>
      </c>
      <c r="AK147" t="s">
        <v>1290</v>
      </c>
    </row>
    <row r="148" spans="1:37">
      <c r="A148" s="24" t="s">
        <v>864</v>
      </c>
      <c r="B148" s="24" t="s">
        <v>124</v>
      </c>
      <c r="C148" s="24" t="s">
        <v>124</v>
      </c>
      <c r="D148" s="24" t="s">
        <v>666</v>
      </c>
      <c r="E148" s="24">
        <v>3</v>
      </c>
      <c r="F148" s="24">
        <v>0</v>
      </c>
      <c r="G148" s="24" t="s">
        <v>686</v>
      </c>
      <c r="H148" s="24" t="s">
        <v>668</v>
      </c>
      <c r="I148" s="24" t="s">
        <v>806</v>
      </c>
      <c r="J148" s="24" t="s">
        <v>807</v>
      </c>
      <c r="K148" s="24" t="s">
        <v>807</v>
      </c>
      <c r="L148" s="24" t="s">
        <v>807</v>
      </c>
      <c r="M148" s="24" t="s">
        <v>807</v>
      </c>
      <c r="N148" s="24">
        <v>8.1999999999999993</v>
      </c>
      <c r="O148" s="24">
        <v>8.1999999999999993</v>
      </c>
      <c r="P148" s="24" t="s">
        <v>808</v>
      </c>
      <c r="Q148" s="25">
        <v>2615</v>
      </c>
      <c r="R148" s="24" t="s">
        <v>809</v>
      </c>
      <c r="S148" s="24" t="s">
        <v>675</v>
      </c>
      <c r="T148" s="24">
        <v>131</v>
      </c>
      <c r="U148" s="24" t="s">
        <v>810</v>
      </c>
      <c r="V148" s="24" t="s">
        <v>807</v>
      </c>
      <c r="W148" s="26"/>
      <c r="X148" s="26"/>
      <c r="Y148" s="26"/>
      <c r="Z148" s="26"/>
      <c r="AA148" s="26"/>
      <c r="AB148" s="26"/>
      <c r="AC148" s="26"/>
      <c r="AD148" s="26"/>
      <c r="AE148" s="26"/>
      <c r="AF148" s="26"/>
      <c r="AG148" s="26"/>
      <c r="AH148" s="33" t="s">
        <v>1260</v>
      </c>
      <c r="AI148" s="23" t="s">
        <v>811</v>
      </c>
      <c r="AJ148" s="33" t="str">
        <f t="shared" si="2"/>
        <v>PD5D_MB_Moactcseq/samples/HC_BN1221_MB_MOactcseq_batch7_rep1.h5</v>
      </c>
      <c r="AK148" t="s">
        <v>1290</v>
      </c>
    </row>
    <row r="149" spans="1:37">
      <c r="A149" s="24" t="s">
        <v>865</v>
      </c>
      <c r="B149" s="24" t="s">
        <v>124</v>
      </c>
      <c r="C149" s="24" t="s">
        <v>124</v>
      </c>
      <c r="D149" s="24" t="s">
        <v>689</v>
      </c>
      <c r="E149" s="24">
        <v>3</v>
      </c>
      <c r="F149" s="24">
        <v>0</v>
      </c>
      <c r="G149" s="24" t="s">
        <v>686</v>
      </c>
      <c r="H149" s="24" t="s">
        <v>668</v>
      </c>
      <c r="I149" s="24" t="s">
        <v>806</v>
      </c>
      <c r="J149" s="24" t="s">
        <v>807</v>
      </c>
      <c r="K149" s="24" t="s">
        <v>807</v>
      </c>
      <c r="L149" s="24" t="s">
        <v>807</v>
      </c>
      <c r="M149" s="24" t="s">
        <v>807</v>
      </c>
      <c r="N149" s="24">
        <v>8.1999999999999993</v>
      </c>
      <c r="O149" s="24">
        <v>8.1999999999999993</v>
      </c>
      <c r="P149" s="24" t="s">
        <v>808</v>
      </c>
      <c r="Q149" s="25">
        <v>2615</v>
      </c>
      <c r="R149" s="24" t="s">
        <v>809</v>
      </c>
      <c r="S149" s="24" t="s">
        <v>675</v>
      </c>
      <c r="T149" s="24">
        <v>131</v>
      </c>
      <c r="U149" s="24" t="s">
        <v>810</v>
      </c>
      <c r="V149" s="24" t="s">
        <v>807</v>
      </c>
      <c r="W149" s="26"/>
      <c r="X149" s="26"/>
      <c r="Y149" s="26"/>
      <c r="Z149" s="26"/>
      <c r="AA149" s="26"/>
      <c r="AB149" s="26"/>
      <c r="AC149" s="26"/>
      <c r="AD149" s="26"/>
      <c r="AE149" s="26"/>
      <c r="AF149" s="26"/>
      <c r="AG149" s="26"/>
      <c r="AH149" s="33" t="s">
        <v>1260</v>
      </c>
      <c r="AI149" s="23" t="s">
        <v>811</v>
      </c>
      <c r="AJ149" s="33" t="str">
        <f t="shared" si="2"/>
        <v>PD5D_MB_Moactcseq/samples/HC_BN1221_MB_MOactcseq_batch7_rep2.h5</v>
      </c>
      <c r="AK149" t="s">
        <v>1290</v>
      </c>
    </row>
    <row r="150" spans="1:37">
      <c r="A150" s="24" t="s">
        <v>866</v>
      </c>
      <c r="B150" s="24" t="s">
        <v>124</v>
      </c>
      <c r="C150" s="24" t="s">
        <v>124</v>
      </c>
      <c r="D150" s="24" t="s">
        <v>814</v>
      </c>
      <c r="E150" s="24">
        <v>3</v>
      </c>
      <c r="F150" s="24">
        <v>0</v>
      </c>
      <c r="G150" s="24" t="s">
        <v>686</v>
      </c>
      <c r="H150" s="24" t="s">
        <v>668</v>
      </c>
      <c r="I150" s="24" t="s">
        <v>806</v>
      </c>
      <c r="J150" s="24" t="s">
        <v>807</v>
      </c>
      <c r="K150" s="24" t="s">
        <v>807</v>
      </c>
      <c r="L150" s="24" t="s">
        <v>807</v>
      </c>
      <c r="M150" s="24" t="s">
        <v>807</v>
      </c>
      <c r="N150" s="24">
        <v>8.1999999999999993</v>
      </c>
      <c r="O150" s="24">
        <v>8.1999999999999993</v>
      </c>
      <c r="P150" s="24" t="s">
        <v>808</v>
      </c>
      <c r="Q150" s="25">
        <v>2615</v>
      </c>
      <c r="R150" s="24" t="s">
        <v>809</v>
      </c>
      <c r="S150" s="24" t="s">
        <v>675</v>
      </c>
      <c r="T150" s="24">
        <v>131</v>
      </c>
      <c r="U150" s="24" t="s">
        <v>810</v>
      </c>
      <c r="V150" s="24" t="s">
        <v>807</v>
      </c>
      <c r="W150" s="26"/>
      <c r="X150" s="26"/>
      <c r="Y150" s="26"/>
      <c r="Z150" s="26"/>
      <c r="AA150" s="26"/>
      <c r="AB150" s="26"/>
      <c r="AC150" s="26"/>
      <c r="AD150" s="26"/>
      <c r="AE150" s="26"/>
      <c r="AF150" s="26"/>
      <c r="AG150" s="26"/>
      <c r="AH150" s="33" t="s">
        <v>1260</v>
      </c>
      <c r="AI150" s="23" t="s">
        <v>811</v>
      </c>
      <c r="AJ150" s="33" t="str">
        <f t="shared" si="2"/>
        <v>PD5D_MB_Moactcseq/samples/HC_BN1221_MB_MOactcseq_batch7_rep3.h5</v>
      </c>
      <c r="AK150" t="s">
        <v>1290</v>
      </c>
    </row>
    <row r="151" spans="1:37">
      <c r="A151" s="24" t="s">
        <v>867</v>
      </c>
      <c r="B151" s="24" t="s">
        <v>135</v>
      </c>
      <c r="C151" s="24" t="s">
        <v>135</v>
      </c>
      <c r="D151" s="24" t="s">
        <v>666</v>
      </c>
      <c r="E151" s="24">
        <v>3</v>
      </c>
      <c r="F151" s="24">
        <v>0</v>
      </c>
      <c r="G151" s="24" t="s">
        <v>686</v>
      </c>
      <c r="H151" s="24" t="s">
        <v>668</v>
      </c>
      <c r="I151" s="24" t="s">
        <v>806</v>
      </c>
      <c r="J151" s="24" t="s">
        <v>807</v>
      </c>
      <c r="K151" s="24" t="s">
        <v>807</v>
      </c>
      <c r="L151" s="24" t="s">
        <v>807</v>
      </c>
      <c r="M151" s="24" t="s">
        <v>807</v>
      </c>
      <c r="N151" s="24">
        <v>9.6999999999999993</v>
      </c>
      <c r="O151" s="24">
        <v>9.6999999999999993</v>
      </c>
      <c r="P151" s="24" t="s">
        <v>808</v>
      </c>
      <c r="Q151" s="25">
        <v>6393</v>
      </c>
      <c r="R151" s="24" t="s">
        <v>809</v>
      </c>
      <c r="S151" s="24" t="s">
        <v>675</v>
      </c>
      <c r="T151" s="24">
        <v>131</v>
      </c>
      <c r="U151" s="24" t="s">
        <v>810</v>
      </c>
      <c r="V151" s="24" t="s">
        <v>807</v>
      </c>
      <c r="W151" s="26"/>
      <c r="X151" s="26"/>
      <c r="Y151" s="26"/>
      <c r="Z151" s="26"/>
      <c r="AA151" s="26"/>
      <c r="AB151" s="26"/>
      <c r="AC151" s="26"/>
      <c r="AD151" s="26"/>
      <c r="AE151" s="26"/>
      <c r="AF151" s="26"/>
      <c r="AG151" s="26"/>
      <c r="AH151" s="33" t="s">
        <v>1260</v>
      </c>
      <c r="AI151" s="23" t="s">
        <v>811</v>
      </c>
      <c r="AJ151" s="33" t="str">
        <f t="shared" si="2"/>
        <v>PD5D_MB_Moactcseq/samples/HC_BN1340_MB_MOactcseq_batch7_rep1.h5</v>
      </c>
      <c r="AK151" t="s">
        <v>1290</v>
      </c>
    </row>
    <row r="152" spans="1:37">
      <c r="A152" s="24" t="s">
        <v>868</v>
      </c>
      <c r="B152" s="24" t="s">
        <v>135</v>
      </c>
      <c r="C152" s="24" t="s">
        <v>135</v>
      </c>
      <c r="D152" s="24" t="s">
        <v>689</v>
      </c>
      <c r="E152" s="24">
        <v>3</v>
      </c>
      <c r="F152" s="24">
        <v>0</v>
      </c>
      <c r="G152" s="24" t="s">
        <v>686</v>
      </c>
      <c r="H152" s="24" t="s">
        <v>668</v>
      </c>
      <c r="I152" s="24" t="s">
        <v>806</v>
      </c>
      <c r="J152" s="24" t="s">
        <v>807</v>
      </c>
      <c r="K152" s="24" t="s">
        <v>807</v>
      </c>
      <c r="L152" s="24" t="s">
        <v>807</v>
      </c>
      <c r="M152" s="24" t="s">
        <v>807</v>
      </c>
      <c r="N152" s="24">
        <v>9.6999999999999993</v>
      </c>
      <c r="O152" s="24">
        <v>9.6999999999999993</v>
      </c>
      <c r="P152" s="24" t="s">
        <v>808</v>
      </c>
      <c r="Q152" s="25">
        <v>6393</v>
      </c>
      <c r="R152" s="24" t="s">
        <v>809</v>
      </c>
      <c r="S152" s="24" t="s">
        <v>675</v>
      </c>
      <c r="T152" s="24">
        <v>131</v>
      </c>
      <c r="U152" s="24" t="s">
        <v>810</v>
      </c>
      <c r="V152" s="24" t="s">
        <v>807</v>
      </c>
      <c r="W152" s="26"/>
      <c r="X152" s="26"/>
      <c r="Y152" s="26"/>
      <c r="Z152" s="26"/>
      <c r="AA152" s="26"/>
      <c r="AB152" s="26"/>
      <c r="AC152" s="26"/>
      <c r="AD152" s="26"/>
      <c r="AE152" s="26"/>
      <c r="AF152" s="26"/>
      <c r="AG152" s="26"/>
      <c r="AH152" s="33" t="s">
        <v>1260</v>
      </c>
      <c r="AI152" s="23" t="s">
        <v>811</v>
      </c>
      <c r="AJ152" s="33" t="str">
        <f t="shared" si="2"/>
        <v>PD5D_MB_Moactcseq/samples/HC_BN1340_MB_MOactcseq_batch7_rep2.h5</v>
      </c>
      <c r="AK152" t="s">
        <v>1290</v>
      </c>
    </row>
    <row r="153" spans="1:37">
      <c r="A153" s="24" t="s">
        <v>869</v>
      </c>
      <c r="B153" s="24" t="s">
        <v>135</v>
      </c>
      <c r="C153" s="24" t="s">
        <v>135</v>
      </c>
      <c r="D153" s="24" t="s">
        <v>814</v>
      </c>
      <c r="E153" s="24">
        <v>3</v>
      </c>
      <c r="F153" s="24">
        <v>0</v>
      </c>
      <c r="G153" s="24" t="s">
        <v>686</v>
      </c>
      <c r="H153" s="24" t="s">
        <v>668</v>
      </c>
      <c r="I153" s="24" t="s">
        <v>806</v>
      </c>
      <c r="J153" s="24" t="s">
        <v>807</v>
      </c>
      <c r="K153" s="24" t="s">
        <v>807</v>
      </c>
      <c r="L153" s="24" t="s">
        <v>807</v>
      </c>
      <c r="M153" s="24" t="s">
        <v>807</v>
      </c>
      <c r="N153" s="24">
        <v>9.6999999999999993</v>
      </c>
      <c r="O153" s="24">
        <v>9.6999999999999993</v>
      </c>
      <c r="P153" s="24" t="s">
        <v>808</v>
      </c>
      <c r="Q153" s="25">
        <v>6393</v>
      </c>
      <c r="R153" s="24" t="s">
        <v>809</v>
      </c>
      <c r="S153" s="24" t="s">
        <v>675</v>
      </c>
      <c r="T153" s="24">
        <v>131</v>
      </c>
      <c r="U153" s="24" t="s">
        <v>810</v>
      </c>
      <c r="V153" s="24" t="s">
        <v>807</v>
      </c>
      <c r="W153" s="26"/>
      <c r="X153" s="26"/>
      <c r="Y153" s="26"/>
      <c r="Z153" s="26"/>
      <c r="AA153" s="26"/>
      <c r="AB153" s="26"/>
      <c r="AC153" s="26"/>
      <c r="AD153" s="26"/>
      <c r="AE153" s="26"/>
      <c r="AF153" s="26"/>
      <c r="AG153" s="26"/>
      <c r="AH153" s="33" t="s">
        <v>1260</v>
      </c>
      <c r="AI153" s="23" t="s">
        <v>811</v>
      </c>
      <c r="AJ153" s="33" t="str">
        <f t="shared" si="2"/>
        <v>PD5D_MB_Moactcseq/samples/HC_BN1340_MB_MOactcseq_batch7_rep3.h5</v>
      </c>
      <c r="AK153" t="s">
        <v>1290</v>
      </c>
    </row>
    <row r="154" spans="1:37">
      <c r="A154" s="24" t="s">
        <v>870</v>
      </c>
      <c r="B154" s="24" t="s">
        <v>145</v>
      </c>
      <c r="C154" s="24" t="s">
        <v>145</v>
      </c>
      <c r="D154" s="24" t="s">
        <v>666</v>
      </c>
      <c r="E154" s="24">
        <v>6</v>
      </c>
      <c r="F154" s="24">
        <v>0</v>
      </c>
      <c r="G154" s="24" t="s">
        <v>733</v>
      </c>
      <c r="H154" s="24" t="s">
        <v>668</v>
      </c>
      <c r="I154" s="24" t="s">
        <v>806</v>
      </c>
      <c r="J154" s="24" t="s">
        <v>807</v>
      </c>
      <c r="K154" s="24" t="s">
        <v>807</v>
      </c>
      <c r="L154" s="24" t="s">
        <v>807</v>
      </c>
      <c r="M154" s="24" t="s">
        <v>807</v>
      </c>
      <c r="N154" s="24">
        <v>9.6</v>
      </c>
      <c r="O154" s="24">
        <v>9.6</v>
      </c>
      <c r="P154" s="24" t="s">
        <v>808</v>
      </c>
      <c r="Q154" s="25">
        <v>6559</v>
      </c>
      <c r="R154" s="24" t="s">
        <v>809</v>
      </c>
      <c r="S154" s="24" t="s">
        <v>675</v>
      </c>
      <c r="T154" s="24">
        <v>131</v>
      </c>
      <c r="U154" s="24" t="s">
        <v>810</v>
      </c>
      <c r="V154" s="24" t="s">
        <v>807</v>
      </c>
      <c r="W154" s="26"/>
      <c r="X154" s="26"/>
      <c r="Y154" s="26"/>
      <c r="Z154" s="26"/>
      <c r="AA154" s="26"/>
      <c r="AB154" s="26"/>
      <c r="AC154" s="26"/>
      <c r="AD154" s="26"/>
      <c r="AE154" s="26"/>
      <c r="AF154" s="26"/>
      <c r="AG154" s="26"/>
      <c r="AH154" s="33" t="s">
        <v>1260</v>
      </c>
      <c r="AI154" s="23" t="s">
        <v>811</v>
      </c>
      <c r="AJ154" s="33" t="str">
        <f t="shared" si="2"/>
        <v>PD5D_MB_Moactcseq/samples/HC_BN1430_MB_MOactcseq_batch15_rep1.h5</v>
      </c>
      <c r="AK154" t="s">
        <v>1290</v>
      </c>
    </row>
    <row r="155" spans="1:37">
      <c r="A155" s="24" t="s">
        <v>871</v>
      </c>
      <c r="B155" s="24" t="s">
        <v>145</v>
      </c>
      <c r="C155" s="24" t="s">
        <v>145</v>
      </c>
      <c r="D155" s="24" t="s">
        <v>689</v>
      </c>
      <c r="E155" s="24">
        <v>6</v>
      </c>
      <c r="F155" s="24">
        <v>0</v>
      </c>
      <c r="G155" s="24" t="s">
        <v>733</v>
      </c>
      <c r="H155" s="24" t="s">
        <v>668</v>
      </c>
      <c r="I155" s="24" t="s">
        <v>806</v>
      </c>
      <c r="J155" s="24" t="s">
        <v>807</v>
      </c>
      <c r="K155" s="24" t="s">
        <v>807</v>
      </c>
      <c r="L155" s="24" t="s">
        <v>807</v>
      </c>
      <c r="M155" s="24" t="s">
        <v>807</v>
      </c>
      <c r="N155" s="24">
        <v>9.6</v>
      </c>
      <c r="O155" s="24">
        <v>9.6</v>
      </c>
      <c r="P155" s="24" t="s">
        <v>808</v>
      </c>
      <c r="Q155" s="25">
        <v>6559</v>
      </c>
      <c r="R155" s="24" t="s">
        <v>809</v>
      </c>
      <c r="S155" s="24" t="s">
        <v>675</v>
      </c>
      <c r="T155" s="24">
        <v>131</v>
      </c>
      <c r="U155" s="24" t="s">
        <v>810</v>
      </c>
      <c r="V155" s="24" t="s">
        <v>807</v>
      </c>
      <c r="W155" s="26"/>
      <c r="X155" s="26"/>
      <c r="Y155" s="26"/>
      <c r="Z155" s="26"/>
      <c r="AA155" s="26"/>
      <c r="AB155" s="26"/>
      <c r="AC155" s="26"/>
      <c r="AD155" s="26"/>
      <c r="AE155" s="26"/>
      <c r="AF155" s="26"/>
      <c r="AG155" s="26"/>
      <c r="AH155" s="33" t="s">
        <v>1260</v>
      </c>
      <c r="AI155" s="23" t="s">
        <v>811</v>
      </c>
      <c r="AJ155" s="33" t="str">
        <f t="shared" si="2"/>
        <v>PD5D_MB_Moactcseq/samples/HC_BN1430_MB_MOactcseq_batch15_rep2.h5</v>
      </c>
      <c r="AK155" t="s">
        <v>1290</v>
      </c>
    </row>
    <row r="156" spans="1:37">
      <c r="A156" s="24" t="s">
        <v>872</v>
      </c>
      <c r="B156" s="24" t="s">
        <v>145</v>
      </c>
      <c r="C156" s="24" t="s">
        <v>145</v>
      </c>
      <c r="D156" s="24" t="s">
        <v>814</v>
      </c>
      <c r="E156" s="24">
        <v>6</v>
      </c>
      <c r="F156" s="24">
        <v>0</v>
      </c>
      <c r="G156" s="24" t="s">
        <v>733</v>
      </c>
      <c r="H156" s="24" t="s">
        <v>668</v>
      </c>
      <c r="I156" s="24" t="s">
        <v>806</v>
      </c>
      <c r="J156" s="24" t="s">
        <v>807</v>
      </c>
      <c r="K156" s="24" t="s">
        <v>807</v>
      </c>
      <c r="L156" s="24" t="s">
        <v>807</v>
      </c>
      <c r="M156" s="24" t="s">
        <v>807</v>
      </c>
      <c r="N156" s="24">
        <v>9.6</v>
      </c>
      <c r="O156" s="24">
        <v>9.6</v>
      </c>
      <c r="P156" s="24" t="s">
        <v>808</v>
      </c>
      <c r="Q156" s="25">
        <v>6559</v>
      </c>
      <c r="R156" s="24" t="s">
        <v>809</v>
      </c>
      <c r="S156" s="24" t="s">
        <v>675</v>
      </c>
      <c r="T156" s="24">
        <v>131</v>
      </c>
      <c r="U156" s="24" t="s">
        <v>810</v>
      </c>
      <c r="V156" s="24" t="s">
        <v>807</v>
      </c>
      <c r="W156" s="26"/>
      <c r="X156" s="26"/>
      <c r="Y156" s="26"/>
      <c r="Z156" s="26"/>
      <c r="AA156" s="26"/>
      <c r="AB156" s="26"/>
      <c r="AC156" s="26"/>
      <c r="AD156" s="26"/>
      <c r="AE156" s="26"/>
      <c r="AF156" s="26"/>
      <c r="AG156" s="26"/>
      <c r="AH156" s="33" t="s">
        <v>1260</v>
      </c>
      <c r="AI156" s="23" t="s">
        <v>811</v>
      </c>
      <c r="AJ156" s="33" t="str">
        <f t="shared" si="2"/>
        <v>PD5D_MB_Moactcseq/samples/HC_BN1430_MB_MOactcseq_batch15_rep3.h5</v>
      </c>
      <c r="AK156" t="s">
        <v>1290</v>
      </c>
    </row>
    <row r="157" spans="1:37">
      <c r="A157" s="24" t="s">
        <v>873</v>
      </c>
      <c r="B157" s="24" t="s">
        <v>145</v>
      </c>
      <c r="C157" s="24" t="s">
        <v>145</v>
      </c>
      <c r="D157" s="24" t="s">
        <v>819</v>
      </c>
      <c r="E157" s="24">
        <v>6</v>
      </c>
      <c r="F157" s="24">
        <v>0</v>
      </c>
      <c r="G157" s="24" t="s">
        <v>733</v>
      </c>
      <c r="H157" s="24" t="s">
        <v>668</v>
      </c>
      <c r="I157" s="24" t="s">
        <v>806</v>
      </c>
      <c r="J157" s="24" t="s">
        <v>807</v>
      </c>
      <c r="K157" s="24" t="s">
        <v>807</v>
      </c>
      <c r="L157" s="24" t="s">
        <v>807</v>
      </c>
      <c r="M157" s="24" t="s">
        <v>807</v>
      </c>
      <c r="N157" s="24">
        <v>9.6</v>
      </c>
      <c r="O157" s="24">
        <v>9.6</v>
      </c>
      <c r="P157" s="24" t="s">
        <v>808</v>
      </c>
      <c r="Q157" s="25">
        <v>6559</v>
      </c>
      <c r="R157" s="24" t="s">
        <v>809</v>
      </c>
      <c r="S157" s="24" t="s">
        <v>675</v>
      </c>
      <c r="T157" s="24">
        <v>131</v>
      </c>
      <c r="U157" s="24" t="s">
        <v>810</v>
      </c>
      <c r="V157" s="24" t="s">
        <v>807</v>
      </c>
      <c r="W157" s="26"/>
      <c r="X157" s="26"/>
      <c r="Y157" s="26"/>
      <c r="Z157" s="26"/>
      <c r="AA157" s="26"/>
      <c r="AB157" s="26"/>
      <c r="AC157" s="26"/>
      <c r="AD157" s="26"/>
      <c r="AE157" s="26"/>
      <c r="AF157" s="26"/>
      <c r="AG157" s="26"/>
      <c r="AH157" s="33" t="s">
        <v>1260</v>
      </c>
      <c r="AI157" s="23" t="s">
        <v>811</v>
      </c>
      <c r="AJ157" s="33" t="str">
        <f t="shared" si="2"/>
        <v>PD5D_MB_Moactcseq/samples/HC_BN1430_MB_MOactcseq_batch15_rep4.h5</v>
      </c>
      <c r="AK157" t="s">
        <v>1290</v>
      </c>
    </row>
    <row r="158" spans="1:37">
      <c r="A158" s="24" t="s">
        <v>874</v>
      </c>
      <c r="B158" s="24" t="s">
        <v>145</v>
      </c>
      <c r="C158" s="24" t="s">
        <v>145</v>
      </c>
      <c r="D158" s="24" t="s">
        <v>821</v>
      </c>
      <c r="E158" s="24">
        <v>6</v>
      </c>
      <c r="F158" s="24">
        <v>0</v>
      </c>
      <c r="G158" s="24" t="s">
        <v>733</v>
      </c>
      <c r="H158" s="24" t="s">
        <v>668</v>
      </c>
      <c r="I158" s="24" t="s">
        <v>806</v>
      </c>
      <c r="J158" s="24" t="s">
        <v>807</v>
      </c>
      <c r="K158" s="24" t="s">
        <v>807</v>
      </c>
      <c r="L158" s="24" t="s">
        <v>807</v>
      </c>
      <c r="M158" s="24" t="s">
        <v>807</v>
      </c>
      <c r="N158" s="24">
        <v>9.6</v>
      </c>
      <c r="O158" s="24">
        <v>9.6</v>
      </c>
      <c r="P158" s="24" t="s">
        <v>808</v>
      </c>
      <c r="Q158" s="25">
        <v>6559</v>
      </c>
      <c r="R158" s="24" t="s">
        <v>809</v>
      </c>
      <c r="S158" s="24" t="s">
        <v>675</v>
      </c>
      <c r="T158" s="24">
        <v>131</v>
      </c>
      <c r="U158" s="24" t="s">
        <v>810</v>
      </c>
      <c r="V158" s="24" t="s">
        <v>807</v>
      </c>
      <c r="W158" s="26"/>
      <c r="X158" s="26"/>
      <c r="Y158" s="26"/>
      <c r="Z158" s="26"/>
      <c r="AA158" s="26"/>
      <c r="AB158" s="26"/>
      <c r="AC158" s="26"/>
      <c r="AD158" s="26"/>
      <c r="AE158" s="26"/>
      <c r="AF158" s="26"/>
      <c r="AG158" s="26"/>
      <c r="AH158" s="33" t="s">
        <v>1260</v>
      </c>
      <c r="AI158" s="23" t="s">
        <v>811</v>
      </c>
      <c r="AJ158" s="33" t="str">
        <f t="shared" si="2"/>
        <v>PD5D_MB_Moactcseq/samples/HC_BN1430_MB_MOactcseq_batch15_rep5.h5</v>
      </c>
      <c r="AK158" t="s">
        <v>1290</v>
      </c>
    </row>
    <row r="159" spans="1:37">
      <c r="A159" s="24" t="s">
        <v>875</v>
      </c>
      <c r="B159" s="24" t="s">
        <v>145</v>
      </c>
      <c r="C159" s="24" t="s">
        <v>145</v>
      </c>
      <c r="D159" s="24" t="s">
        <v>823</v>
      </c>
      <c r="E159" s="24">
        <v>6</v>
      </c>
      <c r="F159" s="24">
        <v>0</v>
      </c>
      <c r="G159" s="24" t="s">
        <v>733</v>
      </c>
      <c r="H159" s="24" t="s">
        <v>668</v>
      </c>
      <c r="I159" s="24" t="s">
        <v>806</v>
      </c>
      <c r="J159" s="24" t="s">
        <v>807</v>
      </c>
      <c r="K159" s="24" t="s">
        <v>807</v>
      </c>
      <c r="L159" s="24" t="s">
        <v>807</v>
      </c>
      <c r="M159" s="24" t="s">
        <v>807</v>
      </c>
      <c r="N159" s="24">
        <v>9.6</v>
      </c>
      <c r="O159" s="24">
        <v>9.6</v>
      </c>
      <c r="P159" s="24" t="s">
        <v>808</v>
      </c>
      <c r="Q159" s="25">
        <v>6559</v>
      </c>
      <c r="R159" s="24" t="s">
        <v>809</v>
      </c>
      <c r="S159" s="24" t="s">
        <v>675</v>
      </c>
      <c r="T159" s="24">
        <v>131</v>
      </c>
      <c r="U159" s="24" t="s">
        <v>810</v>
      </c>
      <c r="V159" s="24" t="s">
        <v>807</v>
      </c>
      <c r="W159" s="26"/>
      <c r="X159" s="26"/>
      <c r="Y159" s="26"/>
      <c r="Z159" s="26"/>
      <c r="AA159" s="26"/>
      <c r="AB159" s="26"/>
      <c r="AC159" s="26"/>
      <c r="AD159" s="26"/>
      <c r="AE159" s="26"/>
      <c r="AF159" s="26"/>
      <c r="AG159" s="26"/>
      <c r="AH159" s="33" t="s">
        <v>1260</v>
      </c>
      <c r="AI159" s="23" t="s">
        <v>811</v>
      </c>
      <c r="AJ159" s="33" t="str">
        <f t="shared" si="2"/>
        <v>PD5D_MB_Moactcseq/samples/HC_BN1430_MB_MOactcseq_batch15_rep6.h5</v>
      </c>
      <c r="AK159" t="s">
        <v>1290</v>
      </c>
    </row>
    <row r="160" spans="1:37">
      <c r="A160" s="24" t="s">
        <v>876</v>
      </c>
      <c r="B160" s="24" t="s">
        <v>155</v>
      </c>
      <c r="C160" s="24" t="s">
        <v>155</v>
      </c>
      <c r="D160" s="24" t="s">
        <v>666</v>
      </c>
      <c r="E160" s="24">
        <v>3</v>
      </c>
      <c r="F160" s="24">
        <v>0</v>
      </c>
      <c r="G160" s="24" t="s">
        <v>686</v>
      </c>
      <c r="H160" s="24" t="s">
        <v>668</v>
      </c>
      <c r="I160" s="24" t="s">
        <v>806</v>
      </c>
      <c r="J160" s="24" t="s">
        <v>807</v>
      </c>
      <c r="K160" s="24" t="s">
        <v>807</v>
      </c>
      <c r="L160" s="24" t="s">
        <v>807</v>
      </c>
      <c r="M160" s="24" t="s">
        <v>807</v>
      </c>
      <c r="N160" s="24">
        <v>9.5</v>
      </c>
      <c r="O160" s="24">
        <v>9.5</v>
      </c>
      <c r="P160" s="24" t="s">
        <v>808</v>
      </c>
      <c r="Q160" s="25">
        <v>5264</v>
      </c>
      <c r="R160" s="24" t="s">
        <v>809</v>
      </c>
      <c r="S160" s="24" t="s">
        <v>675</v>
      </c>
      <c r="T160" s="24">
        <v>131</v>
      </c>
      <c r="U160" s="24" t="s">
        <v>810</v>
      </c>
      <c r="V160" s="24" t="s">
        <v>807</v>
      </c>
      <c r="W160" s="26"/>
      <c r="X160" s="26"/>
      <c r="Y160" s="26"/>
      <c r="Z160" s="26"/>
      <c r="AA160" s="26"/>
      <c r="AB160" s="26"/>
      <c r="AC160" s="26"/>
      <c r="AD160" s="26"/>
      <c r="AE160" s="26"/>
      <c r="AF160" s="26"/>
      <c r="AG160" s="26"/>
      <c r="AH160" s="33" t="s">
        <v>1260</v>
      </c>
      <c r="AI160" s="23" t="s">
        <v>811</v>
      </c>
      <c r="AJ160" s="33" t="str">
        <f t="shared" si="2"/>
        <v>PD5D_MB_Moactcseq/samples/HC_BN1546_MB_MOactcseq_batch7_rep1.h5</v>
      </c>
      <c r="AK160" t="s">
        <v>1290</v>
      </c>
    </row>
    <row r="161" spans="1:37">
      <c r="A161" s="24" t="s">
        <v>877</v>
      </c>
      <c r="B161" s="24" t="s">
        <v>155</v>
      </c>
      <c r="C161" s="24" t="s">
        <v>155</v>
      </c>
      <c r="D161" s="24" t="s">
        <v>689</v>
      </c>
      <c r="E161" s="24">
        <v>3</v>
      </c>
      <c r="F161" s="24">
        <v>0</v>
      </c>
      <c r="G161" s="24" t="s">
        <v>686</v>
      </c>
      <c r="H161" s="24" t="s">
        <v>668</v>
      </c>
      <c r="I161" s="24" t="s">
        <v>806</v>
      </c>
      <c r="J161" s="24" t="s">
        <v>807</v>
      </c>
      <c r="K161" s="24" t="s">
        <v>807</v>
      </c>
      <c r="L161" s="24" t="s">
        <v>807</v>
      </c>
      <c r="M161" s="24" t="s">
        <v>807</v>
      </c>
      <c r="N161" s="24">
        <v>9.5</v>
      </c>
      <c r="O161" s="24">
        <v>9.5</v>
      </c>
      <c r="P161" s="24" t="s">
        <v>808</v>
      </c>
      <c r="Q161" s="25">
        <v>5264</v>
      </c>
      <c r="R161" s="24" t="s">
        <v>809</v>
      </c>
      <c r="S161" s="24" t="s">
        <v>675</v>
      </c>
      <c r="T161" s="24">
        <v>131</v>
      </c>
      <c r="U161" s="24" t="s">
        <v>810</v>
      </c>
      <c r="V161" s="24" t="s">
        <v>807</v>
      </c>
      <c r="W161" s="26"/>
      <c r="X161" s="26"/>
      <c r="Y161" s="26"/>
      <c r="Z161" s="26"/>
      <c r="AA161" s="26"/>
      <c r="AB161" s="26"/>
      <c r="AC161" s="26"/>
      <c r="AD161" s="26"/>
      <c r="AE161" s="26"/>
      <c r="AF161" s="26"/>
      <c r="AG161" s="26"/>
      <c r="AH161" s="33" t="s">
        <v>1260</v>
      </c>
      <c r="AI161" s="23" t="s">
        <v>811</v>
      </c>
      <c r="AJ161" s="33" t="str">
        <f t="shared" si="2"/>
        <v>PD5D_MB_Moactcseq/samples/HC_BN1546_MB_MOactcseq_batch7_rep2.h5</v>
      </c>
      <c r="AK161" t="s">
        <v>1290</v>
      </c>
    </row>
    <row r="162" spans="1:37">
      <c r="A162" s="24" t="s">
        <v>878</v>
      </c>
      <c r="B162" s="24" t="s">
        <v>155</v>
      </c>
      <c r="C162" s="24" t="s">
        <v>155</v>
      </c>
      <c r="D162" s="24" t="s">
        <v>814</v>
      </c>
      <c r="E162" s="24">
        <v>3</v>
      </c>
      <c r="F162" s="24">
        <v>0</v>
      </c>
      <c r="G162" s="24" t="s">
        <v>686</v>
      </c>
      <c r="H162" s="24" t="s">
        <v>668</v>
      </c>
      <c r="I162" s="24" t="s">
        <v>806</v>
      </c>
      <c r="J162" s="24" t="s">
        <v>807</v>
      </c>
      <c r="K162" s="24" t="s">
        <v>807</v>
      </c>
      <c r="L162" s="24" t="s">
        <v>807</v>
      </c>
      <c r="M162" s="24" t="s">
        <v>807</v>
      </c>
      <c r="N162" s="24">
        <v>9.5</v>
      </c>
      <c r="O162" s="24">
        <v>9.5</v>
      </c>
      <c r="P162" s="24" t="s">
        <v>808</v>
      </c>
      <c r="Q162" s="25">
        <v>5264</v>
      </c>
      <c r="R162" s="24" t="s">
        <v>809</v>
      </c>
      <c r="S162" s="24" t="s">
        <v>675</v>
      </c>
      <c r="T162" s="24">
        <v>131</v>
      </c>
      <c r="U162" s="24" t="s">
        <v>810</v>
      </c>
      <c r="V162" s="24" t="s">
        <v>807</v>
      </c>
      <c r="W162" s="26"/>
      <c r="X162" s="26"/>
      <c r="Y162" s="26"/>
      <c r="Z162" s="26"/>
      <c r="AA162" s="26"/>
      <c r="AB162" s="26"/>
      <c r="AC162" s="26"/>
      <c r="AD162" s="26"/>
      <c r="AE162" s="26"/>
      <c r="AF162" s="26"/>
      <c r="AG162" s="26"/>
      <c r="AH162" s="33" t="s">
        <v>1260</v>
      </c>
      <c r="AI162" s="23" t="s">
        <v>811</v>
      </c>
      <c r="AJ162" s="33" t="str">
        <f t="shared" si="2"/>
        <v>PD5D_MB_Moactcseq/samples/HC_BN1546_MB_MOactcseq_batch7_rep3.h5</v>
      </c>
      <c r="AK162" t="s">
        <v>1290</v>
      </c>
    </row>
    <row r="163" spans="1:37">
      <c r="A163" s="24" t="s">
        <v>879</v>
      </c>
      <c r="B163" s="24" t="s">
        <v>161</v>
      </c>
      <c r="C163" s="24" t="s">
        <v>161</v>
      </c>
      <c r="D163" s="24" t="s">
        <v>666</v>
      </c>
      <c r="E163" s="24">
        <v>3</v>
      </c>
      <c r="F163" s="24">
        <v>0</v>
      </c>
      <c r="G163" s="24" t="s">
        <v>698</v>
      </c>
      <c r="H163" s="24" t="s">
        <v>668</v>
      </c>
      <c r="I163" s="24" t="s">
        <v>806</v>
      </c>
      <c r="J163" s="24" t="s">
        <v>807</v>
      </c>
      <c r="K163" s="24" t="s">
        <v>807</v>
      </c>
      <c r="L163" s="24" t="s">
        <v>807</v>
      </c>
      <c r="M163" s="24" t="s">
        <v>807</v>
      </c>
      <c r="N163" s="24">
        <v>9.4</v>
      </c>
      <c r="O163" s="24">
        <v>9.4</v>
      </c>
      <c r="P163" s="24" t="s">
        <v>808</v>
      </c>
      <c r="Q163" s="25">
        <v>5389</v>
      </c>
      <c r="R163" s="24" t="s">
        <v>809</v>
      </c>
      <c r="S163" s="24" t="s">
        <v>675</v>
      </c>
      <c r="T163" s="24">
        <v>131</v>
      </c>
      <c r="U163" s="24" t="s">
        <v>810</v>
      </c>
      <c r="V163" s="24" t="s">
        <v>807</v>
      </c>
      <c r="W163" s="26"/>
      <c r="X163" s="26"/>
      <c r="Y163" s="26"/>
      <c r="Z163" s="26"/>
      <c r="AA163" s="26"/>
      <c r="AB163" s="26"/>
      <c r="AC163" s="26"/>
      <c r="AD163" s="26"/>
      <c r="AE163" s="26"/>
      <c r="AF163" s="26"/>
      <c r="AG163" s="26"/>
      <c r="AH163" s="33" t="s">
        <v>1260</v>
      </c>
      <c r="AI163" s="23" t="s">
        <v>811</v>
      </c>
      <c r="AJ163" s="33" t="str">
        <f t="shared" si="2"/>
        <v>PD5D_MB_Moactcseq/samples/HC_BN1578_MB_MOactcseq_batch6_rep1.h5</v>
      </c>
      <c r="AK163" t="s">
        <v>1290</v>
      </c>
    </row>
    <row r="164" spans="1:37">
      <c r="A164" s="24" t="s">
        <v>880</v>
      </c>
      <c r="B164" s="24" t="s">
        <v>161</v>
      </c>
      <c r="C164" s="24" t="s">
        <v>161</v>
      </c>
      <c r="D164" s="24" t="s">
        <v>689</v>
      </c>
      <c r="E164" s="24">
        <v>3</v>
      </c>
      <c r="F164" s="24">
        <v>0</v>
      </c>
      <c r="G164" s="24" t="s">
        <v>698</v>
      </c>
      <c r="H164" s="24" t="s">
        <v>668</v>
      </c>
      <c r="I164" s="24" t="s">
        <v>806</v>
      </c>
      <c r="J164" s="24" t="s">
        <v>807</v>
      </c>
      <c r="K164" s="24" t="s">
        <v>807</v>
      </c>
      <c r="L164" s="24" t="s">
        <v>807</v>
      </c>
      <c r="M164" s="24" t="s">
        <v>807</v>
      </c>
      <c r="N164" s="24">
        <v>9.4</v>
      </c>
      <c r="O164" s="24">
        <v>9.4</v>
      </c>
      <c r="P164" s="24" t="s">
        <v>808</v>
      </c>
      <c r="Q164" s="25">
        <v>5389</v>
      </c>
      <c r="R164" s="24" t="s">
        <v>809</v>
      </c>
      <c r="S164" s="24" t="s">
        <v>675</v>
      </c>
      <c r="T164" s="24">
        <v>131</v>
      </c>
      <c r="U164" s="24" t="s">
        <v>810</v>
      </c>
      <c r="V164" s="24" t="s">
        <v>807</v>
      </c>
      <c r="W164" s="26"/>
      <c r="X164" s="26"/>
      <c r="Y164" s="26"/>
      <c r="Z164" s="26"/>
      <c r="AA164" s="26"/>
      <c r="AB164" s="26"/>
      <c r="AC164" s="26"/>
      <c r="AD164" s="26"/>
      <c r="AE164" s="26"/>
      <c r="AF164" s="26"/>
      <c r="AG164" s="26"/>
      <c r="AH164" s="33" t="s">
        <v>1260</v>
      </c>
      <c r="AI164" s="23" t="s">
        <v>811</v>
      </c>
      <c r="AJ164" s="33" t="str">
        <f t="shared" si="2"/>
        <v>PD5D_MB_Moactcseq/samples/HC_BN1578_MB_MOactcseq_batch6_rep2.h5</v>
      </c>
      <c r="AK164" t="s">
        <v>1290</v>
      </c>
    </row>
    <row r="165" spans="1:37">
      <c r="A165" s="24" t="s">
        <v>881</v>
      </c>
      <c r="B165" s="24" t="s">
        <v>161</v>
      </c>
      <c r="C165" s="24" t="s">
        <v>161</v>
      </c>
      <c r="D165" s="24" t="s">
        <v>814</v>
      </c>
      <c r="E165" s="24">
        <v>3</v>
      </c>
      <c r="F165" s="24">
        <v>0</v>
      </c>
      <c r="G165" s="24" t="s">
        <v>698</v>
      </c>
      <c r="H165" s="24" t="s">
        <v>668</v>
      </c>
      <c r="I165" s="24" t="s">
        <v>806</v>
      </c>
      <c r="J165" s="24" t="s">
        <v>807</v>
      </c>
      <c r="K165" s="24" t="s">
        <v>807</v>
      </c>
      <c r="L165" s="24" t="s">
        <v>807</v>
      </c>
      <c r="M165" s="24" t="s">
        <v>807</v>
      </c>
      <c r="N165" s="24">
        <v>9.4</v>
      </c>
      <c r="O165" s="24">
        <v>9.4</v>
      </c>
      <c r="P165" s="24" t="s">
        <v>808</v>
      </c>
      <c r="Q165" s="25">
        <v>5389</v>
      </c>
      <c r="R165" s="24" t="s">
        <v>809</v>
      </c>
      <c r="S165" s="24" t="s">
        <v>675</v>
      </c>
      <c r="T165" s="24">
        <v>131</v>
      </c>
      <c r="U165" s="24" t="s">
        <v>810</v>
      </c>
      <c r="V165" s="24" t="s">
        <v>807</v>
      </c>
      <c r="W165" s="26"/>
      <c r="X165" s="26"/>
      <c r="Y165" s="26"/>
      <c r="Z165" s="26"/>
      <c r="AA165" s="26"/>
      <c r="AB165" s="26"/>
      <c r="AC165" s="26"/>
      <c r="AD165" s="26"/>
      <c r="AE165" s="26"/>
      <c r="AF165" s="26"/>
      <c r="AG165" s="26"/>
      <c r="AH165" s="33" t="s">
        <v>1260</v>
      </c>
      <c r="AI165" s="23" t="s">
        <v>811</v>
      </c>
      <c r="AJ165" s="33" t="str">
        <f t="shared" si="2"/>
        <v>PD5D_MB_Moactcseq/samples/HC_BN1578_MB_MOactcseq_batch6_rep3.h5</v>
      </c>
      <c r="AK165" t="s">
        <v>1290</v>
      </c>
    </row>
    <row r="166" spans="1:37">
      <c r="A166" s="24" t="s">
        <v>882</v>
      </c>
      <c r="B166" s="24" t="s">
        <v>169</v>
      </c>
      <c r="C166" s="24" t="s">
        <v>169</v>
      </c>
      <c r="D166" s="24" t="s">
        <v>666</v>
      </c>
      <c r="E166" s="24">
        <v>2</v>
      </c>
      <c r="F166" s="24">
        <v>0</v>
      </c>
      <c r="G166" s="24" t="s">
        <v>696</v>
      </c>
      <c r="H166" s="24" t="s">
        <v>668</v>
      </c>
      <c r="I166" s="24" t="s">
        <v>806</v>
      </c>
      <c r="J166" s="24" t="s">
        <v>807</v>
      </c>
      <c r="K166" s="24" t="s">
        <v>807</v>
      </c>
      <c r="L166" s="24" t="s">
        <v>807</v>
      </c>
      <c r="M166" s="24" t="s">
        <v>807</v>
      </c>
      <c r="N166" s="24">
        <v>9.4</v>
      </c>
      <c r="O166" s="24">
        <v>9.4</v>
      </c>
      <c r="P166" s="24" t="s">
        <v>808</v>
      </c>
      <c r="Q166" s="25">
        <v>5328</v>
      </c>
      <c r="R166" s="24" t="s">
        <v>809</v>
      </c>
      <c r="S166" s="24" t="s">
        <v>675</v>
      </c>
      <c r="T166" s="24">
        <v>131</v>
      </c>
      <c r="U166" s="24" t="s">
        <v>810</v>
      </c>
      <c r="V166" s="24" t="s">
        <v>807</v>
      </c>
      <c r="W166" s="26"/>
      <c r="X166" s="26"/>
      <c r="Y166" s="26"/>
      <c r="Z166" s="26"/>
      <c r="AA166" s="26"/>
      <c r="AB166" s="26"/>
      <c r="AC166" s="26"/>
      <c r="AD166" s="26"/>
      <c r="AE166" s="26"/>
      <c r="AF166" s="26"/>
      <c r="AG166" s="26"/>
      <c r="AH166" s="33" t="s">
        <v>1260</v>
      </c>
      <c r="AI166" s="23" t="s">
        <v>811</v>
      </c>
      <c r="AJ166" s="33" t="str">
        <f t="shared" si="2"/>
        <v>PD5D_MB_Moactcseq/samples/HC_BN1719_MB_MOactcseq_batch5_rep1.h5</v>
      </c>
      <c r="AK166" t="s">
        <v>1290</v>
      </c>
    </row>
    <row r="167" spans="1:37">
      <c r="A167" s="24" t="s">
        <v>883</v>
      </c>
      <c r="B167" s="24" t="s">
        <v>169</v>
      </c>
      <c r="C167" s="24" t="s">
        <v>169</v>
      </c>
      <c r="D167" s="24" t="s">
        <v>689</v>
      </c>
      <c r="E167" s="24">
        <v>2</v>
      </c>
      <c r="F167" s="24">
        <v>0</v>
      </c>
      <c r="G167" s="24" t="s">
        <v>696</v>
      </c>
      <c r="H167" s="24" t="s">
        <v>668</v>
      </c>
      <c r="I167" s="24" t="s">
        <v>806</v>
      </c>
      <c r="J167" s="24" t="s">
        <v>807</v>
      </c>
      <c r="K167" s="24" t="s">
        <v>807</v>
      </c>
      <c r="L167" s="24" t="s">
        <v>807</v>
      </c>
      <c r="M167" s="24" t="s">
        <v>807</v>
      </c>
      <c r="N167" s="24">
        <v>9.4</v>
      </c>
      <c r="O167" s="24">
        <v>9.4</v>
      </c>
      <c r="P167" s="24" t="s">
        <v>808</v>
      </c>
      <c r="Q167" s="25">
        <v>5328</v>
      </c>
      <c r="R167" s="24" t="s">
        <v>809</v>
      </c>
      <c r="S167" s="24" t="s">
        <v>675</v>
      </c>
      <c r="T167" s="24">
        <v>131</v>
      </c>
      <c r="U167" s="24" t="s">
        <v>810</v>
      </c>
      <c r="V167" s="24" t="s">
        <v>807</v>
      </c>
      <c r="W167" s="26"/>
      <c r="X167" s="26"/>
      <c r="Y167" s="26"/>
      <c r="Z167" s="26"/>
      <c r="AA167" s="26"/>
      <c r="AB167" s="26"/>
      <c r="AC167" s="26"/>
      <c r="AD167" s="26"/>
      <c r="AE167" s="26"/>
      <c r="AF167" s="26"/>
      <c r="AG167" s="26"/>
      <c r="AH167" s="33" t="s">
        <v>1260</v>
      </c>
      <c r="AI167" s="23" t="s">
        <v>811</v>
      </c>
      <c r="AJ167" s="33" t="str">
        <f t="shared" si="2"/>
        <v>PD5D_MB_Moactcseq/samples/HC_BN1719_MB_MOactcseq_batch5_rep2.h5</v>
      </c>
      <c r="AK167" t="s">
        <v>1290</v>
      </c>
    </row>
    <row r="168" spans="1:37">
      <c r="A168" s="24" t="s">
        <v>884</v>
      </c>
      <c r="B168" s="24" t="s">
        <v>175</v>
      </c>
      <c r="C168" s="24" t="s">
        <v>175</v>
      </c>
      <c r="D168" s="24" t="s">
        <v>666</v>
      </c>
      <c r="E168" s="24">
        <v>1</v>
      </c>
      <c r="F168" s="24">
        <v>0</v>
      </c>
      <c r="G168" s="24" t="s">
        <v>667</v>
      </c>
      <c r="H168" s="24" t="s">
        <v>668</v>
      </c>
      <c r="I168" s="24" t="s">
        <v>806</v>
      </c>
      <c r="J168" s="24" t="s">
        <v>807</v>
      </c>
      <c r="K168" s="24" t="s">
        <v>807</v>
      </c>
      <c r="L168" s="24" t="s">
        <v>807</v>
      </c>
      <c r="M168" s="24" t="s">
        <v>807</v>
      </c>
      <c r="N168" s="24">
        <v>7.5</v>
      </c>
      <c r="O168" s="24">
        <v>7.5</v>
      </c>
      <c r="P168" s="24" t="s">
        <v>808</v>
      </c>
      <c r="Q168" s="24">
        <v>849</v>
      </c>
      <c r="R168" s="24" t="s">
        <v>809</v>
      </c>
      <c r="S168" s="24" t="s">
        <v>675</v>
      </c>
      <c r="T168" s="24">
        <v>131</v>
      </c>
      <c r="U168" s="24" t="s">
        <v>810</v>
      </c>
      <c r="V168" s="24" t="s">
        <v>807</v>
      </c>
      <c r="W168" s="26"/>
      <c r="X168" s="26"/>
      <c r="Y168" s="26"/>
      <c r="Z168" s="26"/>
      <c r="AA168" s="26"/>
      <c r="AB168" s="26"/>
      <c r="AC168" s="26"/>
      <c r="AD168" s="26"/>
      <c r="AE168" s="26"/>
      <c r="AF168" s="26"/>
      <c r="AG168" s="26"/>
      <c r="AH168" s="33" t="s">
        <v>1260</v>
      </c>
      <c r="AI168" s="23" t="s">
        <v>811</v>
      </c>
      <c r="AJ168" s="33" t="str">
        <f t="shared" si="2"/>
        <v>PD5D_MB_Moactcseq/samples/HC_BN1730_MB_MOactcseq_batch1_rep1.h5</v>
      </c>
      <c r="AK168" t="s">
        <v>1290</v>
      </c>
    </row>
    <row r="169" spans="1:37">
      <c r="A169" s="24" t="s">
        <v>885</v>
      </c>
      <c r="B169" s="24" t="s">
        <v>177</v>
      </c>
      <c r="C169" s="24" t="s">
        <v>177</v>
      </c>
      <c r="D169" s="24" t="s">
        <v>666</v>
      </c>
      <c r="E169" s="24">
        <v>3</v>
      </c>
      <c r="F169" s="24">
        <v>0</v>
      </c>
      <c r="G169" s="24" t="s">
        <v>706</v>
      </c>
      <c r="H169" s="24" t="s">
        <v>668</v>
      </c>
      <c r="I169" s="24" t="s">
        <v>806</v>
      </c>
      <c r="J169" s="24" t="s">
        <v>807</v>
      </c>
      <c r="K169" s="24" t="s">
        <v>807</v>
      </c>
      <c r="L169" s="24" t="s">
        <v>807</v>
      </c>
      <c r="M169" s="24" t="s">
        <v>807</v>
      </c>
      <c r="N169" s="24">
        <v>8.6</v>
      </c>
      <c r="O169" s="24">
        <v>8.6</v>
      </c>
      <c r="P169" s="24" t="s">
        <v>808</v>
      </c>
      <c r="Q169" s="24">
        <v>688</v>
      </c>
      <c r="R169" s="24" t="s">
        <v>809</v>
      </c>
      <c r="S169" s="24" t="s">
        <v>675</v>
      </c>
      <c r="T169" s="24">
        <v>131</v>
      </c>
      <c r="U169" s="24" t="s">
        <v>810</v>
      </c>
      <c r="V169" s="24" t="s">
        <v>807</v>
      </c>
      <c r="W169" s="26"/>
      <c r="X169" s="26"/>
      <c r="Y169" s="26"/>
      <c r="Z169" s="26"/>
      <c r="AA169" s="26"/>
      <c r="AB169" s="26"/>
      <c r="AC169" s="26"/>
      <c r="AD169" s="26"/>
      <c r="AE169" s="26"/>
      <c r="AF169" s="26"/>
      <c r="AG169" s="26"/>
      <c r="AH169" s="33" t="s">
        <v>1260</v>
      </c>
      <c r="AI169" s="23" t="s">
        <v>811</v>
      </c>
      <c r="AJ169" s="33" t="str">
        <f t="shared" si="2"/>
        <v>PD5D_MB_Moactcseq/samples/HC_BN1737_MB_MOactcseq_batch8_rep1.h5</v>
      </c>
      <c r="AK169" t="s">
        <v>1290</v>
      </c>
    </row>
    <row r="170" spans="1:37">
      <c r="A170" s="24" t="s">
        <v>886</v>
      </c>
      <c r="B170" s="24" t="s">
        <v>177</v>
      </c>
      <c r="C170" s="24" t="s">
        <v>177</v>
      </c>
      <c r="D170" s="24" t="s">
        <v>689</v>
      </c>
      <c r="E170" s="24">
        <v>3</v>
      </c>
      <c r="F170" s="24">
        <v>0</v>
      </c>
      <c r="G170" s="24" t="s">
        <v>706</v>
      </c>
      <c r="H170" s="24" t="s">
        <v>668</v>
      </c>
      <c r="I170" s="24" t="s">
        <v>806</v>
      </c>
      <c r="J170" s="24" t="s">
        <v>807</v>
      </c>
      <c r="K170" s="24" t="s">
        <v>807</v>
      </c>
      <c r="L170" s="24" t="s">
        <v>807</v>
      </c>
      <c r="M170" s="24" t="s">
        <v>807</v>
      </c>
      <c r="N170" s="24">
        <v>8.6</v>
      </c>
      <c r="O170" s="24">
        <v>8.6</v>
      </c>
      <c r="P170" s="24" t="s">
        <v>808</v>
      </c>
      <c r="Q170" s="24">
        <v>688</v>
      </c>
      <c r="R170" s="24" t="s">
        <v>809</v>
      </c>
      <c r="S170" s="24" t="s">
        <v>675</v>
      </c>
      <c r="T170" s="24">
        <v>131</v>
      </c>
      <c r="U170" s="24" t="s">
        <v>810</v>
      </c>
      <c r="V170" s="24" t="s">
        <v>807</v>
      </c>
      <c r="W170" s="26"/>
      <c r="X170" s="26"/>
      <c r="Y170" s="26"/>
      <c r="Z170" s="26"/>
      <c r="AA170" s="26"/>
      <c r="AB170" s="26"/>
      <c r="AC170" s="26"/>
      <c r="AD170" s="26"/>
      <c r="AE170" s="26"/>
      <c r="AF170" s="26"/>
      <c r="AG170" s="26"/>
      <c r="AH170" s="33" t="s">
        <v>1260</v>
      </c>
      <c r="AI170" s="23" t="s">
        <v>811</v>
      </c>
      <c r="AJ170" s="33" t="str">
        <f t="shared" si="2"/>
        <v>PD5D_MB_Moactcseq/samples/HC_BN1737_MB_MOactcseq_batch8_rep2.h5</v>
      </c>
      <c r="AK170" t="s">
        <v>1290</v>
      </c>
    </row>
    <row r="171" spans="1:37">
      <c r="A171" s="24" t="s">
        <v>887</v>
      </c>
      <c r="B171" s="24" t="s">
        <v>177</v>
      </c>
      <c r="C171" s="24" t="s">
        <v>177</v>
      </c>
      <c r="D171" s="24" t="s">
        <v>814</v>
      </c>
      <c r="E171" s="24">
        <v>3</v>
      </c>
      <c r="F171" s="24">
        <v>0</v>
      </c>
      <c r="G171" s="24" t="s">
        <v>706</v>
      </c>
      <c r="H171" s="24" t="s">
        <v>668</v>
      </c>
      <c r="I171" s="24" t="s">
        <v>806</v>
      </c>
      <c r="J171" s="24" t="s">
        <v>807</v>
      </c>
      <c r="K171" s="24" t="s">
        <v>807</v>
      </c>
      <c r="L171" s="24" t="s">
        <v>807</v>
      </c>
      <c r="M171" s="24" t="s">
        <v>807</v>
      </c>
      <c r="N171" s="24">
        <v>8.6</v>
      </c>
      <c r="O171" s="24">
        <v>8.6</v>
      </c>
      <c r="P171" s="24" t="s">
        <v>808</v>
      </c>
      <c r="Q171" s="24">
        <v>688</v>
      </c>
      <c r="R171" s="24" t="s">
        <v>809</v>
      </c>
      <c r="S171" s="24" t="s">
        <v>675</v>
      </c>
      <c r="T171" s="24">
        <v>131</v>
      </c>
      <c r="U171" s="24" t="s">
        <v>810</v>
      </c>
      <c r="V171" s="24" t="s">
        <v>807</v>
      </c>
      <c r="W171" s="26"/>
      <c r="X171" s="26"/>
      <c r="Y171" s="26"/>
      <c r="Z171" s="26"/>
      <c r="AA171" s="26"/>
      <c r="AB171" s="26"/>
      <c r="AC171" s="26"/>
      <c r="AD171" s="26"/>
      <c r="AE171" s="26"/>
      <c r="AF171" s="26"/>
      <c r="AG171" s="26"/>
      <c r="AH171" s="33" t="s">
        <v>1260</v>
      </c>
      <c r="AI171" s="23" t="s">
        <v>811</v>
      </c>
      <c r="AJ171" s="33" t="str">
        <f t="shared" si="2"/>
        <v>PD5D_MB_Moactcseq/samples/HC_BN1737_MB_MOactcseq_batch8_rep3.h5</v>
      </c>
      <c r="AK171" t="s">
        <v>1290</v>
      </c>
    </row>
    <row r="172" spans="1:37">
      <c r="A172" s="24" t="s">
        <v>888</v>
      </c>
      <c r="B172" s="24" t="s">
        <v>189</v>
      </c>
      <c r="C172" s="24" t="s">
        <v>189</v>
      </c>
      <c r="D172" s="24" t="s">
        <v>666</v>
      </c>
      <c r="E172" s="24">
        <v>1</v>
      </c>
      <c r="F172" s="24">
        <v>0</v>
      </c>
      <c r="G172" s="24" t="s">
        <v>667</v>
      </c>
      <c r="H172" s="24" t="s">
        <v>668</v>
      </c>
      <c r="I172" s="24" t="s">
        <v>806</v>
      </c>
      <c r="J172" s="24" t="s">
        <v>807</v>
      </c>
      <c r="K172" s="24" t="s">
        <v>807</v>
      </c>
      <c r="L172" s="24" t="s">
        <v>807</v>
      </c>
      <c r="M172" s="24" t="s">
        <v>807</v>
      </c>
      <c r="N172" s="24">
        <v>7.3</v>
      </c>
      <c r="O172" s="24">
        <v>7.3</v>
      </c>
      <c r="P172" s="24" t="s">
        <v>808</v>
      </c>
      <c r="Q172" s="25">
        <v>2726</v>
      </c>
      <c r="R172" s="24" t="s">
        <v>809</v>
      </c>
      <c r="S172" s="24" t="s">
        <v>675</v>
      </c>
      <c r="T172" s="24">
        <v>131</v>
      </c>
      <c r="U172" s="24" t="s">
        <v>810</v>
      </c>
      <c r="V172" s="24" t="s">
        <v>807</v>
      </c>
      <c r="W172" s="26"/>
      <c r="X172" s="26"/>
      <c r="Y172" s="26"/>
      <c r="Z172" s="26"/>
      <c r="AA172" s="26"/>
      <c r="AB172" s="26"/>
      <c r="AC172" s="26"/>
      <c r="AD172" s="26"/>
      <c r="AE172" s="26"/>
      <c r="AF172" s="26"/>
      <c r="AG172" s="26"/>
      <c r="AH172" s="33" t="s">
        <v>1260</v>
      </c>
      <c r="AI172" s="23" t="s">
        <v>811</v>
      </c>
      <c r="AJ172" s="33" t="str">
        <f t="shared" si="2"/>
        <v>PD5D_MB_Moactcseq/samples/HC_BN1762_MB_MOactcseq_batch1_rep1.h5</v>
      </c>
      <c r="AK172" t="s">
        <v>1290</v>
      </c>
    </row>
    <row r="173" spans="1:37">
      <c r="A173" s="24" t="s">
        <v>889</v>
      </c>
      <c r="B173" s="24" t="s">
        <v>199</v>
      </c>
      <c r="C173" s="24" t="s">
        <v>199</v>
      </c>
      <c r="D173" s="24" t="s">
        <v>666</v>
      </c>
      <c r="E173" s="24">
        <v>6</v>
      </c>
      <c r="F173" s="24">
        <v>0</v>
      </c>
      <c r="G173" s="24" t="s">
        <v>713</v>
      </c>
      <c r="H173" s="24" t="s">
        <v>668</v>
      </c>
      <c r="I173" s="24" t="s">
        <v>806</v>
      </c>
      <c r="J173" s="24" t="s">
        <v>807</v>
      </c>
      <c r="K173" s="24" t="s">
        <v>807</v>
      </c>
      <c r="L173" s="24" t="s">
        <v>807</v>
      </c>
      <c r="M173" s="24" t="s">
        <v>807</v>
      </c>
      <c r="N173" s="24">
        <v>8.8000000000000007</v>
      </c>
      <c r="O173" s="24">
        <v>8.8000000000000007</v>
      </c>
      <c r="P173" s="24" t="s">
        <v>808</v>
      </c>
      <c r="Q173" s="25">
        <v>9004</v>
      </c>
      <c r="R173" s="24" t="s">
        <v>809</v>
      </c>
      <c r="S173" s="24" t="s">
        <v>675</v>
      </c>
      <c r="T173" s="24">
        <v>131</v>
      </c>
      <c r="U173" s="24" t="s">
        <v>810</v>
      </c>
      <c r="V173" s="24" t="s">
        <v>807</v>
      </c>
      <c r="W173" s="26"/>
      <c r="X173" s="26"/>
      <c r="Y173" s="26"/>
      <c r="Z173" s="26"/>
      <c r="AA173" s="26"/>
      <c r="AB173" s="26"/>
      <c r="AC173" s="26"/>
      <c r="AD173" s="26"/>
      <c r="AE173" s="26"/>
      <c r="AF173" s="26"/>
      <c r="AG173" s="26"/>
      <c r="AH173" s="33" t="s">
        <v>1260</v>
      </c>
      <c r="AI173" s="23" t="s">
        <v>811</v>
      </c>
      <c r="AJ173" s="33" t="str">
        <f t="shared" si="2"/>
        <v>PD5D_MB_Moactcseq/samples/HC_BN1817_MB_MOactcseq_batch11_rep1.h5</v>
      </c>
      <c r="AK173" t="s">
        <v>1290</v>
      </c>
    </row>
    <row r="174" spans="1:37">
      <c r="A174" s="24" t="s">
        <v>890</v>
      </c>
      <c r="B174" s="24" t="s">
        <v>199</v>
      </c>
      <c r="C174" s="24" t="s">
        <v>199</v>
      </c>
      <c r="D174" s="24" t="s">
        <v>689</v>
      </c>
      <c r="E174" s="24">
        <v>6</v>
      </c>
      <c r="F174" s="24">
        <v>0</v>
      </c>
      <c r="G174" s="24" t="s">
        <v>713</v>
      </c>
      <c r="H174" s="24" t="s">
        <v>668</v>
      </c>
      <c r="I174" s="24" t="s">
        <v>806</v>
      </c>
      <c r="J174" s="24" t="s">
        <v>807</v>
      </c>
      <c r="K174" s="24" t="s">
        <v>807</v>
      </c>
      <c r="L174" s="24" t="s">
        <v>807</v>
      </c>
      <c r="M174" s="24" t="s">
        <v>807</v>
      </c>
      <c r="N174" s="24">
        <v>8.8000000000000007</v>
      </c>
      <c r="O174" s="24">
        <v>8.8000000000000007</v>
      </c>
      <c r="P174" s="24" t="s">
        <v>808</v>
      </c>
      <c r="Q174" s="25">
        <v>9004</v>
      </c>
      <c r="R174" s="24" t="s">
        <v>809</v>
      </c>
      <c r="S174" s="24" t="s">
        <v>675</v>
      </c>
      <c r="T174" s="24">
        <v>131</v>
      </c>
      <c r="U174" s="24" t="s">
        <v>810</v>
      </c>
      <c r="V174" s="24" t="s">
        <v>807</v>
      </c>
      <c r="W174" s="26"/>
      <c r="X174" s="26"/>
      <c r="Y174" s="26"/>
      <c r="Z174" s="26"/>
      <c r="AA174" s="26"/>
      <c r="AB174" s="26"/>
      <c r="AC174" s="26"/>
      <c r="AD174" s="26"/>
      <c r="AE174" s="26"/>
      <c r="AF174" s="26"/>
      <c r="AG174" s="26"/>
      <c r="AH174" s="33" t="s">
        <v>1260</v>
      </c>
      <c r="AI174" s="23" t="s">
        <v>811</v>
      </c>
      <c r="AJ174" s="33" t="str">
        <f t="shared" si="2"/>
        <v>PD5D_MB_Moactcseq/samples/HC_BN1817_MB_MOactcseq_batch11_rep2.h5</v>
      </c>
      <c r="AK174" t="s">
        <v>1290</v>
      </c>
    </row>
    <row r="175" spans="1:37">
      <c r="A175" s="24" t="s">
        <v>891</v>
      </c>
      <c r="B175" s="24" t="s">
        <v>199</v>
      </c>
      <c r="C175" s="24" t="s">
        <v>199</v>
      </c>
      <c r="D175" s="24" t="s">
        <v>814</v>
      </c>
      <c r="E175" s="24">
        <v>6</v>
      </c>
      <c r="F175" s="24">
        <v>0</v>
      </c>
      <c r="G175" s="24" t="s">
        <v>713</v>
      </c>
      <c r="H175" s="24" t="s">
        <v>668</v>
      </c>
      <c r="I175" s="24" t="s">
        <v>806</v>
      </c>
      <c r="J175" s="24" t="s">
        <v>807</v>
      </c>
      <c r="K175" s="24" t="s">
        <v>807</v>
      </c>
      <c r="L175" s="24" t="s">
        <v>807</v>
      </c>
      <c r="M175" s="24" t="s">
        <v>807</v>
      </c>
      <c r="N175" s="24">
        <v>8.8000000000000007</v>
      </c>
      <c r="O175" s="24">
        <v>8.8000000000000007</v>
      </c>
      <c r="P175" s="24" t="s">
        <v>808</v>
      </c>
      <c r="Q175" s="25">
        <v>9004</v>
      </c>
      <c r="R175" s="24" t="s">
        <v>809</v>
      </c>
      <c r="S175" s="24" t="s">
        <v>675</v>
      </c>
      <c r="T175" s="24">
        <v>131</v>
      </c>
      <c r="U175" s="24" t="s">
        <v>810</v>
      </c>
      <c r="V175" s="24" t="s">
        <v>807</v>
      </c>
      <c r="W175" s="26"/>
      <c r="X175" s="26"/>
      <c r="Y175" s="26"/>
      <c r="Z175" s="26"/>
      <c r="AA175" s="26"/>
      <c r="AB175" s="26"/>
      <c r="AC175" s="26"/>
      <c r="AD175" s="26"/>
      <c r="AE175" s="26"/>
      <c r="AF175" s="26"/>
      <c r="AG175" s="26"/>
      <c r="AH175" s="33" t="s">
        <v>1260</v>
      </c>
      <c r="AI175" s="23" t="s">
        <v>811</v>
      </c>
      <c r="AJ175" s="33" t="str">
        <f t="shared" si="2"/>
        <v>PD5D_MB_Moactcseq/samples/HC_BN1817_MB_MOactcseq_batch11_rep3.h5</v>
      </c>
      <c r="AK175" t="s">
        <v>1290</v>
      </c>
    </row>
    <row r="176" spans="1:37">
      <c r="A176" s="24" t="s">
        <v>892</v>
      </c>
      <c r="B176" s="24" t="s">
        <v>199</v>
      </c>
      <c r="C176" s="24" t="s">
        <v>199</v>
      </c>
      <c r="D176" s="24" t="s">
        <v>819</v>
      </c>
      <c r="E176" s="24">
        <v>6</v>
      </c>
      <c r="F176" s="24">
        <v>0</v>
      </c>
      <c r="G176" s="24" t="s">
        <v>713</v>
      </c>
      <c r="H176" s="24" t="s">
        <v>668</v>
      </c>
      <c r="I176" s="24" t="s">
        <v>806</v>
      </c>
      <c r="J176" s="24" t="s">
        <v>807</v>
      </c>
      <c r="K176" s="24" t="s">
        <v>807</v>
      </c>
      <c r="L176" s="24" t="s">
        <v>807</v>
      </c>
      <c r="M176" s="24" t="s">
        <v>807</v>
      </c>
      <c r="N176" s="24">
        <v>8.8000000000000007</v>
      </c>
      <c r="O176" s="24">
        <v>8.8000000000000007</v>
      </c>
      <c r="P176" s="24" t="s">
        <v>808</v>
      </c>
      <c r="Q176" s="25">
        <v>9004</v>
      </c>
      <c r="R176" s="24" t="s">
        <v>809</v>
      </c>
      <c r="S176" s="24" t="s">
        <v>675</v>
      </c>
      <c r="T176" s="24">
        <v>131</v>
      </c>
      <c r="U176" s="24" t="s">
        <v>810</v>
      </c>
      <c r="V176" s="24" t="s">
        <v>807</v>
      </c>
      <c r="W176" s="26"/>
      <c r="X176" s="26"/>
      <c r="Y176" s="26"/>
      <c r="Z176" s="26"/>
      <c r="AA176" s="26"/>
      <c r="AB176" s="26"/>
      <c r="AC176" s="26"/>
      <c r="AD176" s="26"/>
      <c r="AE176" s="26"/>
      <c r="AF176" s="26"/>
      <c r="AG176" s="26"/>
      <c r="AH176" s="33" t="s">
        <v>1260</v>
      </c>
      <c r="AI176" s="23" t="s">
        <v>811</v>
      </c>
      <c r="AJ176" s="33" t="str">
        <f t="shared" si="2"/>
        <v>PD5D_MB_Moactcseq/samples/HC_BN1817_MB_MOactcseq_batch11_rep4.h5</v>
      </c>
      <c r="AK176" t="s">
        <v>1290</v>
      </c>
    </row>
    <row r="177" spans="1:37">
      <c r="A177" s="24" t="s">
        <v>893</v>
      </c>
      <c r="B177" s="24" t="s">
        <v>199</v>
      </c>
      <c r="C177" s="24" t="s">
        <v>199</v>
      </c>
      <c r="D177" s="24" t="s">
        <v>821</v>
      </c>
      <c r="E177" s="24">
        <v>6</v>
      </c>
      <c r="F177" s="24">
        <v>0</v>
      </c>
      <c r="G177" s="24" t="s">
        <v>713</v>
      </c>
      <c r="H177" s="24" t="s">
        <v>668</v>
      </c>
      <c r="I177" s="24" t="s">
        <v>806</v>
      </c>
      <c r="J177" s="24" t="s">
        <v>807</v>
      </c>
      <c r="K177" s="24" t="s">
        <v>807</v>
      </c>
      <c r="L177" s="24" t="s">
        <v>807</v>
      </c>
      <c r="M177" s="24" t="s">
        <v>807</v>
      </c>
      <c r="N177" s="24">
        <v>8.8000000000000007</v>
      </c>
      <c r="O177" s="24">
        <v>8.8000000000000007</v>
      </c>
      <c r="P177" s="24" t="s">
        <v>808</v>
      </c>
      <c r="Q177" s="25">
        <v>9004</v>
      </c>
      <c r="R177" s="24" t="s">
        <v>809</v>
      </c>
      <c r="S177" s="24" t="s">
        <v>675</v>
      </c>
      <c r="T177" s="24">
        <v>131</v>
      </c>
      <c r="U177" s="24" t="s">
        <v>810</v>
      </c>
      <c r="V177" s="24" t="s">
        <v>807</v>
      </c>
      <c r="W177" s="26"/>
      <c r="X177" s="26"/>
      <c r="Y177" s="26"/>
      <c r="Z177" s="26"/>
      <c r="AA177" s="26"/>
      <c r="AB177" s="26"/>
      <c r="AC177" s="26"/>
      <c r="AD177" s="26"/>
      <c r="AE177" s="26"/>
      <c r="AF177" s="26"/>
      <c r="AG177" s="26"/>
      <c r="AH177" s="33" t="s">
        <v>1260</v>
      </c>
      <c r="AI177" s="23" t="s">
        <v>811</v>
      </c>
      <c r="AJ177" s="33" t="str">
        <f t="shared" si="2"/>
        <v>PD5D_MB_Moactcseq/samples/HC_BN1817_MB_MOactcseq_batch11_rep5.h5</v>
      </c>
      <c r="AK177" t="s">
        <v>1290</v>
      </c>
    </row>
    <row r="178" spans="1:37">
      <c r="A178" s="24" t="s">
        <v>894</v>
      </c>
      <c r="B178" s="24" t="s">
        <v>199</v>
      </c>
      <c r="C178" s="24" t="s">
        <v>199</v>
      </c>
      <c r="D178" s="24" t="s">
        <v>823</v>
      </c>
      <c r="E178" s="24">
        <v>6</v>
      </c>
      <c r="F178" s="24">
        <v>0</v>
      </c>
      <c r="G178" s="24" t="s">
        <v>713</v>
      </c>
      <c r="H178" s="24" t="s">
        <v>668</v>
      </c>
      <c r="I178" s="24" t="s">
        <v>806</v>
      </c>
      <c r="J178" s="24" t="s">
        <v>807</v>
      </c>
      <c r="K178" s="24" t="s">
        <v>807</v>
      </c>
      <c r="L178" s="24" t="s">
        <v>807</v>
      </c>
      <c r="M178" s="24" t="s">
        <v>807</v>
      </c>
      <c r="N178" s="24">
        <v>8.8000000000000007</v>
      </c>
      <c r="O178" s="24">
        <v>8.8000000000000007</v>
      </c>
      <c r="P178" s="24" t="s">
        <v>808</v>
      </c>
      <c r="Q178" s="25">
        <v>9004</v>
      </c>
      <c r="R178" s="24" t="s">
        <v>809</v>
      </c>
      <c r="S178" s="24" t="s">
        <v>675</v>
      </c>
      <c r="T178" s="24">
        <v>131</v>
      </c>
      <c r="U178" s="24" t="s">
        <v>810</v>
      </c>
      <c r="V178" s="24" t="s">
        <v>807</v>
      </c>
      <c r="W178" s="26"/>
      <c r="X178" s="26"/>
      <c r="Y178" s="26"/>
      <c r="Z178" s="26"/>
      <c r="AA178" s="26"/>
      <c r="AB178" s="26"/>
      <c r="AC178" s="26"/>
      <c r="AD178" s="26"/>
      <c r="AE178" s="26"/>
      <c r="AF178" s="26"/>
      <c r="AG178" s="26"/>
      <c r="AH178" s="33" t="s">
        <v>1260</v>
      </c>
      <c r="AI178" s="23" t="s">
        <v>811</v>
      </c>
      <c r="AJ178" s="33" t="str">
        <f t="shared" si="2"/>
        <v>PD5D_MB_Moactcseq/samples/HC_BN1817_MB_MOactcseq_batch11_rep6.h5</v>
      </c>
      <c r="AK178" t="s">
        <v>1290</v>
      </c>
    </row>
    <row r="179" spans="1:37">
      <c r="A179" s="24" t="s">
        <v>895</v>
      </c>
      <c r="B179" s="24" t="s">
        <v>201</v>
      </c>
      <c r="C179" s="24" t="s">
        <v>201</v>
      </c>
      <c r="D179" s="24" t="s">
        <v>666</v>
      </c>
      <c r="E179" s="24">
        <v>2</v>
      </c>
      <c r="F179" s="24">
        <v>0</v>
      </c>
      <c r="G179" s="24" t="s">
        <v>696</v>
      </c>
      <c r="H179" s="24" t="s">
        <v>668</v>
      </c>
      <c r="I179" s="24" t="s">
        <v>806</v>
      </c>
      <c r="J179" s="24" t="s">
        <v>807</v>
      </c>
      <c r="K179" s="24" t="s">
        <v>807</v>
      </c>
      <c r="L179" s="24" t="s">
        <v>807</v>
      </c>
      <c r="M179" s="24" t="s">
        <v>807</v>
      </c>
      <c r="N179" s="24">
        <v>8.8000000000000007</v>
      </c>
      <c r="O179" s="24">
        <v>8.8000000000000007</v>
      </c>
      <c r="P179" s="24" t="s">
        <v>808</v>
      </c>
      <c r="Q179" s="24">
        <v>2913</v>
      </c>
      <c r="R179" s="24" t="s">
        <v>809</v>
      </c>
      <c r="S179" s="24" t="s">
        <v>675</v>
      </c>
      <c r="T179" s="24">
        <v>131</v>
      </c>
      <c r="U179" s="24" t="s">
        <v>810</v>
      </c>
      <c r="V179" s="24" t="s">
        <v>807</v>
      </c>
      <c r="W179" s="26"/>
      <c r="X179" s="26"/>
      <c r="Y179" s="26"/>
      <c r="Z179" s="26"/>
      <c r="AA179" s="26"/>
      <c r="AB179" s="26"/>
      <c r="AC179" s="26"/>
      <c r="AD179" s="26"/>
      <c r="AE179" s="26"/>
      <c r="AF179" s="26"/>
      <c r="AG179" s="26"/>
      <c r="AH179" s="33" t="s">
        <v>1260</v>
      </c>
      <c r="AI179" s="23" t="s">
        <v>811</v>
      </c>
      <c r="AJ179" s="33" t="str">
        <f t="shared" si="2"/>
        <v>PD5D_MB_Moactcseq/samples/HC_BN1822_MB_MOactcseq_batch5_rep1.h5</v>
      </c>
      <c r="AK179" t="s">
        <v>1290</v>
      </c>
    </row>
    <row r="180" spans="1:37">
      <c r="A180" s="24" t="s">
        <v>896</v>
      </c>
      <c r="B180" s="24" t="s">
        <v>201</v>
      </c>
      <c r="C180" s="24" t="s">
        <v>201</v>
      </c>
      <c r="D180" s="24" t="s">
        <v>689</v>
      </c>
      <c r="E180" s="24">
        <v>2</v>
      </c>
      <c r="F180" s="24">
        <v>0</v>
      </c>
      <c r="G180" s="24" t="s">
        <v>696</v>
      </c>
      <c r="H180" s="24" t="s">
        <v>668</v>
      </c>
      <c r="I180" s="24" t="s">
        <v>806</v>
      </c>
      <c r="J180" s="24" t="s">
        <v>807</v>
      </c>
      <c r="K180" s="24" t="s">
        <v>807</v>
      </c>
      <c r="L180" s="24" t="s">
        <v>807</v>
      </c>
      <c r="M180" s="24" t="s">
        <v>807</v>
      </c>
      <c r="N180" s="24">
        <v>8.8000000000000007</v>
      </c>
      <c r="O180" s="24">
        <v>8.8000000000000007</v>
      </c>
      <c r="P180" s="24" t="s">
        <v>808</v>
      </c>
      <c r="Q180" s="24">
        <v>2913</v>
      </c>
      <c r="R180" s="24" t="s">
        <v>809</v>
      </c>
      <c r="S180" s="24" t="s">
        <v>675</v>
      </c>
      <c r="T180" s="24">
        <v>131</v>
      </c>
      <c r="U180" s="24" t="s">
        <v>810</v>
      </c>
      <c r="V180" s="24" t="s">
        <v>807</v>
      </c>
      <c r="W180" s="26"/>
      <c r="X180" s="26"/>
      <c r="Y180" s="26"/>
      <c r="Z180" s="26"/>
      <c r="AA180" s="26"/>
      <c r="AB180" s="26"/>
      <c r="AC180" s="26"/>
      <c r="AD180" s="26"/>
      <c r="AE180" s="26"/>
      <c r="AF180" s="26"/>
      <c r="AG180" s="26"/>
      <c r="AH180" s="33" t="s">
        <v>1260</v>
      </c>
      <c r="AI180" s="23" t="s">
        <v>811</v>
      </c>
      <c r="AJ180" s="33" t="str">
        <f t="shared" si="2"/>
        <v>PD5D_MB_Moactcseq/samples/HC_BN1822_MB_MOactcseq_batch5_rep2.h5</v>
      </c>
      <c r="AK180" t="s">
        <v>1290</v>
      </c>
    </row>
    <row r="181" spans="1:37">
      <c r="A181" s="24" t="s">
        <v>897</v>
      </c>
      <c r="B181" s="24" t="s">
        <v>209</v>
      </c>
      <c r="C181" s="24" t="s">
        <v>209</v>
      </c>
      <c r="D181" s="24" t="s">
        <v>666</v>
      </c>
      <c r="E181" s="24">
        <v>6</v>
      </c>
      <c r="F181" s="24">
        <v>0</v>
      </c>
      <c r="G181" s="24" t="s">
        <v>713</v>
      </c>
      <c r="H181" s="24" t="s">
        <v>668</v>
      </c>
      <c r="I181" s="24" t="s">
        <v>806</v>
      </c>
      <c r="J181" s="24" t="s">
        <v>807</v>
      </c>
      <c r="K181" s="24" t="s">
        <v>807</v>
      </c>
      <c r="L181" s="24" t="s">
        <v>807</v>
      </c>
      <c r="M181" s="24" t="s">
        <v>807</v>
      </c>
      <c r="N181" s="24">
        <v>9.1</v>
      </c>
      <c r="O181" s="24">
        <v>9.1</v>
      </c>
      <c r="P181" s="24" t="s">
        <v>808</v>
      </c>
      <c r="Q181" s="25">
        <v>8594</v>
      </c>
      <c r="R181" s="24" t="s">
        <v>809</v>
      </c>
      <c r="S181" s="24" t="s">
        <v>675</v>
      </c>
      <c r="T181" s="24">
        <v>131</v>
      </c>
      <c r="U181" s="24" t="s">
        <v>810</v>
      </c>
      <c r="V181" s="24" t="s">
        <v>807</v>
      </c>
      <c r="W181" s="26"/>
      <c r="X181" s="26"/>
      <c r="Y181" s="26"/>
      <c r="Z181" s="26"/>
      <c r="AA181" s="26"/>
      <c r="AB181" s="26"/>
      <c r="AC181" s="26"/>
      <c r="AD181" s="26"/>
      <c r="AE181" s="26"/>
      <c r="AF181" s="26"/>
      <c r="AG181" s="26"/>
      <c r="AH181" s="33" t="s">
        <v>1260</v>
      </c>
      <c r="AI181" s="23" t="s">
        <v>811</v>
      </c>
      <c r="AJ181" s="33" t="str">
        <f t="shared" si="2"/>
        <v>PD5D_MB_Moactcseq/samples/HC_BN1842_MB_MOactcseq_batch11_rep1.h5</v>
      </c>
      <c r="AK181" t="s">
        <v>1290</v>
      </c>
    </row>
    <row r="182" spans="1:37">
      <c r="A182" s="24" t="s">
        <v>898</v>
      </c>
      <c r="B182" s="24" t="s">
        <v>209</v>
      </c>
      <c r="C182" s="24" t="s">
        <v>209</v>
      </c>
      <c r="D182" s="24" t="s">
        <v>689</v>
      </c>
      <c r="E182" s="24">
        <v>6</v>
      </c>
      <c r="F182" s="24">
        <v>0</v>
      </c>
      <c r="G182" s="24" t="s">
        <v>713</v>
      </c>
      <c r="H182" s="24" t="s">
        <v>668</v>
      </c>
      <c r="I182" s="24" t="s">
        <v>806</v>
      </c>
      <c r="J182" s="24" t="s">
        <v>807</v>
      </c>
      <c r="K182" s="24" t="s">
        <v>807</v>
      </c>
      <c r="L182" s="24" t="s">
        <v>807</v>
      </c>
      <c r="M182" s="24" t="s">
        <v>807</v>
      </c>
      <c r="N182" s="24">
        <v>9.1</v>
      </c>
      <c r="O182" s="24">
        <v>9.1</v>
      </c>
      <c r="P182" s="24" t="s">
        <v>808</v>
      </c>
      <c r="Q182" s="25">
        <v>8594</v>
      </c>
      <c r="R182" s="24" t="s">
        <v>809</v>
      </c>
      <c r="S182" s="24" t="s">
        <v>675</v>
      </c>
      <c r="T182" s="24">
        <v>131</v>
      </c>
      <c r="U182" s="24" t="s">
        <v>810</v>
      </c>
      <c r="V182" s="24" t="s">
        <v>807</v>
      </c>
      <c r="W182" s="26"/>
      <c r="X182" s="26"/>
      <c r="Y182" s="26"/>
      <c r="Z182" s="26"/>
      <c r="AA182" s="26"/>
      <c r="AB182" s="26"/>
      <c r="AC182" s="26"/>
      <c r="AD182" s="26"/>
      <c r="AE182" s="26"/>
      <c r="AF182" s="26"/>
      <c r="AG182" s="26"/>
      <c r="AH182" s="33" t="s">
        <v>1260</v>
      </c>
      <c r="AI182" s="23" t="s">
        <v>811</v>
      </c>
      <c r="AJ182" s="33" t="str">
        <f t="shared" si="2"/>
        <v>PD5D_MB_Moactcseq/samples/HC_BN1842_MB_MOactcseq_batch11_rep2.h5</v>
      </c>
      <c r="AK182" t="s">
        <v>1290</v>
      </c>
    </row>
    <row r="183" spans="1:37">
      <c r="A183" s="24" t="s">
        <v>899</v>
      </c>
      <c r="B183" s="24" t="s">
        <v>209</v>
      </c>
      <c r="C183" s="24" t="s">
        <v>209</v>
      </c>
      <c r="D183" s="24" t="s">
        <v>814</v>
      </c>
      <c r="E183" s="24">
        <v>6</v>
      </c>
      <c r="F183" s="24">
        <v>0</v>
      </c>
      <c r="G183" s="24" t="s">
        <v>713</v>
      </c>
      <c r="H183" s="24" t="s">
        <v>668</v>
      </c>
      <c r="I183" s="24" t="s">
        <v>806</v>
      </c>
      <c r="J183" s="24" t="s">
        <v>807</v>
      </c>
      <c r="K183" s="24" t="s">
        <v>807</v>
      </c>
      <c r="L183" s="24" t="s">
        <v>807</v>
      </c>
      <c r="M183" s="24" t="s">
        <v>807</v>
      </c>
      <c r="N183" s="24">
        <v>9.1</v>
      </c>
      <c r="O183" s="24">
        <v>9.1</v>
      </c>
      <c r="P183" s="24" t="s">
        <v>808</v>
      </c>
      <c r="Q183" s="25">
        <v>8594</v>
      </c>
      <c r="R183" s="24" t="s">
        <v>809</v>
      </c>
      <c r="S183" s="24" t="s">
        <v>675</v>
      </c>
      <c r="T183" s="24">
        <v>131</v>
      </c>
      <c r="U183" s="24" t="s">
        <v>810</v>
      </c>
      <c r="V183" s="24" t="s">
        <v>807</v>
      </c>
      <c r="W183" s="26"/>
      <c r="X183" s="26"/>
      <c r="Y183" s="26"/>
      <c r="Z183" s="26"/>
      <c r="AA183" s="26"/>
      <c r="AB183" s="26"/>
      <c r="AC183" s="26"/>
      <c r="AD183" s="26"/>
      <c r="AE183" s="26"/>
      <c r="AF183" s="26"/>
      <c r="AG183" s="26"/>
      <c r="AH183" s="33" t="s">
        <v>1260</v>
      </c>
      <c r="AI183" s="23" t="s">
        <v>811</v>
      </c>
      <c r="AJ183" s="33" t="str">
        <f t="shared" si="2"/>
        <v>PD5D_MB_Moactcseq/samples/HC_BN1842_MB_MOactcseq_batch11_rep3.h5</v>
      </c>
      <c r="AK183" t="s">
        <v>1290</v>
      </c>
    </row>
    <row r="184" spans="1:37">
      <c r="A184" s="24" t="s">
        <v>900</v>
      </c>
      <c r="B184" s="24" t="s">
        <v>209</v>
      </c>
      <c r="C184" s="24" t="s">
        <v>209</v>
      </c>
      <c r="D184" s="24" t="s">
        <v>819</v>
      </c>
      <c r="E184" s="24">
        <v>6</v>
      </c>
      <c r="F184" s="24">
        <v>0</v>
      </c>
      <c r="G184" s="24" t="s">
        <v>713</v>
      </c>
      <c r="H184" s="24" t="s">
        <v>668</v>
      </c>
      <c r="I184" s="24" t="s">
        <v>806</v>
      </c>
      <c r="J184" s="24" t="s">
        <v>807</v>
      </c>
      <c r="K184" s="24" t="s">
        <v>807</v>
      </c>
      <c r="L184" s="24" t="s">
        <v>807</v>
      </c>
      <c r="M184" s="24" t="s">
        <v>807</v>
      </c>
      <c r="N184" s="24">
        <v>9.1</v>
      </c>
      <c r="O184" s="24">
        <v>9.1</v>
      </c>
      <c r="P184" s="24" t="s">
        <v>808</v>
      </c>
      <c r="Q184" s="25">
        <v>8594</v>
      </c>
      <c r="R184" s="24" t="s">
        <v>809</v>
      </c>
      <c r="S184" s="24" t="s">
        <v>675</v>
      </c>
      <c r="T184" s="24">
        <v>131</v>
      </c>
      <c r="U184" s="24" t="s">
        <v>810</v>
      </c>
      <c r="V184" s="24" t="s">
        <v>807</v>
      </c>
      <c r="W184" s="26"/>
      <c r="X184" s="26"/>
      <c r="Y184" s="26"/>
      <c r="Z184" s="26"/>
      <c r="AA184" s="26"/>
      <c r="AB184" s="26"/>
      <c r="AC184" s="26"/>
      <c r="AD184" s="26"/>
      <c r="AE184" s="26"/>
      <c r="AF184" s="26"/>
      <c r="AG184" s="26"/>
      <c r="AH184" s="33" t="s">
        <v>1260</v>
      </c>
      <c r="AI184" s="23" t="s">
        <v>811</v>
      </c>
      <c r="AJ184" s="33" t="str">
        <f t="shared" si="2"/>
        <v>PD5D_MB_Moactcseq/samples/HC_BN1842_MB_MOactcseq_batch11_rep4.h5</v>
      </c>
      <c r="AK184" t="s">
        <v>1290</v>
      </c>
    </row>
    <row r="185" spans="1:37">
      <c r="A185" s="24" t="s">
        <v>901</v>
      </c>
      <c r="B185" s="24" t="s">
        <v>209</v>
      </c>
      <c r="C185" s="24" t="s">
        <v>209</v>
      </c>
      <c r="D185" s="24" t="s">
        <v>821</v>
      </c>
      <c r="E185" s="24">
        <v>6</v>
      </c>
      <c r="F185" s="24">
        <v>0</v>
      </c>
      <c r="G185" s="24" t="s">
        <v>713</v>
      </c>
      <c r="H185" s="24" t="s">
        <v>668</v>
      </c>
      <c r="I185" s="24" t="s">
        <v>806</v>
      </c>
      <c r="J185" s="24" t="s">
        <v>807</v>
      </c>
      <c r="K185" s="24" t="s">
        <v>807</v>
      </c>
      <c r="L185" s="24" t="s">
        <v>807</v>
      </c>
      <c r="M185" s="24" t="s">
        <v>807</v>
      </c>
      <c r="N185" s="24">
        <v>9.1</v>
      </c>
      <c r="O185" s="24">
        <v>9.1</v>
      </c>
      <c r="P185" s="24" t="s">
        <v>808</v>
      </c>
      <c r="Q185" s="25">
        <v>8594</v>
      </c>
      <c r="R185" s="24" t="s">
        <v>809</v>
      </c>
      <c r="S185" s="24" t="s">
        <v>675</v>
      </c>
      <c r="T185" s="24">
        <v>131</v>
      </c>
      <c r="U185" s="24" t="s">
        <v>810</v>
      </c>
      <c r="V185" s="24" t="s">
        <v>807</v>
      </c>
      <c r="W185" s="26"/>
      <c r="X185" s="26"/>
      <c r="Y185" s="26"/>
      <c r="Z185" s="26"/>
      <c r="AA185" s="26"/>
      <c r="AB185" s="26"/>
      <c r="AC185" s="26"/>
      <c r="AD185" s="26"/>
      <c r="AE185" s="26"/>
      <c r="AF185" s="26"/>
      <c r="AG185" s="26"/>
      <c r="AH185" s="33" t="s">
        <v>1260</v>
      </c>
      <c r="AI185" s="23" t="s">
        <v>811</v>
      </c>
      <c r="AJ185" s="33" t="str">
        <f t="shared" si="2"/>
        <v>PD5D_MB_Moactcseq/samples/HC_BN1842_MB_MOactcseq_batch11_rep5.h5</v>
      </c>
      <c r="AK185" t="s">
        <v>1290</v>
      </c>
    </row>
    <row r="186" spans="1:37">
      <c r="A186" s="24" t="s">
        <v>902</v>
      </c>
      <c r="B186" s="24" t="s">
        <v>209</v>
      </c>
      <c r="C186" s="24" t="s">
        <v>209</v>
      </c>
      <c r="D186" s="24" t="s">
        <v>823</v>
      </c>
      <c r="E186" s="24">
        <v>6</v>
      </c>
      <c r="F186" s="24">
        <v>0</v>
      </c>
      <c r="G186" s="24" t="s">
        <v>713</v>
      </c>
      <c r="H186" s="24" t="s">
        <v>668</v>
      </c>
      <c r="I186" s="24" t="s">
        <v>806</v>
      </c>
      <c r="J186" s="24" t="s">
        <v>807</v>
      </c>
      <c r="K186" s="24" t="s">
        <v>807</v>
      </c>
      <c r="L186" s="24" t="s">
        <v>807</v>
      </c>
      <c r="M186" s="24" t="s">
        <v>807</v>
      </c>
      <c r="N186" s="24">
        <v>9.1</v>
      </c>
      <c r="O186" s="24">
        <v>9.1</v>
      </c>
      <c r="P186" s="24" t="s">
        <v>808</v>
      </c>
      <c r="Q186" s="25">
        <v>8594</v>
      </c>
      <c r="R186" s="24" t="s">
        <v>809</v>
      </c>
      <c r="S186" s="24" t="s">
        <v>675</v>
      </c>
      <c r="T186" s="24">
        <v>131</v>
      </c>
      <c r="U186" s="24" t="s">
        <v>810</v>
      </c>
      <c r="V186" s="24" t="s">
        <v>807</v>
      </c>
      <c r="W186" s="26"/>
      <c r="X186" s="26"/>
      <c r="Y186" s="26"/>
      <c r="Z186" s="26"/>
      <c r="AA186" s="26"/>
      <c r="AB186" s="26"/>
      <c r="AC186" s="26"/>
      <c r="AD186" s="26"/>
      <c r="AE186" s="26"/>
      <c r="AF186" s="26"/>
      <c r="AG186" s="26"/>
      <c r="AH186" s="33" t="s">
        <v>1260</v>
      </c>
      <c r="AI186" s="23" t="s">
        <v>811</v>
      </c>
      <c r="AJ186" s="33" t="str">
        <f t="shared" si="2"/>
        <v>PD5D_MB_Moactcseq/samples/HC_BN1842_MB_MOactcseq_batch11_rep6.h5</v>
      </c>
      <c r="AK186" t="s">
        <v>1290</v>
      </c>
    </row>
    <row r="187" spans="1:37">
      <c r="A187" s="24" t="s">
        <v>903</v>
      </c>
      <c r="B187" s="24" t="s">
        <v>215</v>
      </c>
      <c r="C187" s="24" t="s">
        <v>215</v>
      </c>
      <c r="D187" s="24" t="s">
        <v>666</v>
      </c>
      <c r="E187" s="24">
        <v>6</v>
      </c>
      <c r="F187" s="24">
        <v>0</v>
      </c>
      <c r="G187" s="24" t="s">
        <v>713</v>
      </c>
      <c r="H187" s="24" t="s">
        <v>668</v>
      </c>
      <c r="I187" s="24" t="s">
        <v>806</v>
      </c>
      <c r="J187" s="24" t="s">
        <v>807</v>
      </c>
      <c r="K187" s="24" t="s">
        <v>807</v>
      </c>
      <c r="L187" s="24" t="s">
        <v>807</v>
      </c>
      <c r="M187" s="24" t="s">
        <v>807</v>
      </c>
      <c r="N187" s="24">
        <v>9</v>
      </c>
      <c r="O187" s="24">
        <v>9</v>
      </c>
      <c r="P187" s="24" t="s">
        <v>808</v>
      </c>
      <c r="Q187" s="25">
        <v>7623</v>
      </c>
      <c r="R187" s="24" t="s">
        <v>809</v>
      </c>
      <c r="S187" s="24" t="s">
        <v>675</v>
      </c>
      <c r="T187" s="24">
        <v>131</v>
      </c>
      <c r="U187" s="24" t="s">
        <v>810</v>
      </c>
      <c r="V187" s="24" t="s">
        <v>807</v>
      </c>
      <c r="W187" s="26"/>
      <c r="X187" s="26"/>
      <c r="Y187" s="26"/>
      <c r="Z187" s="26"/>
      <c r="AA187" s="26"/>
      <c r="AB187" s="26"/>
      <c r="AC187" s="26"/>
      <c r="AD187" s="26"/>
      <c r="AE187" s="26"/>
      <c r="AF187" s="26"/>
      <c r="AG187" s="26"/>
      <c r="AH187" s="33" t="s">
        <v>1260</v>
      </c>
      <c r="AI187" s="23" t="s">
        <v>811</v>
      </c>
      <c r="AJ187" s="33" t="str">
        <f t="shared" si="2"/>
        <v>PD5D_MB_Moactcseq/samples/HC_BN1855_MB_MOactcseq_batch11_rep1.h5</v>
      </c>
      <c r="AK187" t="s">
        <v>1290</v>
      </c>
    </row>
    <row r="188" spans="1:37">
      <c r="A188" s="24" t="s">
        <v>904</v>
      </c>
      <c r="B188" s="24" t="s">
        <v>215</v>
      </c>
      <c r="C188" s="24" t="s">
        <v>215</v>
      </c>
      <c r="D188" s="24" t="s">
        <v>689</v>
      </c>
      <c r="E188" s="24">
        <v>6</v>
      </c>
      <c r="F188" s="24">
        <v>0</v>
      </c>
      <c r="G188" s="24" t="s">
        <v>713</v>
      </c>
      <c r="H188" s="24" t="s">
        <v>668</v>
      </c>
      <c r="I188" s="24" t="s">
        <v>806</v>
      </c>
      <c r="J188" s="24" t="s">
        <v>807</v>
      </c>
      <c r="K188" s="24" t="s">
        <v>807</v>
      </c>
      <c r="L188" s="24" t="s">
        <v>807</v>
      </c>
      <c r="M188" s="24" t="s">
        <v>807</v>
      </c>
      <c r="N188" s="24">
        <v>9</v>
      </c>
      <c r="O188" s="24">
        <v>9</v>
      </c>
      <c r="P188" s="24" t="s">
        <v>808</v>
      </c>
      <c r="Q188" s="25">
        <v>7623</v>
      </c>
      <c r="R188" s="24" t="s">
        <v>809</v>
      </c>
      <c r="S188" s="24" t="s">
        <v>675</v>
      </c>
      <c r="T188" s="24">
        <v>131</v>
      </c>
      <c r="U188" s="24" t="s">
        <v>810</v>
      </c>
      <c r="V188" s="24" t="s">
        <v>807</v>
      </c>
      <c r="W188" s="26"/>
      <c r="X188" s="26"/>
      <c r="Y188" s="26"/>
      <c r="Z188" s="26"/>
      <c r="AA188" s="26"/>
      <c r="AB188" s="26"/>
      <c r="AC188" s="26"/>
      <c r="AD188" s="26"/>
      <c r="AE188" s="26"/>
      <c r="AF188" s="26"/>
      <c r="AG188" s="26"/>
      <c r="AH188" s="33" t="s">
        <v>1260</v>
      </c>
      <c r="AI188" s="23" t="s">
        <v>811</v>
      </c>
      <c r="AJ188" s="33" t="str">
        <f t="shared" si="2"/>
        <v>PD5D_MB_Moactcseq/samples/HC_BN1855_MB_MOactcseq_batch11_rep2.h5</v>
      </c>
      <c r="AK188" t="s">
        <v>1290</v>
      </c>
    </row>
    <row r="189" spans="1:37">
      <c r="A189" s="24" t="s">
        <v>905</v>
      </c>
      <c r="B189" s="24" t="s">
        <v>215</v>
      </c>
      <c r="C189" s="24" t="s">
        <v>215</v>
      </c>
      <c r="D189" s="24" t="s">
        <v>814</v>
      </c>
      <c r="E189" s="24">
        <v>6</v>
      </c>
      <c r="F189" s="24">
        <v>0</v>
      </c>
      <c r="G189" s="24" t="s">
        <v>713</v>
      </c>
      <c r="H189" s="24" t="s">
        <v>668</v>
      </c>
      <c r="I189" s="24" t="s">
        <v>806</v>
      </c>
      <c r="J189" s="24" t="s">
        <v>807</v>
      </c>
      <c r="K189" s="24" t="s">
        <v>807</v>
      </c>
      <c r="L189" s="24" t="s">
        <v>807</v>
      </c>
      <c r="M189" s="24" t="s">
        <v>807</v>
      </c>
      <c r="N189" s="24">
        <v>9</v>
      </c>
      <c r="O189" s="24">
        <v>9</v>
      </c>
      <c r="P189" s="24" t="s">
        <v>808</v>
      </c>
      <c r="Q189" s="25">
        <v>7623</v>
      </c>
      <c r="R189" s="24" t="s">
        <v>809</v>
      </c>
      <c r="S189" s="24" t="s">
        <v>675</v>
      </c>
      <c r="T189" s="24">
        <v>131</v>
      </c>
      <c r="U189" s="24" t="s">
        <v>810</v>
      </c>
      <c r="V189" s="24" t="s">
        <v>807</v>
      </c>
      <c r="W189" s="26"/>
      <c r="X189" s="26"/>
      <c r="Y189" s="26"/>
      <c r="Z189" s="26"/>
      <c r="AA189" s="26"/>
      <c r="AB189" s="26"/>
      <c r="AC189" s="26"/>
      <c r="AD189" s="26"/>
      <c r="AE189" s="26"/>
      <c r="AF189" s="26"/>
      <c r="AG189" s="26"/>
      <c r="AH189" s="33" t="s">
        <v>1260</v>
      </c>
      <c r="AI189" s="23" t="s">
        <v>811</v>
      </c>
      <c r="AJ189" s="33" t="str">
        <f t="shared" si="2"/>
        <v>PD5D_MB_Moactcseq/samples/HC_BN1855_MB_MOactcseq_batch11_rep3.h5</v>
      </c>
      <c r="AK189" t="s">
        <v>1290</v>
      </c>
    </row>
    <row r="190" spans="1:37">
      <c r="A190" s="24" t="s">
        <v>906</v>
      </c>
      <c r="B190" s="24" t="s">
        <v>215</v>
      </c>
      <c r="C190" s="24" t="s">
        <v>215</v>
      </c>
      <c r="D190" s="24" t="s">
        <v>819</v>
      </c>
      <c r="E190" s="24">
        <v>6</v>
      </c>
      <c r="F190" s="24">
        <v>0</v>
      </c>
      <c r="G190" s="24" t="s">
        <v>713</v>
      </c>
      <c r="H190" s="24" t="s">
        <v>668</v>
      </c>
      <c r="I190" s="24" t="s">
        <v>806</v>
      </c>
      <c r="J190" s="24" t="s">
        <v>807</v>
      </c>
      <c r="K190" s="24" t="s">
        <v>807</v>
      </c>
      <c r="L190" s="24" t="s">
        <v>807</v>
      </c>
      <c r="M190" s="24" t="s">
        <v>807</v>
      </c>
      <c r="N190" s="24">
        <v>9</v>
      </c>
      <c r="O190" s="24">
        <v>9</v>
      </c>
      <c r="P190" s="24" t="s">
        <v>808</v>
      </c>
      <c r="Q190" s="25">
        <v>7623</v>
      </c>
      <c r="R190" s="24" t="s">
        <v>809</v>
      </c>
      <c r="S190" s="24" t="s">
        <v>675</v>
      </c>
      <c r="T190" s="24">
        <v>131</v>
      </c>
      <c r="U190" s="24" t="s">
        <v>810</v>
      </c>
      <c r="V190" s="24" t="s">
        <v>807</v>
      </c>
      <c r="W190" s="26"/>
      <c r="X190" s="26"/>
      <c r="Y190" s="26"/>
      <c r="Z190" s="26"/>
      <c r="AA190" s="26"/>
      <c r="AB190" s="26"/>
      <c r="AC190" s="26"/>
      <c r="AD190" s="26"/>
      <c r="AE190" s="26"/>
      <c r="AF190" s="26"/>
      <c r="AG190" s="26"/>
      <c r="AH190" s="33" t="s">
        <v>1260</v>
      </c>
      <c r="AI190" s="23" t="s">
        <v>811</v>
      </c>
      <c r="AJ190" s="33" t="str">
        <f t="shared" si="2"/>
        <v>PD5D_MB_Moactcseq/samples/HC_BN1855_MB_MOactcseq_batch11_rep4.h5</v>
      </c>
      <c r="AK190" t="s">
        <v>1290</v>
      </c>
    </row>
    <row r="191" spans="1:37">
      <c r="A191" s="24" t="s">
        <v>907</v>
      </c>
      <c r="B191" s="24" t="s">
        <v>215</v>
      </c>
      <c r="C191" s="24" t="s">
        <v>215</v>
      </c>
      <c r="D191" s="24" t="s">
        <v>821</v>
      </c>
      <c r="E191" s="24">
        <v>6</v>
      </c>
      <c r="F191" s="24">
        <v>0</v>
      </c>
      <c r="G191" s="24" t="s">
        <v>713</v>
      </c>
      <c r="H191" s="24" t="s">
        <v>668</v>
      </c>
      <c r="I191" s="24" t="s">
        <v>806</v>
      </c>
      <c r="J191" s="24" t="s">
        <v>807</v>
      </c>
      <c r="K191" s="24" t="s">
        <v>807</v>
      </c>
      <c r="L191" s="24" t="s">
        <v>807</v>
      </c>
      <c r="M191" s="24" t="s">
        <v>807</v>
      </c>
      <c r="N191" s="24">
        <v>9</v>
      </c>
      <c r="O191" s="24">
        <v>9</v>
      </c>
      <c r="P191" s="24" t="s">
        <v>808</v>
      </c>
      <c r="Q191" s="25">
        <v>7623</v>
      </c>
      <c r="R191" s="24" t="s">
        <v>809</v>
      </c>
      <c r="S191" s="24" t="s">
        <v>675</v>
      </c>
      <c r="T191" s="24">
        <v>131</v>
      </c>
      <c r="U191" s="24" t="s">
        <v>810</v>
      </c>
      <c r="V191" s="24" t="s">
        <v>807</v>
      </c>
      <c r="W191" s="26"/>
      <c r="X191" s="26"/>
      <c r="Y191" s="26"/>
      <c r="Z191" s="26"/>
      <c r="AA191" s="26"/>
      <c r="AB191" s="26"/>
      <c r="AC191" s="26"/>
      <c r="AD191" s="26"/>
      <c r="AE191" s="26"/>
      <c r="AF191" s="26"/>
      <c r="AG191" s="26"/>
      <c r="AH191" s="33" t="s">
        <v>1260</v>
      </c>
      <c r="AI191" s="23" t="s">
        <v>811</v>
      </c>
      <c r="AJ191" s="33" t="str">
        <f t="shared" si="2"/>
        <v>PD5D_MB_Moactcseq/samples/HC_BN1855_MB_MOactcseq_batch11_rep5.h5</v>
      </c>
      <c r="AK191" t="s">
        <v>1290</v>
      </c>
    </row>
    <row r="192" spans="1:37">
      <c r="A192" s="24" t="s">
        <v>908</v>
      </c>
      <c r="B192" s="24" t="s">
        <v>215</v>
      </c>
      <c r="C192" s="24" t="s">
        <v>215</v>
      </c>
      <c r="D192" s="24" t="s">
        <v>823</v>
      </c>
      <c r="E192" s="24">
        <v>6</v>
      </c>
      <c r="F192" s="24">
        <v>0</v>
      </c>
      <c r="G192" s="24" t="s">
        <v>713</v>
      </c>
      <c r="H192" s="24" t="s">
        <v>668</v>
      </c>
      <c r="I192" s="24" t="s">
        <v>806</v>
      </c>
      <c r="J192" s="24" t="s">
        <v>807</v>
      </c>
      <c r="K192" s="24" t="s">
        <v>807</v>
      </c>
      <c r="L192" s="24" t="s">
        <v>807</v>
      </c>
      <c r="M192" s="24" t="s">
        <v>807</v>
      </c>
      <c r="N192" s="24">
        <v>9</v>
      </c>
      <c r="O192" s="24">
        <v>9</v>
      </c>
      <c r="P192" s="24" t="s">
        <v>808</v>
      </c>
      <c r="Q192" s="25">
        <v>7623</v>
      </c>
      <c r="R192" s="24" t="s">
        <v>809</v>
      </c>
      <c r="S192" s="24" t="s">
        <v>675</v>
      </c>
      <c r="T192" s="24">
        <v>131</v>
      </c>
      <c r="U192" s="24" t="s">
        <v>810</v>
      </c>
      <c r="V192" s="24" t="s">
        <v>807</v>
      </c>
      <c r="W192" s="26"/>
      <c r="X192" s="26"/>
      <c r="Y192" s="26"/>
      <c r="Z192" s="26"/>
      <c r="AA192" s="26"/>
      <c r="AB192" s="26"/>
      <c r="AC192" s="26"/>
      <c r="AD192" s="26"/>
      <c r="AE192" s="26"/>
      <c r="AF192" s="26"/>
      <c r="AG192" s="26"/>
      <c r="AH192" s="33" t="s">
        <v>1260</v>
      </c>
      <c r="AI192" s="23" t="s">
        <v>811</v>
      </c>
      <c r="AJ192" s="33" t="str">
        <f t="shared" si="2"/>
        <v>PD5D_MB_Moactcseq/samples/HC_BN1855_MB_MOactcseq_batch11_rep6.h5</v>
      </c>
      <c r="AK192" t="s">
        <v>1290</v>
      </c>
    </row>
    <row r="193" spans="1:37">
      <c r="A193" s="24" t="s">
        <v>909</v>
      </c>
      <c r="B193" s="24" t="s">
        <v>223</v>
      </c>
      <c r="C193" s="24" t="s">
        <v>223</v>
      </c>
      <c r="D193" s="24" t="s">
        <v>666</v>
      </c>
      <c r="E193" s="24">
        <v>5</v>
      </c>
      <c r="F193" s="24">
        <v>0</v>
      </c>
      <c r="G193" s="24" t="s">
        <v>735</v>
      </c>
      <c r="H193" s="24" t="s">
        <v>668</v>
      </c>
      <c r="I193" s="24" t="s">
        <v>806</v>
      </c>
      <c r="J193" s="24" t="s">
        <v>807</v>
      </c>
      <c r="K193" s="24" t="s">
        <v>807</v>
      </c>
      <c r="L193" s="24" t="s">
        <v>807</v>
      </c>
      <c r="M193" s="24" t="s">
        <v>807</v>
      </c>
      <c r="N193" s="24">
        <v>9.5</v>
      </c>
      <c r="O193" s="24">
        <v>9.5</v>
      </c>
      <c r="P193" s="24" t="s">
        <v>808</v>
      </c>
      <c r="Q193" s="25">
        <v>2541</v>
      </c>
      <c r="R193" s="24" t="s">
        <v>809</v>
      </c>
      <c r="S193" s="24" t="s">
        <v>675</v>
      </c>
      <c r="T193" s="24">
        <v>131</v>
      </c>
      <c r="U193" s="24" t="s">
        <v>810</v>
      </c>
      <c r="V193" s="24" t="s">
        <v>807</v>
      </c>
      <c r="W193" s="26"/>
      <c r="X193" s="26"/>
      <c r="Y193" s="26"/>
      <c r="Z193" s="26"/>
      <c r="AA193" s="26"/>
      <c r="AB193" s="26"/>
      <c r="AC193" s="26"/>
      <c r="AD193" s="26"/>
      <c r="AE193" s="26"/>
      <c r="AF193" s="26"/>
      <c r="AG193" s="26"/>
      <c r="AH193" s="33" t="s">
        <v>1260</v>
      </c>
      <c r="AI193" s="23" t="s">
        <v>811</v>
      </c>
      <c r="AJ193" s="33" t="str">
        <f t="shared" si="2"/>
        <v>PD5D_MB_Moactcseq/samples/HC_BN1878_MB_MOactcseq_batch12_rep1.h5</v>
      </c>
      <c r="AK193" t="s">
        <v>1290</v>
      </c>
    </row>
    <row r="194" spans="1:37">
      <c r="A194" s="24" t="s">
        <v>910</v>
      </c>
      <c r="B194" s="24" t="s">
        <v>223</v>
      </c>
      <c r="C194" s="24" t="s">
        <v>223</v>
      </c>
      <c r="D194" s="24" t="s">
        <v>689</v>
      </c>
      <c r="E194" s="24">
        <v>5</v>
      </c>
      <c r="F194" s="24">
        <v>0</v>
      </c>
      <c r="G194" s="24" t="s">
        <v>735</v>
      </c>
      <c r="H194" s="24" t="s">
        <v>668</v>
      </c>
      <c r="I194" s="24" t="s">
        <v>806</v>
      </c>
      <c r="J194" s="24" t="s">
        <v>807</v>
      </c>
      <c r="K194" s="24" t="s">
        <v>807</v>
      </c>
      <c r="L194" s="24" t="s">
        <v>807</v>
      </c>
      <c r="M194" s="24" t="s">
        <v>807</v>
      </c>
      <c r="N194" s="24">
        <v>9.5</v>
      </c>
      <c r="O194" s="24">
        <v>9.5</v>
      </c>
      <c r="P194" s="24" t="s">
        <v>808</v>
      </c>
      <c r="Q194" s="25">
        <v>2541</v>
      </c>
      <c r="R194" s="24" t="s">
        <v>809</v>
      </c>
      <c r="S194" s="24" t="s">
        <v>675</v>
      </c>
      <c r="T194" s="24">
        <v>131</v>
      </c>
      <c r="U194" s="24" t="s">
        <v>810</v>
      </c>
      <c r="V194" s="24" t="s">
        <v>807</v>
      </c>
      <c r="W194" s="26"/>
      <c r="X194" s="26"/>
      <c r="Y194" s="26"/>
      <c r="Z194" s="26"/>
      <c r="AA194" s="26"/>
      <c r="AB194" s="26"/>
      <c r="AC194" s="26"/>
      <c r="AD194" s="26"/>
      <c r="AE194" s="26"/>
      <c r="AF194" s="26"/>
      <c r="AG194" s="26"/>
      <c r="AH194" s="33" t="s">
        <v>1260</v>
      </c>
      <c r="AI194" s="23" t="s">
        <v>811</v>
      </c>
      <c r="AJ194" s="33" t="str">
        <f t="shared" si="2"/>
        <v>PD5D_MB_Moactcseq/samples/HC_BN1878_MB_MOactcseq_batch12_rep2.h5</v>
      </c>
      <c r="AK194" t="s">
        <v>1290</v>
      </c>
    </row>
    <row r="195" spans="1:37">
      <c r="A195" s="24" t="s">
        <v>911</v>
      </c>
      <c r="B195" s="24" t="s">
        <v>223</v>
      </c>
      <c r="C195" s="24" t="s">
        <v>223</v>
      </c>
      <c r="D195" s="24" t="s">
        <v>814</v>
      </c>
      <c r="E195" s="24">
        <v>5</v>
      </c>
      <c r="F195" s="24">
        <v>0</v>
      </c>
      <c r="G195" s="24" t="s">
        <v>735</v>
      </c>
      <c r="H195" s="24" t="s">
        <v>668</v>
      </c>
      <c r="I195" s="24" t="s">
        <v>806</v>
      </c>
      <c r="J195" s="24" t="s">
        <v>807</v>
      </c>
      <c r="K195" s="24" t="s">
        <v>807</v>
      </c>
      <c r="L195" s="24" t="s">
        <v>807</v>
      </c>
      <c r="M195" s="24" t="s">
        <v>807</v>
      </c>
      <c r="N195" s="24">
        <v>9.5</v>
      </c>
      <c r="O195" s="24">
        <v>9.5</v>
      </c>
      <c r="P195" s="24" t="s">
        <v>808</v>
      </c>
      <c r="Q195" s="25">
        <v>2541</v>
      </c>
      <c r="R195" s="24" t="s">
        <v>809</v>
      </c>
      <c r="S195" s="24" t="s">
        <v>675</v>
      </c>
      <c r="T195" s="24">
        <v>131</v>
      </c>
      <c r="U195" s="24" t="s">
        <v>810</v>
      </c>
      <c r="V195" s="24" t="s">
        <v>807</v>
      </c>
      <c r="W195" s="26"/>
      <c r="X195" s="26"/>
      <c r="Y195" s="26"/>
      <c r="Z195" s="26"/>
      <c r="AA195" s="26"/>
      <c r="AB195" s="26"/>
      <c r="AC195" s="26"/>
      <c r="AD195" s="26"/>
      <c r="AE195" s="26"/>
      <c r="AF195" s="26"/>
      <c r="AG195" s="26"/>
      <c r="AH195" s="33" t="s">
        <v>1260</v>
      </c>
      <c r="AI195" s="23" t="s">
        <v>811</v>
      </c>
      <c r="AJ195" s="33" t="str">
        <f t="shared" si="2"/>
        <v>PD5D_MB_Moactcseq/samples/HC_BN1878_MB_MOactcseq_batch12_rep3.h5</v>
      </c>
      <c r="AK195" t="s">
        <v>1290</v>
      </c>
    </row>
    <row r="196" spans="1:37">
      <c r="A196" s="24" t="s">
        <v>912</v>
      </c>
      <c r="B196" s="24" t="s">
        <v>223</v>
      </c>
      <c r="C196" s="24" t="s">
        <v>223</v>
      </c>
      <c r="D196" s="24" t="s">
        <v>819</v>
      </c>
      <c r="E196" s="24">
        <v>5</v>
      </c>
      <c r="F196" s="24">
        <v>0</v>
      </c>
      <c r="G196" s="24" t="s">
        <v>735</v>
      </c>
      <c r="H196" s="24" t="s">
        <v>668</v>
      </c>
      <c r="I196" s="24" t="s">
        <v>806</v>
      </c>
      <c r="J196" s="24" t="s">
        <v>807</v>
      </c>
      <c r="K196" s="24" t="s">
        <v>807</v>
      </c>
      <c r="L196" s="24" t="s">
        <v>807</v>
      </c>
      <c r="M196" s="24" t="s">
        <v>807</v>
      </c>
      <c r="N196" s="24">
        <v>9.5</v>
      </c>
      <c r="O196" s="24">
        <v>9.5</v>
      </c>
      <c r="P196" s="24" t="s">
        <v>808</v>
      </c>
      <c r="Q196" s="25">
        <v>2541</v>
      </c>
      <c r="R196" s="24" t="s">
        <v>809</v>
      </c>
      <c r="S196" s="24" t="s">
        <v>675</v>
      </c>
      <c r="T196" s="24">
        <v>131</v>
      </c>
      <c r="U196" s="24" t="s">
        <v>810</v>
      </c>
      <c r="V196" s="24" t="s">
        <v>807</v>
      </c>
      <c r="W196" s="26"/>
      <c r="X196" s="26"/>
      <c r="Y196" s="26"/>
      <c r="Z196" s="26"/>
      <c r="AA196" s="26"/>
      <c r="AB196" s="26"/>
      <c r="AC196" s="26"/>
      <c r="AD196" s="26"/>
      <c r="AE196" s="26"/>
      <c r="AF196" s="26"/>
      <c r="AG196" s="26"/>
      <c r="AH196" s="33" t="s">
        <v>1260</v>
      </c>
      <c r="AI196" s="23" t="s">
        <v>811</v>
      </c>
      <c r="AJ196" s="33" t="str">
        <f t="shared" ref="AJ196:AJ259" si="3">_xlfn.CONCAT(AH196,"/samples/",A196,".h5")</f>
        <v>PD5D_MB_Moactcseq/samples/HC_BN1878_MB_MOactcseq_batch12_rep4.h5</v>
      </c>
      <c r="AK196" t="s">
        <v>1290</v>
      </c>
    </row>
    <row r="197" spans="1:37">
      <c r="A197" s="24" t="s">
        <v>913</v>
      </c>
      <c r="B197" s="24" t="s">
        <v>223</v>
      </c>
      <c r="C197" s="24" t="s">
        <v>223</v>
      </c>
      <c r="D197" s="24" t="s">
        <v>821</v>
      </c>
      <c r="E197" s="24">
        <v>5</v>
      </c>
      <c r="F197" s="24">
        <v>0</v>
      </c>
      <c r="G197" s="24" t="s">
        <v>735</v>
      </c>
      <c r="H197" s="24" t="s">
        <v>668</v>
      </c>
      <c r="I197" s="24" t="s">
        <v>806</v>
      </c>
      <c r="J197" s="24" t="s">
        <v>807</v>
      </c>
      <c r="K197" s="24" t="s">
        <v>807</v>
      </c>
      <c r="L197" s="24" t="s">
        <v>807</v>
      </c>
      <c r="M197" s="24" t="s">
        <v>807</v>
      </c>
      <c r="N197" s="24">
        <v>9.5</v>
      </c>
      <c r="O197" s="24">
        <v>9.5</v>
      </c>
      <c r="P197" s="24" t="s">
        <v>808</v>
      </c>
      <c r="Q197" s="25">
        <v>2541</v>
      </c>
      <c r="R197" s="24" t="s">
        <v>809</v>
      </c>
      <c r="S197" s="24" t="s">
        <v>675</v>
      </c>
      <c r="T197" s="24">
        <v>131</v>
      </c>
      <c r="U197" s="24" t="s">
        <v>810</v>
      </c>
      <c r="V197" s="24" t="s">
        <v>807</v>
      </c>
      <c r="W197" s="26"/>
      <c r="X197" s="26"/>
      <c r="Y197" s="26"/>
      <c r="Z197" s="26"/>
      <c r="AA197" s="26"/>
      <c r="AB197" s="26"/>
      <c r="AC197" s="26"/>
      <c r="AD197" s="26"/>
      <c r="AE197" s="26"/>
      <c r="AF197" s="26"/>
      <c r="AG197" s="26"/>
      <c r="AH197" s="33" t="s">
        <v>1260</v>
      </c>
      <c r="AI197" s="23" t="s">
        <v>811</v>
      </c>
      <c r="AJ197" s="33" t="str">
        <f t="shared" si="3"/>
        <v>PD5D_MB_Moactcseq/samples/HC_BN1878_MB_MOactcseq_batch12_rep5.h5</v>
      </c>
      <c r="AK197" t="s">
        <v>1290</v>
      </c>
    </row>
    <row r="198" spans="1:37">
      <c r="A198" s="24" t="s">
        <v>914</v>
      </c>
      <c r="B198" s="24" t="s">
        <v>229</v>
      </c>
      <c r="C198" s="24" t="s">
        <v>229</v>
      </c>
      <c r="D198" s="24" t="s">
        <v>666</v>
      </c>
      <c r="E198" s="24">
        <v>5</v>
      </c>
      <c r="F198" s="24">
        <v>0</v>
      </c>
      <c r="G198" s="24" t="s">
        <v>735</v>
      </c>
      <c r="H198" s="24" t="s">
        <v>668</v>
      </c>
      <c r="I198" s="24" t="s">
        <v>806</v>
      </c>
      <c r="J198" s="24" t="s">
        <v>807</v>
      </c>
      <c r="K198" s="24" t="s">
        <v>807</v>
      </c>
      <c r="L198" s="24" t="s">
        <v>807</v>
      </c>
      <c r="M198" s="24" t="s">
        <v>807</v>
      </c>
      <c r="N198" s="24">
        <v>9.5</v>
      </c>
      <c r="O198" s="24">
        <v>9.5</v>
      </c>
      <c r="P198" s="24" t="s">
        <v>808</v>
      </c>
      <c r="Q198" s="25">
        <v>2543</v>
      </c>
      <c r="R198" s="24" t="s">
        <v>809</v>
      </c>
      <c r="S198" s="24" t="s">
        <v>675</v>
      </c>
      <c r="T198" s="24">
        <v>131</v>
      </c>
      <c r="U198" s="24" t="s">
        <v>810</v>
      </c>
      <c r="V198" s="24" t="s">
        <v>807</v>
      </c>
      <c r="W198" s="26"/>
      <c r="X198" s="26"/>
      <c r="Y198" s="26"/>
      <c r="Z198" s="26"/>
      <c r="AA198" s="26"/>
      <c r="AB198" s="26"/>
      <c r="AC198" s="26"/>
      <c r="AD198" s="26"/>
      <c r="AE198" s="26"/>
      <c r="AF198" s="26"/>
      <c r="AG198" s="26"/>
      <c r="AH198" s="33" t="s">
        <v>1260</v>
      </c>
      <c r="AI198" s="23" t="s">
        <v>811</v>
      </c>
      <c r="AJ198" s="33" t="str">
        <f t="shared" si="3"/>
        <v>PD5D_MB_Moactcseq/samples/HC_BN1934_MB_MOactcseq_batch12_rep1.h5</v>
      </c>
      <c r="AK198" t="s">
        <v>1290</v>
      </c>
    </row>
    <row r="199" spans="1:37">
      <c r="A199" s="24" t="s">
        <v>915</v>
      </c>
      <c r="B199" s="24" t="s">
        <v>229</v>
      </c>
      <c r="C199" s="24" t="s">
        <v>229</v>
      </c>
      <c r="D199" s="24" t="s">
        <v>689</v>
      </c>
      <c r="E199" s="24">
        <v>5</v>
      </c>
      <c r="F199" s="24">
        <v>0</v>
      </c>
      <c r="G199" s="24" t="s">
        <v>735</v>
      </c>
      <c r="H199" s="24" t="s">
        <v>668</v>
      </c>
      <c r="I199" s="24" t="s">
        <v>806</v>
      </c>
      <c r="J199" s="24" t="s">
        <v>807</v>
      </c>
      <c r="K199" s="24" t="s">
        <v>807</v>
      </c>
      <c r="L199" s="24" t="s">
        <v>807</v>
      </c>
      <c r="M199" s="24" t="s">
        <v>807</v>
      </c>
      <c r="N199" s="24">
        <v>9.5</v>
      </c>
      <c r="O199" s="24">
        <v>9.5</v>
      </c>
      <c r="P199" s="24" t="s">
        <v>808</v>
      </c>
      <c r="Q199" s="25">
        <v>2543</v>
      </c>
      <c r="R199" s="24" t="s">
        <v>809</v>
      </c>
      <c r="S199" s="24" t="s">
        <v>675</v>
      </c>
      <c r="T199" s="24">
        <v>131</v>
      </c>
      <c r="U199" s="24" t="s">
        <v>810</v>
      </c>
      <c r="V199" s="24" t="s">
        <v>807</v>
      </c>
      <c r="W199" s="26"/>
      <c r="X199" s="26"/>
      <c r="Y199" s="26"/>
      <c r="Z199" s="26"/>
      <c r="AA199" s="26"/>
      <c r="AB199" s="26"/>
      <c r="AC199" s="26"/>
      <c r="AD199" s="26"/>
      <c r="AE199" s="26"/>
      <c r="AF199" s="26"/>
      <c r="AG199" s="26"/>
      <c r="AH199" s="33" t="s">
        <v>1260</v>
      </c>
      <c r="AI199" s="23" t="s">
        <v>811</v>
      </c>
      <c r="AJ199" s="33" t="str">
        <f t="shared" si="3"/>
        <v>PD5D_MB_Moactcseq/samples/HC_BN1934_MB_MOactcseq_batch12_rep2.h5</v>
      </c>
      <c r="AK199" t="s">
        <v>1290</v>
      </c>
    </row>
    <row r="200" spans="1:37">
      <c r="A200" s="24" t="s">
        <v>916</v>
      </c>
      <c r="B200" s="24" t="s">
        <v>229</v>
      </c>
      <c r="C200" s="24" t="s">
        <v>229</v>
      </c>
      <c r="D200" s="24" t="s">
        <v>814</v>
      </c>
      <c r="E200" s="24">
        <v>5</v>
      </c>
      <c r="F200" s="24">
        <v>0</v>
      </c>
      <c r="G200" s="24" t="s">
        <v>735</v>
      </c>
      <c r="H200" s="24" t="s">
        <v>668</v>
      </c>
      <c r="I200" s="24" t="s">
        <v>806</v>
      </c>
      <c r="J200" s="24" t="s">
        <v>807</v>
      </c>
      <c r="K200" s="24" t="s">
        <v>807</v>
      </c>
      <c r="L200" s="24" t="s">
        <v>807</v>
      </c>
      <c r="M200" s="24" t="s">
        <v>807</v>
      </c>
      <c r="N200" s="24">
        <v>9.5</v>
      </c>
      <c r="O200" s="24">
        <v>9.5</v>
      </c>
      <c r="P200" s="24" t="s">
        <v>808</v>
      </c>
      <c r="Q200" s="25">
        <v>2543</v>
      </c>
      <c r="R200" s="24" t="s">
        <v>809</v>
      </c>
      <c r="S200" s="24" t="s">
        <v>675</v>
      </c>
      <c r="T200" s="24">
        <v>131</v>
      </c>
      <c r="U200" s="24" t="s">
        <v>810</v>
      </c>
      <c r="V200" s="24" t="s">
        <v>807</v>
      </c>
      <c r="W200" s="26"/>
      <c r="X200" s="26"/>
      <c r="Y200" s="26"/>
      <c r="Z200" s="26"/>
      <c r="AA200" s="26"/>
      <c r="AB200" s="26"/>
      <c r="AC200" s="26"/>
      <c r="AD200" s="26"/>
      <c r="AE200" s="26"/>
      <c r="AF200" s="26"/>
      <c r="AG200" s="26"/>
      <c r="AH200" s="33" t="s">
        <v>1260</v>
      </c>
      <c r="AI200" s="23" t="s">
        <v>811</v>
      </c>
      <c r="AJ200" s="33" t="str">
        <f t="shared" si="3"/>
        <v>PD5D_MB_Moactcseq/samples/HC_BN1934_MB_MOactcseq_batch12_rep3.h5</v>
      </c>
      <c r="AK200" t="s">
        <v>1290</v>
      </c>
    </row>
    <row r="201" spans="1:37">
      <c r="A201" s="24" t="s">
        <v>917</v>
      </c>
      <c r="B201" s="24" t="s">
        <v>229</v>
      </c>
      <c r="C201" s="24" t="s">
        <v>229</v>
      </c>
      <c r="D201" s="24" t="s">
        <v>819</v>
      </c>
      <c r="E201" s="24">
        <v>5</v>
      </c>
      <c r="F201" s="24">
        <v>0</v>
      </c>
      <c r="G201" s="24" t="s">
        <v>735</v>
      </c>
      <c r="H201" s="24" t="s">
        <v>668</v>
      </c>
      <c r="I201" s="24" t="s">
        <v>806</v>
      </c>
      <c r="J201" s="24" t="s">
        <v>807</v>
      </c>
      <c r="K201" s="24" t="s">
        <v>807</v>
      </c>
      <c r="L201" s="24" t="s">
        <v>807</v>
      </c>
      <c r="M201" s="24" t="s">
        <v>807</v>
      </c>
      <c r="N201" s="24">
        <v>9.5</v>
      </c>
      <c r="O201" s="24">
        <v>9.5</v>
      </c>
      <c r="P201" s="24" t="s">
        <v>808</v>
      </c>
      <c r="Q201" s="25">
        <v>2543</v>
      </c>
      <c r="R201" s="24" t="s">
        <v>809</v>
      </c>
      <c r="S201" s="24" t="s">
        <v>675</v>
      </c>
      <c r="T201" s="24">
        <v>131</v>
      </c>
      <c r="U201" s="24" t="s">
        <v>810</v>
      </c>
      <c r="V201" s="24" t="s">
        <v>807</v>
      </c>
      <c r="W201" s="26"/>
      <c r="X201" s="26"/>
      <c r="Y201" s="26"/>
      <c r="Z201" s="26"/>
      <c r="AA201" s="26"/>
      <c r="AB201" s="26"/>
      <c r="AC201" s="26"/>
      <c r="AD201" s="26"/>
      <c r="AE201" s="26"/>
      <c r="AF201" s="26"/>
      <c r="AG201" s="26"/>
      <c r="AH201" s="33" t="s">
        <v>1260</v>
      </c>
      <c r="AI201" s="23" t="s">
        <v>811</v>
      </c>
      <c r="AJ201" s="33" t="str">
        <f t="shared" si="3"/>
        <v>PD5D_MB_Moactcseq/samples/HC_BN1934_MB_MOactcseq_batch12_rep4.h5</v>
      </c>
      <c r="AK201" t="s">
        <v>1290</v>
      </c>
    </row>
    <row r="202" spans="1:37">
      <c r="A202" s="24" t="s">
        <v>918</v>
      </c>
      <c r="B202" s="24" t="s">
        <v>229</v>
      </c>
      <c r="C202" s="24" t="s">
        <v>229</v>
      </c>
      <c r="D202" s="24" t="s">
        <v>821</v>
      </c>
      <c r="E202" s="24">
        <v>5</v>
      </c>
      <c r="F202" s="24">
        <v>0</v>
      </c>
      <c r="G202" s="24" t="s">
        <v>735</v>
      </c>
      <c r="H202" s="24" t="s">
        <v>668</v>
      </c>
      <c r="I202" s="24" t="s">
        <v>806</v>
      </c>
      <c r="J202" s="24" t="s">
        <v>807</v>
      </c>
      <c r="K202" s="24" t="s">
        <v>807</v>
      </c>
      <c r="L202" s="24" t="s">
        <v>807</v>
      </c>
      <c r="M202" s="24" t="s">
        <v>807</v>
      </c>
      <c r="N202" s="24">
        <v>9.5</v>
      </c>
      <c r="O202" s="24">
        <v>9.5</v>
      </c>
      <c r="P202" s="24" t="s">
        <v>808</v>
      </c>
      <c r="Q202" s="25">
        <v>2543</v>
      </c>
      <c r="R202" s="24" t="s">
        <v>809</v>
      </c>
      <c r="S202" s="24" t="s">
        <v>675</v>
      </c>
      <c r="T202" s="24">
        <v>131</v>
      </c>
      <c r="U202" s="24" t="s">
        <v>810</v>
      </c>
      <c r="V202" s="24" t="s">
        <v>807</v>
      </c>
      <c r="W202" s="26"/>
      <c r="X202" s="26"/>
      <c r="Y202" s="26"/>
      <c r="Z202" s="26"/>
      <c r="AA202" s="26"/>
      <c r="AB202" s="26"/>
      <c r="AC202" s="26"/>
      <c r="AD202" s="26"/>
      <c r="AE202" s="26"/>
      <c r="AF202" s="26"/>
      <c r="AG202" s="26"/>
      <c r="AH202" s="33" t="s">
        <v>1260</v>
      </c>
      <c r="AI202" s="23" t="s">
        <v>811</v>
      </c>
      <c r="AJ202" s="33" t="str">
        <f t="shared" si="3"/>
        <v>PD5D_MB_Moactcseq/samples/HC_BN1934_MB_MOactcseq_batch12_rep5.h5</v>
      </c>
      <c r="AK202" t="s">
        <v>1290</v>
      </c>
    </row>
    <row r="203" spans="1:37">
      <c r="A203" s="24" t="s">
        <v>919</v>
      </c>
      <c r="B203" s="24" t="s">
        <v>245</v>
      </c>
      <c r="C203" s="24" t="s">
        <v>245</v>
      </c>
      <c r="D203" s="24" t="s">
        <v>666</v>
      </c>
      <c r="E203" s="24">
        <v>6</v>
      </c>
      <c r="F203" s="24">
        <v>0</v>
      </c>
      <c r="G203" s="24" t="s">
        <v>777</v>
      </c>
      <c r="H203" s="24" t="s">
        <v>668</v>
      </c>
      <c r="I203" s="24" t="s">
        <v>806</v>
      </c>
      <c r="J203" s="24" t="s">
        <v>807</v>
      </c>
      <c r="K203" s="24" t="s">
        <v>807</v>
      </c>
      <c r="L203" s="24" t="s">
        <v>807</v>
      </c>
      <c r="M203" s="24" t="s">
        <v>807</v>
      </c>
      <c r="N203" s="24">
        <v>9.4</v>
      </c>
      <c r="O203" s="24">
        <v>9.4</v>
      </c>
      <c r="P203" s="24" t="s">
        <v>808</v>
      </c>
      <c r="Q203" s="25">
        <v>8255</v>
      </c>
      <c r="R203" s="24" t="s">
        <v>809</v>
      </c>
      <c r="S203" s="24" t="s">
        <v>675</v>
      </c>
      <c r="T203" s="24">
        <v>131</v>
      </c>
      <c r="U203" s="24" t="s">
        <v>810</v>
      </c>
      <c r="V203" s="24" t="s">
        <v>807</v>
      </c>
      <c r="W203" s="26"/>
      <c r="X203" s="26"/>
      <c r="Y203" s="26"/>
      <c r="Z203" s="26"/>
      <c r="AA203" s="26"/>
      <c r="AB203" s="26"/>
      <c r="AC203" s="26"/>
      <c r="AD203" s="26"/>
      <c r="AE203" s="26"/>
      <c r="AF203" s="26"/>
      <c r="AG203" s="26"/>
      <c r="AH203" s="33" t="s">
        <v>1260</v>
      </c>
      <c r="AI203" s="23" t="s">
        <v>811</v>
      </c>
      <c r="AJ203" s="33" t="str">
        <f t="shared" si="3"/>
        <v>PD5D_MB_Moactcseq/samples/HC_BN9944_MB_MOactcseq_batch10_rep1.h5</v>
      </c>
      <c r="AK203" t="s">
        <v>1290</v>
      </c>
    </row>
    <row r="204" spans="1:37">
      <c r="A204" s="24" t="s">
        <v>920</v>
      </c>
      <c r="B204" s="24" t="s">
        <v>245</v>
      </c>
      <c r="C204" s="24" t="s">
        <v>245</v>
      </c>
      <c r="D204" s="24" t="s">
        <v>689</v>
      </c>
      <c r="E204" s="24">
        <v>6</v>
      </c>
      <c r="F204" s="24">
        <v>0</v>
      </c>
      <c r="G204" s="24" t="s">
        <v>777</v>
      </c>
      <c r="H204" s="24" t="s">
        <v>668</v>
      </c>
      <c r="I204" s="24" t="s">
        <v>806</v>
      </c>
      <c r="J204" s="24" t="s">
        <v>807</v>
      </c>
      <c r="K204" s="24" t="s">
        <v>807</v>
      </c>
      <c r="L204" s="24" t="s">
        <v>807</v>
      </c>
      <c r="M204" s="24" t="s">
        <v>807</v>
      </c>
      <c r="N204" s="24">
        <v>9.4</v>
      </c>
      <c r="O204" s="24">
        <v>9.4</v>
      </c>
      <c r="P204" s="24" t="s">
        <v>808</v>
      </c>
      <c r="Q204" s="25">
        <v>8255</v>
      </c>
      <c r="R204" s="24" t="s">
        <v>809</v>
      </c>
      <c r="S204" s="24" t="s">
        <v>675</v>
      </c>
      <c r="T204" s="24">
        <v>131</v>
      </c>
      <c r="U204" s="24" t="s">
        <v>810</v>
      </c>
      <c r="V204" s="24" t="s">
        <v>807</v>
      </c>
      <c r="W204" s="26"/>
      <c r="X204" s="26"/>
      <c r="Y204" s="26"/>
      <c r="Z204" s="26"/>
      <c r="AA204" s="26"/>
      <c r="AB204" s="26"/>
      <c r="AC204" s="26"/>
      <c r="AD204" s="26"/>
      <c r="AE204" s="26"/>
      <c r="AF204" s="26"/>
      <c r="AG204" s="26"/>
      <c r="AH204" s="33" t="s">
        <v>1260</v>
      </c>
      <c r="AI204" s="23" t="s">
        <v>811</v>
      </c>
      <c r="AJ204" s="33" t="str">
        <f t="shared" si="3"/>
        <v>PD5D_MB_Moactcseq/samples/HC_BN9944_MB_MOactcseq_batch10_rep2.h5</v>
      </c>
      <c r="AK204" t="s">
        <v>1290</v>
      </c>
    </row>
    <row r="205" spans="1:37">
      <c r="A205" s="24" t="s">
        <v>921</v>
      </c>
      <c r="B205" s="24" t="s">
        <v>245</v>
      </c>
      <c r="C205" s="24" t="s">
        <v>245</v>
      </c>
      <c r="D205" s="24" t="s">
        <v>814</v>
      </c>
      <c r="E205" s="24">
        <v>6</v>
      </c>
      <c r="F205" s="24">
        <v>0</v>
      </c>
      <c r="G205" s="24" t="s">
        <v>777</v>
      </c>
      <c r="H205" s="24" t="s">
        <v>668</v>
      </c>
      <c r="I205" s="24" t="s">
        <v>806</v>
      </c>
      <c r="J205" s="24" t="s">
        <v>807</v>
      </c>
      <c r="K205" s="24" t="s">
        <v>807</v>
      </c>
      <c r="L205" s="24" t="s">
        <v>807</v>
      </c>
      <c r="M205" s="24" t="s">
        <v>807</v>
      </c>
      <c r="N205" s="24">
        <v>9.4</v>
      </c>
      <c r="O205" s="24">
        <v>9.4</v>
      </c>
      <c r="P205" s="24" t="s">
        <v>808</v>
      </c>
      <c r="Q205" s="25">
        <v>8255</v>
      </c>
      <c r="R205" s="24" t="s">
        <v>809</v>
      </c>
      <c r="S205" s="24" t="s">
        <v>675</v>
      </c>
      <c r="T205" s="24">
        <v>131</v>
      </c>
      <c r="U205" s="24" t="s">
        <v>810</v>
      </c>
      <c r="V205" s="24" t="s">
        <v>807</v>
      </c>
      <c r="W205" s="26"/>
      <c r="X205" s="26"/>
      <c r="Y205" s="26"/>
      <c r="Z205" s="26"/>
      <c r="AA205" s="26"/>
      <c r="AB205" s="26"/>
      <c r="AC205" s="26"/>
      <c r="AD205" s="26"/>
      <c r="AE205" s="26"/>
      <c r="AF205" s="26"/>
      <c r="AG205" s="26"/>
      <c r="AH205" s="33" t="s">
        <v>1260</v>
      </c>
      <c r="AI205" s="23" t="s">
        <v>811</v>
      </c>
      <c r="AJ205" s="33" t="str">
        <f t="shared" si="3"/>
        <v>PD5D_MB_Moactcseq/samples/HC_BN9944_MB_MOactcseq_batch10_rep3.h5</v>
      </c>
      <c r="AK205" t="s">
        <v>1290</v>
      </c>
    </row>
    <row r="206" spans="1:37">
      <c r="A206" s="24" t="s">
        <v>922</v>
      </c>
      <c r="B206" s="24" t="s">
        <v>245</v>
      </c>
      <c r="C206" s="24" t="s">
        <v>245</v>
      </c>
      <c r="D206" s="24" t="s">
        <v>819</v>
      </c>
      <c r="E206" s="24">
        <v>6</v>
      </c>
      <c r="F206" s="24">
        <v>0</v>
      </c>
      <c r="G206" s="24" t="s">
        <v>777</v>
      </c>
      <c r="H206" s="24" t="s">
        <v>668</v>
      </c>
      <c r="I206" s="24" t="s">
        <v>806</v>
      </c>
      <c r="J206" s="24" t="s">
        <v>807</v>
      </c>
      <c r="K206" s="24" t="s">
        <v>807</v>
      </c>
      <c r="L206" s="24" t="s">
        <v>807</v>
      </c>
      <c r="M206" s="24" t="s">
        <v>807</v>
      </c>
      <c r="N206" s="24">
        <v>9.4</v>
      </c>
      <c r="O206" s="24">
        <v>9.4</v>
      </c>
      <c r="P206" s="24" t="s">
        <v>808</v>
      </c>
      <c r="Q206" s="25">
        <v>8255</v>
      </c>
      <c r="R206" s="24" t="s">
        <v>809</v>
      </c>
      <c r="S206" s="24" t="s">
        <v>675</v>
      </c>
      <c r="T206" s="24">
        <v>131</v>
      </c>
      <c r="U206" s="24" t="s">
        <v>810</v>
      </c>
      <c r="V206" s="24" t="s">
        <v>807</v>
      </c>
      <c r="W206" s="26"/>
      <c r="X206" s="26"/>
      <c r="Y206" s="26"/>
      <c r="Z206" s="26"/>
      <c r="AA206" s="26"/>
      <c r="AB206" s="26"/>
      <c r="AC206" s="26"/>
      <c r="AD206" s="26"/>
      <c r="AE206" s="26"/>
      <c r="AF206" s="26"/>
      <c r="AG206" s="26"/>
      <c r="AH206" s="33" t="s">
        <v>1260</v>
      </c>
      <c r="AI206" s="23" t="s">
        <v>811</v>
      </c>
      <c r="AJ206" s="33" t="str">
        <f t="shared" si="3"/>
        <v>PD5D_MB_Moactcseq/samples/HC_BN9944_MB_MOactcseq_batch10_rep4.h5</v>
      </c>
      <c r="AK206" t="s">
        <v>1290</v>
      </c>
    </row>
    <row r="207" spans="1:37">
      <c r="A207" s="24" t="s">
        <v>923</v>
      </c>
      <c r="B207" s="24" t="s">
        <v>245</v>
      </c>
      <c r="C207" s="24" t="s">
        <v>245</v>
      </c>
      <c r="D207" s="24" t="s">
        <v>821</v>
      </c>
      <c r="E207" s="24">
        <v>6</v>
      </c>
      <c r="F207" s="24">
        <v>0</v>
      </c>
      <c r="G207" s="24" t="s">
        <v>777</v>
      </c>
      <c r="H207" s="24" t="s">
        <v>668</v>
      </c>
      <c r="I207" s="24" t="s">
        <v>806</v>
      </c>
      <c r="J207" s="24" t="s">
        <v>807</v>
      </c>
      <c r="K207" s="24" t="s">
        <v>807</v>
      </c>
      <c r="L207" s="24" t="s">
        <v>807</v>
      </c>
      <c r="M207" s="24" t="s">
        <v>807</v>
      </c>
      <c r="N207" s="24">
        <v>9.4</v>
      </c>
      <c r="O207" s="24">
        <v>9.4</v>
      </c>
      <c r="P207" s="24" t="s">
        <v>808</v>
      </c>
      <c r="Q207" s="25">
        <v>8255</v>
      </c>
      <c r="R207" s="24" t="s">
        <v>809</v>
      </c>
      <c r="S207" s="24" t="s">
        <v>675</v>
      </c>
      <c r="T207" s="24">
        <v>131</v>
      </c>
      <c r="U207" s="24" t="s">
        <v>810</v>
      </c>
      <c r="V207" s="24" t="s">
        <v>807</v>
      </c>
      <c r="W207" s="26"/>
      <c r="X207" s="26"/>
      <c r="Y207" s="26"/>
      <c r="Z207" s="26"/>
      <c r="AA207" s="26"/>
      <c r="AB207" s="26"/>
      <c r="AC207" s="26"/>
      <c r="AD207" s="26"/>
      <c r="AE207" s="26"/>
      <c r="AF207" s="26"/>
      <c r="AG207" s="26"/>
      <c r="AH207" s="33" t="s">
        <v>1260</v>
      </c>
      <c r="AI207" s="23" t="s">
        <v>811</v>
      </c>
      <c r="AJ207" s="33" t="str">
        <f t="shared" si="3"/>
        <v>PD5D_MB_Moactcseq/samples/HC_BN9944_MB_MOactcseq_batch10_rep5.h5</v>
      </c>
      <c r="AK207" t="s">
        <v>1290</v>
      </c>
    </row>
    <row r="208" spans="1:37">
      <c r="A208" s="24" t="s">
        <v>924</v>
      </c>
      <c r="B208" s="24" t="s">
        <v>245</v>
      </c>
      <c r="C208" s="24" t="s">
        <v>245</v>
      </c>
      <c r="D208" s="24" t="s">
        <v>823</v>
      </c>
      <c r="E208" s="24">
        <v>6</v>
      </c>
      <c r="F208" s="24">
        <v>0</v>
      </c>
      <c r="G208" s="24" t="s">
        <v>777</v>
      </c>
      <c r="H208" s="24" t="s">
        <v>668</v>
      </c>
      <c r="I208" s="24" t="s">
        <v>806</v>
      </c>
      <c r="J208" s="24" t="s">
        <v>807</v>
      </c>
      <c r="K208" s="24" t="s">
        <v>807</v>
      </c>
      <c r="L208" s="24" t="s">
        <v>807</v>
      </c>
      <c r="M208" s="24" t="s">
        <v>807</v>
      </c>
      <c r="N208" s="24">
        <v>9.4</v>
      </c>
      <c r="O208" s="24">
        <v>9.4</v>
      </c>
      <c r="P208" s="24" t="s">
        <v>808</v>
      </c>
      <c r="Q208" s="25">
        <v>8255</v>
      </c>
      <c r="R208" s="24" t="s">
        <v>809</v>
      </c>
      <c r="S208" s="24" t="s">
        <v>675</v>
      </c>
      <c r="T208" s="24">
        <v>131</v>
      </c>
      <c r="U208" s="24" t="s">
        <v>810</v>
      </c>
      <c r="V208" s="24" t="s">
        <v>807</v>
      </c>
      <c r="W208" s="26"/>
      <c r="X208" s="26"/>
      <c r="Y208" s="26"/>
      <c r="Z208" s="26"/>
      <c r="AA208" s="26"/>
      <c r="AB208" s="26"/>
      <c r="AC208" s="26"/>
      <c r="AD208" s="26"/>
      <c r="AE208" s="26"/>
      <c r="AF208" s="26"/>
      <c r="AG208" s="26"/>
      <c r="AH208" s="33" t="s">
        <v>1260</v>
      </c>
      <c r="AI208" s="23" t="s">
        <v>811</v>
      </c>
      <c r="AJ208" s="33" t="str">
        <f t="shared" si="3"/>
        <v>PD5D_MB_Moactcseq/samples/HC_BN9944_MB_MOactcseq_batch10_rep6.h5</v>
      </c>
      <c r="AK208" t="s">
        <v>1290</v>
      </c>
    </row>
    <row r="209" spans="1:37">
      <c r="A209" s="24" t="s">
        <v>925</v>
      </c>
      <c r="B209" s="24" t="s">
        <v>80</v>
      </c>
      <c r="C209" s="24" t="s">
        <v>80</v>
      </c>
      <c r="D209" s="24" t="s">
        <v>666</v>
      </c>
      <c r="E209" s="24">
        <v>2</v>
      </c>
      <c r="F209" s="24">
        <v>0</v>
      </c>
      <c r="G209" s="24" t="s">
        <v>696</v>
      </c>
      <c r="H209" s="24" t="s">
        <v>668</v>
      </c>
      <c r="I209" s="24" t="s">
        <v>806</v>
      </c>
      <c r="J209" s="24" t="s">
        <v>807</v>
      </c>
      <c r="K209" s="24" t="s">
        <v>807</v>
      </c>
      <c r="L209" s="24" t="s">
        <v>807</v>
      </c>
      <c r="M209" s="24" t="s">
        <v>807</v>
      </c>
      <c r="N209" s="24">
        <v>7.4</v>
      </c>
      <c r="O209" s="24">
        <v>7.4</v>
      </c>
      <c r="P209" s="24" t="s">
        <v>808</v>
      </c>
      <c r="Q209" s="25">
        <v>2967</v>
      </c>
      <c r="R209" s="24" t="s">
        <v>809</v>
      </c>
      <c r="S209" s="24" t="s">
        <v>675</v>
      </c>
      <c r="T209" s="24">
        <v>131</v>
      </c>
      <c r="U209" s="24" t="s">
        <v>810</v>
      </c>
      <c r="V209" s="24" t="s">
        <v>807</v>
      </c>
      <c r="W209" s="26"/>
      <c r="X209" s="26"/>
      <c r="Y209" s="26"/>
      <c r="Z209" s="26"/>
      <c r="AA209" s="26"/>
      <c r="AB209" s="26"/>
      <c r="AC209" s="26"/>
      <c r="AD209" s="26"/>
      <c r="AE209" s="26"/>
      <c r="AF209" s="26"/>
      <c r="AG209" s="26"/>
      <c r="AH209" s="33" t="s">
        <v>1260</v>
      </c>
      <c r="AI209" s="23" t="s">
        <v>811</v>
      </c>
      <c r="AJ209" s="33" t="str">
        <f t="shared" si="3"/>
        <v>PD5D_MB_Moactcseq/samples/ILB_BN0415_MB_MOactcseq_batch5_rep1.h5</v>
      </c>
      <c r="AK209" t="s">
        <v>1290</v>
      </c>
    </row>
    <row r="210" spans="1:37">
      <c r="A210" s="24" t="s">
        <v>926</v>
      </c>
      <c r="B210" s="24" t="s">
        <v>80</v>
      </c>
      <c r="C210" s="24" t="s">
        <v>80</v>
      </c>
      <c r="D210" s="24" t="s">
        <v>689</v>
      </c>
      <c r="E210" s="24">
        <v>2</v>
      </c>
      <c r="F210" s="24">
        <v>0</v>
      </c>
      <c r="G210" s="24" t="s">
        <v>696</v>
      </c>
      <c r="H210" s="24" t="s">
        <v>668</v>
      </c>
      <c r="I210" s="24" t="s">
        <v>806</v>
      </c>
      <c r="J210" s="24" t="s">
        <v>807</v>
      </c>
      <c r="K210" s="24" t="s">
        <v>807</v>
      </c>
      <c r="L210" s="24" t="s">
        <v>807</v>
      </c>
      <c r="M210" s="24" t="s">
        <v>807</v>
      </c>
      <c r="N210" s="24">
        <v>7.4</v>
      </c>
      <c r="O210" s="24">
        <v>7.4</v>
      </c>
      <c r="P210" s="24" t="s">
        <v>808</v>
      </c>
      <c r="Q210" s="25">
        <v>2967</v>
      </c>
      <c r="R210" s="24" t="s">
        <v>809</v>
      </c>
      <c r="S210" s="24" t="s">
        <v>675</v>
      </c>
      <c r="T210" s="24">
        <v>131</v>
      </c>
      <c r="U210" s="24" t="s">
        <v>810</v>
      </c>
      <c r="V210" s="24" t="s">
        <v>807</v>
      </c>
      <c r="W210" s="26"/>
      <c r="X210" s="26"/>
      <c r="Y210" s="26"/>
      <c r="Z210" s="26"/>
      <c r="AA210" s="26"/>
      <c r="AB210" s="26"/>
      <c r="AC210" s="26"/>
      <c r="AD210" s="26"/>
      <c r="AE210" s="26"/>
      <c r="AF210" s="26"/>
      <c r="AG210" s="26"/>
      <c r="AH210" s="33" t="s">
        <v>1260</v>
      </c>
      <c r="AI210" s="23" t="s">
        <v>811</v>
      </c>
      <c r="AJ210" s="33" t="str">
        <f t="shared" si="3"/>
        <v>PD5D_MB_Moactcseq/samples/ILB_BN0415_MB_MOactcseq_batch5_rep2.h5</v>
      </c>
      <c r="AK210" t="s">
        <v>1290</v>
      </c>
    </row>
    <row r="211" spans="1:37">
      <c r="A211" s="24" t="s">
        <v>927</v>
      </c>
      <c r="B211" s="24" t="s">
        <v>85</v>
      </c>
      <c r="C211" s="24" t="s">
        <v>85</v>
      </c>
      <c r="D211" s="24" t="s">
        <v>666</v>
      </c>
      <c r="E211" s="24">
        <v>2</v>
      </c>
      <c r="F211" s="24">
        <v>0</v>
      </c>
      <c r="G211" s="24" t="s">
        <v>696</v>
      </c>
      <c r="H211" s="24" t="s">
        <v>668</v>
      </c>
      <c r="I211" s="24" t="s">
        <v>806</v>
      </c>
      <c r="J211" s="24" t="s">
        <v>807</v>
      </c>
      <c r="K211" s="24" t="s">
        <v>807</v>
      </c>
      <c r="L211" s="24" t="s">
        <v>807</v>
      </c>
      <c r="M211" s="24" t="s">
        <v>807</v>
      </c>
      <c r="N211" s="24">
        <v>8.3000000000000007</v>
      </c>
      <c r="O211" s="24">
        <v>8.3000000000000007</v>
      </c>
      <c r="P211" s="24" t="s">
        <v>808</v>
      </c>
      <c r="Q211" s="24">
        <v>1831</v>
      </c>
      <c r="R211" s="24" t="s">
        <v>809</v>
      </c>
      <c r="S211" s="24" t="s">
        <v>675</v>
      </c>
      <c r="T211" s="24">
        <v>131</v>
      </c>
      <c r="U211" s="24" t="s">
        <v>810</v>
      </c>
      <c r="V211" s="24" t="s">
        <v>807</v>
      </c>
      <c r="W211" s="26"/>
      <c r="X211" s="26"/>
      <c r="Y211" s="26"/>
      <c r="Z211" s="26"/>
      <c r="AA211" s="26"/>
      <c r="AB211" s="26"/>
      <c r="AC211" s="26"/>
      <c r="AD211" s="26"/>
      <c r="AE211" s="26"/>
      <c r="AF211" s="26"/>
      <c r="AG211" s="26"/>
      <c r="AH211" s="33" t="s">
        <v>1260</v>
      </c>
      <c r="AI211" s="23" t="s">
        <v>811</v>
      </c>
      <c r="AJ211" s="33" t="str">
        <f t="shared" si="3"/>
        <v>PD5D_MB_Moactcseq/samples/ILB_BN0464_MB_MOactcseq_batch5_rep1.h5</v>
      </c>
      <c r="AK211" t="s">
        <v>1290</v>
      </c>
    </row>
    <row r="212" spans="1:37">
      <c r="A212" s="24" t="s">
        <v>928</v>
      </c>
      <c r="B212" s="24" t="s">
        <v>85</v>
      </c>
      <c r="C212" s="24" t="s">
        <v>85</v>
      </c>
      <c r="D212" s="24" t="s">
        <v>689</v>
      </c>
      <c r="E212" s="24">
        <v>2</v>
      </c>
      <c r="F212" s="24">
        <v>0</v>
      </c>
      <c r="G212" s="24" t="s">
        <v>696</v>
      </c>
      <c r="H212" s="24" t="s">
        <v>668</v>
      </c>
      <c r="I212" s="24" t="s">
        <v>806</v>
      </c>
      <c r="J212" s="24" t="s">
        <v>807</v>
      </c>
      <c r="K212" s="24" t="s">
        <v>807</v>
      </c>
      <c r="L212" s="24" t="s">
        <v>807</v>
      </c>
      <c r="M212" s="24" t="s">
        <v>807</v>
      </c>
      <c r="N212" s="24">
        <v>8.3000000000000007</v>
      </c>
      <c r="O212" s="24">
        <v>8.3000000000000007</v>
      </c>
      <c r="P212" s="24" t="s">
        <v>808</v>
      </c>
      <c r="Q212" s="24">
        <v>1831</v>
      </c>
      <c r="R212" s="24" t="s">
        <v>809</v>
      </c>
      <c r="S212" s="24" t="s">
        <v>675</v>
      </c>
      <c r="T212" s="24">
        <v>131</v>
      </c>
      <c r="U212" s="24" t="s">
        <v>810</v>
      </c>
      <c r="V212" s="24" t="s">
        <v>807</v>
      </c>
      <c r="W212" s="26"/>
      <c r="X212" s="26"/>
      <c r="Y212" s="26"/>
      <c r="Z212" s="26"/>
      <c r="AA212" s="26"/>
      <c r="AB212" s="26"/>
      <c r="AC212" s="26"/>
      <c r="AD212" s="26"/>
      <c r="AE212" s="26"/>
      <c r="AF212" s="26"/>
      <c r="AG212" s="26"/>
      <c r="AH212" s="33" t="s">
        <v>1260</v>
      </c>
      <c r="AI212" s="23" t="s">
        <v>811</v>
      </c>
      <c r="AJ212" s="33" t="str">
        <f t="shared" si="3"/>
        <v>PD5D_MB_Moactcseq/samples/ILB_BN0464_MB_MOactcseq_batch5_rep2.h5</v>
      </c>
      <c r="AK212" t="s">
        <v>1290</v>
      </c>
    </row>
    <row r="213" spans="1:37">
      <c r="A213" s="24" t="s">
        <v>929</v>
      </c>
      <c r="B213" s="24" t="s">
        <v>108</v>
      </c>
      <c r="C213" s="24" t="s">
        <v>108</v>
      </c>
      <c r="D213" s="24" t="s">
        <v>666</v>
      </c>
      <c r="E213" s="24">
        <v>2</v>
      </c>
      <c r="F213" s="24">
        <v>0</v>
      </c>
      <c r="G213" s="24" t="s">
        <v>725</v>
      </c>
      <c r="H213" s="24" t="s">
        <v>668</v>
      </c>
      <c r="I213" s="24" t="s">
        <v>806</v>
      </c>
      <c r="J213" s="24" t="s">
        <v>807</v>
      </c>
      <c r="K213" s="24" t="s">
        <v>807</v>
      </c>
      <c r="L213" s="24" t="s">
        <v>807</v>
      </c>
      <c r="M213" s="24" t="s">
        <v>807</v>
      </c>
      <c r="N213" s="24">
        <v>9.6999999999999993</v>
      </c>
      <c r="O213" s="24">
        <v>9.6999999999999993</v>
      </c>
      <c r="P213" s="24" t="s">
        <v>808</v>
      </c>
      <c r="Q213" s="25">
        <v>3370</v>
      </c>
      <c r="R213" s="24" t="s">
        <v>809</v>
      </c>
      <c r="S213" s="24" t="s">
        <v>675</v>
      </c>
      <c r="T213" s="24">
        <v>131</v>
      </c>
      <c r="U213" s="24" t="s">
        <v>810</v>
      </c>
      <c r="V213" s="24" t="s">
        <v>807</v>
      </c>
      <c r="W213" s="26"/>
      <c r="X213" s="26"/>
      <c r="Y213" s="26"/>
      <c r="Z213" s="26"/>
      <c r="AA213" s="26"/>
      <c r="AB213" s="26"/>
      <c r="AC213" s="26"/>
      <c r="AD213" s="26"/>
      <c r="AE213" s="26"/>
      <c r="AF213" s="26"/>
      <c r="AG213" s="26"/>
      <c r="AH213" s="33" t="s">
        <v>1260</v>
      </c>
      <c r="AI213" s="23" t="s">
        <v>811</v>
      </c>
      <c r="AJ213" s="33" t="str">
        <f t="shared" si="3"/>
        <v>PD5D_MB_Moactcseq/samples/ILB_BN0934_MB_MOactcseq_batch14_rep1.h5</v>
      </c>
      <c r="AK213" t="s">
        <v>1290</v>
      </c>
    </row>
    <row r="214" spans="1:37">
      <c r="A214" s="24" t="s">
        <v>930</v>
      </c>
      <c r="B214" s="24" t="s">
        <v>108</v>
      </c>
      <c r="C214" s="24" t="s">
        <v>108</v>
      </c>
      <c r="D214" s="24" t="s">
        <v>689</v>
      </c>
      <c r="E214" s="24">
        <v>2</v>
      </c>
      <c r="F214" s="24">
        <v>0</v>
      </c>
      <c r="G214" s="24" t="s">
        <v>725</v>
      </c>
      <c r="H214" s="24" t="s">
        <v>668</v>
      </c>
      <c r="I214" s="24" t="s">
        <v>806</v>
      </c>
      <c r="J214" s="24" t="s">
        <v>807</v>
      </c>
      <c r="K214" s="24" t="s">
        <v>807</v>
      </c>
      <c r="L214" s="24" t="s">
        <v>807</v>
      </c>
      <c r="M214" s="24" t="s">
        <v>807</v>
      </c>
      <c r="N214" s="24">
        <v>9.6999999999999993</v>
      </c>
      <c r="O214" s="24">
        <v>9.6999999999999993</v>
      </c>
      <c r="P214" s="24" t="s">
        <v>808</v>
      </c>
      <c r="Q214" s="25">
        <v>3370</v>
      </c>
      <c r="R214" s="24" t="s">
        <v>809</v>
      </c>
      <c r="S214" s="24" t="s">
        <v>675</v>
      </c>
      <c r="T214" s="24">
        <v>131</v>
      </c>
      <c r="U214" s="24" t="s">
        <v>810</v>
      </c>
      <c r="V214" s="24" t="s">
        <v>807</v>
      </c>
      <c r="W214" s="26"/>
      <c r="X214" s="26"/>
      <c r="Y214" s="26"/>
      <c r="Z214" s="26"/>
      <c r="AA214" s="26"/>
      <c r="AB214" s="26"/>
      <c r="AC214" s="26"/>
      <c r="AD214" s="26"/>
      <c r="AE214" s="26"/>
      <c r="AF214" s="26"/>
      <c r="AG214" s="26"/>
      <c r="AH214" s="33" t="s">
        <v>1260</v>
      </c>
      <c r="AI214" s="23" t="s">
        <v>811</v>
      </c>
      <c r="AJ214" s="33" t="str">
        <f t="shared" si="3"/>
        <v>PD5D_MB_Moactcseq/samples/ILB_BN0934_MB_MOactcseq_batch14_rep2.h5</v>
      </c>
      <c r="AK214" t="s">
        <v>1290</v>
      </c>
    </row>
    <row r="215" spans="1:37">
      <c r="A215" s="24" t="s">
        <v>931</v>
      </c>
      <c r="B215" s="24" t="s">
        <v>115</v>
      </c>
      <c r="C215" s="24" t="s">
        <v>115</v>
      </c>
      <c r="D215" s="24" t="s">
        <v>666</v>
      </c>
      <c r="E215" s="24">
        <v>3</v>
      </c>
      <c r="F215" s="24">
        <v>0</v>
      </c>
      <c r="G215" s="24" t="s">
        <v>706</v>
      </c>
      <c r="H215" s="24" t="s">
        <v>668</v>
      </c>
      <c r="I215" s="24" t="s">
        <v>806</v>
      </c>
      <c r="J215" s="24" t="s">
        <v>807</v>
      </c>
      <c r="K215" s="24" t="s">
        <v>807</v>
      </c>
      <c r="L215" s="24" t="s">
        <v>807</v>
      </c>
      <c r="M215" s="24" t="s">
        <v>807</v>
      </c>
      <c r="N215" s="24">
        <v>8.6</v>
      </c>
      <c r="O215" s="24">
        <v>8.6</v>
      </c>
      <c r="P215" s="24" t="s">
        <v>808</v>
      </c>
      <c r="Q215" s="25">
        <v>4637</v>
      </c>
      <c r="R215" s="24" t="s">
        <v>809</v>
      </c>
      <c r="S215" s="24" t="s">
        <v>675</v>
      </c>
      <c r="T215" s="24">
        <v>131</v>
      </c>
      <c r="U215" s="24" t="s">
        <v>810</v>
      </c>
      <c r="V215" s="24" t="s">
        <v>807</v>
      </c>
      <c r="W215" s="26"/>
      <c r="X215" s="26"/>
      <c r="Y215" s="26"/>
      <c r="Z215" s="26"/>
      <c r="AA215" s="26"/>
      <c r="AB215" s="26"/>
      <c r="AC215" s="26"/>
      <c r="AD215" s="26"/>
      <c r="AE215" s="26"/>
      <c r="AF215" s="26"/>
      <c r="AG215" s="26"/>
      <c r="AH215" s="33" t="s">
        <v>1260</v>
      </c>
      <c r="AI215" s="23" t="s">
        <v>811</v>
      </c>
      <c r="AJ215" s="33" t="str">
        <f t="shared" si="3"/>
        <v>PD5D_MB_Moactcseq/samples/ILB_BN1128_MB_MOactcseq_batch8_rep1.h5</v>
      </c>
      <c r="AK215" t="s">
        <v>1290</v>
      </c>
    </row>
    <row r="216" spans="1:37">
      <c r="A216" s="24" t="s">
        <v>932</v>
      </c>
      <c r="B216" s="24" t="s">
        <v>115</v>
      </c>
      <c r="C216" s="24" t="s">
        <v>115</v>
      </c>
      <c r="D216" s="24" t="s">
        <v>689</v>
      </c>
      <c r="E216" s="24">
        <v>3</v>
      </c>
      <c r="F216" s="24">
        <v>0</v>
      </c>
      <c r="G216" s="24" t="s">
        <v>706</v>
      </c>
      <c r="H216" s="24" t="s">
        <v>668</v>
      </c>
      <c r="I216" s="24" t="s">
        <v>806</v>
      </c>
      <c r="J216" s="24" t="s">
        <v>807</v>
      </c>
      <c r="K216" s="24" t="s">
        <v>807</v>
      </c>
      <c r="L216" s="24" t="s">
        <v>807</v>
      </c>
      <c r="M216" s="24" t="s">
        <v>807</v>
      </c>
      <c r="N216" s="24">
        <v>8.6</v>
      </c>
      <c r="O216" s="24">
        <v>8.6</v>
      </c>
      <c r="P216" s="24" t="s">
        <v>808</v>
      </c>
      <c r="Q216" s="25">
        <v>4637</v>
      </c>
      <c r="R216" s="24" t="s">
        <v>809</v>
      </c>
      <c r="S216" s="24" t="s">
        <v>675</v>
      </c>
      <c r="T216" s="24">
        <v>131</v>
      </c>
      <c r="U216" s="24" t="s">
        <v>810</v>
      </c>
      <c r="V216" s="24" t="s">
        <v>807</v>
      </c>
      <c r="W216" s="26"/>
      <c r="X216" s="26"/>
      <c r="Y216" s="26"/>
      <c r="Z216" s="26"/>
      <c r="AA216" s="26"/>
      <c r="AB216" s="26"/>
      <c r="AC216" s="26"/>
      <c r="AD216" s="26"/>
      <c r="AE216" s="26"/>
      <c r="AF216" s="26"/>
      <c r="AG216" s="26"/>
      <c r="AH216" s="33" t="s">
        <v>1260</v>
      </c>
      <c r="AI216" s="23" t="s">
        <v>811</v>
      </c>
      <c r="AJ216" s="33" t="str">
        <f t="shared" si="3"/>
        <v>PD5D_MB_Moactcseq/samples/ILB_BN1128_MB_MOactcseq_batch8_rep2.h5</v>
      </c>
      <c r="AK216" t="s">
        <v>1290</v>
      </c>
    </row>
    <row r="217" spans="1:37">
      <c r="A217" s="24" t="s">
        <v>933</v>
      </c>
      <c r="B217" s="24" t="s">
        <v>115</v>
      </c>
      <c r="C217" s="24" t="s">
        <v>115</v>
      </c>
      <c r="D217" s="24" t="s">
        <v>814</v>
      </c>
      <c r="E217" s="24">
        <v>3</v>
      </c>
      <c r="F217" s="24">
        <v>0</v>
      </c>
      <c r="G217" s="24" t="s">
        <v>706</v>
      </c>
      <c r="H217" s="24" t="s">
        <v>668</v>
      </c>
      <c r="I217" s="24" t="s">
        <v>806</v>
      </c>
      <c r="J217" s="24" t="s">
        <v>807</v>
      </c>
      <c r="K217" s="24" t="s">
        <v>807</v>
      </c>
      <c r="L217" s="24" t="s">
        <v>807</v>
      </c>
      <c r="M217" s="24" t="s">
        <v>807</v>
      </c>
      <c r="N217" s="24">
        <v>8.6</v>
      </c>
      <c r="O217" s="24">
        <v>8.6</v>
      </c>
      <c r="P217" s="24" t="s">
        <v>808</v>
      </c>
      <c r="Q217" s="25">
        <v>4637</v>
      </c>
      <c r="R217" s="24" t="s">
        <v>809</v>
      </c>
      <c r="S217" s="24" t="s">
        <v>675</v>
      </c>
      <c r="T217" s="24">
        <v>131</v>
      </c>
      <c r="U217" s="24" t="s">
        <v>810</v>
      </c>
      <c r="V217" s="24" t="s">
        <v>807</v>
      </c>
      <c r="W217" s="26"/>
      <c r="X217" s="26"/>
      <c r="Y217" s="26"/>
      <c r="Z217" s="26"/>
      <c r="AA217" s="26"/>
      <c r="AB217" s="26"/>
      <c r="AC217" s="26"/>
      <c r="AD217" s="26"/>
      <c r="AE217" s="26"/>
      <c r="AF217" s="26"/>
      <c r="AG217" s="26"/>
      <c r="AH217" s="33" t="s">
        <v>1260</v>
      </c>
      <c r="AI217" s="23" t="s">
        <v>811</v>
      </c>
      <c r="AJ217" s="33" t="str">
        <f t="shared" si="3"/>
        <v>PD5D_MB_Moactcseq/samples/ILB_BN1128_MB_MOactcseq_batch8_rep3.h5</v>
      </c>
      <c r="AK217" t="s">
        <v>1290</v>
      </c>
    </row>
    <row r="218" spans="1:37">
      <c r="A218" s="24" t="s">
        <v>934</v>
      </c>
      <c r="B218" s="24" t="s">
        <v>119</v>
      </c>
      <c r="C218" s="24" t="s">
        <v>119</v>
      </c>
      <c r="D218" s="24" t="s">
        <v>666</v>
      </c>
      <c r="E218" s="24">
        <v>3</v>
      </c>
      <c r="F218" s="24">
        <v>0</v>
      </c>
      <c r="G218" s="24" t="s">
        <v>706</v>
      </c>
      <c r="H218" s="24" t="s">
        <v>668</v>
      </c>
      <c r="I218" s="24" t="s">
        <v>806</v>
      </c>
      <c r="J218" s="24" t="s">
        <v>807</v>
      </c>
      <c r="K218" s="24" t="s">
        <v>807</v>
      </c>
      <c r="L218" s="24" t="s">
        <v>807</v>
      </c>
      <c r="M218" s="24" t="s">
        <v>807</v>
      </c>
      <c r="N218" s="24">
        <v>9.6999999999999993</v>
      </c>
      <c r="O218" s="24">
        <v>9.6999999999999993</v>
      </c>
      <c r="P218" s="24" t="s">
        <v>808</v>
      </c>
      <c r="Q218" s="24">
        <v>906</v>
      </c>
      <c r="R218" s="24" t="s">
        <v>809</v>
      </c>
      <c r="S218" s="24" t="s">
        <v>675</v>
      </c>
      <c r="T218" s="24">
        <v>131</v>
      </c>
      <c r="U218" s="24" t="s">
        <v>810</v>
      </c>
      <c r="V218" s="24" t="s">
        <v>807</v>
      </c>
      <c r="W218" s="26"/>
      <c r="X218" s="26"/>
      <c r="Y218" s="26"/>
      <c r="Z218" s="26"/>
      <c r="AA218" s="26"/>
      <c r="AB218" s="26"/>
      <c r="AC218" s="26"/>
      <c r="AD218" s="26"/>
      <c r="AE218" s="26"/>
      <c r="AF218" s="26"/>
      <c r="AG218" s="26"/>
      <c r="AH218" s="33" t="s">
        <v>1260</v>
      </c>
      <c r="AI218" s="23" t="s">
        <v>811</v>
      </c>
      <c r="AJ218" s="33" t="str">
        <f t="shared" si="3"/>
        <v>PD5D_MB_Moactcseq/samples/ILB_BN1160_MB_MOactcseq_batch8_rep1.h5</v>
      </c>
      <c r="AK218" t="s">
        <v>1290</v>
      </c>
    </row>
    <row r="219" spans="1:37">
      <c r="A219" s="24" t="s">
        <v>935</v>
      </c>
      <c r="B219" s="24" t="s">
        <v>119</v>
      </c>
      <c r="C219" s="24" t="s">
        <v>119</v>
      </c>
      <c r="D219" s="24" t="s">
        <v>689</v>
      </c>
      <c r="E219" s="24">
        <v>3</v>
      </c>
      <c r="F219" s="24">
        <v>0</v>
      </c>
      <c r="G219" s="24" t="s">
        <v>706</v>
      </c>
      <c r="H219" s="24" t="s">
        <v>668</v>
      </c>
      <c r="I219" s="24" t="s">
        <v>806</v>
      </c>
      <c r="J219" s="24" t="s">
        <v>807</v>
      </c>
      <c r="K219" s="24" t="s">
        <v>807</v>
      </c>
      <c r="L219" s="24" t="s">
        <v>807</v>
      </c>
      <c r="M219" s="24" t="s">
        <v>807</v>
      </c>
      <c r="N219" s="24">
        <v>9.6999999999999993</v>
      </c>
      <c r="O219" s="24">
        <v>9.6999999999999993</v>
      </c>
      <c r="P219" s="24" t="s">
        <v>808</v>
      </c>
      <c r="Q219" s="24">
        <v>906</v>
      </c>
      <c r="R219" s="24" t="s">
        <v>809</v>
      </c>
      <c r="S219" s="24" t="s">
        <v>675</v>
      </c>
      <c r="T219" s="24">
        <v>131</v>
      </c>
      <c r="U219" s="24" t="s">
        <v>810</v>
      </c>
      <c r="V219" s="24" t="s">
        <v>807</v>
      </c>
      <c r="W219" s="26"/>
      <c r="X219" s="26"/>
      <c r="Y219" s="26"/>
      <c r="Z219" s="26"/>
      <c r="AA219" s="26"/>
      <c r="AB219" s="26"/>
      <c r="AC219" s="26"/>
      <c r="AD219" s="26"/>
      <c r="AE219" s="26"/>
      <c r="AF219" s="26"/>
      <c r="AG219" s="26"/>
      <c r="AH219" s="33" t="s">
        <v>1260</v>
      </c>
      <c r="AI219" s="23" t="s">
        <v>811</v>
      </c>
      <c r="AJ219" s="33" t="str">
        <f t="shared" si="3"/>
        <v>PD5D_MB_Moactcseq/samples/ILB_BN1160_MB_MOactcseq_batch8_rep2.h5</v>
      </c>
      <c r="AK219" t="s">
        <v>1290</v>
      </c>
    </row>
    <row r="220" spans="1:37">
      <c r="A220" s="24" t="s">
        <v>936</v>
      </c>
      <c r="B220" s="24" t="s">
        <v>119</v>
      </c>
      <c r="C220" s="24" t="s">
        <v>119</v>
      </c>
      <c r="D220" s="24" t="s">
        <v>814</v>
      </c>
      <c r="E220" s="24">
        <v>3</v>
      </c>
      <c r="F220" s="24">
        <v>0</v>
      </c>
      <c r="G220" s="24" t="s">
        <v>706</v>
      </c>
      <c r="H220" s="24" t="s">
        <v>668</v>
      </c>
      <c r="I220" s="24" t="s">
        <v>806</v>
      </c>
      <c r="J220" s="24" t="s">
        <v>807</v>
      </c>
      <c r="K220" s="24" t="s">
        <v>807</v>
      </c>
      <c r="L220" s="24" t="s">
        <v>807</v>
      </c>
      <c r="M220" s="24" t="s">
        <v>807</v>
      </c>
      <c r="N220" s="24">
        <v>9.6999999999999993</v>
      </c>
      <c r="O220" s="24">
        <v>9.6999999999999993</v>
      </c>
      <c r="P220" s="24" t="s">
        <v>808</v>
      </c>
      <c r="Q220" s="24">
        <v>906</v>
      </c>
      <c r="R220" s="24" t="s">
        <v>809</v>
      </c>
      <c r="S220" s="24" t="s">
        <v>675</v>
      </c>
      <c r="T220" s="24">
        <v>131</v>
      </c>
      <c r="U220" s="24" t="s">
        <v>810</v>
      </c>
      <c r="V220" s="24" t="s">
        <v>807</v>
      </c>
      <c r="W220" s="26"/>
      <c r="X220" s="26"/>
      <c r="Y220" s="26"/>
      <c r="Z220" s="26"/>
      <c r="AA220" s="26"/>
      <c r="AB220" s="26"/>
      <c r="AC220" s="26"/>
      <c r="AD220" s="26"/>
      <c r="AE220" s="26"/>
      <c r="AF220" s="26"/>
      <c r="AG220" s="26"/>
      <c r="AH220" s="33" t="s">
        <v>1260</v>
      </c>
      <c r="AI220" s="23" t="s">
        <v>811</v>
      </c>
      <c r="AJ220" s="33" t="str">
        <f t="shared" si="3"/>
        <v>PD5D_MB_Moactcseq/samples/ILB_BN1160_MB_MOactcseq_batch8_rep3.h5</v>
      </c>
      <c r="AK220" t="s">
        <v>1290</v>
      </c>
    </row>
    <row r="221" spans="1:37">
      <c r="A221" s="24" t="s">
        <v>937</v>
      </c>
      <c r="B221" s="24" t="s">
        <v>129</v>
      </c>
      <c r="C221" s="24" t="s">
        <v>129</v>
      </c>
      <c r="D221" s="24" t="s">
        <v>666</v>
      </c>
      <c r="E221" s="24">
        <v>2</v>
      </c>
      <c r="F221" s="24">
        <v>0</v>
      </c>
      <c r="G221" s="24" t="s">
        <v>733</v>
      </c>
      <c r="H221" s="24" t="s">
        <v>668</v>
      </c>
      <c r="I221" s="24" t="s">
        <v>806</v>
      </c>
      <c r="J221" s="24" t="s">
        <v>807</v>
      </c>
      <c r="K221" s="24" t="s">
        <v>807</v>
      </c>
      <c r="L221" s="24" t="s">
        <v>807</v>
      </c>
      <c r="M221" s="24" t="s">
        <v>807</v>
      </c>
      <c r="N221" s="24">
        <v>9.6999999999999993</v>
      </c>
      <c r="O221" s="24">
        <v>9.6999999999999993</v>
      </c>
      <c r="P221" s="24" t="s">
        <v>808</v>
      </c>
      <c r="Q221" s="25">
        <v>5254</v>
      </c>
      <c r="R221" s="24" t="s">
        <v>809</v>
      </c>
      <c r="S221" s="24" t="s">
        <v>675</v>
      </c>
      <c r="T221" s="24">
        <v>131</v>
      </c>
      <c r="U221" s="24" t="s">
        <v>810</v>
      </c>
      <c r="V221" s="24" t="s">
        <v>807</v>
      </c>
      <c r="W221" s="26"/>
      <c r="X221" s="26"/>
      <c r="Y221" s="26"/>
      <c r="Z221" s="26"/>
      <c r="AA221" s="26"/>
      <c r="AB221" s="26"/>
      <c r="AC221" s="26"/>
      <c r="AD221" s="26"/>
      <c r="AE221" s="26"/>
      <c r="AF221" s="26"/>
      <c r="AG221" s="26"/>
      <c r="AH221" s="33" t="s">
        <v>1260</v>
      </c>
      <c r="AI221" s="23" t="s">
        <v>811</v>
      </c>
      <c r="AJ221" s="33" t="str">
        <f t="shared" si="3"/>
        <v>PD5D_MB_Moactcseq/samples/ILB_BN1308_MB_MOactcseq_batch15_rep1.h5</v>
      </c>
      <c r="AK221" t="s">
        <v>1290</v>
      </c>
    </row>
    <row r="222" spans="1:37">
      <c r="A222" s="24" t="s">
        <v>938</v>
      </c>
      <c r="B222" s="24" t="s">
        <v>129</v>
      </c>
      <c r="C222" s="24" t="s">
        <v>129</v>
      </c>
      <c r="D222" s="24" t="s">
        <v>689</v>
      </c>
      <c r="E222" s="24">
        <v>2</v>
      </c>
      <c r="F222" s="24">
        <v>0</v>
      </c>
      <c r="G222" s="24" t="s">
        <v>733</v>
      </c>
      <c r="H222" s="24" t="s">
        <v>668</v>
      </c>
      <c r="I222" s="24" t="s">
        <v>806</v>
      </c>
      <c r="J222" s="24" t="s">
        <v>807</v>
      </c>
      <c r="K222" s="24" t="s">
        <v>807</v>
      </c>
      <c r="L222" s="24" t="s">
        <v>807</v>
      </c>
      <c r="M222" s="24" t="s">
        <v>807</v>
      </c>
      <c r="N222" s="24">
        <v>9.6999999999999993</v>
      </c>
      <c r="O222" s="24">
        <v>9.6999999999999993</v>
      </c>
      <c r="P222" s="24" t="s">
        <v>808</v>
      </c>
      <c r="Q222" s="25">
        <v>5254</v>
      </c>
      <c r="R222" s="24" t="s">
        <v>809</v>
      </c>
      <c r="S222" s="24" t="s">
        <v>675</v>
      </c>
      <c r="T222" s="24">
        <v>131</v>
      </c>
      <c r="U222" s="24" t="s">
        <v>810</v>
      </c>
      <c r="V222" s="24" t="s">
        <v>807</v>
      </c>
      <c r="W222" s="26"/>
      <c r="X222" s="26"/>
      <c r="Y222" s="26"/>
      <c r="Z222" s="26"/>
      <c r="AA222" s="26"/>
      <c r="AB222" s="26"/>
      <c r="AC222" s="26"/>
      <c r="AD222" s="26"/>
      <c r="AE222" s="26"/>
      <c r="AF222" s="26"/>
      <c r="AG222" s="26"/>
      <c r="AH222" s="33" t="s">
        <v>1260</v>
      </c>
      <c r="AI222" s="23" t="s">
        <v>811</v>
      </c>
      <c r="AJ222" s="33" t="str">
        <f t="shared" si="3"/>
        <v>PD5D_MB_Moactcseq/samples/ILB_BN1308_MB_MOactcseq_batch15_rep2.h5</v>
      </c>
      <c r="AK222" t="s">
        <v>1290</v>
      </c>
    </row>
    <row r="223" spans="1:37">
      <c r="A223" s="24" t="s">
        <v>939</v>
      </c>
      <c r="B223" s="24" t="s">
        <v>133</v>
      </c>
      <c r="C223" s="24" t="s">
        <v>133</v>
      </c>
      <c r="D223" s="24" t="s">
        <v>666</v>
      </c>
      <c r="E223" s="24">
        <v>3</v>
      </c>
      <c r="F223" s="24">
        <v>0</v>
      </c>
      <c r="G223" s="24" t="s">
        <v>686</v>
      </c>
      <c r="H223" s="24" t="s">
        <v>668</v>
      </c>
      <c r="I223" s="24" t="s">
        <v>806</v>
      </c>
      <c r="J223" s="24" t="s">
        <v>807</v>
      </c>
      <c r="K223" s="24" t="s">
        <v>807</v>
      </c>
      <c r="L223" s="24" t="s">
        <v>807</v>
      </c>
      <c r="M223" s="24" t="s">
        <v>807</v>
      </c>
      <c r="N223" s="24">
        <v>9.6</v>
      </c>
      <c r="O223" s="24">
        <v>9.6</v>
      </c>
      <c r="P223" s="24" t="s">
        <v>808</v>
      </c>
      <c r="Q223" s="25">
        <v>5641</v>
      </c>
      <c r="R223" s="24" t="s">
        <v>809</v>
      </c>
      <c r="S223" s="24" t="s">
        <v>675</v>
      </c>
      <c r="T223" s="24">
        <v>131</v>
      </c>
      <c r="U223" s="24" t="s">
        <v>810</v>
      </c>
      <c r="V223" s="24" t="s">
        <v>807</v>
      </c>
      <c r="W223" s="26"/>
      <c r="X223" s="26"/>
      <c r="Y223" s="26"/>
      <c r="Z223" s="26"/>
      <c r="AA223" s="26"/>
      <c r="AB223" s="26"/>
      <c r="AC223" s="26"/>
      <c r="AD223" s="26"/>
      <c r="AE223" s="26"/>
      <c r="AF223" s="26"/>
      <c r="AG223" s="26"/>
      <c r="AH223" s="33" t="s">
        <v>1260</v>
      </c>
      <c r="AI223" s="23" t="s">
        <v>811</v>
      </c>
      <c r="AJ223" s="33" t="str">
        <f t="shared" si="3"/>
        <v>PD5D_MB_Moactcseq/samples/ILB_BN1339_MB_MOactcseq_batch7_rep1.h5</v>
      </c>
      <c r="AK223" t="s">
        <v>1290</v>
      </c>
    </row>
    <row r="224" spans="1:37">
      <c r="A224" s="24" t="s">
        <v>940</v>
      </c>
      <c r="B224" s="24" t="s">
        <v>133</v>
      </c>
      <c r="C224" s="24" t="s">
        <v>133</v>
      </c>
      <c r="D224" s="24" t="s">
        <v>689</v>
      </c>
      <c r="E224" s="24">
        <v>3</v>
      </c>
      <c r="F224" s="24">
        <v>0</v>
      </c>
      <c r="G224" s="24" t="s">
        <v>686</v>
      </c>
      <c r="H224" s="24" t="s">
        <v>668</v>
      </c>
      <c r="I224" s="24" t="s">
        <v>806</v>
      </c>
      <c r="J224" s="24" t="s">
        <v>807</v>
      </c>
      <c r="K224" s="24" t="s">
        <v>807</v>
      </c>
      <c r="L224" s="24" t="s">
        <v>807</v>
      </c>
      <c r="M224" s="24" t="s">
        <v>807</v>
      </c>
      <c r="N224" s="24">
        <v>9.6</v>
      </c>
      <c r="O224" s="24">
        <v>9.6</v>
      </c>
      <c r="P224" s="24" t="s">
        <v>808</v>
      </c>
      <c r="Q224" s="25">
        <v>5641</v>
      </c>
      <c r="R224" s="24" t="s">
        <v>809</v>
      </c>
      <c r="S224" s="24" t="s">
        <v>675</v>
      </c>
      <c r="T224" s="24">
        <v>131</v>
      </c>
      <c r="U224" s="24" t="s">
        <v>810</v>
      </c>
      <c r="V224" s="24" t="s">
        <v>807</v>
      </c>
      <c r="W224" s="26"/>
      <c r="X224" s="26"/>
      <c r="Y224" s="26"/>
      <c r="Z224" s="26"/>
      <c r="AA224" s="26"/>
      <c r="AB224" s="26"/>
      <c r="AC224" s="26"/>
      <c r="AD224" s="26"/>
      <c r="AE224" s="26"/>
      <c r="AF224" s="26"/>
      <c r="AG224" s="26"/>
      <c r="AH224" s="33" t="s">
        <v>1260</v>
      </c>
      <c r="AI224" s="23" t="s">
        <v>811</v>
      </c>
      <c r="AJ224" s="33" t="str">
        <f t="shared" si="3"/>
        <v>PD5D_MB_Moactcseq/samples/ILB_BN1339_MB_MOactcseq_batch7_rep2.h5</v>
      </c>
      <c r="AK224" t="s">
        <v>1290</v>
      </c>
    </row>
    <row r="225" spans="1:37">
      <c r="A225" s="24" t="s">
        <v>941</v>
      </c>
      <c r="B225" s="24" t="s">
        <v>133</v>
      </c>
      <c r="C225" s="24" t="s">
        <v>133</v>
      </c>
      <c r="D225" s="24" t="s">
        <v>814</v>
      </c>
      <c r="E225" s="24">
        <v>3</v>
      </c>
      <c r="F225" s="24">
        <v>0</v>
      </c>
      <c r="G225" s="24" t="s">
        <v>686</v>
      </c>
      <c r="H225" s="24" t="s">
        <v>668</v>
      </c>
      <c r="I225" s="24" t="s">
        <v>806</v>
      </c>
      <c r="J225" s="24" t="s">
        <v>807</v>
      </c>
      <c r="K225" s="24" t="s">
        <v>807</v>
      </c>
      <c r="L225" s="24" t="s">
        <v>807</v>
      </c>
      <c r="M225" s="24" t="s">
        <v>807</v>
      </c>
      <c r="N225" s="24">
        <v>9.6</v>
      </c>
      <c r="O225" s="24">
        <v>9.6</v>
      </c>
      <c r="P225" s="24" t="s">
        <v>808</v>
      </c>
      <c r="Q225" s="25">
        <v>5641</v>
      </c>
      <c r="R225" s="24" t="s">
        <v>809</v>
      </c>
      <c r="S225" s="24" t="s">
        <v>675</v>
      </c>
      <c r="T225" s="24">
        <v>131</v>
      </c>
      <c r="U225" s="24" t="s">
        <v>810</v>
      </c>
      <c r="V225" s="24" t="s">
        <v>807</v>
      </c>
      <c r="W225" s="26"/>
      <c r="X225" s="26"/>
      <c r="Y225" s="26"/>
      <c r="Z225" s="26"/>
      <c r="AA225" s="26"/>
      <c r="AB225" s="26"/>
      <c r="AC225" s="26"/>
      <c r="AD225" s="26"/>
      <c r="AE225" s="26"/>
      <c r="AF225" s="26"/>
      <c r="AG225" s="26"/>
      <c r="AH225" s="33" t="s">
        <v>1260</v>
      </c>
      <c r="AI225" s="23" t="s">
        <v>811</v>
      </c>
      <c r="AJ225" s="33" t="str">
        <f t="shared" si="3"/>
        <v>PD5D_MB_Moactcseq/samples/ILB_BN1339_MB_MOactcseq_batch7_rep3.h5</v>
      </c>
      <c r="AK225" t="s">
        <v>1290</v>
      </c>
    </row>
    <row r="226" spans="1:37">
      <c r="A226" s="24" t="s">
        <v>942</v>
      </c>
      <c r="B226" s="24" t="s">
        <v>137</v>
      </c>
      <c r="C226" s="24" t="s">
        <v>137</v>
      </c>
      <c r="D226" s="24" t="s">
        <v>666</v>
      </c>
      <c r="E226" s="24">
        <v>2</v>
      </c>
      <c r="F226" s="24">
        <v>0</v>
      </c>
      <c r="G226" s="24" t="s">
        <v>725</v>
      </c>
      <c r="H226" s="24" t="s">
        <v>668</v>
      </c>
      <c r="I226" s="24" t="s">
        <v>806</v>
      </c>
      <c r="J226" s="24" t="s">
        <v>807</v>
      </c>
      <c r="K226" s="24" t="s">
        <v>807</v>
      </c>
      <c r="L226" s="24" t="s">
        <v>807</v>
      </c>
      <c r="M226" s="24" t="s">
        <v>807</v>
      </c>
      <c r="N226" s="24">
        <v>9.3000000000000007</v>
      </c>
      <c r="O226" s="24">
        <v>9.3000000000000007</v>
      </c>
      <c r="P226" s="24" t="s">
        <v>808</v>
      </c>
      <c r="Q226" s="24">
        <v>897</v>
      </c>
      <c r="R226" s="24" t="s">
        <v>809</v>
      </c>
      <c r="S226" s="24" t="s">
        <v>675</v>
      </c>
      <c r="T226" s="24">
        <v>131</v>
      </c>
      <c r="U226" s="24" t="s">
        <v>810</v>
      </c>
      <c r="V226" s="24" t="s">
        <v>807</v>
      </c>
      <c r="W226" s="26"/>
      <c r="X226" s="26"/>
      <c r="Y226" s="26"/>
      <c r="Z226" s="26"/>
      <c r="AA226" s="26"/>
      <c r="AB226" s="26"/>
      <c r="AC226" s="26"/>
      <c r="AD226" s="26"/>
      <c r="AE226" s="26"/>
      <c r="AF226" s="26"/>
      <c r="AG226" s="26"/>
      <c r="AH226" s="33" t="s">
        <v>1260</v>
      </c>
      <c r="AI226" s="23" t="s">
        <v>811</v>
      </c>
      <c r="AJ226" s="33" t="str">
        <f t="shared" si="3"/>
        <v>PD5D_MB_Moactcseq/samples/ILB_BN1351_MB_MOactcseq_batch14_rep1.h5</v>
      </c>
      <c r="AK226" t="s">
        <v>1290</v>
      </c>
    </row>
    <row r="227" spans="1:37">
      <c r="A227" s="24" t="s">
        <v>943</v>
      </c>
      <c r="B227" s="24" t="s">
        <v>137</v>
      </c>
      <c r="C227" s="24" t="s">
        <v>137</v>
      </c>
      <c r="D227" s="24" t="s">
        <v>689</v>
      </c>
      <c r="E227" s="24">
        <v>2</v>
      </c>
      <c r="F227" s="24">
        <v>0</v>
      </c>
      <c r="G227" s="24" t="s">
        <v>725</v>
      </c>
      <c r="H227" s="24" t="s">
        <v>668</v>
      </c>
      <c r="I227" s="24" t="s">
        <v>806</v>
      </c>
      <c r="J227" s="24" t="s">
        <v>807</v>
      </c>
      <c r="K227" s="24" t="s">
        <v>807</v>
      </c>
      <c r="L227" s="24" t="s">
        <v>807</v>
      </c>
      <c r="M227" s="24" t="s">
        <v>807</v>
      </c>
      <c r="N227" s="24">
        <v>9.3000000000000007</v>
      </c>
      <c r="O227" s="24">
        <v>9.3000000000000007</v>
      </c>
      <c r="P227" s="24" t="s">
        <v>808</v>
      </c>
      <c r="Q227" s="24">
        <v>897</v>
      </c>
      <c r="R227" s="24" t="s">
        <v>809</v>
      </c>
      <c r="S227" s="24" t="s">
        <v>675</v>
      </c>
      <c r="T227" s="24">
        <v>131</v>
      </c>
      <c r="U227" s="24" t="s">
        <v>810</v>
      </c>
      <c r="V227" s="24" t="s">
        <v>807</v>
      </c>
      <c r="W227" s="26"/>
      <c r="X227" s="26"/>
      <c r="Y227" s="26"/>
      <c r="Z227" s="26"/>
      <c r="AA227" s="26"/>
      <c r="AB227" s="26"/>
      <c r="AC227" s="26"/>
      <c r="AD227" s="26"/>
      <c r="AE227" s="26"/>
      <c r="AF227" s="26"/>
      <c r="AG227" s="26"/>
      <c r="AH227" s="33" t="s">
        <v>1260</v>
      </c>
      <c r="AI227" s="23" t="s">
        <v>811</v>
      </c>
      <c r="AJ227" s="33" t="str">
        <f t="shared" si="3"/>
        <v>PD5D_MB_Moactcseq/samples/ILB_BN1351_MB_MOactcseq_batch14_rep2.h5</v>
      </c>
      <c r="AK227" t="s">
        <v>1290</v>
      </c>
    </row>
    <row r="228" spans="1:37">
      <c r="A228" s="24" t="s">
        <v>944</v>
      </c>
      <c r="B228" s="24" t="s">
        <v>139</v>
      </c>
      <c r="C228" s="24" t="s">
        <v>139</v>
      </c>
      <c r="D228" s="24" t="s">
        <v>666</v>
      </c>
      <c r="E228" s="24">
        <v>6</v>
      </c>
      <c r="F228" s="24">
        <v>0</v>
      </c>
      <c r="G228" s="24" t="s">
        <v>725</v>
      </c>
      <c r="H228" s="24" t="s">
        <v>668</v>
      </c>
      <c r="I228" s="24" t="s">
        <v>806</v>
      </c>
      <c r="J228" s="24" t="s">
        <v>807</v>
      </c>
      <c r="K228" s="24" t="s">
        <v>807</v>
      </c>
      <c r="L228" s="24" t="s">
        <v>807</v>
      </c>
      <c r="M228" s="24" t="s">
        <v>807</v>
      </c>
      <c r="N228" s="24">
        <v>10</v>
      </c>
      <c r="O228" s="24">
        <v>10</v>
      </c>
      <c r="P228" s="24" t="s">
        <v>808</v>
      </c>
      <c r="Q228" s="25">
        <v>2381</v>
      </c>
      <c r="R228" s="24" t="s">
        <v>809</v>
      </c>
      <c r="S228" s="24" t="s">
        <v>675</v>
      </c>
      <c r="T228" s="24">
        <v>131</v>
      </c>
      <c r="U228" s="24" t="s">
        <v>810</v>
      </c>
      <c r="V228" s="24" t="s">
        <v>807</v>
      </c>
      <c r="W228" s="26"/>
      <c r="X228" s="26"/>
      <c r="Y228" s="26"/>
      <c r="Z228" s="26"/>
      <c r="AA228" s="26"/>
      <c r="AB228" s="26"/>
      <c r="AC228" s="26"/>
      <c r="AD228" s="26"/>
      <c r="AE228" s="26"/>
      <c r="AF228" s="26"/>
      <c r="AG228" s="26"/>
      <c r="AH228" s="33" t="s">
        <v>1260</v>
      </c>
      <c r="AI228" s="23" t="s">
        <v>811</v>
      </c>
      <c r="AJ228" s="33" t="str">
        <f t="shared" si="3"/>
        <v>PD5D_MB_Moactcseq/samples/ILB_BN1361_MB_MOactcseq_batch14_rep1.h5</v>
      </c>
      <c r="AK228" t="s">
        <v>1290</v>
      </c>
    </row>
    <row r="229" spans="1:37">
      <c r="A229" s="24" t="s">
        <v>945</v>
      </c>
      <c r="B229" s="24" t="s">
        <v>139</v>
      </c>
      <c r="C229" s="24" t="s">
        <v>139</v>
      </c>
      <c r="D229" s="24" t="s">
        <v>689</v>
      </c>
      <c r="E229" s="24">
        <v>6</v>
      </c>
      <c r="F229" s="24">
        <v>0</v>
      </c>
      <c r="G229" s="24" t="s">
        <v>725</v>
      </c>
      <c r="H229" s="24" t="s">
        <v>668</v>
      </c>
      <c r="I229" s="24" t="s">
        <v>806</v>
      </c>
      <c r="J229" s="24" t="s">
        <v>807</v>
      </c>
      <c r="K229" s="24" t="s">
        <v>807</v>
      </c>
      <c r="L229" s="24" t="s">
        <v>807</v>
      </c>
      <c r="M229" s="24" t="s">
        <v>807</v>
      </c>
      <c r="N229" s="24">
        <v>10</v>
      </c>
      <c r="O229" s="24">
        <v>10</v>
      </c>
      <c r="P229" s="24" t="s">
        <v>808</v>
      </c>
      <c r="Q229" s="25">
        <v>2381</v>
      </c>
      <c r="R229" s="24" t="s">
        <v>809</v>
      </c>
      <c r="S229" s="24" t="s">
        <v>675</v>
      </c>
      <c r="T229" s="24">
        <v>131</v>
      </c>
      <c r="U229" s="24" t="s">
        <v>810</v>
      </c>
      <c r="V229" s="24" t="s">
        <v>807</v>
      </c>
      <c r="W229" s="26"/>
      <c r="X229" s="26"/>
      <c r="Y229" s="26"/>
      <c r="Z229" s="26"/>
      <c r="AA229" s="26"/>
      <c r="AB229" s="26"/>
      <c r="AC229" s="26"/>
      <c r="AD229" s="26"/>
      <c r="AE229" s="26"/>
      <c r="AF229" s="26"/>
      <c r="AG229" s="26"/>
      <c r="AH229" s="33" t="s">
        <v>1260</v>
      </c>
      <c r="AI229" s="23" t="s">
        <v>811</v>
      </c>
      <c r="AJ229" s="33" t="str">
        <f t="shared" si="3"/>
        <v>PD5D_MB_Moactcseq/samples/ILB_BN1361_MB_MOactcseq_batch14_rep2.h5</v>
      </c>
      <c r="AK229" t="s">
        <v>1290</v>
      </c>
    </row>
    <row r="230" spans="1:37">
      <c r="A230" s="24" t="s">
        <v>946</v>
      </c>
      <c r="B230" s="24" t="s">
        <v>139</v>
      </c>
      <c r="C230" s="24" t="s">
        <v>139</v>
      </c>
      <c r="D230" s="24" t="s">
        <v>814</v>
      </c>
      <c r="E230" s="24">
        <v>6</v>
      </c>
      <c r="F230" s="24">
        <v>0</v>
      </c>
      <c r="G230" s="24" t="s">
        <v>725</v>
      </c>
      <c r="H230" s="24" t="s">
        <v>668</v>
      </c>
      <c r="I230" s="24" t="s">
        <v>806</v>
      </c>
      <c r="J230" s="24" t="s">
        <v>807</v>
      </c>
      <c r="K230" s="24" t="s">
        <v>807</v>
      </c>
      <c r="L230" s="24" t="s">
        <v>807</v>
      </c>
      <c r="M230" s="24" t="s">
        <v>807</v>
      </c>
      <c r="N230" s="24">
        <v>10</v>
      </c>
      <c r="O230" s="24">
        <v>10</v>
      </c>
      <c r="P230" s="24" t="s">
        <v>808</v>
      </c>
      <c r="Q230" s="25">
        <v>2381</v>
      </c>
      <c r="R230" s="24" t="s">
        <v>809</v>
      </c>
      <c r="S230" s="24" t="s">
        <v>675</v>
      </c>
      <c r="T230" s="24">
        <v>131</v>
      </c>
      <c r="U230" s="24" t="s">
        <v>810</v>
      </c>
      <c r="V230" s="24" t="s">
        <v>807</v>
      </c>
      <c r="W230" s="26"/>
      <c r="X230" s="26"/>
      <c r="Y230" s="26"/>
      <c r="Z230" s="26"/>
      <c r="AA230" s="26"/>
      <c r="AB230" s="26"/>
      <c r="AC230" s="26"/>
      <c r="AD230" s="26"/>
      <c r="AE230" s="26"/>
      <c r="AF230" s="26"/>
      <c r="AG230" s="26"/>
      <c r="AH230" s="33" t="s">
        <v>1260</v>
      </c>
      <c r="AI230" s="23" t="s">
        <v>811</v>
      </c>
      <c r="AJ230" s="33" t="str">
        <f t="shared" si="3"/>
        <v>PD5D_MB_Moactcseq/samples/ILB_BN1361_MB_MOactcseq_batch14_rep3.h5</v>
      </c>
      <c r="AK230" t="s">
        <v>1290</v>
      </c>
    </row>
    <row r="231" spans="1:37">
      <c r="A231" s="24" t="s">
        <v>947</v>
      </c>
      <c r="B231" s="24" t="s">
        <v>139</v>
      </c>
      <c r="C231" s="24" t="s">
        <v>139</v>
      </c>
      <c r="D231" s="24" t="s">
        <v>819</v>
      </c>
      <c r="E231" s="24">
        <v>6</v>
      </c>
      <c r="F231" s="24">
        <v>0</v>
      </c>
      <c r="G231" s="24" t="s">
        <v>725</v>
      </c>
      <c r="H231" s="24" t="s">
        <v>668</v>
      </c>
      <c r="I231" s="24" t="s">
        <v>806</v>
      </c>
      <c r="J231" s="24" t="s">
        <v>807</v>
      </c>
      <c r="K231" s="24" t="s">
        <v>807</v>
      </c>
      <c r="L231" s="24" t="s">
        <v>807</v>
      </c>
      <c r="M231" s="24" t="s">
        <v>807</v>
      </c>
      <c r="N231" s="24">
        <v>10</v>
      </c>
      <c r="O231" s="24">
        <v>10</v>
      </c>
      <c r="P231" s="24" t="s">
        <v>808</v>
      </c>
      <c r="Q231" s="25">
        <v>2381</v>
      </c>
      <c r="R231" s="24" t="s">
        <v>809</v>
      </c>
      <c r="S231" s="24" t="s">
        <v>675</v>
      </c>
      <c r="T231" s="24">
        <v>131</v>
      </c>
      <c r="U231" s="24" t="s">
        <v>810</v>
      </c>
      <c r="V231" s="24" t="s">
        <v>807</v>
      </c>
      <c r="W231" s="26"/>
      <c r="X231" s="26"/>
      <c r="Y231" s="26"/>
      <c r="Z231" s="26"/>
      <c r="AA231" s="26"/>
      <c r="AB231" s="26"/>
      <c r="AC231" s="26"/>
      <c r="AD231" s="26"/>
      <c r="AE231" s="26"/>
      <c r="AF231" s="26"/>
      <c r="AG231" s="26"/>
      <c r="AH231" s="33" t="s">
        <v>1260</v>
      </c>
      <c r="AI231" s="23" t="s">
        <v>811</v>
      </c>
      <c r="AJ231" s="33" t="str">
        <f t="shared" si="3"/>
        <v>PD5D_MB_Moactcseq/samples/ILB_BN1361_MB_MOactcseq_batch14_rep4.h5</v>
      </c>
      <c r="AK231" t="s">
        <v>1290</v>
      </c>
    </row>
    <row r="232" spans="1:37">
      <c r="A232" s="24" t="s">
        <v>948</v>
      </c>
      <c r="B232" s="24" t="s">
        <v>139</v>
      </c>
      <c r="C232" s="24" t="s">
        <v>139</v>
      </c>
      <c r="D232" s="24" t="s">
        <v>821</v>
      </c>
      <c r="E232" s="24">
        <v>6</v>
      </c>
      <c r="F232" s="24">
        <v>0</v>
      </c>
      <c r="G232" s="24" t="s">
        <v>725</v>
      </c>
      <c r="H232" s="24" t="s">
        <v>668</v>
      </c>
      <c r="I232" s="24" t="s">
        <v>806</v>
      </c>
      <c r="J232" s="24" t="s">
        <v>807</v>
      </c>
      <c r="K232" s="24" t="s">
        <v>807</v>
      </c>
      <c r="L232" s="24" t="s">
        <v>807</v>
      </c>
      <c r="M232" s="24" t="s">
        <v>807</v>
      </c>
      <c r="N232" s="24">
        <v>10</v>
      </c>
      <c r="O232" s="24">
        <v>10</v>
      </c>
      <c r="P232" s="24" t="s">
        <v>808</v>
      </c>
      <c r="Q232" s="25">
        <v>2381</v>
      </c>
      <c r="R232" s="24" t="s">
        <v>809</v>
      </c>
      <c r="S232" s="24" t="s">
        <v>675</v>
      </c>
      <c r="T232" s="24">
        <v>131</v>
      </c>
      <c r="U232" s="24" t="s">
        <v>810</v>
      </c>
      <c r="V232" s="24" t="s">
        <v>807</v>
      </c>
      <c r="W232" s="26"/>
      <c r="X232" s="26"/>
      <c r="Y232" s="26"/>
      <c r="Z232" s="26"/>
      <c r="AA232" s="26"/>
      <c r="AB232" s="26"/>
      <c r="AC232" s="26"/>
      <c r="AD232" s="26"/>
      <c r="AE232" s="26"/>
      <c r="AF232" s="26"/>
      <c r="AG232" s="26"/>
      <c r="AH232" s="33" t="s">
        <v>1260</v>
      </c>
      <c r="AI232" s="23" t="s">
        <v>811</v>
      </c>
      <c r="AJ232" s="33" t="str">
        <f t="shared" si="3"/>
        <v>PD5D_MB_Moactcseq/samples/ILB_BN1361_MB_MOactcseq_batch14_rep5.h5</v>
      </c>
      <c r="AK232" t="s">
        <v>1290</v>
      </c>
    </row>
    <row r="233" spans="1:37">
      <c r="A233" s="24" t="s">
        <v>949</v>
      </c>
      <c r="B233" s="24" t="s">
        <v>139</v>
      </c>
      <c r="C233" s="24" t="s">
        <v>139</v>
      </c>
      <c r="D233" s="24" t="s">
        <v>823</v>
      </c>
      <c r="E233" s="24">
        <v>6</v>
      </c>
      <c r="F233" s="24">
        <v>0</v>
      </c>
      <c r="G233" s="24" t="s">
        <v>725</v>
      </c>
      <c r="H233" s="24" t="s">
        <v>668</v>
      </c>
      <c r="I233" s="24" t="s">
        <v>806</v>
      </c>
      <c r="J233" s="24" t="s">
        <v>807</v>
      </c>
      <c r="K233" s="24" t="s">
        <v>807</v>
      </c>
      <c r="L233" s="24" t="s">
        <v>807</v>
      </c>
      <c r="M233" s="24" t="s">
        <v>807</v>
      </c>
      <c r="N233" s="24">
        <v>10</v>
      </c>
      <c r="O233" s="24">
        <v>10</v>
      </c>
      <c r="P233" s="24" t="s">
        <v>808</v>
      </c>
      <c r="Q233" s="25">
        <v>2381</v>
      </c>
      <c r="R233" s="24" t="s">
        <v>809</v>
      </c>
      <c r="S233" s="24" t="s">
        <v>675</v>
      </c>
      <c r="T233" s="24">
        <v>131</v>
      </c>
      <c r="U233" s="24" t="s">
        <v>810</v>
      </c>
      <c r="V233" s="24" t="s">
        <v>807</v>
      </c>
      <c r="W233" s="26"/>
      <c r="X233" s="26"/>
      <c r="Y233" s="26"/>
      <c r="Z233" s="26"/>
      <c r="AA233" s="26"/>
      <c r="AB233" s="26"/>
      <c r="AC233" s="26"/>
      <c r="AD233" s="26"/>
      <c r="AE233" s="26"/>
      <c r="AF233" s="26"/>
      <c r="AG233" s="26"/>
      <c r="AH233" s="33" t="s">
        <v>1260</v>
      </c>
      <c r="AI233" s="23" t="s">
        <v>811</v>
      </c>
      <c r="AJ233" s="33" t="str">
        <f t="shared" si="3"/>
        <v>PD5D_MB_Moactcseq/samples/ILB_BN1361_MB_MOactcseq_batch14_rep6.h5</v>
      </c>
      <c r="AK233" t="s">
        <v>1290</v>
      </c>
    </row>
    <row r="234" spans="1:37">
      <c r="A234" s="24" t="s">
        <v>950</v>
      </c>
      <c r="B234" s="24" t="s">
        <v>143</v>
      </c>
      <c r="C234" s="24" t="s">
        <v>143</v>
      </c>
      <c r="D234" s="24" t="s">
        <v>666</v>
      </c>
      <c r="E234" s="24">
        <v>3</v>
      </c>
      <c r="F234" s="24">
        <v>0</v>
      </c>
      <c r="G234" s="24" t="s">
        <v>698</v>
      </c>
      <c r="H234" s="24" t="s">
        <v>668</v>
      </c>
      <c r="I234" s="24" t="s">
        <v>806</v>
      </c>
      <c r="J234" s="24" t="s">
        <v>807</v>
      </c>
      <c r="K234" s="24" t="s">
        <v>807</v>
      </c>
      <c r="L234" s="24" t="s">
        <v>807</v>
      </c>
      <c r="M234" s="24" t="s">
        <v>807</v>
      </c>
      <c r="N234" s="24">
        <v>9.9</v>
      </c>
      <c r="O234" s="24">
        <v>9.9</v>
      </c>
      <c r="P234" s="24" t="s">
        <v>808</v>
      </c>
      <c r="Q234" s="25">
        <v>1746</v>
      </c>
      <c r="R234" s="24" t="s">
        <v>809</v>
      </c>
      <c r="S234" s="24" t="s">
        <v>675</v>
      </c>
      <c r="T234" s="24">
        <v>131</v>
      </c>
      <c r="U234" s="24" t="s">
        <v>810</v>
      </c>
      <c r="V234" s="24" t="s">
        <v>807</v>
      </c>
      <c r="W234" s="26"/>
      <c r="X234" s="26"/>
      <c r="Y234" s="26"/>
      <c r="Z234" s="26"/>
      <c r="AA234" s="26"/>
      <c r="AB234" s="26"/>
      <c r="AC234" s="26"/>
      <c r="AD234" s="26"/>
      <c r="AE234" s="26"/>
      <c r="AF234" s="26"/>
      <c r="AG234" s="26"/>
      <c r="AH234" s="33" t="s">
        <v>1260</v>
      </c>
      <c r="AI234" s="23" t="s">
        <v>811</v>
      </c>
      <c r="AJ234" s="33" t="str">
        <f t="shared" si="3"/>
        <v>PD5D_MB_Moactcseq/samples/ILB_BN1424_MB_MOactcseq_batch6_rep1.h5</v>
      </c>
      <c r="AK234" t="s">
        <v>1290</v>
      </c>
    </row>
    <row r="235" spans="1:37">
      <c r="A235" s="24" t="s">
        <v>951</v>
      </c>
      <c r="B235" s="24" t="s">
        <v>143</v>
      </c>
      <c r="C235" s="24" t="s">
        <v>143</v>
      </c>
      <c r="D235" s="24" t="s">
        <v>689</v>
      </c>
      <c r="E235" s="24">
        <v>3</v>
      </c>
      <c r="F235" s="24">
        <v>0</v>
      </c>
      <c r="G235" s="24" t="s">
        <v>698</v>
      </c>
      <c r="H235" s="24" t="s">
        <v>668</v>
      </c>
      <c r="I235" s="24" t="s">
        <v>806</v>
      </c>
      <c r="J235" s="24" t="s">
        <v>807</v>
      </c>
      <c r="K235" s="24" t="s">
        <v>807</v>
      </c>
      <c r="L235" s="24" t="s">
        <v>807</v>
      </c>
      <c r="M235" s="24" t="s">
        <v>807</v>
      </c>
      <c r="N235" s="24">
        <v>9.9</v>
      </c>
      <c r="O235" s="24">
        <v>9.9</v>
      </c>
      <c r="P235" s="24" t="s">
        <v>808</v>
      </c>
      <c r="Q235" s="25">
        <v>1746</v>
      </c>
      <c r="R235" s="24" t="s">
        <v>809</v>
      </c>
      <c r="S235" s="24" t="s">
        <v>675</v>
      </c>
      <c r="T235" s="24">
        <v>131</v>
      </c>
      <c r="U235" s="24" t="s">
        <v>810</v>
      </c>
      <c r="V235" s="24" t="s">
        <v>807</v>
      </c>
      <c r="W235" s="26"/>
      <c r="X235" s="26"/>
      <c r="Y235" s="26"/>
      <c r="Z235" s="26"/>
      <c r="AA235" s="26"/>
      <c r="AB235" s="26"/>
      <c r="AC235" s="26"/>
      <c r="AD235" s="26"/>
      <c r="AE235" s="26"/>
      <c r="AF235" s="26"/>
      <c r="AG235" s="26"/>
      <c r="AH235" s="33" t="s">
        <v>1260</v>
      </c>
      <c r="AI235" s="23" t="s">
        <v>811</v>
      </c>
      <c r="AJ235" s="33" t="str">
        <f t="shared" si="3"/>
        <v>PD5D_MB_Moactcseq/samples/ILB_BN1424_MB_MOactcseq_batch6_rep2.h5</v>
      </c>
      <c r="AK235" t="s">
        <v>1290</v>
      </c>
    </row>
    <row r="236" spans="1:37">
      <c r="A236" s="24" t="s">
        <v>952</v>
      </c>
      <c r="B236" s="24" t="s">
        <v>143</v>
      </c>
      <c r="C236" s="24" t="s">
        <v>143</v>
      </c>
      <c r="D236" s="24" t="s">
        <v>814</v>
      </c>
      <c r="E236" s="24">
        <v>3</v>
      </c>
      <c r="F236" s="24">
        <v>0</v>
      </c>
      <c r="G236" s="24" t="s">
        <v>698</v>
      </c>
      <c r="H236" s="24" t="s">
        <v>668</v>
      </c>
      <c r="I236" s="24" t="s">
        <v>806</v>
      </c>
      <c r="J236" s="24" t="s">
        <v>807</v>
      </c>
      <c r="K236" s="24" t="s">
        <v>807</v>
      </c>
      <c r="L236" s="24" t="s">
        <v>807</v>
      </c>
      <c r="M236" s="24" t="s">
        <v>807</v>
      </c>
      <c r="N236" s="24">
        <v>9.9</v>
      </c>
      <c r="O236" s="24">
        <v>9.9</v>
      </c>
      <c r="P236" s="24" t="s">
        <v>808</v>
      </c>
      <c r="Q236" s="25">
        <v>1746</v>
      </c>
      <c r="R236" s="24" t="s">
        <v>809</v>
      </c>
      <c r="S236" s="24" t="s">
        <v>675</v>
      </c>
      <c r="T236" s="24">
        <v>131</v>
      </c>
      <c r="U236" s="24" t="s">
        <v>810</v>
      </c>
      <c r="V236" s="24" t="s">
        <v>807</v>
      </c>
      <c r="W236" s="26"/>
      <c r="X236" s="26"/>
      <c r="Y236" s="26"/>
      <c r="Z236" s="26"/>
      <c r="AA236" s="26"/>
      <c r="AB236" s="26"/>
      <c r="AC236" s="26"/>
      <c r="AD236" s="26"/>
      <c r="AE236" s="26"/>
      <c r="AF236" s="26"/>
      <c r="AG236" s="26"/>
      <c r="AH236" s="33" t="s">
        <v>1260</v>
      </c>
      <c r="AI236" s="23" t="s">
        <v>811</v>
      </c>
      <c r="AJ236" s="33" t="str">
        <f t="shared" si="3"/>
        <v>PD5D_MB_Moactcseq/samples/ILB_BN1424_MB_MOactcseq_batch6_rep3.h5</v>
      </c>
      <c r="AK236" t="s">
        <v>1290</v>
      </c>
    </row>
    <row r="237" spans="1:37">
      <c r="A237" s="24" t="s">
        <v>953</v>
      </c>
      <c r="B237" s="24" t="s">
        <v>151</v>
      </c>
      <c r="C237" s="24" t="s">
        <v>151</v>
      </c>
      <c r="D237" s="24" t="s">
        <v>666</v>
      </c>
      <c r="E237" s="24">
        <v>6</v>
      </c>
      <c r="F237" s="24">
        <v>0</v>
      </c>
      <c r="G237" s="24" t="s">
        <v>777</v>
      </c>
      <c r="H237" s="24" t="s">
        <v>668</v>
      </c>
      <c r="I237" s="24" t="s">
        <v>806</v>
      </c>
      <c r="J237" s="24" t="s">
        <v>807</v>
      </c>
      <c r="K237" s="24" t="s">
        <v>807</v>
      </c>
      <c r="L237" s="24" t="s">
        <v>807</v>
      </c>
      <c r="M237" s="24" t="s">
        <v>807</v>
      </c>
      <c r="N237" s="24">
        <v>10</v>
      </c>
      <c r="O237" s="24">
        <v>10</v>
      </c>
      <c r="P237" s="24" t="s">
        <v>808</v>
      </c>
      <c r="Q237" s="25">
        <v>6757</v>
      </c>
      <c r="R237" s="24" t="s">
        <v>809</v>
      </c>
      <c r="S237" s="24" t="s">
        <v>675</v>
      </c>
      <c r="T237" s="24">
        <v>131</v>
      </c>
      <c r="U237" s="24" t="s">
        <v>810</v>
      </c>
      <c r="V237" s="24" t="s">
        <v>807</v>
      </c>
      <c r="W237" s="26"/>
      <c r="X237" s="26"/>
      <c r="Y237" s="26"/>
      <c r="Z237" s="26"/>
      <c r="AA237" s="26"/>
      <c r="AB237" s="26"/>
      <c r="AC237" s="26"/>
      <c r="AD237" s="26"/>
      <c r="AE237" s="26"/>
      <c r="AF237" s="26"/>
      <c r="AG237" s="26"/>
      <c r="AH237" s="33" t="s">
        <v>1260</v>
      </c>
      <c r="AI237" s="23" t="s">
        <v>811</v>
      </c>
      <c r="AJ237" s="33" t="str">
        <f t="shared" si="3"/>
        <v>PD5D_MB_Moactcseq/samples/ILB_BN1518_MB_MOactcseq_batch10_rep1.h5</v>
      </c>
      <c r="AK237" t="s">
        <v>1290</v>
      </c>
    </row>
    <row r="238" spans="1:37">
      <c r="A238" s="24" t="s">
        <v>954</v>
      </c>
      <c r="B238" s="24" t="s">
        <v>151</v>
      </c>
      <c r="C238" s="24" t="s">
        <v>151</v>
      </c>
      <c r="D238" s="24" t="s">
        <v>689</v>
      </c>
      <c r="E238" s="24">
        <v>6</v>
      </c>
      <c r="F238" s="24">
        <v>0</v>
      </c>
      <c r="G238" s="24" t="s">
        <v>777</v>
      </c>
      <c r="H238" s="24" t="s">
        <v>668</v>
      </c>
      <c r="I238" s="24" t="s">
        <v>806</v>
      </c>
      <c r="J238" s="24" t="s">
        <v>807</v>
      </c>
      <c r="K238" s="24" t="s">
        <v>807</v>
      </c>
      <c r="L238" s="24" t="s">
        <v>807</v>
      </c>
      <c r="M238" s="24" t="s">
        <v>807</v>
      </c>
      <c r="N238" s="24">
        <v>10</v>
      </c>
      <c r="O238" s="24">
        <v>10</v>
      </c>
      <c r="P238" s="24" t="s">
        <v>808</v>
      </c>
      <c r="Q238" s="25">
        <v>6757</v>
      </c>
      <c r="R238" s="24" t="s">
        <v>809</v>
      </c>
      <c r="S238" s="24" t="s">
        <v>675</v>
      </c>
      <c r="T238" s="24">
        <v>131</v>
      </c>
      <c r="U238" s="24" t="s">
        <v>810</v>
      </c>
      <c r="V238" s="24" t="s">
        <v>807</v>
      </c>
      <c r="W238" s="26"/>
      <c r="X238" s="26"/>
      <c r="Y238" s="26"/>
      <c r="Z238" s="26"/>
      <c r="AA238" s="26"/>
      <c r="AB238" s="26"/>
      <c r="AC238" s="26"/>
      <c r="AD238" s="26"/>
      <c r="AE238" s="26"/>
      <c r="AF238" s="26"/>
      <c r="AG238" s="26"/>
      <c r="AH238" s="33" t="s">
        <v>1260</v>
      </c>
      <c r="AI238" s="23" t="s">
        <v>811</v>
      </c>
      <c r="AJ238" s="33" t="str">
        <f t="shared" si="3"/>
        <v>PD5D_MB_Moactcseq/samples/ILB_BN1518_MB_MOactcseq_batch10_rep2.h5</v>
      </c>
      <c r="AK238" t="s">
        <v>1290</v>
      </c>
    </row>
    <row r="239" spans="1:37">
      <c r="A239" s="24" t="s">
        <v>955</v>
      </c>
      <c r="B239" s="24" t="s">
        <v>151</v>
      </c>
      <c r="C239" s="24" t="s">
        <v>151</v>
      </c>
      <c r="D239" s="24" t="s">
        <v>814</v>
      </c>
      <c r="E239" s="24">
        <v>6</v>
      </c>
      <c r="F239" s="24">
        <v>0</v>
      </c>
      <c r="G239" s="24" t="s">
        <v>777</v>
      </c>
      <c r="H239" s="24" t="s">
        <v>668</v>
      </c>
      <c r="I239" s="24" t="s">
        <v>806</v>
      </c>
      <c r="J239" s="24" t="s">
        <v>807</v>
      </c>
      <c r="K239" s="24" t="s">
        <v>807</v>
      </c>
      <c r="L239" s="24" t="s">
        <v>807</v>
      </c>
      <c r="M239" s="24" t="s">
        <v>807</v>
      </c>
      <c r="N239" s="24">
        <v>10</v>
      </c>
      <c r="O239" s="24">
        <v>10</v>
      </c>
      <c r="P239" s="24" t="s">
        <v>808</v>
      </c>
      <c r="Q239" s="25">
        <v>6757</v>
      </c>
      <c r="R239" s="24" t="s">
        <v>809</v>
      </c>
      <c r="S239" s="24" t="s">
        <v>675</v>
      </c>
      <c r="T239" s="24">
        <v>131</v>
      </c>
      <c r="U239" s="24" t="s">
        <v>810</v>
      </c>
      <c r="V239" s="24" t="s">
        <v>807</v>
      </c>
      <c r="W239" s="26"/>
      <c r="X239" s="26"/>
      <c r="Y239" s="26"/>
      <c r="Z239" s="26"/>
      <c r="AA239" s="26"/>
      <c r="AB239" s="26"/>
      <c r="AC239" s="26"/>
      <c r="AD239" s="26"/>
      <c r="AE239" s="26"/>
      <c r="AF239" s="26"/>
      <c r="AG239" s="26"/>
      <c r="AH239" s="33" t="s">
        <v>1260</v>
      </c>
      <c r="AI239" s="23" t="s">
        <v>811</v>
      </c>
      <c r="AJ239" s="33" t="str">
        <f t="shared" si="3"/>
        <v>PD5D_MB_Moactcseq/samples/ILB_BN1518_MB_MOactcseq_batch10_rep3.h5</v>
      </c>
      <c r="AK239" t="s">
        <v>1290</v>
      </c>
    </row>
    <row r="240" spans="1:37">
      <c r="A240" s="24" t="s">
        <v>956</v>
      </c>
      <c r="B240" s="24" t="s">
        <v>151</v>
      </c>
      <c r="C240" s="24" t="s">
        <v>151</v>
      </c>
      <c r="D240" s="24" t="s">
        <v>819</v>
      </c>
      <c r="E240" s="24">
        <v>6</v>
      </c>
      <c r="F240" s="24">
        <v>0</v>
      </c>
      <c r="G240" s="24" t="s">
        <v>777</v>
      </c>
      <c r="H240" s="24" t="s">
        <v>668</v>
      </c>
      <c r="I240" s="24" t="s">
        <v>806</v>
      </c>
      <c r="J240" s="24" t="s">
        <v>807</v>
      </c>
      <c r="K240" s="24" t="s">
        <v>807</v>
      </c>
      <c r="L240" s="24" t="s">
        <v>807</v>
      </c>
      <c r="M240" s="24" t="s">
        <v>807</v>
      </c>
      <c r="N240" s="24">
        <v>10</v>
      </c>
      <c r="O240" s="24">
        <v>10</v>
      </c>
      <c r="P240" s="24" t="s">
        <v>808</v>
      </c>
      <c r="Q240" s="25">
        <v>6757</v>
      </c>
      <c r="R240" s="24" t="s">
        <v>809</v>
      </c>
      <c r="S240" s="24" t="s">
        <v>675</v>
      </c>
      <c r="T240" s="24">
        <v>131</v>
      </c>
      <c r="U240" s="24" t="s">
        <v>810</v>
      </c>
      <c r="V240" s="24" t="s">
        <v>807</v>
      </c>
      <c r="W240" s="26"/>
      <c r="X240" s="26"/>
      <c r="Y240" s="26"/>
      <c r="Z240" s="26"/>
      <c r="AA240" s="26"/>
      <c r="AB240" s="26"/>
      <c r="AC240" s="26"/>
      <c r="AD240" s="26"/>
      <c r="AE240" s="26"/>
      <c r="AF240" s="26"/>
      <c r="AG240" s="26"/>
      <c r="AH240" s="33" t="s">
        <v>1260</v>
      </c>
      <c r="AI240" s="23" t="s">
        <v>811</v>
      </c>
      <c r="AJ240" s="33" t="str">
        <f t="shared" si="3"/>
        <v>PD5D_MB_Moactcseq/samples/ILB_BN1518_MB_MOactcseq_batch10_rep4.h5</v>
      </c>
      <c r="AK240" t="s">
        <v>1290</v>
      </c>
    </row>
    <row r="241" spans="1:37">
      <c r="A241" s="24" t="s">
        <v>957</v>
      </c>
      <c r="B241" s="24" t="s">
        <v>151</v>
      </c>
      <c r="C241" s="24" t="s">
        <v>151</v>
      </c>
      <c r="D241" s="24" t="s">
        <v>821</v>
      </c>
      <c r="E241" s="24">
        <v>6</v>
      </c>
      <c r="F241" s="24">
        <v>0</v>
      </c>
      <c r="G241" s="24" t="s">
        <v>777</v>
      </c>
      <c r="H241" s="24" t="s">
        <v>668</v>
      </c>
      <c r="I241" s="24" t="s">
        <v>806</v>
      </c>
      <c r="J241" s="24" t="s">
        <v>807</v>
      </c>
      <c r="K241" s="24" t="s">
        <v>807</v>
      </c>
      <c r="L241" s="24" t="s">
        <v>807</v>
      </c>
      <c r="M241" s="24" t="s">
        <v>807</v>
      </c>
      <c r="N241" s="24">
        <v>10</v>
      </c>
      <c r="O241" s="24">
        <v>10</v>
      </c>
      <c r="P241" s="24" t="s">
        <v>808</v>
      </c>
      <c r="Q241" s="25">
        <v>6757</v>
      </c>
      <c r="R241" s="24" t="s">
        <v>809</v>
      </c>
      <c r="S241" s="24" t="s">
        <v>675</v>
      </c>
      <c r="T241" s="24">
        <v>131</v>
      </c>
      <c r="U241" s="24" t="s">
        <v>810</v>
      </c>
      <c r="V241" s="24" t="s">
        <v>807</v>
      </c>
      <c r="W241" s="26"/>
      <c r="X241" s="26"/>
      <c r="Y241" s="26"/>
      <c r="Z241" s="26"/>
      <c r="AA241" s="26"/>
      <c r="AB241" s="26"/>
      <c r="AC241" s="26"/>
      <c r="AD241" s="26"/>
      <c r="AE241" s="26"/>
      <c r="AF241" s="26"/>
      <c r="AG241" s="26"/>
      <c r="AH241" s="33" t="s">
        <v>1260</v>
      </c>
      <c r="AI241" s="23" t="s">
        <v>811</v>
      </c>
      <c r="AJ241" s="33" t="str">
        <f t="shared" si="3"/>
        <v>PD5D_MB_Moactcseq/samples/ILB_BN1518_MB_MOactcseq_batch10_rep5.h5</v>
      </c>
      <c r="AK241" t="s">
        <v>1290</v>
      </c>
    </row>
    <row r="242" spans="1:37">
      <c r="A242" s="24" t="s">
        <v>958</v>
      </c>
      <c r="B242" s="24" t="s">
        <v>151</v>
      </c>
      <c r="C242" s="24" t="s">
        <v>151</v>
      </c>
      <c r="D242" s="24" t="s">
        <v>823</v>
      </c>
      <c r="E242" s="24">
        <v>6</v>
      </c>
      <c r="F242" s="24">
        <v>0</v>
      </c>
      <c r="G242" s="24" t="s">
        <v>777</v>
      </c>
      <c r="H242" s="24" t="s">
        <v>668</v>
      </c>
      <c r="I242" s="24" t="s">
        <v>806</v>
      </c>
      <c r="J242" s="24" t="s">
        <v>807</v>
      </c>
      <c r="K242" s="24" t="s">
        <v>807</v>
      </c>
      <c r="L242" s="24" t="s">
        <v>807</v>
      </c>
      <c r="M242" s="24" t="s">
        <v>807</v>
      </c>
      <c r="N242" s="24">
        <v>10</v>
      </c>
      <c r="O242" s="24">
        <v>10</v>
      </c>
      <c r="P242" s="24" t="s">
        <v>808</v>
      </c>
      <c r="Q242" s="25">
        <v>6757</v>
      </c>
      <c r="R242" s="24" t="s">
        <v>809</v>
      </c>
      <c r="S242" s="24" t="s">
        <v>675</v>
      </c>
      <c r="T242" s="24">
        <v>131</v>
      </c>
      <c r="U242" s="24" t="s">
        <v>810</v>
      </c>
      <c r="V242" s="24" t="s">
        <v>807</v>
      </c>
      <c r="W242" s="26"/>
      <c r="X242" s="26"/>
      <c r="Y242" s="26"/>
      <c r="Z242" s="26"/>
      <c r="AA242" s="26"/>
      <c r="AB242" s="26"/>
      <c r="AC242" s="26"/>
      <c r="AD242" s="26"/>
      <c r="AE242" s="26"/>
      <c r="AF242" s="26"/>
      <c r="AG242" s="26"/>
      <c r="AH242" s="33" t="s">
        <v>1260</v>
      </c>
      <c r="AI242" s="23" t="s">
        <v>811</v>
      </c>
      <c r="AJ242" s="33" t="str">
        <f t="shared" si="3"/>
        <v>PD5D_MB_Moactcseq/samples/ILB_BN1518_MB_MOactcseq_batch10_rep6.h5</v>
      </c>
      <c r="AK242" t="s">
        <v>1290</v>
      </c>
    </row>
    <row r="243" spans="1:37">
      <c r="A243" s="24" t="s">
        <v>959</v>
      </c>
      <c r="B243" s="24" t="s">
        <v>153</v>
      </c>
      <c r="C243" s="24" t="s">
        <v>153</v>
      </c>
      <c r="D243" s="24" t="s">
        <v>666</v>
      </c>
      <c r="E243" s="24">
        <v>6</v>
      </c>
      <c r="F243" s="24">
        <v>0</v>
      </c>
      <c r="G243" s="24" t="s">
        <v>777</v>
      </c>
      <c r="H243" s="24" t="s">
        <v>668</v>
      </c>
      <c r="I243" s="24" t="s">
        <v>806</v>
      </c>
      <c r="J243" s="24" t="s">
        <v>807</v>
      </c>
      <c r="K243" s="24" t="s">
        <v>807</v>
      </c>
      <c r="L243" s="24" t="s">
        <v>807</v>
      </c>
      <c r="M243" s="24" t="s">
        <v>807</v>
      </c>
      <c r="N243" s="24">
        <v>9.4</v>
      </c>
      <c r="O243" s="24">
        <v>9.4</v>
      </c>
      <c r="P243" s="24" t="s">
        <v>808</v>
      </c>
      <c r="Q243" s="25">
        <v>5157</v>
      </c>
      <c r="R243" s="24" t="s">
        <v>809</v>
      </c>
      <c r="S243" s="24" t="s">
        <v>675</v>
      </c>
      <c r="T243" s="24">
        <v>131</v>
      </c>
      <c r="U243" s="24" t="s">
        <v>810</v>
      </c>
      <c r="V243" s="24" t="s">
        <v>807</v>
      </c>
      <c r="W243" s="26"/>
      <c r="X243" s="26"/>
      <c r="Y243" s="26"/>
      <c r="Z243" s="26"/>
      <c r="AA243" s="26"/>
      <c r="AB243" s="26"/>
      <c r="AC243" s="26"/>
      <c r="AD243" s="26"/>
      <c r="AE243" s="26"/>
      <c r="AF243" s="26"/>
      <c r="AG243" s="26"/>
      <c r="AH243" s="33" t="s">
        <v>1260</v>
      </c>
      <c r="AI243" s="23" t="s">
        <v>811</v>
      </c>
      <c r="AJ243" s="33" t="str">
        <f t="shared" si="3"/>
        <v>PD5D_MB_Moactcseq/samples/ILB_BN1535_MB_MOactcseq_batch10_rep1.h5</v>
      </c>
      <c r="AK243" t="s">
        <v>1290</v>
      </c>
    </row>
    <row r="244" spans="1:37">
      <c r="A244" s="24" t="s">
        <v>960</v>
      </c>
      <c r="B244" s="24" t="s">
        <v>153</v>
      </c>
      <c r="C244" s="24" t="s">
        <v>153</v>
      </c>
      <c r="D244" s="24" t="s">
        <v>689</v>
      </c>
      <c r="E244" s="24">
        <v>6</v>
      </c>
      <c r="F244" s="24">
        <v>0</v>
      </c>
      <c r="G244" s="24" t="s">
        <v>777</v>
      </c>
      <c r="H244" s="24" t="s">
        <v>668</v>
      </c>
      <c r="I244" s="24" t="s">
        <v>806</v>
      </c>
      <c r="J244" s="24" t="s">
        <v>807</v>
      </c>
      <c r="K244" s="24" t="s">
        <v>807</v>
      </c>
      <c r="L244" s="24" t="s">
        <v>807</v>
      </c>
      <c r="M244" s="24" t="s">
        <v>807</v>
      </c>
      <c r="N244" s="24">
        <v>9.4</v>
      </c>
      <c r="O244" s="24">
        <v>9.4</v>
      </c>
      <c r="P244" s="24" t="s">
        <v>808</v>
      </c>
      <c r="Q244" s="25">
        <v>5157</v>
      </c>
      <c r="R244" s="24" t="s">
        <v>809</v>
      </c>
      <c r="S244" s="24" t="s">
        <v>675</v>
      </c>
      <c r="T244" s="24">
        <v>131</v>
      </c>
      <c r="U244" s="24" t="s">
        <v>810</v>
      </c>
      <c r="V244" s="24" t="s">
        <v>807</v>
      </c>
      <c r="W244" s="26"/>
      <c r="X244" s="26"/>
      <c r="Y244" s="26"/>
      <c r="Z244" s="26"/>
      <c r="AA244" s="26"/>
      <c r="AB244" s="26"/>
      <c r="AC244" s="26"/>
      <c r="AD244" s="26"/>
      <c r="AE244" s="26"/>
      <c r="AF244" s="26"/>
      <c r="AG244" s="26"/>
      <c r="AH244" s="33" t="s">
        <v>1260</v>
      </c>
      <c r="AI244" s="23" t="s">
        <v>811</v>
      </c>
      <c r="AJ244" s="33" t="str">
        <f t="shared" si="3"/>
        <v>PD5D_MB_Moactcseq/samples/ILB_BN1535_MB_MOactcseq_batch10_rep2.h5</v>
      </c>
      <c r="AK244" t="s">
        <v>1290</v>
      </c>
    </row>
    <row r="245" spans="1:37">
      <c r="A245" s="24" t="s">
        <v>961</v>
      </c>
      <c r="B245" s="24" t="s">
        <v>153</v>
      </c>
      <c r="C245" s="24" t="s">
        <v>153</v>
      </c>
      <c r="D245" s="24" t="s">
        <v>814</v>
      </c>
      <c r="E245" s="24">
        <v>6</v>
      </c>
      <c r="F245" s="24">
        <v>0</v>
      </c>
      <c r="G245" s="24" t="s">
        <v>777</v>
      </c>
      <c r="H245" s="24" t="s">
        <v>668</v>
      </c>
      <c r="I245" s="24" t="s">
        <v>806</v>
      </c>
      <c r="J245" s="24" t="s">
        <v>807</v>
      </c>
      <c r="K245" s="24" t="s">
        <v>807</v>
      </c>
      <c r="L245" s="24" t="s">
        <v>807</v>
      </c>
      <c r="M245" s="24" t="s">
        <v>807</v>
      </c>
      <c r="N245" s="24">
        <v>9.4</v>
      </c>
      <c r="O245" s="24">
        <v>9.4</v>
      </c>
      <c r="P245" s="24" t="s">
        <v>808</v>
      </c>
      <c r="Q245" s="25">
        <v>5157</v>
      </c>
      <c r="R245" s="24" t="s">
        <v>809</v>
      </c>
      <c r="S245" s="24" t="s">
        <v>675</v>
      </c>
      <c r="T245" s="24">
        <v>131</v>
      </c>
      <c r="U245" s="24" t="s">
        <v>810</v>
      </c>
      <c r="V245" s="24" t="s">
        <v>807</v>
      </c>
      <c r="W245" s="26"/>
      <c r="X245" s="26"/>
      <c r="Y245" s="26"/>
      <c r="Z245" s="26"/>
      <c r="AA245" s="26"/>
      <c r="AB245" s="26"/>
      <c r="AC245" s="26"/>
      <c r="AD245" s="26"/>
      <c r="AE245" s="26"/>
      <c r="AF245" s="26"/>
      <c r="AG245" s="26"/>
      <c r="AH245" s="33" t="s">
        <v>1260</v>
      </c>
      <c r="AI245" s="23" t="s">
        <v>811</v>
      </c>
      <c r="AJ245" s="33" t="str">
        <f t="shared" si="3"/>
        <v>PD5D_MB_Moactcseq/samples/ILB_BN1535_MB_MOactcseq_batch10_rep3.h5</v>
      </c>
      <c r="AK245" t="s">
        <v>1290</v>
      </c>
    </row>
    <row r="246" spans="1:37">
      <c r="A246" s="24" t="s">
        <v>962</v>
      </c>
      <c r="B246" s="24" t="s">
        <v>153</v>
      </c>
      <c r="C246" s="24" t="s">
        <v>153</v>
      </c>
      <c r="D246" s="24" t="s">
        <v>819</v>
      </c>
      <c r="E246" s="24">
        <v>6</v>
      </c>
      <c r="F246" s="24">
        <v>0</v>
      </c>
      <c r="G246" s="24" t="s">
        <v>777</v>
      </c>
      <c r="H246" s="24" t="s">
        <v>668</v>
      </c>
      <c r="I246" s="24" t="s">
        <v>806</v>
      </c>
      <c r="J246" s="24" t="s">
        <v>807</v>
      </c>
      <c r="K246" s="24" t="s">
        <v>807</v>
      </c>
      <c r="L246" s="24" t="s">
        <v>807</v>
      </c>
      <c r="M246" s="24" t="s">
        <v>807</v>
      </c>
      <c r="N246" s="24">
        <v>9.4</v>
      </c>
      <c r="O246" s="24">
        <v>9.4</v>
      </c>
      <c r="P246" s="24" t="s">
        <v>808</v>
      </c>
      <c r="Q246" s="25">
        <v>5157</v>
      </c>
      <c r="R246" s="24" t="s">
        <v>809</v>
      </c>
      <c r="S246" s="24" t="s">
        <v>675</v>
      </c>
      <c r="T246" s="24">
        <v>131</v>
      </c>
      <c r="U246" s="24" t="s">
        <v>810</v>
      </c>
      <c r="V246" s="24" t="s">
        <v>807</v>
      </c>
      <c r="W246" s="26"/>
      <c r="X246" s="26"/>
      <c r="Y246" s="26"/>
      <c r="Z246" s="26"/>
      <c r="AA246" s="26"/>
      <c r="AB246" s="26"/>
      <c r="AC246" s="26"/>
      <c r="AD246" s="26"/>
      <c r="AE246" s="26"/>
      <c r="AF246" s="26"/>
      <c r="AG246" s="26"/>
      <c r="AH246" s="33" t="s">
        <v>1260</v>
      </c>
      <c r="AI246" s="23" t="s">
        <v>811</v>
      </c>
      <c r="AJ246" s="33" t="str">
        <f t="shared" si="3"/>
        <v>PD5D_MB_Moactcseq/samples/ILB_BN1535_MB_MOactcseq_batch10_rep4.h5</v>
      </c>
      <c r="AK246" t="s">
        <v>1290</v>
      </c>
    </row>
    <row r="247" spans="1:37">
      <c r="A247" s="24" t="s">
        <v>963</v>
      </c>
      <c r="B247" s="24" t="s">
        <v>153</v>
      </c>
      <c r="C247" s="24" t="s">
        <v>153</v>
      </c>
      <c r="D247" s="24" t="s">
        <v>821</v>
      </c>
      <c r="E247" s="24">
        <v>6</v>
      </c>
      <c r="F247" s="24">
        <v>0</v>
      </c>
      <c r="G247" s="24" t="s">
        <v>777</v>
      </c>
      <c r="H247" s="24" t="s">
        <v>668</v>
      </c>
      <c r="I247" s="24" t="s">
        <v>806</v>
      </c>
      <c r="J247" s="24" t="s">
        <v>807</v>
      </c>
      <c r="K247" s="24" t="s">
        <v>807</v>
      </c>
      <c r="L247" s="24" t="s">
        <v>807</v>
      </c>
      <c r="M247" s="24" t="s">
        <v>807</v>
      </c>
      <c r="N247" s="24">
        <v>9.4</v>
      </c>
      <c r="O247" s="24">
        <v>9.4</v>
      </c>
      <c r="P247" s="24" t="s">
        <v>808</v>
      </c>
      <c r="Q247" s="25">
        <v>5157</v>
      </c>
      <c r="R247" s="24" t="s">
        <v>809</v>
      </c>
      <c r="S247" s="24" t="s">
        <v>675</v>
      </c>
      <c r="T247" s="24">
        <v>131</v>
      </c>
      <c r="U247" s="24" t="s">
        <v>810</v>
      </c>
      <c r="V247" s="24" t="s">
        <v>807</v>
      </c>
      <c r="W247" s="26"/>
      <c r="X247" s="26"/>
      <c r="Y247" s="26"/>
      <c r="Z247" s="26"/>
      <c r="AA247" s="26"/>
      <c r="AB247" s="26"/>
      <c r="AC247" s="26"/>
      <c r="AD247" s="26"/>
      <c r="AE247" s="26"/>
      <c r="AF247" s="26"/>
      <c r="AG247" s="26"/>
      <c r="AH247" s="33" t="s">
        <v>1260</v>
      </c>
      <c r="AI247" s="23" t="s">
        <v>811</v>
      </c>
      <c r="AJ247" s="33" t="str">
        <f t="shared" si="3"/>
        <v>PD5D_MB_Moactcseq/samples/ILB_BN1535_MB_MOactcseq_batch10_rep5.h5</v>
      </c>
      <c r="AK247" t="s">
        <v>1290</v>
      </c>
    </row>
    <row r="248" spans="1:37">
      <c r="A248" s="24" t="s">
        <v>964</v>
      </c>
      <c r="B248" s="24" t="s">
        <v>153</v>
      </c>
      <c r="C248" s="24" t="s">
        <v>153</v>
      </c>
      <c r="D248" s="24" t="s">
        <v>823</v>
      </c>
      <c r="E248" s="24">
        <v>6</v>
      </c>
      <c r="F248" s="24">
        <v>0</v>
      </c>
      <c r="G248" s="24" t="s">
        <v>777</v>
      </c>
      <c r="H248" s="24" t="s">
        <v>668</v>
      </c>
      <c r="I248" s="24" t="s">
        <v>806</v>
      </c>
      <c r="J248" s="24" t="s">
        <v>807</v>
      </c>
      <c r="K248" s="24" t="s">
        <v>807</v>
      </c>
      <c r="L248" s="24" t="s">
        <v>807</v>
      </c>
      <c r="M248" s="24" t="s">
        <v>807</v>
      </c>
      <c r="N248" s="24">
        <v>9.4</v>
      </c>
      <c r="O248" s="24">
        <v>9.4</v>
      </c>
      <c r="P248" s="24" t="s">
        <v>808</v>
      </c>
      <c r="Q248" s="25">
        <v>5157</v>
      </c>
      <c r="R248" s="24" t="s">
        <v>809</v>
      </c>
      <c r="S248" s="24" t="s">
        <v>675</v>
      </c>
      <c r="T248" s="24">
        <v>131</v>
      </c>
      <c r="U248" s="24" t="s">
        <v>810</v>
      </c>
      <c r="V248" s="24" t="s">
        <v>807</v>
      </c>
      <c r="W248" s="26"/>
      <c r="X248" s="26"/>
      <c r="Y248" s="26"/>
      <c r="Z248" s="26"/>
      <c r="AA248" s="26"/>
      <c r="AB248" s="26"/>
      <c r="AC248" s="26"/>
      <c r="AD248" s="26"/>
      <c r="AE248" s="26"/>
      <c r="AF248" s="26"/>
      <c r="AG248" s="26"/>
      <c r="AH248" s="33" t="s">
        <v>1260</v>
      </c>
      <c r="AI248" s="23" t="s">
        <v>811</v>
      </c>
      <c r="AJ248" s="33" t="str">
        <f t="shared" si="3"/>
        <v>PD5D_MB_Moactcseq/samples/ILB_BN1535_MB_MOactcseq_batch10_rep6.h5</v>
      </c>
      <c r="AK248" t="s">
        <v>1290</v>
      </c>
    </row>
    <row r="249" spans="1:37">
      <c r="A249" s="24" t="s">
        <v>965</v>
      </c>
      <c r="B249" s="24" t="s">
        <v>159</v>
      </c>
      <c r="C249" s="24" t="s">
        <v>159</v>
      </c>
      <c r="D249" s="24" t="s">
        <v>666</v>
      </c>
      <c r="E249" s="24">
        <v>2</v>
      </c>
      <c r="F249" s="24">
        <v>0</v>
      </c>
      <c r="G249" s="24" t="s">
        <v>725</v>
      </c>
      <c r="H249" s="24" t="s">
        <v>668</v>
      </c>
      <c r="I249" s="24" t="s">
        <v>806</v>
      </c>
      <c r="J249" s="24" t="s">
        <v>807</v>
      </c>
      <c r="K249" s="24" t="s">
        <v>807</v>
      </c>
      <c r="L249" s="24" t="s">
        <v>807</v>
      </c>
      <c r="M249" s="24" t="s">
        <v>807</v>
      </c>
      <c r="N249" s="24">
        <v>8.8000000000000007</v>
      </c>
      <c r="O249" s="24">
        <v>8.8000000000000007</v>
      </c>
      <c r="P249" s="24" t="s">
        <v>808</v>
      </c>
      <c r="Q249" s="25">
        <v>1607</v>
      </c>
      <c r="R249" s="24" t="s">
        <v>809</v>
      </c>
      <c r="S249" s="24" t="s">
        <v>675</v>
      </c>
      <c r="T249" s="24">
        <v>131</v>
      </c>
      <c r="U249" s="24" t="s">
        <v>810</v>
      </c>
      <c r="V249" s="24" t="s">
        <v>807</v>
      </c>
      <c r="W249" s="26"/>
      <c r="X249" s="26"/>
      <c r="Y249" s="26"/>
      <c r="Z249" s="26"/>
      <c r="AA249" s="26"/>
      <c r="AB249" s="26"/>
      <c r="AC249" s="26"/>
      <c r="AD249" s="26"/>
      <c r="AE249" s="26"/>
      <c r="AF249" s="26"/>
      <c r="AG249" s="26"/>
      <c r="AH249" s="33" t="s">
        <v>1260</v>
      </c>
      <c r="AI249" s="23" t="s">
        <v>811</v>
      </c>
      <c r="AJ249" s="33" t="str">
        <f t="shared" si="3"/>
        <v>PD5D_MB_Moactcseq/samples/ILB_BN1567_MB_MOactcseq_batch14_rep1.h5</v>
      </c>
      <c r="AK249" t="s">
        <v>1290</v>
      </c>
    </row>
    <row r="250" spans="1:37">
      <c r="A250" s="24" t="s">
        <v>966</v>
      </c>
      <c r="B250" s="24" t="s">
        <v>159</v>
      </c>
      <c r="C250" s="24" t="s">
        <v>159</v>
      </c>
      <c r="D250" s="24" t="s">
        <v>689</v>
      </c>
      <c r="E250" s="24">
        <v>2</v>
      </c>
      <c r="F250" s="24">
        <v>0</v>
      </c>
      <c r="G250" s="24" t="s">
        <v>725</v>
      </c>
      <c r="H250" s="24" t="s">
        <v>668</v>
      </c>
      <c r="I250" s="24" t="s">
        <v>806</v>
      </c>
      <c r="J250" s="24" t="s">
        <v>807</v>
      </c>
      <c r="K250" s="24" t="s">
        <v>807</v>
      </c>
      <c r="L250" s="24" t="s">
        <v>807</v>
      </c>
      <c r="M250" s="24" t="s">
        <v>807</v>
      </c>
      <c r="N250" s="24">
        <v>8.8000000000000007</v>
      </c>
      <c r="O250" s="24">
        <v>8.8000000000000007</v>
      </c>
      <c r="P250" s="24" t="s">
        <v>808</v>
      </c>
      <c r="Q250" s="25">
        <v>1607</v>
      </c>
      <c r="R250" s="24" t="s">
        <v>809</v>
      </c>
      <c r="S250" s="24" t="s">
        <v>675</v>
      </c>
      <c r="T250" s="24">
        <v>131</v>
      </c>
      <c r="U250" s="24" t="s">
        <v>810</v>
      </c>
      <c r="V250" s="24" t="s">
        <v>807</v>
      </c>
      <c r="W250" s="26"/>
      <c r="X250" s="26"/>
      <c r="Y250" s="26"/>
      <c r="Z250" s="26"/>
      <c r="AA250" s="26"/>
      <c r="AB250" s="26"/>
      <c r="AC250" s="26"/>
      <c r="AD250" s="26"/>
      <c r="AE250" s="26"/>
      <c r="AF250" s="26"/>
      <c r="AG250" s="26"/>
      <c r="AH250" s="33" t="s">
        <v>1260</v>
      </c>
      <c r="AI250" s="23" t="s">
        <v>811</v>
      </c>
      <c r="AJ250" s="33" t="str">
        <f t="shared" si="3"/>
        <v>PD5D_MB_Moactcseq/samples/ILB_BN1567_MB_MOactcseq_batch14_rep2.h5</v>
      </c>
      <c r="AK250" t="s">
        <v>1290</v>
      </c>
    </row>
    <row r="251" spans="1:37">
      <c r="A251" s="24" t="s">
        <v>967</v>
      </c>
      <c r="B251" s="24" t="s">
        <v>163</v>
      </c>
      <c r="C251" s="24" t="s">
        <v>163</v>
      </c>
      <c r="D251" s="24" t="s">
        <v>666</v>
      </c>
      <c r="E251" s="24">
        <v>6</v>
      </c>
      <c r="F251" s="24">
        <v>0</v>
      </c>
      <c r="G251" s="24" t="s">
        <v>733</v>
      </c>
      <c r="H251" s="24" t="s">
        <v>668</v>
      </c>
      <c r="I251" s="24" t="s">
        <v>806</v>
      </c>
      <c r="J251" s="24" t="s">
        <v>807</v>
      </c>
      <c r="K251" s="24" t="s">
        <v>807</v>
      </c>
      <c r="L251" s="24" t="s">
        <v>807</v>
      </c>
      <c r="M251" s="24" t="s">
        <v>807</v>
      </c>
      <c r="N251" s="24">
        <v>9.4</v>
      </c>
      <c r="O251" s="24">
        <v>9.4</v>
      </c>
      <c r="P251" s="24" t="s">
        <v>808</v>
      </c>
      <c r="Q251" s="25">
        <v>7226</v>
      </c>
      <c r="R251" s="24" t="s">
        <v>809</v>
      </c>
      <c r="S251" s="24" t="s">
        <v>675</v>
      </c>
      <c r="T251" s="24">
        <v>131</v>
      </c>
      <c r="U251" s="24" t="s">
        <v>810</v>
      </c>
      <c r="V251" s="24" t="s">
        <v>807</v>
      </c>
      <c r="W251" s="26"/>
      <c r="X251" s="26"/>
      <c r="Y251" s="26"/>
      <c r="Z251" s="26"/>
      <c r="AA251" s="26"/>
      <c r="AB251" s="26"/>
      <c r="AC251" s="26"/>
      <c r="AD251" s="26"/>
      <c r="AE251" s="26"/>
      <c r="AF251" s="26"/>
      <c r="AG251" s="26"/>
      <c r="AH251" s="33" t="s">
        <v>1260</v>
      </c>
      <c r="AI251" s="23" t="s">
        <v>811</v>
      </c>
      <c r="AJ251" s="33" t="str">
        <f t="shared" si="3"/>
        <v>PD5D_MB_Moactcseq/samples/ILB_BN1585_MB_MOactcseq_batch15_rep1.h5</v>
      </c>
      <c r="AK251" t="s">
        <v>1290</v>
      </c>
    </row>
    <row r="252" spans="1:37">
      <c r="A252" s="24" t="s">
        <v>968</v>
      </c>
      <c r="B252" s="24" t="s">
        <v>163</v>
      </c>
      <c r="C252" s="24" t="s">
        <v>163</v>
      </c>
      <c r="D252" s="24" t="s">
        <v>689</v>
      </c>
      <c r="E252" s="24">
        <v>6</v>
      </c>
      <c r="F252" s="24">
        <v>0</v>
      </c>
      <c r="G252" s="24" t="s">
        <v>733</v>
      </c>
      <c r="H252" s="24" t="s">
        <v>668</v>
      </c>
      <c r="I252" s="24" t="s">
        <v>806</v>
      </c>
      <c r="J252" s="24" t="s">
        <v>807</v>
      </c>
      <c r="K252" s="24" t="s">
        <v>807</v>
      </c>
      <c r="L252" s="24" t="s">
        <v>807</v>
      </c>
      <c r="M252" s="24" t="s">
        <v>807</v>
      </c>
      <c r="N252" s="24">
        <v>9.4</v>
      </c>
      <c r="O252" s="24">
        <v>9.4</v>
      </c>
      <c r="P252" s="24" t="s">
        <v>808</v>
      </c>
      <c r="Q252" s="25">
        <v>7226</v>
      </c>
      <c r="R252" s="24" t="s">
        <v>809</v>
      </c>
      <c r="S252" s="24" t="s">
        <v>675</v>
      </c>
      <c r="T252" s="24">
        <v>131</v>
      </c>
      <c r="U252" s="24" t="s">
        <v>810</v>
      </c>
      <c r="V252" s="24" t="s">
        <v>807</v>
      </c>
      <c r="W252" s="26"/>
      <c r="X252" s="26"/>
      <c r="Y252" s="26"/>
      <c r="Z252" s="26"/>
      <c r="AA252" s="26"/>
      <c r="AB252" s="26"/>
      <c r="AC252" s="26"/>
      <c r="AD252" s="26"/>
      <c r="AE252" s="26"/>
      <c r="AF252" s="26"/>
      <c r="AG252" s="26"/>
      <c r="AH252" s="33" t="s">
        <v>1260</v>
      </c>
      <c r="AI252" s="23" t="s">
        <v>811</v>
      </c>
      <c r="AJ252" s="33" t="str">
        <f t="shared" si="3"/>
        <v>PD5D_MB_Moactcseq/samples/ILB_BN1585_MB_MOactcseq_batch15_rep2.h5</v>
      </c>
      <c r="AK252" t="s">
        <v>1290</v>
      </c>
    </row>
    <row r="253" spans="1:37">
      <c r="A253" s="24" t="s">
        <v>969</v>
      </c>
      <c r="B253" s="24" t="s">
        <v>163</v>
      </c>
      <c r="C253" s="24" t="s">
        <v>163</v>
      </c>
      <c r="D253" s="24" t="s">
        <v>814</v>
      </c>
      <c r="E253" s="24">
        <v>6</v>
      </c>
      <c r="F253" s="24">
        <v>0</v>
      </c>
      <c r="G253" s="24" t="s">
        <v>733</v>
      </c>
      <c r="H253" s="24" t="s">
        <v>668</v>
      </c>
      <c r="I253" s="24" t="s">
        <v>806</v>
      </c>
      <c r="J253" s="24" t="s">
        <v>807</v>
      </c>
      <c r="K253" s="24" t="s">
        <v>807</v>
      </c>
      <c r="L253" s="24" t="s">
        <v>807</v>
      </c>
      <c r="M253" s="24" t="s">
        <v>807</v>
      </c>
      <c r="N253" s="24">
        <v>9.4</v>
      </c>
      <c r="O253" s="24">
        <v>9.4</v>
      </c>
      <c r="P253" s="24" t="s">
        <v>808</v>
      </c>
      <c r="Q253" s="25">
        <v>7226</v>
      </c>
      <c r="R253" s="24" t="s">
        <v>809</v>
      </c>
      <c r="S253" s="24" t="s">
        <v>675</v>
      </c>
      <c r="T253" s="24">
        <v>131</v>
      </c>
      <c r="U253" s="24" t="s">
        <v>810</v>
      </c>
      <c r="V253" s="24" t="s">
        <v>807</v>
      </c>
      <c r="W253" s="26"/>
      <c r="X253" s="26"/>
      <c r="Y253" s="26"/>
      <c r="Z253" s="26"/>
      <c r="AA253" s="26"/>
      <c r="AB253" s="26"/>
      <c r="AC253" s="26"/>
      <c r="AD253" s="26"/>
      <c r="AE253" s="26"/>
      <c r="AF253" s="26"/>
      <c r="AG253" s="26"/>
      <c r="AH253" s="33" t="s">
        <v>1260</v>
      </c>
      <c r="AI253" s="23" t="s">
        <v>811</v>
      </c>
      <c r="AJ253" s="33" t="str">
        <f t="shared" si="3"/>
        <v>PD5D_MB_Moactcseq/samples/ILB_BN1585_MB_MOactcseq_batch15_rep3.h5</v>
      </c>
      <c r="AK253" t="s">
        <v>1290</v>
      </c>
    </row>
    <row r="254" spans="1:37">
      <c r="A254" s="24" t="s">
        <v>970</v>
      </c>
      <c r="B254" s="24" t="s">
        <v>163</v>
      </c>
      <c r="C254" s="24" t="s">
        <v>163</v>
      </c>
      <c r="D254" s="24" t="s">
        <v>819</v>
      </c>
      <c r="E254" s="24">
        <v>6</v>
      </c>
      <c r="F254" s="24">
        <v>0</v>
      </c>
      <c r="G254" s="24" t="s">
        <v>733</v>
      </c>
      <c r="H254" s="24" t="s">
        <v>668</v>
      </c>
      <c r="I254" s="24" t="s">
        <v>806</v>
      </c>
      <c r="J254" s="24" t="s">
        <v>807</v>
      </c>
      <c r="K254" s="24" t="s">
        <v>807</v>
      </c>
      <c r="L254" s="24" t="s">
        <v>807</v>
      </c>
      <c r="M254" s="24" t="s">
        <v>807</v>
      </c>
      <c r="N254" s="24">
        <v>9.4</v>
      </c>
      <c r="O254" s="24">
        <v>9.4</v>
      </c>
      <c r="P254" s="24" t="s">
        <v>808</v>
      </c>
      <c r="Q254" s="25">
        <v>7226</v>
      </c>
      <c r="R254" s="24" t="s">
        <v>809</v>
      </c>
      <c r="S254" s="24" t="s">
        <v>675</v>
      </c>
      <c r="T254" s="24">
        <v>131</v>
      </c>
      <c r="U254" s="24" t="s">
        <v>810</v>
      </c>
      <c r="V254" s="24" t="s">
        <v>807</v>
      </c>
      <c r="W254" s="26"/>
      <c r="X254" s="26"/>
      <c r="Y254" s="26"/>
      <c r="Z254" s="26"/>
      <c r="AA254" s="26"/>
      <c r="AB254" s="26"/>
      <c r="AC254" s="26"/>
      <c r="AD254" s="26"/>
      <c r="AE254" s="26"/>
      <c r="AF254" s="26"/>
      <c r="AG254" s="26"/>
      <c r="AH254" s="33" t="s">
        <v>1260</v>
      </c>
      <c r="AI254" s="23" t="s">
        <v>811</v>
      </c>
      <c r="AJ254" s="33" t="str">
        <f t="shared" si="3"/>
        <v>PD5D_MB_Moactcseq/samples/ILB_BN1585_MB_MOactcseq_batch15_rep4.h5</v>
      </c>
      <c r="AK254" t="s">
        <v>1290</v>
      </c>
    </row>
    <row r="255" spans="1:37">
      <c r="A255" s="24" t="s">
        <v>971</v>
      </c>
      <c r="B255" s="24" t="s">
        <v>163</v>
      </c>
      <c r="C255" s="24" t="s">
        <v>163</v>
      </c>
      <c r="D255" s="24" t="s">
        <v>821</v>
      </c>
      <c r="E255" s="24">
        <v>6</v>
      </c>
      <c r="F255" s="24">
        <v>0</v>
      </c>
      <c r="G255" s="24" t="s">
        <v>733</v>
      </c>
      <c r="H255" s="24" t="s">
        <v>668</v>
      </c>
      <c r="I255" s="24" t="s">
        <v>806</v>
      </c>
      <c r="J255" s="24" t="s">
        <v>807</v>
      </c>
      <c r="K255" s="24" t="s">
        <v>807</v>
      </c>
      <c r="L255" s="24" t="s">
        <v>807</v>
      </c>
      <c r="M255" s="24" t="s">
        <v>807</v>
      </c>
      <c r="N255" s="24">
        <v>9.4</v>
      </c>
      <c r="O255" s="24">
        <v>9.4</v>
      </c>
      <c r="P255" s="24" t="s">
        <v>808</v>
      </c>
      <c r="Q255" s="25">
        <v>7226</v>
      </c>
      <c r="R255" s="24" t="s">
        <v>809</v>
      </c>
      <c r="S255" s="24" t="s">
        <v>675</v>
      </c>
      <c r="T255" s="24">
        <v>131</v>
      </c>
      <c r="U255" s="24" t="s">
        <v>810</v>
      </c>
      <c r="V255" s="24" t="s">
        <v>807</v>
      </c>
      <c r="W255" s="26"/>
      <c r="X255" s="26"/>
      <c r="Y255" s="26"/>
      <c r="Z255" s="26"/>
      <c r="AA255" s="26"/>
      <c r="AB255" s="26"/>
      <c r="AC255" s="26"/>
      <c r="AD255" s="26"/>
      <c r="AE255" s="26"/>
      <c r="AF255" s="26"/>
      <c r="AG255" s="26"/>
      <c r="AH255" s="33" t="s">
        <v>1260</v>
      </c>
      <c r="AI255" s="23" t="s">
        <v>811</v>
      </c>
      <c r="AJ255" s="33" t="str">
        <f t="shared" si="3"/>
        <v>PD5D_MB_Moactcseq/samples/ILB_BN1585_MB_MOactcseq_batch15_rep5.h5</v>
      </c>
      <c r="AK255" t="s">
        <v>1290</v>
      </c>
    </row>
    <row r="256" spans="1:37">
      <c r="A256" s="24" t="s">
        <v>972</v>
      </c>
      <c r="B256" s="24" t="s">
        <v>163</v>
      </c>
      <c r="C256" s="24" t="s">
        <v>163</v>
      </c>
      <c r="D256" s="24" t="s">
        <v>823</v>
      </c>
      <c r="E256" s="24">
        <v>6</v>
      </c>
      <c r="F256" s="24">
        <v>0</v>
      </c>
      <c r="G256" s="24" t="s">
        <v>733</v>
      </c>
      <c r="H256" s="24" t="s">
        <v>668</v>
      </c>
      <c r="I256" s="24" t="s">
        <v>806</v>
      </c>
      <c r="J256" s="24" t="s">
        <v>807</v>
      </c>
      <c r="K256" s="24" t="s">
        <v>807</v>
      </c>
      <c r="L256" s="24" t="s">
        <v>807</v>
      </c>
      <c r="M256" s="24" t="s">
        <v>807</v>
      </c>
      <c r="N256" s="24">
        <v>9.4</v>
      </c>
      <c r="O256" s="24">
        <v>9.4</v>
      </c>
      <c r="P256" s="24" t="s">
        <v>808</v>
      </c>
      <c r="Q256" s="25">
        <v>7226</v>
      </c>
      <c r="R256" s="24" t="s">
        <v>809</v>
      </c>
      <c r="S256" s="24" t="s">
        <v>675</v>
      </c>
      <c r="T256" s="24">
        <v>131</v>
      </c>
      <c r="U256" s="24" t="s">
        <v>810</v>
      </c>
      <c r="V256" s="24" t="s">
        <v>807</v>
      </c>
      <c r="W256" s="26"/>
      <c r="X256" s="26"/>
      <c r="Y256" s="26"/>
      <c r="Z256" s="26"/>
      <c r="AA256" s="26"/>
      <c r="AB256" s="26"/>
      <c r="AC256" s="26"/>
      <c r="AD256" s="26"/>
      <c r="AE256" s="26"/>
      <c r="AF256" s="26"/>
      <c r="AG256" s="26"/>
      <c r="AH256" s="33" t="s">
        <v>1260</v>
      </c>
      <c r="AI256" s="23" t="s">
        <v>811</v>
      </c>
      <c r="AJ256" s="33" t="str">
        <f t="shared" si="3"/>
        <v>PD5D_MB_Moactcseq/samples/ILB_BN1585_MB_MOactcseq_batch15_rep6.h5</v>
      </c>
      <c r="AK256" t="s">
        <v>1290</v>
      </c>
    </row>
    <row r="257" spans="1:37">
      <c r="A257" s="24" t="s">
        <v>973</v>
      </c>
      <c r="B257" s="24" t="s">
        <v>171</v>
      </c>
      <c r="C257" s="24" t="s">
        <v>171</v>
      </c>
      <c r="D257" s="24" t="s">
        <v>666</v>
      </c>
      <c r="E257" s="24">
        <v>6</v>
      </c>
      <c r="F257" s="24">
        <v>0</v>
      </c>
      <c r="G257" s="24" t="s">
        <v>713</v>
      </c>
      <c r="H257" s="24" t="s">
        <v>668</v>
      </c>
      <c r="I257" s="24" t="s">
        <v>806</v>
      </c>
      <c r="J257" s="24" t="s">
        <v>807</v>
      </c>
      <c r="K257" s="24" t="s">
        <v>807</v>
      </c>
      <c r="L257" s="24" t="s">
        <v>807</v>
      </c>
      <c r="M257" s="24" t="s">
        <v>807</v>
      </c>
      <c r="N257" s="24">
        <v>9.4</v>
      </c>
      <c r="O257" s="24">
        <v>9.4</v>
      </c>
      <c r="P257" s="24" t="s">
        <v>808</v>
      </c>
      <c r="Q257" s="25">
        <v>9691</v>
      </c>
      <c r="R257" s="24" t="s">
        <v>809</v>
      </c>
      <c r="S257" s="24" t="s">
        <v>675</v>
      </c>
      <c r="T257" s="24">
        <v>131</v>
      </c>
      <c r="U257" s="24" t="s">
        <v>810</v>
      </c>
      <c r="V257" s="24" t="s">
        <v>807</v>
      </c>
      <c r="W257" s="26"/>
      <c r="X257" s="26"/>
      <c r="Y257" s="26"/>
      <c r="Z257" s="26"/>
      <c r="AA257" s="26"/>
      <c r="AB257" s="26"/>
      <c r="AC257" s="26"/>
      <c r="AD257" s="26"/>
      <c r="AE257" s="26"/>
      <c r="AF257" s="26"/>
      <c r="AG257" s="26"/>
      <c r="AH257" s="33" t="s">
        <v>1260</v>
      </c>
      <c r="AI257" s="23" t="s">
        <v>811</v>
      </c>
      <c r="AJ257" s="33" t="str">
        <f t="shared" si="3"/>
        <v>PD5D_MB_Moactcseq/samples/ILB_BN1722_MB_MOactcseq_batch11_rep1.h5</v>
      </c>
      <c r="AK257" t="s">
        <v>1290</v>
      </c>
    </row>
    <row r="258" spans="1:37">
      <c r="A258" s="24" t="s">
        <v>974</v>
      </c>
      <c r="B258" s="24" t="s">
        <v>171</v>
      </c>
      <c r="C258" s="24" t="s">
        <v>171</v>
      </c>
      <c r="D258" s="24" t="s">
        <v>689</v>
      </c>
      <c r="E258" s="24">
        <v>6</v>
      </c>
      <c r="F258" s="24">
        <v>0</v>
      </c>
      <c r="G258" s="24" t="s">
        <v>713</v>
      </c>
      <c r="H258" s="24" t="s">
        <v>668</v>
      </c>
      <c r="I258" s="24" t="s">
        <v>806</v>
      </c>
      <c r="J258" s="24" t="s">
        <v>807</v>
      </c>
      <c r="K258" s="24" t="s">
        <v>807</v>
      </c>
      <c r="L258" s="24" t="s">
        <v>807</v>
      </c>
      <c r="M258" s="24" t="s">
        <v>807</v>
      </c>
      <c r="N258" s="24">
        <v>9.4</v>
      </c>
      <c r="O258" s="24">
        <v>9.4</v>
      </c>
      <c r="P258" s="24" t="s">
        <v>808</v>
      </c>
      <c r="Q258" s="25">
        <v>9691</v>
      </c>
      <c r="R258" s="24" t="s">
        <v>809</v>
      </c>
      <c r="S258" s="24" t="s">
        <v>675</v>
      </c>
      <c r="T258" s="24">
        <v>131</v>
      </c>
      <c r="U258" s="24" t="s">
        <v>810</v>
      </c>
      <c r="V258" s="24" t="s">
        <v>807</v>
      </c>
      <c r="W258" s="26"/>
      <c r="X258" s="26"/>
      <c r="Y258" s="26"/>
      <c r="Z258" s="26"/>
      <c r="AA258" s="26"/>
      <c r="AB258" s="26"/>
      <c r="AC258" s="26"/>
      <c r="AD258" s="26"/>
      <c r="AE258" s="26"/>
      <c r="AF258" s="26"/>
      <c r="AG258" s="26"/>
      <c r="AH258" s="33" t="s">
        <v>1260</v>
      </c>
      <c r="AI258" s="23" t="s">
        <v>811</v>
      </c>
      <c r="AJ258" s="33" t="str">
        <f t="shared" si="3"/>
        <v>PD5D_MB_Moactcseq/samples/ILB_BN1722_MB_MOactcseq_batch11_rep2.h5</v>
      </c>
      <c r="AK258" t="s">
        <v>1290</v>
      </c>
    </row>
    <row r="259" spans="1:37">
      <c r="A259" s="24" t="s">
        <v>975</v>
      </c>
      <c r="B259" s="24" t="s">
        <v>171</v>
      </c>
      <c r="C259" s="24" t="s">
        <v>171</v>
      </c>
      <c r="D259" s="24" t="s">
        <v>814</v>
      </c>
      <c r="E259" s="24">
        <v>6</v>
      </c>
      <c r="F259" s="24">
        <v>0</v>
      </c>
      <c r="G259" s="24" t="s">
        <v>713</v>
      </c>
      <c r="H259" s="24" t="s">
        <v>668</v>
      </c>
      <c r="I259" s="24" t="s">
        <v>806</v>
      </c>
      <c r="J259" s="24" t="s">
        <v>807</v>
      </c>
      <c r="K259" s="24" t="s">
        <v>807</v>
      </c>
      <c r="L259" s="24" t="s">
        <v>807</v>
      </c>
      <c r="M259" s="24" t="s">
        <v>807</v>
      </c>
      <c r="N259" s="24">
        <v>9.4</v>
      </c>
      <c r="O259" s="24">
        <v>9.4</v>
      </c>
      <c r="P259" s="24" t="s">
        <v>808</v>
      </c>
      <c r="Q259" s="25">
        <v>9691</v>
      </c>
      <c r="R259" s="24" t="s">
        <v>809</v>
      </c>
      <c r="S259" s="24" t="s">
        <v>675</v>
      </c>
      <c r="T259" s="24">
        <v>131</v>
      </c>
      <c r="U259" s="24" t="s">
        <v>810</v>
      </c>
      <c r="V259" s="24" t="s">
        <v>807</v>
      </c>
      <c r="W259" s="26"/>
      <c r="X259" s="26"/>
      <c r="Y259" s="26"/>
      <c r="Z259" s="26"/>
      <c r="AA259" s="26"/>
      <c r="AB259" s="26"/>
      <c r="AC259" s="26"/>
      <c r="AD259" s="26"/>
      <c r="AE259" s="26"/>
      <c r="AF259" s="26"/>
      <c r="AG259" s="26"/>
      <c r="AH259" s="33" t="s">
        <v>1260</v>
      </c>
      <c r="AI259" s="23" t="s">
        <v>811</v>
      </c>
      <c r="AJ259" s="33" t="str">
        <f t="shared" si="3"/>
        <v>PD5D_MB_Moactcseq/samples/ILB_BN1722_MB_MOactcseq_batch11_rep3.h5</v>
      </c>
      <c r="AK259" t="s">
        <v>1290</v>
      </c>
    </row>
    <row r="260" spans="1:37">
      <c r="A260" s="24" t="s">
        <v>976</v>
      </c>
      <c r="B260" s="24" t="s">
        <v>171</v>
      </c>
      <c r="C260" s="24" t="s">
        <v>171</v>
      </c>
      <c r="D260" s="24" t="s">
        <v>819</v>
      </c>
      <c r="E260" s="24">
        <v>6</v>
      </c>
      <c r="F260" s="24">
        <v>0</v>
      </c>
      <c r="G260" s="24" t="s">
        <v>713</v>
      </c>
      <c r="H260" s="24" t="s">
        <v>668</v>
      </c>
      <c r="I260" s="24" t="s">
        <v>806</v>
      </c>
      <c r="J260" s="24" t="s">
        <v>807</v>
      </c>
      <c r="K260" s="24" t="s">
        <v>807</v>
      </c>
      <c r="L260" s="24" t="s">
        <v>807</v>
      </c>
      <c r="M260" s="24" t="s">
        <v>807</v>
      </c>
      <c r="N260" s="24">
        <v>9.4</v>
      </c>
      <c r="O260" s="24">
        <v>9.4</v>
      </c>
      <c r="P260" s="24" t="s">
        <v>808</v>
      </c>
      <c r="Q260" s="25">
        <v>9691</v>
      </c>
      <c r="R260" s="24" t="s">
        <v>809</v>
      </c>
      <c r="S260" s="24" t="s">
        <v>675</v>
      </c>
      <c r="T260" s="24">
        <v>131</v>
      </c>
      <c r="U260" s="24" t="s">
        <v>810</v>
      </c>
      <c r="V260" s="24" t="s">
        <v>807</v>
      </c>
      <c r="W260" s="26"/>
      <c r="X260" s="26"/>
      <c r="Y260" s="26"/>
      <c r="Z260" s="26"/>
      <c r="AA260" s="26"/>
      <c r="AB260" s="26"/>
      <c r="AC260" s="26"/>
      <c r="AD260" s="26"/>
      <c r="AE260" s="26"/>
      <c r="AF260" s="26"/>
      <c r="AG260" s="26"/>
      <c r="AH260" s="33" t="s">
        <v>1260</v>
      </c>
      <c r="AI260" s="23" t="s">
        <v>811</v>
      </c>
      <c r="AJ260" s="33" t="str">
        <f t="shared" ref="AJ260:AJ323" si="4">_xlfn.CONCAT(AH260,"/samples/",A260,".h5")</f>
        <v>PD5D_MB_Moactcseq/samples/ILB_BN1722_MB_MOactcseq_batch11_rep4.h5</v>
      </c>
      <c r="AK260" t="s">
        <v>1290</v>
      </c>
    </row>
    <row r="261" spans="1:37">
      <c r="A261" s="24" t="s">
        <v>977</v>
      </c>
      <c r="B261" s="24" t="s">
        <v>171</v>
      </c>
      <c r="C261" s="24" t="s">
        <v>171</v>
      </c>
      <c r="D261" s="24" t="s">
        <v>821</v>
      </c>
      <c r="E261" s="24">
        <v>6</v>
      </c>
      <c r="F261" s="24">
        <v>0</v>
      </c>
      <c r="G261" s="24" t="s">
        <v>713</v>
      </c>
      <c r="H261" s="24" t="s">
        <v>668</v>
      </c>
      <c r="I261" s="24" t="s">
        <v>806</v>
      </c>
      <c r="J261" s="24" t="s">
        <v>807</v>
      </c>
      <c r="K261" s="24" t="s">
        <v>807</v>
      </c>
      <c r="L261" s="24" t="s">
        <v>807</v>
      </c>
      <c r="M261" s="24" t="s">
        <v>807</v>
      </c>
      <c r="N261" s="24">
        <v>9.4</v>
      </c>
      <c r="O261" s="24">
        <v>9.4</v>
      </c>
      <c r="P261" s="24" t="s">
        <v>808</v>
      </c>
      <c r="Q261" s="25">
        <v>9691</v>
      </c>
      <c r="R261" s="24" t="s">
        <v>809</v>
      </c>
      <c r="S261" s="24" t="s">
        <v>675</v>
      </c>
      <c r="T261" s="24">
        <v>131</v>
      </c>
      <c r="U261" s="24" t="s">
        <v>810</v>
      </c>
      <c r="V261" s="24" t="s">
        <v>807</v>
      </c>
      <c r="W261" s="26"/>
      <c r="X261" s="26"/>
      <c r="Y261" s="26"/>
      <c r="Z261" s="26"/>
      <c r="AA261" s="26"/>
      <c r="AB261" s="26"/>
      <c r="AC261" s="26"/>
      <c r="AD261" s="26"/>
      <c r="AE261" s="26"/>
      <c r="AF261" s="26"/>
      <c r="AG261" s="26"/>
      <c r="AH261" s="33" t="s">
        <v>1260</v>
      </c>
      <c r="AI261" s="23" t="s">
        <v>811</v>
      </c>
      <c r="AJ261" s="33" t="str">
        <f t="shared" si="4"/>
        <v>PD5D_MB_Moactcseq/samples/ILB_BN1722_MB_MOactcseq_batch11_rep5.h5</v>
      </c>
      <c r="AK261" t="s">
        <v>1290</v>
      </c>
    </row>
    <row r="262" spans="1:37">
      <c r="A262" s="24" t="s">
        <v>978</v>
      </c>
      <c r="B262" s="24" t="s">
        <v>171</v>
      </c>
      <c r="C262" s="24" t="s">
        <v>171</v>
      </c>
      <c r="D262" s="24" t="s">
        <v>823</v>
      </c>
      <c r="E262" s="24">
        <v>6</v>
      </c>
      <c r="F262" s="24">
        <v>0</v>
      </c>
      <c r="G262" s="24" t="s">
        <v>713</v>
      </c>
      <c r="H262" s="24" t="s">
        <v>668</v>
      </c>
      <c r="I262" s="24" t="s">
        <v>806</v>
      </c>
      <c r="J262" s="24" t="s">
        <v>807</v>
      </c>
      <c r="K262" s="24" t="s">
        <v>807</v>
      </c>
      <c r="L262" s="24" t="s">
        <v>807</v>
      </c>
      <c r="M262" s="24" t="s">
        <v>807</v>
      </c>
      <c r="N262" s="24">
        <v>9.4</v>
      </c>
      <c r="O262" s="24">
        <v>9.4</v>
      </c>
      <c r="P262" s="24" t="s">
        <v>808</v>
      </c>
      <c r="Q262" s="25">
        <v>9691</v>
      </c>
      <c r="R262" s="24" t="s">
        <v>809</v>
      </c>
      <c r="S262" s="24" t="s">
        <v>675</v>
      </c>
      <c r="T262" s="24">
        <v>131</v>
      </c>
      <c r="U262" s="24" t="s">
        <v>810</v>
      </c>
      <c r="V262" s="24" t="s">
        <v>807</v>
      </c>
      <c r="W262" s="26"/>
      <c r="X262" s="26"/>
      <c r="Y262" s="26"/>
      <c r="Z262" s="26"/>
      <c r="AA262" s="26"/>
      <c r="AB262" s="26"/>
      <c r="AC262" s="26"/>
      <c r="AD262" s="26"/>
      <c r="AE262" s="26"/>
      <c r="AF262" s="26"/>
      <c r="AG262" s="26"/>
      <c r="AH262" s="33" t="s">
        <v>1260</v>
      </c>
      <c r="AI262" s="23" t="s">
        <v>811</v>
      </c>
      <c r="AJ262" s="33" t="str">
        <f t="shared" si="4"/>
        <v>PD5D_MB_Moactcseq/samples/ILB_BN1722_MB_MOactcseq_batch11_rep6.h5</v>
      </c>
      <c r="AK262" t="s">
        <v>1290</v>
      </c>
    </row>
    <row r="263" spans="1:37">
      <c r="A263" s="24" t="s">
        <v>979</v>
      </c>
      <c r="B263" s="24" t="s">
        <v>173</v>
      </c>
      <c r="C263" s="24" t="s">
        <v>173</v>
      </c>
      <c r="D263" s="24" t="s">
        <v>666</v>
      </c>
      <c r="E263" s="24">
        <v>6</v>
      </c>
      <c r="F263" s="24">
        <v>0</v>
      </c>
      <c r="G263" s="24" t="s">
        <v>713</v>
      </c>
      <c r="H263" s="24" t="s">
        <v>668</v>
      </c>
      <c r="I263" s="24" t="s">
        <v>806</v>
      </c>
      <c r="J263" s="24" t="s">
        <v>807</v>
      </c>
      <c r="K263" s="24" t="s">
        <v>807</v>
      </c>
      <c r="L263" s="24" t="s">
        <v>807</v>
      </c>
      <c r="M263" s="24" t="s">
        <v>807</v>
      </c>
      <c r="N263" s="24">
        <v>9.6999999999999993</v>
      </c>
      <c r="O263" s="24">
        <v>9.6999999999999993</v>
      </c>
      <c r="P263" s="24" t="s">
        <v>808</v>
      </c>
      <c r="Q263" s="25">
        <v>7657</v>
      </c>
      <c r="R263" s="24" t="s">
        <v>809</v>
      </c>
      <c r="S263" s="24" t="s">
        <v>675</v>
      </c>
      <c r="T263" s="24">
        <v>131</v>
      </c>
      <c r="U263" s="24" t="s">
        <v>810</v>
      </c>
      <c r="V263" s="24" t="s">
        <v>807</v>
      </c>
      <c r="W263" s="26"/>
      <c r="X263" s="26"/>
      <c r="Y263" s="26"/>
      <c r="Z263" s="26"/>
      <c r="AA263" s="26"/>
      <c r="AB263" s="26"/>
      <c r="AC263" s="26"/>
      <c r="AD263" s="26"/>
      <c r="AE263" s="26"/>
      <c r="AF263" s="26"/>
      <c r="AG263" s="26"/>
      <c r="AH263" s="33" t="s">
        <v>1260</v>
      </c>
      <c r="AI263" s="23" t="s">
        <v>811</v>
      </c>
      <c r="AJ263" s="33" t="str">
        <f t="shared" si="4"/>
        <v>PD5D_MB_Moactcseq/samples/ILB_BN1726_MB_MOactcseq_batch11_rep1.h5</v>
      </c>
      <c r="AK263" t="s">
        <v>1290</v>
      </c>
    </row>
    <row r="264" spans="1:37">
      <c r="A264" s="24" t="s">
        <v>980</v>
      </c>
      <c r="B264" s="24" t="s">
        <v>173</v>
      </c>
      <c r="C264" s="24" t="s">
        <v>173</v>
      </c>
      <c r="D264" s="24" t="s">
        <v>689</v>
      </c>
      <c r="E264" s="24">
        <v>6</v>
      </c>
      <c r="F264" s="24">
        <v>0</v>
      </c>
      <c r="G264" s="24" t="s">
        <v>713</v>
      </c>
      <c r="H264" s="24" t="s">
        <v>668</v>
      </c>
      <c r="I264" s="24" t="s">
        <v>806</v>
      </c>
      <c r="J264" s="24" t="s">
        <v>807</v>
      </c>
      <c r="K264" s="24" t="s">
        <v>807</v>
      </c>
      <c r="L264" s="24" t="s">
        <v>807</v>
      </c>
      <c r="M264" s="24" t="s">
        <v>807</v>
      </c>
      <c r="N264" s="24">
        <v>9.6999999999999993</v>
      </c>
      <c r="O264" s="24">
        <v>9.6999999999999993</v>
      </c>
      <c r="P264" s="24" t="s">
        <v>808</v>
      </c>
      <c r="Q264" s="25">
        <v>7657</v>
      </c>
      <c r="R264" s="24" t="s">
        <v>809</v>
      </c>
      <c r="S264" s="24" t="s">
        <v>675</v>
      </c>
      <c r="T264" s="24">
        <v>131</v>
      </c>
      <c r="U264" s="24" t="s">
        <v>810</v>
      </c>
      <c r="V264" s="24" t="s">
        <v>807</v>
      </c>
      <c r="W264" s="26"/>
      <c r="X264" s="26"/>
      <c r="Y264" s="26"/>
      <c r="Z264" s="26"/>
      <c r="AA264" s="26"/>
      <c r="AB264" s="26"/>
      <c r="AC264" s="26"/>
      <c r="AD264" s="26"/>
      <c r="AE264" s="26"/>
      <c r="AF264" s="26"/>
      <c r="AG264" s="26"/>
      <c r="AH264" s="33" t="s">
        <v>1260</v>
      </c>
      <c r="AI264" s="23" t="s">
        <v>811</v>
      </c>
      <c r="AJ264" s="33" t="str">
        <f t="shared" si="4"/>
        <v>PD5D_MB_Moactcseq/samples/ILB_BN1726_MB_MOactcseq_batch11_rep2.h5</v>
      </c>
      <c r="AK264" t="s">
        <v>1290</v>
      </c>
    </row>
    <row r="265" spans="1:37">
      <c r="A265" s="24" t="s">
        <v>981</v>
      </c>
      <c r="B265" s="24" t="s">
        <v>173</v>
      </c>
      <c r="C265" s="24" t="s">
        <v>173</v>
      </c>
      <c r="D265" s="24" t="s">
        <v>814</v>
      </c>
      <c r="E265" s="24">
        <v>6</v>
      </c>
      <c r="F265" s="24">
        <v>0</v>
      </c>
      <c r="G265" s="24" t="s">
        <v>713</v>
      </c>
      <c r="H265" s="24" t="s">
        <v>668</v>
      </c>
      <c r="I265" s="24" t="s">
        <v>806</v>
      </c>
      <c r="J265" s="24" t="s">
        <v>807</v>
      </c>
      <c r="K265" s="24" t="s">
        <v>807</v>
      </c>
      <c r="L265" s="24" t="s">
        <v>807</v>
      </c>
      <c r="M265" s="24" t="s">
        <v>807</v>
      </c>
      <c r="N265" s="24">
        <v>9.6999999999999993</v>
      </c>
      <c r="O265" s="24">
        <v>9.6999999999999993</v>
      </c>
      <c r="P265" s="24" t="s">
        <v>808</v>
      </c>
      <c r="Q265" s="25">
        <v>7657</v>
      </c>
      <c r="R265" s="24" t="s">
        <v>809</v>
      </c>
      <c r="S265" s="24" t="s">
        <v>675</v>
      </c>
      <c r="T265" s="24">
        <v>131</v>
      </c>
      <c r="U265" s="24" t="s">
        <v>810</v>
      </c>
      <c r="V265" s="24" t="s">
        <v>807</v>
      </c>
      <c r="W265" s="26"/>
      <c r="X265" s="26"/>
      <c r="Y265" s="26"/>
      <c r="Z265" s="26"/>
      <c r="AA265" s="26"/>
      <c r="AB265" s="26"/>
      <c r="AC265" s="26"/>
      <c r="AD265" s="26"/>
      <c r="AE265" s="26"/>
      <c r="AF265" s="26"/>
      <c r="AG265" s="26"/>
      <c r="AH265" s="33" t="s">
        <v>1260</v>
      </c>
      <c r="AI265" s="23" t="s">
        <v>811</v>
      </c>
      <c r="AJ265" s="33" t="str">
        <f t="shared" si="4"/>
        <v>PD5D_MB_Moactcseq/samples/ILB_BN1726_MB_MOactcseq_batch11_rep3.h5</v>
      </c>
      <c r="AK265" t="s">
        <v>1290</v>
      </c>
    </row>
    <row r="266" spans="1:37">
      <c r="A266" s="24" t="s">
        <v>982</v>
      </c>
      <c r="B266" s="24" t="s">
        <v>173</v>
      </c>
      <c r="C266" s="24" t="s">
        <v>173</v>
      </c>
      <c r="D266" s="24" t="s">
        <v>819</v>
      </c>
      <c r="E266" s="24">
        <v>6</v>
      </c>
      <c r="F266" s="24">
        <v>0</v>
      </c>
      <c r="G266" s="24" t="s">
        <v>713</v>
      </c>
      <c r="H266" s="24" t="s">
        <v>668</v>
      </c>
      <c r="I266" s="24" t="s">
        <v>806</v>
      </c>
      <c r="J266" s="24" t="s">
        <v>807</v>
      </c>
      <c r="K266" s="24" t="s">
        <v>807</v>
      </c>
      <c r="L266" s="24" t="s">
        <v>807</v>
      </c>
      <c r="M266" s="24" t="s">
        <v>807</v>
      </c>
      <c r="N266" s="24">
        <v>9.6999999999999993</v>
      </c>
      <c r="O266" s="24">
        <v>9.6999999999999993</v>
      </c>
      <c r="P266" s="24" t="s">
        <v>808</v>
      </c>
      <c r="Q266" s="25">
        <v>7657</v>
      </c>
      <c r="R266" s="24" t="s">
        <v>809</v>
      </c>
      <c r="S266" s="24" t="s">
        <v>675</v>
      </c>
      <c r="T266" s="24">
        <v>131</v>
      </c>
      <c r="U266" s="24" t="s">
        <v>810</v>
      </c>
      <c r="V266" s="24" t="s">
        <v>807</v>
      </c>
      <c r="W266" s="26"/>
      <c r="X266" s="26"/>
      <c r="Y266" s="26"/>
      <c r="Z266" s="26"/>
      <c r="AA266" s="26"/>
      <c r="AB266" s="26"/>
      <c r="AC266" s="26"/>
      <c r="AD266" s="26"/>
      <c r="AE266" s="26"/>
      <c r="AF266" s="26"/>
      <c r="AG266" s="26"/>
      <c r="AH266" s="33" t="s">
        <v>1260</v>
      </c>
      <c r="AI266" s="23" t="s">
        <v>811</v>
      </c>
      <c r="AJ266" s="33" t="str">
        <f t="shared" si="4"/>
        <v>PD5D_MB_Moactcseq/samples/ILB_BN1726_MB_MOactcseq_batch11_rep4.h5</v>
      </c>
      <c r="AK266" t="s">
        <v>1290</v>
      </c>
    </row>
    <row r="267" spans="1:37">
      <c r="A267" s="24" t="s">
        <v>983</v>
      </c>
      <c r="B267" s="24" t="s">
        <v>173</v>
      </c>
      <c r="C267" s="24" t="s">
        <v>173</v>
      </c>
      <c r="D267" s="24" t="s">
        <v>821</v>
      </c>
      <c r="E267" s="24">
        <v>6</v>
      </c>
      <c r="F267" s="24">
        <v>0</v>
      </c>
      <c r="G267" s="24" t="s">
        <v>713</v>
      </c>
      <c r="H267" s="24" t="s">
        <v>668</v>
      </c>
      <c r="I267" s="24" t="s">
        <v>806</v>
      </c>
      <c r="J267" s="24" t="s">
        <v>807</v>
      </c>
      <c r="K267" s="24" t="s">
        <v>807</v>
      </c>
      <c r="L267" s="24" t="s">
        <v>807</v>
      </c>
      <c r="M267" s="24" t="s">
        <v>807</v>
      </c>
      <c r="N267" s="24">
        <v>9.6999999999999993</v>
      </c>
      <c r="O267" s="24">
        <v>9.6999999999999993</v>
      </c>
      <c r="P267" s="24" t="s">
        <v>808</v>
      </c>
      <c r="Q267" s="25">
        <v>7657</v>
      </c>
      <c r="R267" s="24" t="s">
        <v>809</v>
      </c>
      <c r="S267" s="24" t="s">
        <v>675</v>
      </c>
      <c r="T267" s="24">
        <v>131</v>
      </c>
      <c r="U267" s="24" t="s">
        <v>810</v>
      </c>
      <c r="V267" s="24" t="s">
        <v>807</v>
      </c>
      <c r="W267" s="26"/>
      <c r="X267" s="26"/>
      <c r="Y267" s="26"/>
      <c r="Z267" s="26"/>
      <c r="AA267" s="26"/>
      <c r="AB267" s="26"/>
      <c r="AC267" s="26"/>
      <c r="AD267" s="26"/>
      <c r="AE267" s="26"/>
      <c r="AF267" s="26"/>
      <c r="AG267" s="26"/>
      <c r="AH267" s="33" t="s">
        <v>1260</v>
      </c>
      <c r="AI267" s="23" t="s">
        <v>811</v>
      </c>
      <c r="AJ267" s="33" t="str">
        <f t="shared" si="4"/>
        <v>PD5D_MB_Moactcseq/samples/ILB_BN1726_MB_MOactcseq_batch11_rep5.h5</v>
      </c>
      <c r="AK267" t="s">
        <v>1290</v>
      </c>
    </row>
    <row r="268" spans="1:37">
      <c r="A268" s="24" t="s">
        <v>984</v>
      </c>
      <c r="B268" s="24" t="s">
        <v>173</v>
      </c>
      <c r="C268" s="24" t="s">
        <v>173</v>
      </c>
      <c r="D268" s="24" t="s">
        <v>823</v>
      </c>
      <c r="E268" s="24">
        <v>6</v>
      </c>
      <c r="F268" s="24">
        <v>0</v>
      </c>
      <c r="G268" s="24" t="s">
        <v>713</v>
      </c>
      <c r="H268" s="24" t="s">
        <v>668</v>
      </c>
      <c r="I268" s="24" t="s">
        <v>806</v>
      </c>
      <c r="J268" s="24" t="s">
        <v>807</v>
      </c>
      <c r="K268" s="24" t="s">
        <v>807</v>
      </c>
      <c r="L268" s="24" t="s">
        <v>807</v>
      </c>
      <c r="M268" s="24" t="s">
        <v>807</v>
      </c>
      <c r="N268" s="24">
        <v>9.6999999999999993</v>
      </c>
      <c r="O268" s="24">
        <v>9.6999999999999993</v>
      </c>
      <c r="P268" s="24" t="s">
        <v>808</v>
      </c>
      <c r="Q268" s="25">
        <v>7657</v>
      </c>
      <c r="R268" s="24" t="s">
        <v>809</v>
      </c>
      <c r="S268" s="24" t="s">
        <v>675</v>
      </c>
      <c r="T268" s="24">
        <v>131</v>
      </c>
      <c r="U268" s="24" t="s">
        <v>810</v>
      </c>
      <c r="V268" s="24" t="s">
        <v>807</v>
      </c>
      <c r="W268" s="26"/>
      <c r="X268" s="26"/>
      <c r="Y268" s="26"/>
      <c r="Z268" s="26"/>
      <c r="AA268" s="26"/>
      <c r="AB268" s="26"/>
      <c r="AC268" s="26"/>
      <c r="AD268" s="26"/>
      <c r="AE268" s="26"/>
      <c r="AF268" s="26"/>
      <c r="AG268" s="26"/>
      <c r="AH268" s="33" t="s">
        <v>1260</v>
      </c>
      <c r="AI268" s="23" t="s">
        <v>811</v>
      </c>
      <c r="AJ268" s="33" t="str">
        <f t="shared" si="4"/>
        <v>PD5D_MB_Moactcseq/samples/ILB_BN1726_MB_MOactcseq_batch11_rep6.h5</v>
      </c>
      <c r="AK268" t="s">
        <v>1290</v>
      </c>
    </row>
    <row r="269" spans="1:37">
      <c r="A269" s="24" t="s">
        <v>985</v>
      </c>
      <c r="B269" s="24" t="s">
        <v>179</v>
      </c>
      <c r="C269" s="24" t="s">
        <v>179</v>
      </c>
      <c r="D269" s="24" t="s">
        <v>666</v>
      </c>
      <c r="E269" s="24">
        <v>5</v>
      </c>
      <c r="F269" s="24">
        <v>0</v>
      </c>
      <c r="G269" s="24" t="s">
        <v>735</v>
      </c>
      <c r="H269" s="24" t="s">
        <v>668</v>
      </c>
      <c r="I269" s="24" t="s">
        <v>806</v>
      </c>
      <c r="J269" s="24" t="s">
        <v>807</v>
      </c>
      <c r="K269" s="24" t="s">
        <v>807</v>
      </c>
      <c r="L269" s="24" t="s">
        <v>807</v>
      </c>
      <c r="M269" s="24" t="s">
        <v>807</v>
      </c>
      <c r="N269" s="24">
        <v>10</v>
      </c>
      <c r="O269" s="24">
        <v>10</v>
      </c>
      <c r="P269" s="24" t="s">
        <v>808</v>
      </c>
      <c r="Q269" s="25">
        <v>8204</v>
      </c>
      <c r="R269" s="24" t="s">
        <v>809</v>
      </c>
      <c r="S269" s="24" t="s">
        <v>675</v>
      </c>
      <c r="T269" s="24">
        <v>131</v>
      </c>
      <c r="U269" s="24" t="s">
        <v>810</v>
      </c>
      <c r="V269" s="24" t="s">
        <v>807</v>
      </c>
      <c r="W269" s="26"/>
      <c r="X269" s="26"/>
      <c r="Y269" s="26"/>
      <c r="Z269" s="26"/>
      <c r="AA269" s="26"/>
      <c r="AB269" s="26"/>
      <c r="AC269" s="26"/>
      <c r="AD269" s="26"/>
      <c r="AE269" s="26"/>
      <c r="AF269" s="26"/>
      <c r="AG269" s="26"/>
      <c r="AH269" s="33" t="s">
        <v>1260</v>
      </c>
      <c r="AI269" s="23" t="s">
        <v>811</v>
      </c>
      <c r="AJ269" s="33" t="str">
        <f t="shared" si="4"/>
        <v>PD5D_MB_Moactcseq/samples/ILB_BN1741_MB_MOactcseq_batch12_rep1.h5</v>
      </c>
      <c r="AK269" t="s">
        <v>1290</v>
      </c>
    </row>
    <row r="270" spans="1:37">
      <c r="A270" s="24" t="s">
        <v>986</v>
      </c>
      <c r="B270" s="24" t="s">
        <v>179</v>
      </c>
      <c r="C270" s="24" t="s">
        <v>179</v>
      </c>
      <c r="D270" s="24" t="s">
        <v>689</v>
      </c>
      <c r="E270" s="24">
        <v>5</v>
      </c>
      <c r="F270" s="24">
        <v>0</v>
      </c>
      <c r="G270" s="24" t="s">
        <v>735</v>
      </c>
      <c r="H270" s="24" t="s">
        <v>668</v>
      </c>
      <c r="I270" s="24" t="s">
        <v>806</v>
      </c>
      <c r="J270" s="24" t="s">
        <v>807</v>
      </c>
      <c r="K270" s="24" t="s">
        <v>807</v>
      </c>
      <c r="L270" s="24" t="s">
        <v>807</v>
      </c>
      <c r="M270" s="24" t="s">
        <v>807</v>
      </c>
      <c r="N270" s="24">
        <v>10</v>
      </c>
      <c r="O270" s="24">
        <v>10</v>
      </c>
      <c r="P270" s="24" t="s">
        <v>808</v>
      </c>
      <c r="Q270" s="25">
        <v>8204</v>
      </c>
      <c r="R270" s="24" t="s">
        <v>809</v>
      </c>
      <c r="S270" s="24" t="s">
        <v>675</v>
      </c>
      <c r="T270" s="24">
        <v>131</v>
      </c>
      <c r="U270" s="24" t="s">
        <v>810</v>
      </c>
      <c r="V270" s="24" t="s">
        <v>807</v>
      </c>
      <c r="W270" s="26"/>
      <c r="X270" s="26"/>
      <c r="Y270" s="26"/>
      <c r="Z270" s="26"/>
      <c r="AA270" s="26"/>
      <c r="AB270" s="26"/>
      <c r="AC270" s="26"/>
      <c r="AD270" s="26"/>
      <c r="AE270" s="26"/>
      <c r="AF270" s="26"/>
      <c r="AG270" s="26"/>
      <c r="AH270" s="33" t="s">
        <v>1260</v>
      </c>
      <c r="AI270" s="23" t="s">
        <v>811</v>
      </c>
      <c r="AJ270" s="33" t="str">
        <f t="shared" si="4"/>
        <v>PD5D_MB_Moactcseq/samples/ILB_BN1741_MB_MOactcseq_batch12_rep2.h5</v>
      </c>
      <c r="AK270" t="s">
        <v>1290</v>
      </c>
    </row>
    <row r="271" spans="1:37">
      <c r="A271" s="24" t="s">
        <v>987</v>
      </c>
      <c r="B271" s="24" t="s">
        <v>179</v>
      </c>
      <c r="C271" s="24" t="s">
        <v>179</v>
      </c>
      <c r="D271" s="24" t="s">
        <v>814</v>
      </c>
      <c r="E271" s="24">
        <v>5</v>
      </c>
      <c r="F271" s="24">
        <v>0</v>
      </c>
      <c r="G271" s="24" t="s">
        <v>735</v>
      </c>
      <c r="H271" s="24" t="s">
        <v>668</v>
      </c>
      <c r="I271" s="24" t="s">
        <v>806</v>
      </c>
      <c r="J271" s="24" t="s">
        <v>807</v>
      </c>
      <c r="K271" s="24" t="s">
        <v>807</v>
      </c>
      <c r="L271" s="24" t="s">
        <v>807</v>
      </c>
      <c r="M271" s="24" t="s">
        <v>807</v>
      </c>
      <c r="N271" s="24">
        <v>10</v>
      </c>
      <c r="O271" s="24">
        <v>10</v>
      </c>
      <c r="P271" s="24" t="s">
        <v>808</v>
      </c>
      <c r="Q271" s="25">
        <v>8204</v>
      </c>
      <c r="R271" s="24" t="s">
        <v>809</v>
      </c>
      <c r="S271" s="24" t="s">
        <v>675</v>
      </c>
      <c r="T271" s="24">
        <v>131</v>
      </c>
      <c r="U271" s="24" t="s">
        <v>810</v>
      </c>
      <c r="V271" s="24" t="s">
        <v>807</v>
      </c>
      <c r="W271" s="26"/>
      <c r="X271" s="26"/>
      <c r="Y271" s="26"/>
      <c r="Z271" s="26"/>
      <c r="AA271" s="26"/>
      <c r="AB271" s="26"/>
      <c r="AC271" s="26"/>
      <c r="AD271" s="26"/>
      <c r="AE271" s="26"/>
      <c r="AF271" s="26"/>
      <c r="AG271" s="26"/>
      <c r="AH271" s="33" t="s">
        <v>1260</v>
      </c>
      <c r="AI271" s="23" t="s">
        <v>811</v>
      </c>
      <c r="AJ271" s="33" t="str">
        <f t="shared" si="4"/>
        <v>PD5D_MB_Moactcseq/samples/ILB_BN1741_MB_MOactcseq_batch12_rep3.h5</v>
      </c>
      <c r="AK271" t="s">
        <v>1290</v>
      </c>
    </row>
    <row r="272" spans="1:37">
      <c r="A272" s="24" t="s">
        <v>988</v>
      </c>
      <c r="B272" s="24" t="s">
        <v>179</v>
      </c>
      <c r="C272" s="24" t="s">
        <v>179</v>
      </c>
      <c r="D272" s="24" t="s">
        <v>819</v>
      </c>
      <c r="E272" s="24">
        <v>5</v>
      </c>
      <c r="F272" s="24">
        <v>0</v>
      </c>
      <c r="G272" s="24" t="s">
        <v>735</v>
      </c>
      <c r="H272" s="24" t="s">
        <v>668</v>
      </c>
      <c r="I272" s="24" t="s">
        <v>806</v>
      </c>
      <c r="J272" s="24" t="s">
        <v>807</v>
      </c>
      <c r="K272" s="24" t="s">
        <v>807</v>
      </c>
      <c r="L272" s="24" t="s">
        <v>807</v>
      </c>
      <c r="M272" s="24" t="s">
        <v>807</v>
      </c>
      <c r="N272" s="24">
        <v>10</v>
      </c>
      <c r="O272" s="24">
        <v>10</v>
      </c>
      <c r="P272" s="24" t="s">
        <v>808</v>
      </c>
      <c r="Q272" s="25">
        <v>8204</v>
      </c>
      <c r="R272" s="24" t="s">
        <v>809</v>
      </c>
      <c r="S272" s="24" t="s">
        <v>675</v>
      </c>
      <c r="T272" s="24">
        <v>131</v>
      </c>
      <c r="U272" s="24" t="s">
        <v>810</v>
      </c>
      <c r="V272" s="24" t="s">
        <v>807</v>
      </c>
      <c r="W272" s="26"/>
      <c r="X272" s="26"/>
      <c r="Y272" s="26"/>
      <c r="Z272" s="26"/>
      <c r="AA272" s="26"/>
      <c r="AB272" s="26"/>
      <c r="AC272" s="26"/>
      <c r="AD272" s="26"/>
      <c r="AE272" s="26"/>
      <c r="AF272" s="26"/>
      <c r="AG272" s="26"/>
      <c r="AH272" s="33" t="s">
        <v>1260</v>
      </c>
      <c r="AI272" s="23" t="s">
        <v>811</v>
      </c>
      <c r="AJ272" s="33" t="str">
        <f t="shared" si="4"/>
        <v>PD5D_MB_Moactcseq/samples/ILB_BN1741_MB_MOactcseq_batch12_rep4.h5</v>
      </c>
      <c r="AK272" t="s">
        <v>1290</v>
      </c>
    </row>
    <row r="273" spans="1:37">
      <c r="A273" s="24" t="s">
        <v>989</v>
      </c>
      <c r="B273" s="24" t="s">
        <v>179</v>
      </c>
      <c r="C273" s="24" t="s">
        <v>179</v>
      </c>
      <c r="D273" s="24" t="s">
        <v>821</v>
      </c>
      <c r="E273" s="24">
        <v>5</v>
      </c>
      <c r="F273" s="24">
        <v>0</v>
      </c>
      <c r="G273" s="24" t="s">
        <v>735</v>
      </c>
      <c r="H273" s="24" t="s">
        <v>668</v>
      </c>
      <c r="I273" s="24" t="s">
        <v>806</v>
      </c>
      <c r="J273" s="24" t="s">
        <v>807</v>
      </c>
      <c r="K273" s="24" t="s">
        <v>807</v>
      </c>
      <c r="L273" s="24" t="s">
        <v>807</v>
      </c>
      <c r="M273" s="24" t="s">
        <v>807</v>
      </c>
      <c r="N273" s="24">
        <v>10</v>
      </c>
      <c r="O273" s="24">
        <v>10</v>
      </c>
      <c r="P273" s="24" t="s">
        <v>808</v>
      </c>
      <c r="Q273" s="25">
        <v>8204</v>
      </c>
      <c r="R273" s="24" t="s">
        <v>809</v>
      </c>
      <c r="S273" s="24" t="s">
        <v>675</v>
      </c>
      <c r="T273" s="24">
        <v>131</v>
      </c>
      <c r="U273" s="24" t="s">
        <v>810</v>
      </c>
      <c r="V273" s="24" t="s">
        <v>807</v>
      </c>
      <c r="W273" s="26"/>
      <c r="X273" s="26"/>
      <c r="Y273" s="26"/>
      <c r="Z273" s="26"/>
      <c r="AA273" s="26"/>
      <c r="AB273" s="26"/>
      <c r="AC273" s="26"/>
      <c r="AD273" s="26"/>
      <c r="AE273" s="26"/>
      <c r="AF273" s="26"/>
      <c r="AG273" s="26"/>
      <c r="AH273" s="33" t="s">
        <v>1260</v>
      </c>
      <c r="AI273" s="23" t="s">
        <v>811</v>
      </c>
      <c r="AJ273" s="33" t="str">
        <f t="shared" si="4"/>
        <v>PD5D_MB_Moactcseq/samples/ILB_BN1741_MB_MOactcseq_batch12_rep5.h5</v>
      </c>
      <c r="AK273" t="s">
        <v>1290</v>
      </c>
    </row>
    <row r="274" spans="1:37">
      <c r="A274" s="24" t="s">
        <v>990</v>
      </c>
      <c r="B274" s="24" t="s">
        <v>185</v>
      </c>
      <c r="C274" s="24" t="s">
        <v>185</v>
      </c>
      <c r="D274" s="24" t="s">
        <v>666</v>
      </c>
      <c r="E274" s="24">
        <v>6</v>
      </c>
      <c r="F274" s="24">
        <v>0</v>
      </c>
      <c r="G274" s="24" t="s">
        <v>735</v>
      </c>
      <c r="H274" s="24" t="s">
        <v>668</v>
      </c>
      <c r="I274" s="24" t="s">
        <v>806</v>
      </c>
      <c r="J274" s="24" t="s">
        <v>807</v>
      </c>
      <c r="K274" s="24" t="s">
        <v>807</v>
      </c>
      <c r="L274" s="24" t="s">
        <v>807</v>
      </c>
      <c r="M274" s="24" t="s">
        <v>807</v>
      </c>
      <c r="N274" s="24">
        <v>7.4</v>
      </c>
      <c r="O274" s="24">
        <v>7.4</v>
      </c>
      <c r="P274" s="24" t="s">
        <v>808</v>
      </c>
      <c r="Q274" s="25">
        <v>6237</v>
      </c>
      <c r="R274" s="24" t="s">
        <v>809</v>
      </c>
      <c r="S274" s="24" t="s">
        <v>675</v>
      </c>
      <c r="T274" s="24">
        <v>131</v>
      </c>
      <c r="U274" s="24" t="s">
        <v>810</v>
      </c>
      <c r="V274" s="24" t="s">
        <v>807</v>
      </c>
      <c r="W274" s="26"/>
      <c r="X274" s="26"/>
      <c r="Y274" s="26"/>
      <c r="Z274" s="26"/>
      <c r="AA274" s="26"/>
      <c r="AB274" s="26"/>
      <c r="AC274" s="26"/>
      <c r="AD274" s="26"/>
      <c r="AE274" s="26"/>
      <c r="AF274" s="26"/>
      <c r="AG274" s="26"/>
      <c r="AH274" s="33" t="s">
        <v>1260</v>
      </c>
      <c r="AI274" s="23" t="s">
        <v>811</v>
      </c>
      <c r="AJ274" s="33" t="str">
        <f t="shared" si="4"/>
        <v>PD5D_MB_Moactcseq/samples/ILB_BN1752_MB_MOactcseq_batch12_rep1.h5</v>
      </c>
      <c r="AK274" t="s">
        <v>1290</v>
      </c>
    </row>
    <row r="275" spans="1:37">
      <c r="A275" s="24" t="s">
        <v>991</v>
      </c>
      <c r="B275" s="24" t="s">
        <v>185</v>
      </c>
      <c r="C275" s="24" t="s">
        <v>185</v>
      </c>
      <c r="D275" s="24" t="s">
        <v>689</v>
      </c>
      <c r="E275" s="24">
        <v>6</v>
      </c>
      <c r="F275" s="24">
        <v>0</v>
      </c>
      <c r="G275" s="24" t="s">
        <v>735</v>
      </c>
      <c r="H275" s="24" t="s">
        <v>668</v>
      </c>
      <c r="I275" s="24" t="s">
        <v>806</v>
      </c>
      <c r="J275" s="24" t="s">
        <v>807</v>
      </c>
      <c r="K275" s="24" t="s">
        <v>807</v>
      </c>
      <c r="L275" s="24" t="s">
        <v>807</v>
      </c>
      <c r="M275" s="24" t="s">
        <v>807</v>
      </c>
      <c r="N275" s="24">
        <v>7.4</v>
      </c>
      <c r="O275" s="24">
        <v>7.4</v>
      </c>
      <c r="P275" s="24" t="s">
        <v>808</v>
      </c>
      <c r="Q275" s="25">
        <v>6237</v>
      </c>
      <c r="R275" s="24" t="s">
        <v>809</v>
      </c>
      <c r="S275" s="24" t="s">
        <v>675</v>
      </c>
      <c r="T275" s="24">
        <v>131</v>
      </c>
      <c r="U275" s="24" t="s">
        <v>810</v>
      </c>
      <c r="V275" s="24" t="s">
        <v>807</v>
      </c>
      <c r="W275" s="26"/>
      <c r="X275" s="26"/>
      <c r="Y275" s="26"/>
      <c r="Z275" s="26"/>
      <c r="AA275" s="26"/>
      <c r="AB275" s="26"/>
      <c r="AC275" s="26"/>
      <c r="AD275" s="26"/>
      <c r="AE275" s="26"/>
      <c r="AF275" s="26"/>
      <c r="AG275" s="26"/>
      <c r="AH275" s="33" t="s">
        <v>1260</v>
      </c>
      <c r="AI275" s="23" t="s">
        <v>811</v>
      </c>
      <c r="AJ275" s="33" t="str">
        <f t="shared" si="4"/>
        <v>PD5D_MB_Moactcseq/samples/ILB_BN1752_MB_MOactcseq_batch12_rep2.h5</v>
      </c>
      <c r="AK275" t="s">
        <v>1290</v>
      </c>
    </row>
    <row r="276" spans="1:37">
      <c r="A276" s="24" t="s">
        <v>992</v>
      </c>
      <c r="B276" s="24" t="s">
        <v>185</v>
      </c>
      <c r="C276" s="24" t="s">
        <v>185</v>
      </c>
      <c r="D276" s="24" t="s">
        <v>814</v>
      </c>
      <c r="E276" s="24">
        <v>6</v>
      </c>
      <c r="F276" s="24">
        <v>0</v>
      </c>
      <c r="G276" s="24" t="s">
        <v>735</v>
      </c>
      <c r="H276" s="24" t="s">
        <v>668</v>
      </c>
      <c r="I276" s="24" t="s">
        <v>806</v>
      </c>
      <c r="J276" s="24" t="s">
        <v>807</v>
      </c>
      <c r="K276" s="24" t="s">
        <v>807</v>
      </c>
      <c r="L276" s="24" t="s">
        <v>807</v>
      </c>
      <c r="M276" s="24" t="s">
        <v>807</v>
      </c>
      <c r="N276" s="24">
        <v>7.4</v>
      </c>
      <c r="O276" s="24">
        <v>7.4</v>
      </c>
      <c r="P276" s="24" t="s">
        <v>808</v>
      </c>
      <c r="Q276" s="25">
        <v>6237</v>
      </c>
      <c r="R276" s="24" t="s">
        <v>809</v>
      </c>
      <c r="S276" s="24" t="s">
        <v>675</v>
      </c>
      <c r="T276" s="24">
        <v>131</v>
      </c>
      <c r="U276" s="24" t="s">
        <v>810</v>
      </c>
      <c r="V276" s="24" t="s">
        <v>807</v>
      </c>
      <c r="W276" s="26"/>
      <c r="X276" s="26"/>
      <c r="Y276" s="26"/>
      <c r="Z276" s="26"/>
      <c r="AA276" s="26"/>
      <c r="AB276" s="26"/>
      <c r="AC276" s="26"/>
      <c r="AD276" s="26"/>
      <c r="AE276" s="26"/>
      <c r="AF276" s="26"/>
      <c r="AG276" s="26"/>
      <c r="AH276" s="33" t="s">
        <v>1260</v>
      </c>
      <c r="AI276" s="23" t="s">
        <v>811</v>
      </c>
      <c r="AJ276" s="33" t="str">
        <f t="shared" si="4"/>
        <v>PD5D_MB_Moactcseq/samples/ILB_BN1752_MB_MOactcseq_batch12_rep3.h5</v>
      </c>
      <c r="AK276" t="s">
        <v>1290</v>
      </c>
    </row>
    <row r="277" spans="1:37">
      <c r="A277" s="24" t="s">
        <v>993</v>
      </c>
      <c r="B277" s="24" t="s">
        <v>185</v>
      </c>
      <c r="C277" s="24" t="s">
        <v>185</v>
      </c>
      <c r="D277" s="24" t="s">
        <v>819</v>
      </c>
      <c r="E277" s="24">
        <v>6</v>
      </c>
      <c r="F277" s="24">
        <v>0</v>
      </c>
      <c r="G277" s="24" t="s">
        <v>735</v>
      </c>
      <c r="H277" s="24" t="s">
        <v>668</v>
      </c>
      <c r="I277" s="24" t="s">
        <v>806</v>
      </c>
      <c r="J277" s="24" t="s">
        <v>807</v>
      </c>
      <c r="K277" s="24" t="s">
        <v>807</v>
      </c>
      <c r="L277" s="24" t="s">
        <v>807</v>
      </c>
      <c r="M277" s="24" t="s">
        <v>807</v>
      </c>
      <c r="N277" s="24">
        <v>7.4</v>
      </c>
      <c r="O277" s="24">
        <v>7.4</v>
      </c>
      <c r="P277" s="24" t="s">
        <v>808</v>
      </c>
      <c r="Q277" s="25">
        <v>6237</v>
      </c>
      <c r="R277" s="24" t="s">
        <v>809</v>
      </c>
      <c r="S277" s="24" t="s">
        <v>675</v>
      </c>
      <c r="T277" s="24">
        <v>131</v>
      </c>
      <c r="U277" s="24" t="s">
        <v>810</v>
      </c>
      <c r="V277" s="24" t="s">
        <v>807</v>
      </c>
      <c r="W277" s="26"/>
      <c r="X277" s="26"/>
      <c r="Y277" s="26"/>
      <c r="Z277" s="26"/>
      <c r="AA277" s="26"/>
      <c r="AB277" s="26"/>
      <c r="AC277" s="26"/>
      <c r="AD277" s="26"/>
      <c r="AE277" s="26"/>
      <c r="AF277" s="26"/>
      <c r="AG277" s="26"/>
      <c r="AH277" s="33" t="s">
        <v>1260</v>
      </c>
      <c r="AI277" s="23" t="s">
        <v>811</v>
      </c>
      <c r="AJ277" s="33" t="str">
        <f t="shared" si="4"/>
        <v>PD5D_MB_Moactcseq/samples/ILB_BN1752_MB_MOactcseq_batch12_rep4.h5</v>
      </c>
      <c r="AK277" t="s">
        <v>1290</v>
      </c>
    </row>
    <row r="278" spans="1:37">
      <c r="A278" s="24" t="s">
        <v>994</v>
      </c>
      <c r="B278" s="24" t="s">
        <v>185</v>
      </c>
      <c r="C278" s="24" t="s">
        <v>185</v>
      </c>
      <c r="D278" s="24" t="s">
        <v>821</v>
      </c>
      <c r="E278" s="24">
        <v>6</v>
      </c>
      <c r="F278" s="24">
        <v>0</v>
      </c>
      <c r="G278" s="24" t="s">
        <v>735</v>
      </c>
      <c r="H278" s="24" t="s">
        <v>668</v>
      </c>
      <c r="I278" s="24" t="s">
        <v>806</v>
      </c>
      <c r="J278" s="24" t="s">
        <v>807</v>
      </c>
      <c r="K278" s="24" t="s">
        <v>807</v>
      </c>
      <c r="L278" s="24" t="s">
        <v>807</v>
      </c>
      <c r="M278" s="24" t="s">
        <v>807</v>
      </c>
      <c r="N278" s="24">
        <v>7.4</v>
      </c>
      <c r="O278" s="24">
        <v>7.4</v>
      </c>
      <c r="P278" s="24" t="s">
        <v>808</v>
      </c>
      <c r="Q278" s="25">
        <v>6237</v>
      </c>
      <c r="R278" s="24" t="s">
        <v>809</v>
      </c>
      <c r="S278" s="24" t="s">
        <v>675</v>
      </c>
      <c r="T278" s="24">
        <v>131</v>
      </c>
      <c r="U278" s="24" t="s">
        <v>810</v>
      </c>
      <c r="V278" s="24" t="s">
        <v>807</v>
      </c>
      <c r="W278" s="26"/>
      <c r="X278" s="26"/>
      <c r="Y278" s="26"/>
      <c r="Z278" s="26"/>
      <c r="AA278" s="26"/>
      <c r="AB278" s="26"/>
      <c r="AC278" s="26"/>
      <c r="AD278" s="26"/>
      <c r="AE278" s="26"/>
      <c r="AF278" s="26"/>
      <c r="AG278" s="26"/>
      <c r="AH278" s="33" t="s">
        <v>1260</v>
      </c>
      <c r="AI278" s="23" t="s">
        <v>811</v>
      </c>
      <c r="AJ278" s="33" t="str">
        <f t="shared" si="4"/>
        <v>PD5D_MB_Moactcseq/samples/ILB_BN1752_MB_MOactcseq_batch12_rep5.h5</v>
      </c>
      <c r="AK278" t="s">
        <v>1290</v>
      </c>
    </row>
    <row r="279" spans="1:37">
      <c r="A279" s="24" t="s">
        <v>995</v>
      </c>
      <c r="B279" s="24" t="s">
        <v>185</v>
      </c>
      <c r="C279" s="24" t="s">
        <v>185</v>
      </c>
      <c r="D279" s="24" t="s">
        <v>823</v>
      </c>
      <c r="E279" s="24">
        <v>6</v>
      </c>
      <c r="F279" s="24">
        <v>0</v>
      </c>
      <c r="G279" s="24" t="s">
        <v>735</v>
      </c>
      <c r="H279" s="24" t="s">
        <v>668</v>
      </c>
      <c r="I279" s="24" t="s">
        <v>806</v>
      </c>
      <c r="J279" s="24" t="s">
        <v>807</v>
      </c>
      <c r="K279" s="24" t="s">
        <v>807</v>
      </c>
      <c r="L279" s="24" t="s">
        <v>807</v>
      </c>
      <c r="M279" s="24" t="s">
        <v>807</v>
      </c>
      <c r="N279" s="24">
        <v>7.4</v>
      </c>
      <c r="O279" s="24">
        <v>7.4</v>
      </c>
      <c r="P279" s="24" t="s">
        <v>808</v>
      </c>
      <c r="Q279" s="25">
        <v>6237</v>
      </c>
      <c r="R279" s="24" t="s">
        <v>809</v>
      </c>
      <c r="S279" s="24" t="s">
        <v>675</v>
      </c>
      <c r="T279" s="24">
        <v>131</v>
      </c>
      <c r="U279" s="24" t="s">
        <v>810</v>
      </c>
      <c r="V279" s="24" t="s">
        <v>807</v>
      </c>
      <c r="W279" s="26"/>
      <c r="X279" s="26"/>
      <c r="Y279" s="26"/>
      <c r="Z279" s="26"/>
      <c r="AA279" s="26"/>
      <c r="AB279" s="26"/>
      <c r="AC279" s="26"/>
      <c r="AD279" s="26"/>
      <c r="AE279" s="26"/>
      <c r="AF279" s="26"/>
      <c r="AG279" s="26"/>
      <c r="AH279" s="33" t="s">
        <v>1260</v>
      </c>
      <c r="AI279" s="23" t="s">
        <v>811</v>
      </c>
      <c r="AJ279" s="33" t="str">
        <f t="shared" si="4"/>
        <v>PD5D_MB_Moactcseq/samples/ILB_BN1752_MB_MOactcseq_batch12_rep6.h5</v>
      </c>
      <c r="AK279" t="s">
        <v>1290</v>
      </c>
    </row>
    <row r="280" spans="1:37">
      <c r="A280" s="24" t="s">
        <v>996</v>
      </c>
      <c r="B280" s="24" t="s">
        <v>205</v>
      </c>
      <c r="C280" s="24" t="s">
        <v>205</v>
      </c>
      <c r="D280" s="24" t="s">
        <v>666</v>
      </c>
      <c r="E280" s="24">
        <v>6</v>
      </c>
      <c r="F280" s="24">
        <v>0</v>
      </c>
      <c r="G280" s="24" t="s">
        <v>725</v>
      </c>
      <c r="H280" s="24" t="s">
        <v>668</v>
      </c>
      <c r="I280" s="24" t="s">
        <v>806</v>
      </c>
      <c r="J280" s="24" t="s">
        <v>807</v>
      </c>
      <c r="K280" s="24" t="s">
        <v>807</v>
      </c>
      <c r="L280" s="24" t="s">
        <v>807</v>
      </c>
      <c r="M280" s="24" t="s">
        <v>807</v>
      </c>
      <c r="N280" s="24">
        <v>8</v>
      </c>
      <c r="O280" s="24">
        <v>8</v>
      </c>
      <c r="P280" s="24" t="s">
        <v>808</v>
      </c>
      <c r="Q280" s="25">
        <v>3996</v>
      </c>
      <c r="R280" s="24" t="s">
        <v>809</v>
      </c>
      <c r="S280" s="24" t="s">
        <v>675</v>
      </c>
      <c r="T280" s="24">
        <v>131</v>
      </c>
      <c r="U280" s="24" t="s">
        <v>810</v>
      </c>
      <c r="V280" s="24" t="s">
        <v>807</v>
      </c>
      <c r="W280" s="26"/>
      <c r="X280" s="26"/>
      <c r="Y280" s="26"/>
      <c r="Z280" s="26"/>
      <c r="AA280" s="26"/>
      <c r="AB280" s="26"/>
      <c r="AC280" s="26"/>
      <c r="AD280" s="26"/>
      <c r="AE280" s="26"/>
      <c r="AF280" s="26"/>
      <c r="AG280" s="26"/>
      <c r="AH280" s="33" t="s">
        <v>1260</v>
      </c>
      <c r="AI280" s="23" t="s">
        <v>811</v>
      </c>
      <c r="AJ280" s="33" t="str">
        <f t="shared" si="4"/>
        <v>PD5D_MB_Moactcseq/samples/ILB_BN1836_MB_MOactcseq_batch14_rep1.h5</v>
      </c>
      <c r="AK280" t="s">
        <v>1290</v>
      </c>
    </row>
    <row r="281" spans="1:37">
      <c r="A281" s="24" t="s">
        <v>997</v>
      </c>
      <c r="B281" s="24" t="s">
        <v>205</v>
      </c>
      <c r="C281" s="24" t="s">
        <v>205</v>
      </c>
      <c r="D281" s="24" t="s">
        <v>689</v>
      </c>
      <c r="E281" s="24">
        <v>6</v>
      </c>
      <c r="F281" s="24">
        <v>0</v>
      </c>
      <c r="G281" s="24" t="s">
        <v>725</v>
      </c>
      <c r="H281" s="24" t="s">
        <v>668</v>
      </c>
      <c r="I281" s="24" t="s">
        <v>806</v>
      </c>
      <c r="J281" s="24" t="s">
        <v>807</v>
      </c>
      <c r="K281" s="24" t="s">
        <v>807</v>
      </c>
      <c r="L281" s="24" t="s">
        <v>807</v>
      </c>
      <c r="M281" s="24" t="s">
        <v>807</v>
      </c>
      <c r="N281" s="24">
        <v>8</v>
      </c>
      <c r="O281" s="24">
        <v>8</v>
      </c>
      <c r="P281" s="24" t="s">
        <v>808</v>
      </c>
      <c r="Q281" s="25">
        <v>3996</v>
      </c>
      <c r="R281" s="24" t="s">
        <v>809</v>
      </c>
      <c r="S281" s="24" t="s">
        <v>675</v>
      </c>
      <c r="T281" s="24">
        <v>131</v>
      </c>
      <c r="U281" s="24" t="s">
        <v>810</v>
      </c>
      <c r="V281" s="24" t="s">
        <v>807</v>
      </c>
      <c r="W281" s="26"/>
      <c r="X281" s="26"/>
      <c r="Y281" s="26"/>
      <c r="Z281" s="26"/>
      <c r="AA281" s="26"/>
      <c r="AB281" s="26"/>
      <c r="AC281" s="26"/>
      <c r="AD281" s="26"/>
      <c r="AE281" s="26"/>
      <c r="AF281" s="26"/>
      <c r="AG281" s="26"/>
      <c r="AH281" s="33" t="s">
        <v>1260</v>
      </c>
      <c r="AI281" s="23" t="s">
        <v>811</v>
      </c>
      <c r="AJ281" s="33" t="str">
        <f t="shared" si="4"/>
        <v>PD5D_MB_Moactcseq/samples/ILB_BN1836_MB_MOactcseq_batch14_rep2.h5</v>
      </c>
      <c r="AK281" t="s">
        <v>1290</v>
      </c>
    </row>
    <row r="282" spans="1:37">
      <c r="A282" s="24" t="s">
        <v>998</v>
      </c>
      <c r="B282" s="24" t="s">
        <v>205</v>
      </c>
      <c r="C282" s="24" t="s">
        <v>205</v>
      </c>
      <c r="D282" s="24" t="s">
        <v>814</v>
      </c>
      <c r="E282" s="24">
        <v>6</v>
      </c>
      <c r="F282" s="24">
        <v>0</v>
      </c>
      <c r="G282" s="24" t="s">
        <v>725</v>
      </c>
      <c r="H282" s="24" t="s">
        <v>668</v>
      </c>
      <c r="I282" s="24" t="s">
        <v>806</v>
      </c>
      <c r="J282" s="24" t="s">
        <v>807</v>
      </c>
      <c r="K282" s="24" t="s">
        <v>807</v>
      </c>
      <c r="L282" s="24" t="s">
        <v>807</v>
      </c>
      <c r="M282" s="24" t="s">
        <v>807</v>
      </c>
      <c r="N282" s="24">
        <v>8</v>
      </c>
      <c r="O282" s="24">
        <v>8</v>
      </c>
      <c r="P282" s="24" t="s">
        <v>808</v>
      </c>
      <c r="Q282" s="25">
        <v>3996</v>
      </c>
      <c r="R282" s="24" t="s">
        <v>809</v>
      </c>
      <c r="S282" s="24" t="s">
        <v>675</v>
      </c>
      <c r="T282" s="24">
        <v>131</v>
      </c>
      <c r="U282" s="24" t="s">
        <v>810</v>
      </c>
      <c r="V282" s="24" t="s">
        <v>807</v>
      </c>
      <c r="W282" s="26"/>
      <c r="X282" s="26"/>
      <c r="Y282" s="26"/>
      <c r="Z282" s="26"/>
      <c r="AA282" s="26"/>
      <c r="AB282" s="26"/>
      <c r="AC282" s="26"/>
      <c r="AD282" s="26"/>
      <c r="AE282" s="26"/>
      <c r="AF282" s="26"/>
      <c r="AG282" s="26"/>
      <c r="AH282" s="33" t="s">
        <v>1260</v>
      </c>
      <c r="AI282" s="23" t="s">
        <v>811</v>
      </c>
      <c r="AJ282" s="33" t="str">
        <f t="shared" si="4"/>
        <v>PD5D_MB_Moactcseq/samples/ILB_BN1836_MB_MOactcseq_batch14_rep3.h5</v>
      </c>
      <c r="AK282" t="s">
        <v>1290</v>
      </c>
    </row>
    <row r="283" spans="1:37">
      <c r="A283" s="24" t="s">
        <v>999</v>
      </c>
      <c r="B283" s="24" t="s">
        <v>205</v>
      </c>
      <c r="C283" s="24" t="s">
        <v>205</v>
      </c>
      <c r="D283" s="24" t="s">
        <v>819</v>
      </c>
      <c r="E283" s="24">
        <v>6</v>
      </c>
      <c r="F283" s="24">
        <v>0</v>
      </c>
      <c r="G283" s="24" t="s">
        <v>725</v>
      </c>
      <c r="H283" s="24" t="s">
        <v>668</v>
      </c>
      <c r="I283" s="24" t="s">
        <v>806</v>
      </c>
      <c r="J283" s="24" t="s">
        <v>807</v>
      </c>
      <c r="K283" s="24" t="s">
        <v>807</v>
      </c>
      <c r="L283" s="24" t="s">
        <v>807</v>
      </c>
      <c r="M283" s="24" t="s">
        <v>807</v>
      </c>
      <c r="N283" s="24">
        <v>8</v>
      </c>
      <c r="O283" s="24">
        <v>8</v>
      </c>
      <c r="P283" s="24" t="s">
        <v>808</v>
      </c>
      <c r="Q283" s="25">
        <v>3996</v>
      </c>
      <c r="R283" s="24" t="s">
        <v>809</v>
      </c>
      <c r="S283" s="24" t="s">
        <v>675</v>
      </c>
      <c r="T283" s="24">
        <v>131</v>
      </c>
      <c r="U283" s="24" t="s">
        <v>810</v>
      </c>
      <c r="V283" s="24" t="s">
        <v>807</v>
      </c>
      <c r="W283" s="26"/>
      <c r="X283" s="26"/>
      <c r="Y283" s="26"/>
      <c r="Z283" s="26"/>
      <c r="AA283" s="26"/>
      <c r="AB283" s="26"/>
      <c r="AC283" s="26"/>
      <c r="AD283" s="26"/>
      <c r="AE283" s="26"/>
      <c r="AF283" s="26"/>
      <c r="AG283" s="26"/>
      <c r="AH283" s="33" t="s">
        <v>1260</v>
      </c>
      <c r="AI283" s="23" t="s">
        <v>811</v>
      </c>
      <c r="AJ283" s="33" t="str">
        <f t="shared" si="4"/>
        <v>PD5D_MB_Moactcseq/samples/ILB_BN1836_MB_MOactcseq_batch14_rep4.h5</v>
      </c>
      <c r="AK283" t="s">
        <v>1290</v>
      </c>
    </row>
    <row r="284" spans="1:37">
      <c r="A284" s="24" t="s">
        <v>1000</v>
      </c>
      <c r="B284" s="24" t="s">
        <v>205</v>
      </c>
      <c r="C284" s="24" t="s">
        <v>205</v>
      </c>
      <c r="D284" s="24" t="s">
        <v>821</v>
      </c>
      <c r="E284" s="24">
        <v>6</v>
      </c>
      <c r="F284" s="24">
        <v>0</v>
      </c>
      <c r="G284" s="24" t="s">
        <v>725</v>
      </c>
      <c r="H284" s="24" t="s">
        <v>668</v>
      </c>
      <c r="I284" s="24" t="s">
        <v>806</v>
      </c>
      <c r="J284" s="24" t="s">
        <v>807</v>
      </c>
      <c r="K284" s="24" t="s">
        <v>807</v>
      </c>
      <c r="L284" s="24" t="s">
        <v>807</v>
      </c>
      <c r="M284" s="24" t="s">
        <v>807</v>
      </c>
      <c r="N284" s="24">
        <v>8</v>
      </c>
      <c r="O284" s="24">
        <v>8</v>
      </c>
      <c r="P284" s="24" t="s">
        <v>808</v>
      </c>
      <c r="Q284" s="25">
        <v>3996</v>
      </c>
      <c r="R284" s="24" t="s">
        <v>809</v>
      </c>
      <c r="S284" s="24" t="s">
        <v>675</v>
      </c>
      <c r="T284" s="24">
        <v>131</v>
      </c>
      <c r="U284" s="24" t="s">
        <v>810</v>
      </c>
      <c r="V284" s="24" t="s">
        <v>807</v>
      </c>
      <c r="W284" s="26"/>
      <c r="X284" s="26"/>
      <c r="Y284" s="26"/>
      <c r="Z284" s="26"/>
      <c r="AA284" s="26"/>
      <c r="AB284" s="26"/>
      <c r="AC284" s="26"/>
      <c r="AD284" s="26"/>
      <c r="AE284" s="26"/>
      <c r="AF284" s="26"/>
      <c r="AG284" s="26"/>
      <c r="AH284" s="33" t="s">
        <v>1260</v>
      </c>
      <c r="AI284" s="23" t="s">
        <v>811</v>
      </c>
      <c r="AJ284" s="33" t="str">
        <f t="shared" si="4"/>
        <v>PD5D_MB_Moactcseq/samples/ILB_BN1836_MB_MOactcseq_batch14_rep5.h5</v>
      </c>
      <c r="AK284" t="s">
        <v>1290</v>
      </c>
    </row>
    <row r="285" spans="1:37">
      <c r="A285" s="24" t="s">
        <v>1001</v>
      </c>
      <c r="B285" s="24" t="s">
        <v>205</v>
      </c>
      <c r="C285" s="24" t="s">
        <v>205</v>
      </c>
      <c r="D285" s="24" t="s">
        <v>823</v>
      </c>
      <c r="E285" s="24">
        <v>6</v>
      </c>
      <c r="F285" s="24">
        <v>0</v>
      </c>
      <c r="G285" s="24" t="s">
        <v>725</v>
      </c>
      <c r="H285" s="24" t="s">
        <v>668</v>
      </c>
      <c r="I285" s="24" t="s">
        <v>806</v>
      </c>
      <c r="J285" s="24" t="s">
        <v>807</v>
      </c>
      <c r="K285" s="24" t="s">
        <v>807</v>
      </c>
      <c r="L285" s="24" t="s">
        <v>807</v>
      </c>
      <c r="M285" s="24" t="s">
        <v>807</v>
      </c>
      <c r="N285" s="24">
        <v>8</v>
      </c>
      <c r="O285" s="24">
        <v>8</v>
      </c>
      <c r="P285" s="24" t="s">
        <v>808</v>
      </c>
      <c r="Q285" s="25">
        <v>3996</v>
      </c>
      <c r="R285" s="24" t="s">
        <v>809</v>
      </c>
      <c r="S285" s="24" t="s">
        <v>675</v>
      </c>
      <c r="T285" s="24">
        <v>131</v>
      </c>
      <c r="U285" s="24" t="s">
        <v>810</v>
      </c>
      <c r="V285" s="24" t="s">
        <v>807</v>
      </c>
      <c r="W285" s="26"/>
      <c r="X285" s="26"/>
      <c r="Y285" s="26"/>
      <c r="Z285" s="26"/>
      <c r="AA285" s="26"/>
      <c r="AB285" s="26"/>
      <c r="AC285" s="26"/>
      <c r="AD285" s="26"/>
      <c r="AE285" s="26"/>
      <c r="AF285" s="26"/>
      <c r="AG285" s="26"/>
      <c r="AH285" s="33" t="s">
        <v>1260</v>
      </c>
      <c r="AI285" s="23" t="s">
        <v>811</v>
      </c>
      <c r="AJ285" s="33" t="str">
        <f t="shared" si="4"/>
        <v>PD5D_MB_Moactcseq/samples/ILB_BN1836_MB_MOactcseq_batch14_rep6.h5</v>
      </c>
      <c r="AK285" t="s">
        <v>1290</v>
      </c>
    </row>
    <row r="286" spans="1:37">
      <c r="A286" s="24" t="s">
        <v>1002</v>
      </c>
      <c r="B286" s="24" t="s">
        <v>211</v>
      </c>
      <c r="C286" s="24" t="s">
        <v>211</v>
      </c>
      <c r="D286" s="24" t="s">
        <v>666</v>
      </c>
      <c r="E286" s="24">
        <v>2</v>
      </c>
      <c r="F286" s="24">
        <v>0</v>
      </c>
      <c r="G286" s="24" t="s">
        <v>692</v>
      </c>
      <c r="H286" s="24" t="s">
        <v>668</v>
      </c>
      <c r="I286" s="24" t="s">
        <v>806</v>
      </c>
      <c r="J286" s="24" t="s">
        <v>807</v>
      </c>
      <c r="K286" s="24" t="s">
        <v>807</v>
      </c>
      <c r="L286" s="24" t="s">
        <v>807</v>
      </c>
      <c r="M286" s="24" t="s">
        <v>807</v>
      </c>
      <c r="N286" s="24">
        <v>9.6</v>
      </c>
      <c r="O286" s="24">
        <v>9.6</v>
      </c>
      <c r="P286" s="24" t="s">
        <v>808</v>
      </c>
      <c r="Q286" s="24">
        <v>4267</v>
      </c>
      <c r="R286" s="24" t="s">
        <v>809</v>
      </c>
      <c r="S286" s="24" t="s">
        <v>675</v>
      </c>
      <c r="T286" s="24">
        <v>131</v>
      </c>
      <c r="U286" s="24" t="s">
        <v>810</v>
      </c>
      <c r="V286" s="24" t="s">
        <v>807</v>
      </c>
      <c r="W286" s="26"/>
      <c r="X286" s="26"/>
      <c r="Y286" s="26"/>
      <c r="Z286" s="26"/>
      <c r="AA286" s="26"/>
      <c r="AB286" s="26"/>
      <c r="AC286" s="26"/>
      <c r="AD286" s="26"/>
      <c r="AE286" s="26"/>
      <c r="AF286" s="26"/>
      <c r="AG286" s="26"/>
      <c r="AH286" s="33" t="s">
        <v>1260</v>
      </c>
      <c r="AI286" s="23" t="s">
        <v>811</v>
      </c>
      <c r="AJ286" s="33" t="str">
        <f t="shared" si="4"/>
        <v>PD5D_MB_Moactcseq/samples/ILB_BN1848_MB_MOactcseq_batch4_rep1.h5</v>
      </c>
      <c r="AK286" t="s">
        <v>1290</v>
      </c>
    </row>
    <row r="287" spans="1:37">
      <c r="A287" s="24" t="s">
        <v>1003</v>
      </c>
      <c r="B287" s="24" t="s">
        <v>211</v>
      </c>
      <c r="C287" s="24" t="s">
        <v>211</v>
      </c>
      <c r="D287" s="24" t="s">
        <v>689</v>
      </c>
      <c r="E287" s="24">
        <v>2</v>
      </c>
      <c r="F287" s="24">
        <v>0</v>
      </c>
      <c r="G287" s="24" t="s">
        <v>692</v>
      </c>
      <c r="H287" s="24" t="s">
        <v>668</v>
      </c>
      <c r="I287" s="24" t="s">
        <v>806</v>
      </c>
      <c r="J287" s="24" t="s">
        <v>807</v>
      </c>
      <c r="K287" s="24" t="s">
        <v>807</v>
      </c>
      <c r="L287" s="24" t="s">
        <v>807</v>
      </c>
      <c r="M287" s="24" t="s">
        <v>807</v>
      </c>
      <c r="N287" s="24">
        <v>9.6</v>
      </c>
      <c r="O287" s="24">
        <v>9.6</v>
      </c>
      <c r="P287" s="24" t="s">
        <v>808</v>
      </c>
      <c r="Q287" s="24">
        <v>4267</v>
      </c>
      <c r="R287" s="24" t="s">
        <v>809</v>
      </c>
      <c r="S287" s="24" t="s">
        <v>675</v>
      </c>
      <c r="T287" s="24">
        <v>131</v>
      </c>
      <c r="U287" s="24" t="s">
        <v>810</v>
      </c>
      <c r="V287" s="24" t="s">
        <v>807</v>
      </c>
      <c r="W287" s="26"/>
      <c r="X287" s="26"/>
      <c r="Y287" s="26"/>
      <c r="Z287" s="26"/>
      <c r="AA287" s="26"/>
      <c r="AB287" s="26"/>
      <c r="AC287" s="26"/>
      <c r="AD287" s="26"/>
      <c r="AE287" s="26"/>
      <c r="AF287" s="26"/>
      <c r="AG287" s="26"/>
      <c r="AH287" s="33" t="s">
        <v>1260</v>
      </c>
      <c r="AI287" s="23" t="s">
        <v>811</v>
      </c>
      <c r="AJ287" s="33" t="str">
        <f t="shared" si="4"/>
        <v>PD5D_MB_Moactcseq/samples/ILB_BN1848_MB_MOactcseq_batch4_rep2.h5</v>
      </c>
      <c r="AK287" t="s">
        <v>1290</v>
      </c>
    </row>
    <row r="288" spans="1:37">
      <c r="A288" s="24" t="s">
        <v>1004</v>
      </c>
      <c r="B288" s="24" t="s">
        <v>213</v>
      </c>
      <c r="C288" s="24" t="s">
        <v>213</v>
      </c>
      <c r="D288" s="24" t="s">
        <v>666</v>
      </c>
      <c r="E288" s="24">
        <v>2</v>
      </c>
      <c r="F288" s="24">
        <v>0</v>
      </c>
      <c r="G288" s="24" t="s">
        <v>692</v>
      </c>
      <c r="H288" s="24" t="s">
        <v>668</v>
      </c>
      <c r="I288" s="24" t="s">
        <v>806</v>
      </c>
      <c r="J288" s="24" t="s">
        <v>807</v>
      </c>
      <c r="K288" s="24" t="s">
        <v>807</v>
      </c>
      <c r="L288" s="24" t="s">
        <v>807</v>
      </c>
      <c r="M288" s="24" t="s">
        <v>807</v>
      </c>
      <c r="N288" s="24">
        <v>8.9</v>
      </c>
      <c r="O288" s="24">
        <v>8.9</v>
      </c>
      <c r="P288" s="24" t="s">
        <v>808</v>
      </c>
      <c r="Q288" s="24">
        <v>2947</v>
      </c>
      <c r="R288" s="24" t="s">
        <v>809</v>
      </c>
      <c r="S288" s="24" t="s">
        <v>675</v>
      </c>
      <c r="T288" s="24">
        <v>131</v>
      </c>
      <c r="U288" s="24" t="s">
        <v>810</v>
      </c>
      <c r="V288" s="24" t="s">
        <v>807</v>
      </c>
      <c r="W288" s="26"/>
      <c r="X288" s="26"/>
      <c r="Y288" s="26"/>
      <c r="Z288" s="26"/>
      <c r="AA288" s="26"/>
      <c r="AB288" s="26"/>
      <c r="AC288" s="26"/>
      <c r="AD288" s="26"/>
      <c r="AE288" s="26"/>
      <c r="AF288" s="26"/>
      <c r="AG288" s="26"/>
      <c r="AH288" s="33" t="s">
        <v>1260</v>
      </c>
      <c r="AI288" s="23" t="s">
        <v>811</v>
      </c>
      <c r="AJ288" s="33" t="str">
        <f t="shared" si="4"/>
        <v>PD5D_MB_Moactcseq/samples/ILB_BN1849_MB_MOactcseq_batch4_rep1.h5</v>
      </c>
      <c r="AK288" t="s">
        <v>1290</v>
      </c>
    </row>
    <row r="289" spans="1:37">
      <c r="A289" s="24" t="s">
        <v>1005</v>
      </c>
      <c r="B289" s="24" t="s">
        <v>213</v>
      </c>
      <c r="C289" s="24" t="s">
        <v>213</v>
      </c>
      <c r="D289" s="24" t="s">
        <v>689</v>
      </c>
      <c r="E289" s="24">
        <v>2</v>
      </c>
      <c r="F289" s="24">
        <v>0</v>
      </c>
      <c r="G289" s="24" t="s">
        <v>692</v>
      </c>
      <c r="H289" s="24" t="s">
        <v>668</v>
      </c>
      <c r="I289" s="24" t="s">
        <v>806</v>
      </c>
      <c r="J289" s="24" t="s">
        <v>807</v>
      </c>
      <c r="K289" s="24" t="s">
        <v>807</v>
      </c>
      <c r="L289" s="24" t="s">
        <v>807</v>
      </c>
      <c r="M289" s="24" t="s">
        <v>807</v>
      </c>
      <c r="N289" s="24">
        <v>8.9</v>
      </c>
      <c r="O289" s="24">
        <v>8.9</v>
      </c>
      <c r="P289" s="24" t="s">
        <v>808</v>
      </c>
      <c r="Q289" s="24">
        <v>2947</v>
      </c>
      <c r="R289" s="24" t="s">
        <v>809</v>
      </c>
      <c r="S289" s="24" t="s">
        <v>675</v>
      </c>
      <c r="T289" s="24">
        <v>131</v>
      </c>
      <c r="U289" s="24" t="s">
        <v>810</v>
      </c>
      <c r="V289" s="24" t="s">
        <v>807</v>
      </c>
      <c r="W289" s="26"/>
      <c r="X289" s="26"/>
      <c r="Y289" s="26"/>
      <c r="Z289" s="26"/>
      <c r="AA289" s="26"/>
      <c r="AB289" s="26"/>
      <c r="AC289" s="26"/>
      <c r="AD289" s="26"/>
      <c r="AE289" s="26"/>
      <c r="AF289" s="26"/>
      <c r="AG289" s="26"/>
      <c r="AH289" s="33" t="s">
        <v>1260</v>
      </c>
      <c r="AI289" s="23" t="s">
        <v>811</v>
      </c>
      <c r="AJ289" s="33" t="str">
        <f t="shared" si="4"/>
        <v>PD5D_MB_Moactcseq/samples/ILB_BN1849_MB_MOactcseq_batch4_rep2.h5</v>
      </c>
      <c r="AK289" t="s">
        <v>1290</v>
      </c>
    </row>
    <row r="290" spans="1:37">
      <c r="A290" s="24" t="s">
        <v>1006</v>
      </c>
      <c r="B290" s="24" t="s">
        <v>217</v>
      </c>
      <c r="C290" s="24" t="s">
        <v>217</v>
      </c>
      <c r="D290" s="24" t="s">
        <v>666</v>
      </c>
      <c r="E290" s="24">
        <v>3</v>
      </c>
      <c r="F290" s="24">
        <v>0</v>
      </c>
      <c r="G290" s="24" t="s">
        <v>692</v>
      </c>
      <c r="H290" s="24" t="s">
        <v>668</v>
      </c>
      <c r="I290" s="24" t="s">
        <v>806</v>
      </c>
      <c r="J290" s="24" t="s">
        <v>807</v>
      </c>
      <c r="K290" s="24" t="s">
        <v>807</v>
      </c>
      <c r="L290" s="24" t="s">
        <v>807</v>
      </c>
      <c r="M290" s="24" t="s">
        <v>807</v>
      </c>
      <c r="N290" s="24">
        <v>9.8000000000000007</v>
      </c>
      <c r="O290" s="24">
        <v>9.8000000000000007</v>
      </c>
      <c r="P290" s="24" t="s">
        <v>808</v>
      </c>
      <c r="Q290" s="24">
        <v>1384</v>
      </c>
      <c r="R290" s="24" t="s">
        <v>809</v>
      </c>
      <c r="S290" s="24" t="s">
        <v>675</v>
      </c>
      <c r="T290" s="24">
        <v>131</v>
      </c>
      <c r="U290" s="24" t="s">
        <v>810</v>
      </c>
      <c r="V290" s="24" t="s">
        <v>807</v>
      </c>
      <c r="W290" s="26"/>
      <c r="X290" s="26"/>
      <c r="Y290" s="26"/>
      <c r="Z290" s="26"/>
      <c r="AA290" s="26"/>
      <c r="AB290" s="26"/>
      <c r="AC290" s="26"/>
      <c r="AD290" s="26"/>
      <c r="AE290" s="26"/>
      <c r="AF290" s="26"/>
      <c r="AG290" s="26"/>
      <c r="AH290" s="33" t="s">
        <v>1260</v>
      </c>
      <c r="AI290" s="23" t="s">
        <v>811</v>
      </c>
      <c r="AJ290" s="33" t="str">
        <f t="shared" si="4"/>
        <v>PD5D_MB_Moactcseq/samples/ILB_BN1862_MB_MOactcseq_batch4_rep1.h5</v>
      </c>
      <c r="AK290" t="s">
        <v>1290</v>
      </c>
    </row>
    <row r="291" spans="1:37">
      <c r="A291" s="24" t="s">
        <v>1007</v>
      </c>
      <c r="B291" s="24" t="s">
        <v>217</v>
      </c>
      <c r="C291" s="24" t="s">
        <v>217</v>
      </c>
      <c r="D291" s="24" t="s">
        <v>689</v>
      </c>
      <c r="E291" s="24">
        <v>3</v>
      </c>
      <c r="F291" s="24">
        <v>0</v>
      </c>
      <c r="G291" s="24" t="s">
        <v>692</v>
      </c>
      <c r="H291" s="24" t="s">
        <v>668</v>
      </c>
      <c r="I291" s="24" t="s">
        <v>806</v>
      </c>
      <c r="J291" s="24" t="s">
        <v>807</v>
      </c>
      <c r="K291" s="24" t="s">
        <v>807</v>
      </c>
      <c r="L291" s="24" t="s">
        <v>807</v>
      </c>
      <c r="M291" s="24" t="s">
        <v>807</v>
      </c>
      <c r="N291" s="24">
        <v>9.8000000000000007</v>
      </c>
      <c r="O291" s="24">
        <v>9.8000000000000007</v>
      </c>
      <c r="P291" s="24" t="s">
        <v>808</v>
      </c>
      <c r="Q291" s="24">
        <v>1384</v>
      </c>
      <c r="R291" s="24" t="s">
        <v>809</v>
      </c>
      <c r="S291" s="24" t="s">
        <v>675</v>
      </c>
      <c r="T291" s="24">
        <v>131</v>
      </c>
      <c r="U291" s="24" t="s">
        <v>810</v>
      </c>
      <c r="V291" s="24" t="s">
        <v>807</v>
      </c>
      <c r="W291" s="26"/>
      <c r="X291" s="26"/>
      <c r="Y291" s="26"/>
      <c r="Z291" s="26"/>
      <c r="AA291" s="26"/>
      <c r="AB291" s="26"/>
      <c r="AC291" s="26"/>
      <c r="AD291" s="26"/>
      <c r="AE291" s="26"/>
      <c r="AF291" s="26"/>
      <c r="AG291" s="26"/>
      <c r="AH291" s="33" t="s">
        <v>1260</v>
      </c>
      <c r="AI291" s="23" t="s">
        <v>811</v>
      </c>
      <c r="AJ291" s="33" t="str">
        <f t="shared" si="4"/>
        <v>PD5D_MB_Moactcseq/samples/ILB_BN1862_MB_MOactcseq_batch4_rep2.h5</v>
      </c>
      <c r="AK291" t="s">
        <v>1290</v>
      </c>
    </row>
    <row r="292" spans="1:37">
      <c r="A292" s="24" t="s">
        <v>1008</v>
      </c>
      <c r="B292" s="24" t="s">
        <v>217</v>
      </c>
      <c r="C292" s="24" t="s">
        <v>217</v>
      </c>
      <c r="D292" s="24" t="s">
        <v>814</v>
      </c>
      <c r="E292" s="24">
        <v>3</v>
      </c>
      <c r="F292" s="24">
        <v>0</v>
      </c>
      <c r="G292" s="24" t="s">
        <v>692</v>
      </c>
      <c r="H292" s="24" t="s">
        <v>668</v>
      </c>
      <c r="I292" s="24" t="s">
        <v>806</v>
      </c>
      <c r="J292" s="24" t="s">
        <v>807</v>
      </c>
      <c r="K292" s="24" t="s">
        <v>807</v>
      </c>
      <c r="L292" s="24" t="s">
        <v>807</v>
      </c>
      <c r="M292" s="24" t="s">
        <v>807</v>
      </c>
      <c r="N292" s="24">
        <v>9.8000000000000007</v>
      </c>
      <c r="O292" s="24">
        <v>9.8000000000000007</v>
      </c>
      <c r="P292" s="24" t="s">
        <v>808</v>
      </c>
      <c r="Q292" s="24">
        <v>1384</v>
      </c>
      <c r="R292" s="24" t="s">
        <v>809</v>
      </c>
      <c r="S292" s="24" t="s">
        <v>675</v>
      </c>
      <c r="T292" s="24">
        <v>131</v>
      </c>
      <c r="U292" s="24" t="s">
        <v>810</v>
      </c>
      <c r="V292" s="24" t="s">
        <v>807</v>
      </c>
      <c r="W292" s="26"/>
      <c r="X292" s="26"/>
      <c r="Y292" s="26"/>
      <c r="Z292" s="26"/>
      <c r="AA292" s="26"/>
      <c r="AB292" s="26"/>
      <c r="AC292" s="26"/>
      <c r="AD292" s="26"/>
      <c r="AE292" s="26"/>
      <c r="AF292" s="26"/>
      <c r="AG292" s="26"/>
      <c r="AH292" s="33" t="s">
        <v>1260</v>
      </c>
      <c r="AI292" s="23" t="s">
        <v>811</v>
      </c>
      <c r="AJ292" s="33" t="str">
        <f t="shared" si="4"/>
        <v>PD5D_MB_Moactcseq/samples/ILB_BN1862_MB_MOactcseq_batch4_rep3.h5</v>
      </c>
      <c r="AK292" t="s">
        <v>1290</v>
      </c>
    </row>
    <row r="293" spans="1:37">
      <c r="A293" s="24" t="s">
        <v>1009</v>
      </c>
      <c r="B293" s="24" t="s">
        <v>227</v>
      </c>
      <c r="C293" s="24" t="s">
        <v>227</v>
      </c>
      <c r="D293" s="24" t="s">
        <v>666</v>
      </c>
      <c r="E293" s="24">
        <v>6</v>
      </c>
      <c r="F293" s="24">
        <v>0</v>
      </c>
      <c r="G293" s="24" t="s">
        <v>718</v>
      </c>
      <c r="H293" s="24" t="s">
        <v>668</v>
      </c>
      <c r="I293" s="24" t="s">
        <v>806</v>
      </c>
      <c r="J293" s="24" t="s">
        <v>807</v>
      </c>
      <c r="K293" s="24" t="s">
        <v>807</v>
      </c>
      <c r="L293" s="24" t="s">
        <v>807</v>
      </c>
      <c r="M293" s="24" t="s">
        <v>807</v>
      </c>
      <c r="N293" s="24">
        <v>8.8000000000000007</v>
      </c>
      <c r="O293" s="24">
        <v>8.8000000000000007</v>
      </c>
      <c r="P293" s="24" t="s">
        <v>808</v>
      </c>
      <c r="Q293" s="25">
        <v>2392</v>
      </c>
      <c r="R293" s="24" t="s">
        <v>809</v>
      </c>
      <c r="S293" s="24" t="s">
        <v>675</v>
      </c>
      <c r="T293" s="24">
        <v>131</v>
      </c>
      <c r="U293" s="24" t="s">
        <v>810</v>
      </c>
      <c r="V293" s="24" t="s">
        <v>807</v>
      </c>
      <c r="W293" s="26"/>
      <c r="X293" s="26"/>
      <c r="Y293" s="26"/>
      <c r="Z293" s="26"/>
      <c r="AA293" s="26"/>
      <c r="AB293" s="26"/>
      <c r="AC293" s="26"/>
      <c r="AD293" s="26"/>
      <c r="AE293" s="26"/>
      <c r="AF293" s="26"/>
      <c r="AG293" s="26"/>
      <c r="AH293" s="33" t="s">
        <v>1260</v>
      </c>
      <c r="AI293" s="23" t="s">
        <v>811</v>
      </c>
      <c r="AJ293" s="33" t="str">
        <f t="shared" si="4"/>
        <v>PD5D_MB_Moactcseq/samples/ILB_BN1910_MB_MOactcseq_batch13_rep1.h5</v>
      </c>
      <c r="AK293" t="s">
        <v>1290</v>
      </c>
    </row>
    <row r="294" spans="1:37">
      <c r="A294" s="24" t="s">
        <v>1010</v>
      </c>
      <c r="B294" s="24" t="s">
        <v>227</v>
      </c>
      <c r="C294" s="24" t="s">
        <v>227</v>
      </c>
      <c r="D294" s="24" t="s">
        <v>689</v>
      </c>
      <c r="E294" s="24">
        <v>6</v>
      </c>
      <c r="F294" s="24">
        <v>0</v>
      </c>
      <c r="G294" s="24" t="s">
        <v>718</v>
      </c>
      <c r="H294" s="24" t="s">
        <v>668</v>
      </c>
      <c r="I294" s="24" t="s">
        <v>806</v>
      </c>
      <c r="J294" s="24" t="s">
        <v>807</v>
      </c>
      <c r="K294" s="24" t="s">
        <v>807</v>
      </c>
      <c r="L294" s="24" t="s">
        <v>807</v>
      </c>
      <c r="M294" s="24" t="s">
        <v>807</v>
      </c>
      <c r="N294" s="24">
        <v>8.8000000000000007</v>
      </c>
      <c r="O294" s="24">
        <v>8.8000000000000007</v>
      </c>
      <c r="P294" s="24" t="s">
        <v>808</v>
      </c>
      <c r="Q294" s="25">
        <v>2392</v>
      </c>
      <c r="R294" s="24" t="s">
        <v>809</v>
      </c>
      <c r="S294" s="24" t="s">
        <v>675</v>
      </c>
      <c r="T294" s="24">
        <v>131</v>
      </c>
      <c r="U294" s="24" t="s">
        <v>810</v>
      </c>
      <c r="V294" s="24" t="s">
        <v>807</v>
      </c>
      <c r="W294" s="26"/>
      <c r="X294" s="26"/>
      <c r="Y294" s="26"/>
      <c r="Z294" s="26"/>
      <c r="AA294" s="26"/>
      <c r="AB294" s="26"/>
      <c r="AC294" s="26"/>
      <c r="AD294" s="26"/>
      <c r="AE294" s="26"/>
      <c r="AF294" s="26"/>
      <c r="AG294" s="26"/>
      <c r="AH294" s="33" t="s">
        <v>1260</v>
      </c>
      <c r="AI294" s="23" t="s">
        <v>811</v>
      </c>
      <c r="AJ294" s="33" t="str">
        <f t="shared" si="4"/>
        <v>PD5D_MB_Moactcseq/samples/ILB_BN1910_MB_MOactcseq_batch13_rep2.h5</v>
      </c>
      <c r="AK294" t="s">
        <v>1290</v>
      </c>
    </row>
    <row r="295" spans="1:37">
      <c r="A295" s="24" t="s">
        <v>1011</v>
      </c>
      <c r="B295" s="24" t="s">
        <v>227</v>
      </c>
      <c r="C295" s="24" t="s">
        <v>227</v>
      </c>
      <c r="D295" s="24" t="s">
        <v>814</v>
      </c>
      <c r="E295" s="24">
        <v>6</v>
      </c>
      <c r="F295" s="24">
        <v>0</v>
      </c>
      <c r="G295" s="24" t="s">
        <v>718</v>
      </c>
      <c r="H295" s="24" t="s">
        <v>668</v>
      </c>
      <c r="I295" s="24" t="s">
        <v>806</v>
      </c>
      <c r="J295" s="24" t="s">
        <v>807</v>
      </c>
      <c r="K295" s="24" t="s">
        <v>807</v>
      </c>
      <c r="L295" s="24" t="s">
        <v>807</v>
      </c>
      <c r="M295" s="24" t="s">
        <v>807</v>
      </c>
      <c r="N295" s="24">
        <v>8.8000000000000007</v>
      </c>
      <c r="O295" s="24">
        <v>8.8000000000000007</v>
      </c>
      <c r="P295" s="24" t="s">
        <v>808</v>
      </c>
      <c r="Q295" s="25">
        <v>2392</v>
      </c>
      <c r="R295" s="24" t="s">
        <v>809</v>
      </c>
      <c r="S295" s="24" t="s">
        <v>675</v>
      </c>
      <c r="T295" s="24">
        <v>131</v>
      </c>
      <c r="U295" s="24" t="s">
        <v>810</v>
      </c>
      <c r="V295" s="24" t="s">
        <v>807</v>
      </c>
      <c r="W295" s="26"/>
      <c r="X295" s="26"/>
      <c r="Y295" s="26"/>
      <c r="Z295" s="26"/>
      <c r="AA295" s="26"/>
      <c r="AB295" s="26"/>
      <c r="AC295" s="26"/>
      <c r="AD295" s="26"/>
      <c r="AE295" s="26"/>
      <c r="AF295" s="26"/>
      <c r="AG295" s="26"/>
      <c r="AH295" s="33" t="s">
        <v>1260</v>
      </c>
      <c r="AI295" s="23" t="s">
        <v>811</v>
      </c>
      <c r="AJ295" s="33" t="str">
        <f t="shared" si="4"/>
        <v>PD5D_MB_Moactcseq/samples/ILB_BN1910_MB_MOactcseq_batch13_rep3.h5</v>
      </c>
      <c r="AK295" t="s">
        <v>1290</v>
      </c>
    </row>
    <row r="296" spans="1:37">
      <c r="A296" s="24" t="s">
        <v>1012</v>
      </c>
      <c r="B296" s="24" t="s">
        <v>227</v>
      </c>
      <c r="C296" s="24" t="s">
        <v>227</v>
      </c>
      <c r="D296" s="24" t="s">
        <v>819</v>
      </c>
      <c r="E296" s="24">
        <v>6</v>
      </c>
      <c r="F296" s="24">
        <v>0</v>
      </c>
      <c r="G296" s="24" t="s">
        <v>718</v>
      </c>
      <c r="H296" s="24" t="s">
        <v>668</v>
      </c>
      <c r="I296" s="24" t="s">
        <v>806</v>
      </c>
      <c r="J296" s="24" t="s">
        <v>807</v>
      </c>
      <c r="K296" s="24" t="s">
        <v>807</v>
      </c>
      <c r="L296" s="24" t="s">
        <v>807</v>
      </c>
      <c r="M296" s="24" t="s">
        <v>807</v>
      </c>
      <c r="N296" s="24">
        <v>8.8000000000000007</v>
      </c>
      <c r="O296" s="24">
        <v>8.8000000000000007</v>
      </c>
      <c r="P296" s="24" t="s">
        <v>808</v>
      </c>
      <c r="Q296" s="25">
        <v>2392</v>
      </c>
      <c r="R296" s="24" t="s">
        <v>809</v>
      </c>
      <c r="S296" s="24" t="s">
        <v>675</v>
      </c>
      <c r="T296" s="24">
        <v>131</v>
      </c>
      <c r="U296" s="24" t="s">
        <v>810</v>
      </c>
      <c r="V296" s="24" t="s">
        <v>807</v>
      </c>
      <c r="W296" s="26"/>
      <c r="X296" s="26"/>
      <c r="Y296" s="26"/>
      <c r="Z296" s="26"/>
      <c r="AA296" s="26"/>
      <c r="AB296" s="26"/>
      <c r="AC296" s="26"/>
      <c r="AD296" s="26"/>
      <c r="AE296" s="26"/>
      <c r="AF296" s="26"/>
      <c r="AG296" s="26"/>
      <c r="AH296" s="33" t="s">
        <v>1260</v>
      </c>
      <c r="AI296" s="23" t="s">
        <v>811</v>
      </c>
      <c r="AJ296" s="33" t="str">
        <f t="shared" si="4"/>
        <v>PD5D_MB_Moactcseq/samples/ILB_BN1910_MB_MOactcseq_batch13_rep4.h5</v>
      </c>
      <c r="AK296" t="s">
        <v>1290</v>
      </c>
    </row>
    <row r="297" spans="1:37">
      <c r="A297" s="24" t="s">
        <v>1013</v>
      </c>
      <c r="B297" s="24" t="s">
        <v>227</v>
      </c>
      <c r="C297" s="24" t="s">
        <v>227</v>
      </c>
      <c r="D297" s="24" t="s">
        <v>821</v>
      </c>
      <c r="E297" s="24">
        <v>6</v>
      </c>
      <c r="F297" s="24">
        <v>0</v>
      </c>
      <c r="G297" s="24" t="s">
        <v>718</v>
      </c>
      <c r="H297" s="24" t="s">
        <v>668</v>
      </c>
      <c r="I297" s="24" t="s">
        <v>806</v>
      </c>
      <c r="J297" s="24" t="s">
        <v>807</v>
      </c>
      <c r="K297" s="24" t="s">
        <v>807</v>
      </c>
      <c r="L297" s="24" t="s">
        <v>807</v>
      </c>
      <c r="M297" s="24" t="s">
        <v>807</v>
      </c>
      <c r="N297" s="24">
        <v>8.8000000000000007</v>
      </c>
      <c r="O297" s="24">
        <v>8.8000000000000007</v>
      </c>
      <c r="P297" s="24" t="s">
        <v>808</v>
      </c>
      <c r="Q297" s="25">
        <v>2392</v>
      </c>
      <c r="R297" s="24" t="s">
        <v>809</v>
      </c>
      <c r="S297" s="24" t="s">
        <v>675</v>
      </c>
      <c r="T297" s="24">
        <v>131</v>
      </c>
      <c r="U297" s="24" t="s">
        <v>810</v>
      </c>
      <c r="V297" s="24" t="s">
        <v>807</v>
      </c>
      <c r="W297" s="26"/>
      <c r="X297" s="26"/>
      <c r="Y297" s="26"/>
      <c r="Z297" s="26"/>
      <c r="AA297" s="26"/>
      <c r="AB297" s="26"/>
      <c r="AC297" s="26"/>
      <c r="AD297" s="26"/>
      <c r="AE297" s="26"/>
      <c r="AF297" s="26"/>
      <c r="AG297" s="26"/>
      <c r="AH297" s="33" t="s">
        <v>1260</v>
      </c>
      <c r="AI297" s="23" t="s">
        <v>811</v>
      </c>
      <c r="AJ297" s="33" t="str">
        <f t="shared" si="4"/>
        <v>PD5D_MB_Moactcseq/samples/ILB_BN1910_MB_MOactcseq_batch13_rep5.h5</v>
      </c>
      <c r="AK297" t="s">
        <v>1290</v>
      </c>
    </row>
    <row r="298" spans="1:37">
      <c r="A298" s="24" t="s">
        <v>1014</v>
      </c>
      <c r="B298" s="24" t="s">
        <v>227</v>
      </c>
      <c r="C298" s="24" t="s">
        <v>227</v>
      </c>
      <c r="D298" s="24" t="s">
        <v>823</v>
      </c>
      <c r="E298" s="24">
        <v>6</v>
      </c>
      <c r="F298" s="24">
        <v>0</v>
      </c>
      <c r="G298" s="24" t="s">
        <v>718</v>
      </c>
      <c r="H298" s="24" t="s">
        <v>668</v>
      </c>
      <c r="I298" s="24" t="s">
        <v>806</v>
      </c>
      <c r="J298" s="24" t="s">
        <v>807</v>
      </c>
      <c r="K298" s="24" t="s">
        <v>807</v>
      </c>
      <c r="L298" s="24" t="s">
        <v>807</v>
      </c>
      <c r="M298" s="24" t="s">
        <v>807</v>
      </c>
      <c r="N298" s="24">
        <v>8.8000000000000007</v>
      </c>
      <c r="O298" s="24">
        <v>8.8000000000000007</v>
      </c>
      <c r="P298" s="24" t="s">
        <v>808</v>
      </c>
      <c r="Q298" s="25">
        <v>2392</v>
      </c>
      <c r="R298" s="24" t="s">
        <v>809</v>
      </c>
      <c r="S298" s="24" t="s">
        <v>675</v>
      </c>
      <c r="T298" s="24">
        <v>131</v>
      </c>
      <c r="U298" s="24" t="s">
        <v>810</v>
      </c>
      <c r="V298" s="24" t="s">
        <v>807</v>
      </c>
      <c r="W298" s="26"/>
      <c r="X298" s="26"/>
      <c r="Y298" s="26"/>
      <c r="Z298" s="26"/>
      <c r="AA298" s="26"/>
      <c r="AB298" s="26"/>
      <c r="AC298" s="26"/>
      <c r="AD298" s="26"/>
      <c r="AE298" s="26"/>
      <c r="AF298" s="26"/>
      <c r="AG298" s="26"/>
      <c r="AH298" s="33" t="s">
        <v>1260</v>
      </c>
      <c r="AI298" s="23" t="s">
        <v>811</v>
      </c>
      <c r="AJ298" s="33" t="str">
        <f t="shared" si="4"/>
        <v>PD5D_MB_Moactcseq/samples/ILB_BN1910_MB_MOactcseq_batch13_rep6.h5</v>
      </c>
      <c r="AK298" t="s">
        <v>1290</v>
      </c>
    </row>
    <row r="299" spans="1:37">
      <c r="A299" s="24" t="s">
        <v>1015</v>
      </c>
      <c r="B299" s="24" t="s">
        <v>231</v>
      </c>
      <c r="C299" s="24" t="s">
        <v>231</v>
      </c>
      <c r="D299" s="24" t="s">
        <v>666</v>
      </c>
      <c r="E299" s="24">
        <v>1</v>
      </c>
      <c r="F299" s="24">
        <v>0</v>
      </c>
      <c r="G299" s="24" t="s">
        <v>694</v>
      </c>
      <c r="H299" s="24" t="s">
        <v>668</v>
      </c>
      <c r="I299" s="24" t="s">
        <v>806</v>
      </c>
      <c r="J299" s="24" t="s">
        <v>807</v>
      </c>
      <c r="K299" s="24" t="s">
        <v>807</v>
      </c>
      <c r="L299" s="24" t="s">
        <v>807</v>
      </c>
      <c r="M299" s="24" t="s">
        <v>807</v>
      </c>
      <c r="N299" s="24">
        <v>9.4</v>
      </c>
      <c r="O299" s="24">
        <v>9.4</v>
      </c>
      <c r="P299" s="24" t="s">
        <v>808</v>
      </c>
      <c r="Q299" s="25">
        <v>3527</v>
      </c>
      <c r="R299" s="24" t="s">
        <v>809</v>
      </c>
      <c r="S299" s="24" t="s">
        <v>675</v>
      </c>
      <c r="T299" s="24">
        <v>131</v>
      </c>
      <c r="U299" s="24" t="s">
        <v>810</v>
      </c>
      <c r="V299" s="24" t="s">
        <v>807</v>
      </c>
      <c r="W299" s="26"/>
      <c r="X299" s="26"/>
      <c r="Y299" s="26"/>
      <c r="Z299" s="26"/>
      <c r="AA299" s="26"/>
      <c r="AB299" s="26"/>
      <c r="AC299" s="26"/>
      <c r="AD299" s="26"/>
      <c r="AE299" s="26"/>
      <c r="AF299" s="26"/>
      <c r="AG299" s="26"/>
      <c r="AH299" s="33" t="s">
        <v>1260</v>
      </c>
      <c r="AI299" s="23" t="s">
        <v>811</v>
      </c>
      <c r="AJ299" s="33" t="str">
        <f t="shared" si="4"/>
        <v>PD5D_MB_Moactcseq/samples/ILB_BN1939_MB_MOactcseq_batch3_rep1.h5</v>
      </c>
      <c r="AK299" t="s">
        <v>1290</v>
      </c>
    </row>
    <row r="300" spans="1:37">
      <c r="A300" s="24" t="s">
        <v>1016</v>
      </c>
      <c r="B300" s="24" t="s">
        <v>239</v>
      </c>
      <c r="C300" s="24" t="s">
        <v>239</v>
      </c>
      <c r="D300" s="24" t="s">
        <v>666</v>
      </c>
      <c r="E300" s="24">
        <v>6</v>
      </c>
      <c r="F300" s="24">
        <v>0</v>
      </c>
      <c r="G300" s="24" t="s">
        <v>718</v>
      </c>
      <c r="H300" s="24" t="s">
        <v>668</v>
      </c>
      <c r="I300" s="24" t="s">
        <v>806</v>
      </c>
      <c r="J300" s="24" t="s">
        <v>807</v>
      </c>
      <c r="K300" s="24" t="s">
        <v>807</v>
      </c>
      <c r="L300" s="24" t="s">
        <v>807</v>
      </c>
      <c r="M300" s="24" t="s">
        <v>807</v>
      </c>
      <c r="N300" s="24">
        <v>9</v>
      </c>
      <c r="O300" s="24">
        <v>9</v>
      </c>
      <c r="P300" s="24" t="s">
        <v>808</v>
      </c>
      <c r="Q300" s="25">
        <v>1757</v>
      </c>
      <c r="R300" s="24" t="s">
        <v>809</v>
      </c>
      <c r="S300" s="24" t="s">
        <v>675</v>
      </c>
      <c r="T300" s="24">
        <v>131</v>
      </c>
      <c r="U300" s="24" t="s">
        <v>810</v>
      </c>
      <c r="V300" s="24" t="s">
        <v>807</v>
      </c>
      <c r="W300" s="26"/>
      <c r="X300" s="26"/>
      <c r="Y300" s="26"/>
      <c r="Z300" s="26"/>
      <c r="AA300" s="26"/>
      <c r="AB300" s="26"/>
      <c r="AC300" s="26"/>
      <c r="AD300" s="26"/>
      <c r="AE300" s="26"/>
      <c r="AF300" s="26"/>
      <c r="AG300" s="26"/>
      <c r="AH300" s="33" t="s">
        <v>1260</v>
      </c>
      <c r="AI300" s="23" t="s">
        <v>811</v>
      </c>
      <c r="AJ300" s="33" t="str">
        <f t="shared" si="4"/>
        <v>PD5D_MB_Moactcseq/samples/ILB_BN1974_MB_MOactcseq_batch13_rep1.h5</v>
      </c>
      <c r="AK300" t="s">
        <v>1290</v>
      </c>
    </row>
    <row r="301" spans="1:37">
      <c r="A301" s="24" t="s">
        <v>1017</v>
      </c>
      <c r="B301" s="24" t="s">
        <v>239</v>
      </c>
      <c r="C301" s="24" t="s">
        <v>239</v>
      </c>
      <c r="D301" s="24" t="s">
        <v>689</v>
      </c>
      <c r="E301" s="24">
        <v>6</v>
      </c>
      <c r="F301" s="24">
        <v>0</v>
      </c>
      <c r="G301" s="24" t="s">
        <v>718</v>
      </c>
      <c r="H301" s="24" t="s">
        <v>668</v>
      </c>
      <c r="I301" s="24" t="s">
        <v>806</v>
      </c>
      <c r="J301" s="24" t="s">
        <v>807</v>
      </c>
      <c r="K301" s="24" t="s">
        <v>807</v>
      </c>
      <c r="L301" s="24" t="s">
        <v>807</v>
      </c>
      <c r="M301" s="24" t="s">
        <v>807</v>
      </c>
      <c r="N301" s="24">
        <v>9</v>
      </c>
      <c r="O301" s="24">
        <v>9</v>
      </c>
      <c r="P301" s="24" t="s">
        <v>808</v>
      </c>
      <c r="Q301" s="25">
        <v>1757</v>
      </c>
      <c r="R301" s="24" t="s">
        <v>809</v>
      </c>
      <c r="S301" s="24" t="s">
        <v>675</v>
      </c>
      <c r="T301" s="24">
        <v>131</v>
      </c>
      <c r="U301" s="24" t="s">
        <v>810</v>
      </c>
      <c r="V301" s="24" t="s">
        <v>807</v>
      </c>
      <c r="W301" s="26"/>
      <c r="X301" s="26"/>
      <c r="Y301" s="26"/>
      <c r="Z301" s="26"/>
      <c r="AA301" s="26"/>
      <c r="AB301" s="26"/>
      <c r="AC301" s="26"/>
      <c r="AD301" s="26"/>
      <c r="AE301" s="26"/>
      <c r="AF301" s="26"/>
      <c r="AG301" s="26"/>
      <c r="AH301" s="33" t="s">
        <v>1260</v>
      </c>
      <c r="AI301" s="23" t="s">
        <v>811</v>
      </c>
      <c r="AJ301" s="33" t="str">
        <f t="shared" si="4"/>
        <v>PD5D_MB_Moactcseq/samples/ILB_BN1974_MB_MOactcseq_batch13_rep2.h5</v>
      </c>
      <c r="AK301" t="s">
        <v>1290</v>
      </c>
    </row>
    <row r="302" spans="1:37">
      <c r="A302" s="24" t="s">
        <v>1018</v>
      </c>
      <c r="B302" s="24" t="s">
        <v>239</v>
      </c>
      <c r="C302" s="24" t="s">
        <v>239</v>
      </c>
      <c r="D302" s="24" t="s">
        <v>814</v>
      </c>
      <c r="E302" s="24">
        <v>6</v>
      </c>
      <c r="F302" s="24">
        <v>0</v>
      </c>
      <c r="G302" s="24" t="s">
        <v>718</v>
      </c>
      <c r="H302" s="24" t="s">
        <v>668</v>
      </c>
      <c r="I302" s="24" t="s">
        <v>806</v>
      </c>
      <c r="J302" s="24" t="s">
        <v>807</v>
      </c>
      <c r="K302" s="24" t="s">
        <v>807</v>
      </c>
      <c r="L302" s="24" t="s">
        <v>807</v>
      </c>
      <c r="M302" s="24" t="s">
        <v>807</v>
      </c>
      <c r="N302" s="24">
        <v>9</v>
      </c>
      <c r="O302" s="24">
        <v>9</v>
      </c>
      <c r="P302" s="24" t="s">
        <v>808</v>
      </c>
      <c r="Q302" s="25">
        <v>1757</v>
      </c>
      <c r="R302" s="24" t="s">
        <v>809</v>
      </c>
      <c r="S302" s="24" t="s">
        <v>675</v>
      </c>
      <c r="T302" s="24">
        <v>131</v>
      </c>
      <c r="U302" s="24" t="s">
        <v>810</v>
      </c>
      <c r="V302" s="24" t="s">
        <v>807</v>
      </c>
      <c r="W302" s="26"/>
      <c r="X302" s="26"/>
      <c r="Y302" s="26"/>
      <c r="Z302" s="26"/>
      <c r="AA302" s="26"/>
      <c r="AB302" s="26"/>
      <c r="AC302" s="26"/>
      <c r="AD302" s="26"/>
      <c r="AE302" s="26"/>
      <c r="AF302" s="26"/>
      <c r="AG302" s="26"/>
      <c r="AH302" s="33" t="s">
        <v>1260</v>
      </c>
      <c r="AI302" s="23" t="s">
        <v>811</v>
      </c>
      <c r="AJ302" s="33" t="str">
        <f t="shared" si="4"/>
        <v>PD5D_MB_Moactcseq/samples/ILB_BN1974_MB_MOactcseq_batch13_rep3.h5</v>
      </c>
      <c r="AK302" t="s">
        <v>1290</v>
      </c>
    </row>
    <row r="303" spans="1:37">
      <c r="A303" s="24" t="s">
        <v>1019</v>
      </c>
      <c r="B303" s="24" t="s">
        <v>239</v>
      </c>
      <c r="C303" s="24" t="s">
        <v>239</v>
      </c>
      <c r="D303" s="24" t="s">
        <v>819</v>
      </c>
      <c r="E303" s="24">
        <v>6</v>
      </c>
      <c r="F303" s="24">
        <v>0</v>
      </c>
      <c r="G303" s="24" t="s">
        <v>718</v>
      </c>
      <c r="H303" s="24" t="s">
        <v>668</v>
      </c>
      <c r="I303" s="24" t="s">
        <v>806</v>
      </c>
      <c r="J303" s="24" t="s">
        <v>807</v>
      </c>
      <c r="K303" s="24" t="s">
        <v>807</v>
      </c>
      <c r="L303" s="24" t="s">
        <v>807</v>
      </c>
      <c r="M303" s="24" t="s">
        <v>807</v>
      </c>
      <c r="N303" s="24">
        <v>9</v>
      </c>
      <c r="O303" s="24">
        <v>9</v>
      </c>
      <c r="P303" s="24" t="s">
        <v>808</v>
      </c>
      <c r="Q303" s="25">
        <v>1757</v>
      </c>
      <c r="R303" s="24" t="s">
        <v>809</v>
      </c>
      <c r="S303" s="24" t="s">
        <v>675</v>
      </c>
      <c r="T303" s="24">
        <v>131</v>
      </c>
      <c r="U303" s="24" t="s">
        <v>810</v>
      </c>
      <c r="V303" s="24" t="s">
        <v>807</v>
      </c>
      <c r="W303" s="26"/>
      <c r="X303" s="26"/>
      <c r="Y303" s="26"/>
      <c r="Z303" s="26"/>
      <c r="AA303" s="26"/>
      <c r="AB303" s="26"/>
      <c r="AC303" s="26"/>
      <c r="AD303" s="26"/>
      <c r="AE303" s="26"/>
      <c r="AF303" s="26"/>
      <c r="AG303" s="26"/>
      <c r="AH303" s="33" t="s">
        <v>1260</v>
      </c>
      <c r="AI303" s="23" t="s">
        <v>811</v>
      </c>
      <c r="AJ303" s="33" t="str">
        <f t="shared" si="4"/>
        <v>PD5D_MB_Moactcseq/samples/ILB_BN1974_MB_MOactcseq_batch13_rep4.h5</v>
      </c>
      <c r="AK303" t="s">
        <v>1290</v>
      </c>
    </row>
    <row r="304" spans="1:37">
      <c r="A304" s="24" t="s">
        <v>1020</v>
      </c>
      <c r="B304" s="24" t="s">
        <v>239</v>
      </c>
      <c r="C304" s="24" t="s">
        <v>239</v>
      </c>
      <c r="D304" s="24" t="s">
        <v>821</v>
      </c>
      <c r="E304" s="24">
        <v>6</v>
      </c>
      <c r="F304" s="24">
        <v>0</v>
      </c>
      <c r="G304" s="24" t="s">
        <v>718</v>
      </c>
      <c r="H304" s="24" t="s">
        <v>668</v>
      </c>
      <c r="I304" s="24" t="s">
        <v>806</v>
      </c>
      <c r="J304" s="24" t="s">
        <v>807</v>
      </c>
      <c r="K304" s="24" t="s">
        <v>807</v>
      </c>
      <c r="L304" s="24" t="s">
        <v>807</v>
      </c>
      <c r="M304" s="24" t="s">
        <v>807</v>
      </c>
      <c r="N304" s="24">
        <v>9</v>
      </c>
      <c r="O304" s="24">
        <v>9</v>
      </c>
      <c r="P304" s="24" t="s">
        <v>808</v>
      </c>
      <c r="Q304" s="25">
        <v>1757</v>
      </c>
      <c r="R304" s="24" t="s">
        <v>809</v>
      </c>
      <c r="S304" s="24" t="s">
        <v>675</v>
      </c>
      <c r="T304" s="24">
        <v>131</v>
      </c>
      <c r="U304" s="24" t="s">
        <v>810</v>
      </c>
      <c r="V304" s="24" t="s">
        <v>807</v>
      </c>
      <c r="W304" s="26"/>
      <c r="X304" s="26"/>
      <c r="Y304" s="26"/>
      <c r="Z304" s="26"/>
      <c r="AA304" s="26"/>
      <c r="AB304" s="26"/>
      <c r="AC304" s="26"/>
      <c r="AD304" s="26"/>
      <c r="AE304" s="26"/>
      <c r="AF304" s="26"/>
      <c r="AG304" s="26"/>
      <c r="AH304" s="33" t="s">
        <v>1260</v>
      </c>
      <c r="AI304" s="23" t="s">
        <v>811</v>
      </c>
      <c r="AJ304" s="33" t="str">
        <f t="shared" si="4"/>
        <v>PD5D_MB_Moactcseq/samples/ILB_BN1974_MB_MOactcseq_batch13_rep5.h5</v>
      </c>
      <c r="AK304" t="s">
        <v>1290</v>
      </c>
    </row>
    <row r="305" spans="1:37">
      <c r="A305" s="24" t="s">
        <v>1021</v>
      </c>
      <c r="B305" s="24" t="s">
        <v>239</v>
      </c>
      <c r="C305" s="24" t="s">
        <v>239</v>
      </c>
      <c r="D305" s="24" t="s">
        <v>823</v>
      </c>
      <c r="E305" s="24">
        <v>6</v>
      </c>
      <c r="F305" s="24">
        <v>0</v>
      </c>
      <c r="G305" s="24" t="s">
        <v>718</v>
      </c>
      <c r="H305" s="24" t="s">
        <v>668</v>
      </c>
      <c r="I305" s="24" t="s">
        <v>806</v>
      </c>
      <c r="J305" s="24" t="s">
        <v>807</v>
      </c>
      <c r="K305" s="24" t="s">
        <v>807</v>
      </c>
      <c r="L305" s="24" t="s">
        <v>807</v>
      </c>
      <c r="M305" s="24" t="s">
        <v>807</v>
      </c>
      <c r="N305" s="24">
        <v>9</v>
      </c>
      <c r="O305" s="24">
        <v>9</v>
      </c>
      <c r="P305" s="24" t="s">
        <v>808</v>
      </c>
      <c r="Q305" s="25">
        <v>1757</v>
      </c>
      <c r="R305" s="24" t="s">
        <v>809</v>
      </c>
      <c r="S305" s="24" t="s">
        <v>675</v>
      </c>
      <c r="T305" s="24">
        <v>131</v>
      </c>
      <c r="U305" s="24" t="s">
        <v>810</v>
      </c>
      <c r="V305" s="24" t="s">
        <v>807</v>
      </c>
      <c r="W305" s="26"/>
      <c r="X305" s="26"/>
      <c r="Y305" s="26"/>
      <c r="Z305" s="26"/>
      <c r="AA305" s="26"/>
      <c r="AB305" s="26"/>
      <c r="AC305" s="26"/>
      <c r="AD305" s="26"/>
      <c r="AE305" s="26"/>
      <c r="AF305" s="26"/>
      <c r="AG305" s="26"/>
      <c r="AH305" s="33" t="s">
        <v>1260</v>
      </c>
      <c r="AI305" s="23" t="s">
        <v>811</v>
      </c>
      <c r="AJ305" s="33" t="str">
        <f t="shared" si="4"/>
        <v>PD5D_MB_Moactcseq/samples/ILB_BN1974_MB_MOactcseq_batch13_rep6.h5</v>
      </c>
      <c r="AK305" t="s">
        <v>1290</v>
      </c>
    </row>
    <row r="306" spans="1:37">
      <c r="A306" s="24" t="s">
        <v>1022</v>
      </c>
      <c r="B306" s="24" t="s">
        <v>243</v>
      </c>
      <c r="C306" s="24" t="s">
        <v>243</v>
      </c>
      <c r="D306" s="24" t="s">
        <v>666</v>
      </c>
      <c r="E306" s="24">
        <v>6</v>
      </c>
      <c r="F306" s="24">
        <v>0</v>
      </c>
      <c r="G306" s="24" t="s">
        <v>718</v>
      </c>
      <c r="H306" s="24" t="s">
        <v>668</v>
      </c>
      <c r="I306" s="24" t="s">
        <v>806</v>
      </c>
      <c r="J306" s="24" t="s">
        <v>807</v>
      </c>
      <c r="K306" s="24" t="s">
        <v>807</v>
      </c>
      <c r="L306" s="24" t="s">
        <v>807</v>
      </c>
      <c r="M306" s="24" t="s">
        <v>807</v>
      </c>
      <c r="N306" s="24">
        <v>7.3</v>
      </c>
      <c r="O306" s="24">
        <v>7.3</v>
      </c>
      <c r="P306" s="24" t="s">
        <v>808</v>
      </c>
      <c r="Q306" s="25">
        <v>6461</v>
      </c>
      <c r="R306" s="24" t="s">
        <v>809</v>
      </c>
      <c r="S306" s="24" t="s">
        <v>675</v>
      </c>
      <c r="T306" s="24">
        <v>131</v>
      </c>
      <c r="U306" s="24" t="s">
        <v>810</v>
      </c>
      <c r="V306" s="24" t="s">
        <v>807</v>
      </c>
      <c r="W306" s="26"/>
      <c r="X306" s="26"/>
      <c r="Y306" s="26"/>
      <c r="Z306" s="26"/>
      <c r="AA306" s="26"/>
      <c r="AB306" s="26"/>
      <c r="AC306" s="26"/>
      <c r="AD306" s="26"/>
      <c r="AE306" s="26"/>
      <c r="AF306" s="26"/>
      <c r="AG306" s="26"/>
      <c r="AH306" s="33" t="s">
        <v>1260</v>
      </c>
      <c r="AI306" s="23" t="s">
        <v>811</v>
      </c>
      <c r="AJ306" s="33" t="str">
        <f t="shared" si="4"/>
        <v>PD5D_MB_Moactcseq/samples/ILB_BN2015_MB_MOactcseq_batch13_rep1.h5</v>
      </c>
      <c r="AK306" t="s">
        <v>1290</v>
      </c>
    </row>
    <row r="307" spans="1:37">
      <c r="A307" s="24" t="s">
        <v>1023</v>
      </c>
      <c r="B307" s="24" t="s">
        <v>243</v>
      </c>
      <c r="C307" s="24" t="s">
        <v>243</v>
      </c>
      <c r="D307" s="24" t="s">
        <v>689</v>
      </c>
      <c r="E307" s="24">
        <v>6</v>
      </c>
      <c r="F307" s="24">
        <v>0</v>
      </c>
      <c r="G307" s="24" t="s">
        <v>718</v>
      </c>
      <c r="H307" s="24" t="s">
        <v>668</v>
      </c>
      <c r="I307" s="24" t="s">
        <v>806</v>
      </c>
      <c r="J307" s="24" t="s">
        <v>807</v>
      </c>
      <c r="K307" s="24" t="s">
        <v>807</v>
      </c>
      <c r="L307" s="24" t="s">
        <v>807</v>
      </c>
      <c r="M307" s="24" t="s">
        <v>807</v>
      </c>
      <c r="N307" s="24">
        <v>7.3</v>
      </c>
      <c r="O307" s="24">
        <v>7.3</v>
      </c>
      <c r="P307" s="24" t="s">
        <v>808</v>
      </c>
      <c r="Q307" s="25">
        <v>6461</v>
      </c>
      <c r="R307" s="24" t="s">
        <v>809</v>
      </c>
      <c r="S307" s="24" t="s">
        <v>675</v>
      </c>
      <c r="T307" s="24">
        <v>131</v>
      </c>
      <c r="U307" s="24" t="s">
        <v>810</v>
      </c>
      <c r="V307" s="24" t="s">
        <v>807</v>
      </c>
      <c r="W307" s="26"/>
      <c r="X307" s="26"/>
      <c r="Y307" s="26"/>
      <c r="Z307" s="26"/>
      <c r="AA307" s="26"/>
      <c r="AB307" s="26"/>
      <c r="AC307" s="26"/>
      <c r="AD307" s="26"/>
      <c r="AE307" s="26"/>
      <c r="AF307" s="26"/>
      <c r="AG307" s="26"/>
      <c r="AH307" s="33" t="s">
        <v>1260</v>
      </c>
      <c r="AI307" s="23" t="s">
        <v>811</v>
      </c>
      <c r="AJ307" s="33" t="str">
        <f t="shared" si="4"/>
        <v>PD5D_MB_Moactcseq/samples/ILB_BN2015_MB_MOactcseq_batch13_rep2.h5</v>
      </c>
      <c r="AK307" t="s">
        <v>1290</v>
      </c>
    </row>
    <row r="308" spans="1:37">
      <c r="A308" s="24" t="s">
        <v>1024</v>
      </c>
      <c r="B308" s="24" t="s">
        <v>243</v>
      </c>
      <c r="C308" s="24" t="s">
        <v>243</v>
      </c>
      <c r="D308" s="24" t="s">
        <v>814</v>
      </c>
      <c r="E308" s="24">
        <v>6</v>
      </c>
      <c r="F308" s="24">
        <v>0</v>
      </c>
      <c r="G308" s="24" t="s">
        <v>718</v>
      </c>
      <c r="H308" s="24" t="s">
        <v>668</v>
      </c>
      <c r="I308" s="24" t="s">
        <v>806</v>
      </c>
      <c r="J308" s="24" t="s">
        <v>807</v>
      </c>
      <c r="K308" s="24" t="s">
        <v>807</v>
      </c>
      <c r="L308" s="24" t="s">
        <v>807</v>
      </c>
      <c r="M308" s="24" t="s">
        <v>807</v>
      </c>
      <c r="N308" s="24">
        <v>7.3</v>
      </c>
      <c r="O308" s="24">
        <v>7.3</v>
      </c>
      <c r="P308" s="24" t="s">
        <v>808</v>
      </c>
      <c r="Q308" s="25">
        <v>6461</v>
      </c>
      <c r="R308" s="24" t="s">
        <v>809</v>
      </c>
      <c r="S308" s="24" t="s">
        <v>675</v>
      </c>
      <c r="T308" s="24">
        <v>131</v>
      </c>
      <c r="U308" s="24" t="s">
        <v>810</v>
      </c>
      <c r="V308" s="24" t="s">
        <v>807</v>
      </c>
      <c r="W308" s="26"/>
      <c r="X308" s="26"/>
      <c r="Y308" s="26"/>
      <c r="Z308" s="26"/>
      <c r="AA308" s="26"/>
      <c r="AB308" s="26"/>
      <c r="AC308" s="26"/>
      <c r="AD308" s="26"/>
      <c r="AE308" s="26"/>
      <c r="AF308" s="26"/>
      <c r="AG308" s="26"/>
      <c r="AH308" s="33" t="s">
        <v>1260</v>
      </c>
      <c r="AI308" s="23" t="s">
        <v>811</v>
      </c>
      <c r="AJ308" s="33" t="str">
        <f t="shared" si="4"/>
        <v>PD5D_MB_Moactcseq/samples/ILB_BN2015_MB_MOactcseq_batch13_rep3.h5</v>
      </c>
      <c r="AK308" t="s">
        <v>1290</v>
      </c>
    </row>
    <row r="309" spans="1:37">
      <c r="A309" s="24" t="s">
        <v>1025</v>
      </c>
      <c r="B309" s="24" t="s">
        <v>243</v>
      </c>
      <c r="C309" s="24" t="s">
        <v>243</v>
      </c>
      <c r="D309" s="24" t="s">
        <v>819</v>
      </c>
      <c r="E309" s="24">
        <v>6</v>
      </c>
      <c r="F309" s="24">
        <v>0</v>
      </c>
      <c r="G309" s="24" t="s">
        <v>718</v>
      </c>
      <c r="H309" s="24" t="s">
        <v>668</v>
      </c>
      <c r="I309" s="24" t="s">
        <v>806</v>
      </c>
      <c r="J309" s="24" t="s">
        <v>807</v>
      </c>
      <c r="K309" s="24" t="s">
        <v>807</v>
      </c>
      <c r="L309" s="24" t="s">
        <v>807</v>
      </c>
      <c r="M309" s="24" t="s">
        <v>807</v>
      </c>
      <c r="N309" s="24">
        <v>7.3</v>
      </c>
      <c r="O309" s="24">
        <v>7.3</v>
      </c>
      <c r="P309" s="24" t="s">
        <v>808</v>
      </c>
      <c r="Q309" s="25">
        <v>6461</v>
      </c>
      <c r="R309" s="24" t="s">
        <v>809</v>
      </c>
      <c r="S309" s="24" t="s">
        <v>675</v>
      </c>
      <c r="T309" s="24">
        <v>131</v>
      </c>
      <c r="U309" s="24" t="s">
        <v>810</v>
      </c>
      <c r="V309" s="24" t="s">
        <v>807</v>
      </c>
      <c r="W309" s="26"/>
      <c r="X309" s="26"/>
      <c r="Y309" s="26"/>
      <c r="Z309" s="26"/>
      <c r="AA309" s="26"/>
      <c r="AB309" s="26"/>
      <c r="AC309" s="26"/>
      <c r="AD309" s="26"/>
      <c r="AE309" s="26"/>
      <c r="AF309" s="26"/>
      <c r="AG309" s="26"/>
      <c r="AH309" s="33" t="s">
        <v>1260</v>
      </c>
      <c r="AI309" s="23" t="s">
        <v>811</v>
      </c>
      <c r="AJ309" s="33" t="str">
        <f t="shared" si="4"/>
        <v>PD5D_MB_Moactcseq/samples/ILB_BN2015_MB_MOactcseq_batch13_rep4.h5</v>
      </c>
      <c r="AK309" t="s">
        <v>1290</v>
      </c>
    </row>
    <row r="310" spans="1:37">
      <c r="A310" s="24" t="s">
        <v>1026</v>
      </c>
      <c r="B310" s="24" t="s">
        <v>243</v>
      </c>
      <c r="C310" s="24" t="s">
        <v>243</v>
      </c>
      <c r="D310" s="24" t="s">
        <v>821</v>
      </c>
      <c r="E310" s="24">
        <v>6</v>
      </c>
      <c r="F310" s="24">
        <v>0</v>
      </c>
      <c r="G310" s="24" t="s">
        <v>718</v>
      </c>
      <c r="H310" s="24" t="s">
        <v>668</v>
      </c>
      <c r="I310" s="24" t="s">
        <v>806</v>
      </c>
      <c r="J310" s="24" t="s">
        <v>807</v>
      </c>
      <c r="K310" s="24" t="s">
        <v>807</v>
      </c>
      <c r="L310" s="24" t="s">
        <v>807</v>
      </c>
      <c r="M310" s="24" t="s">
        <v>807</v>
      </c>
      <c r="N310" s="24">
        <v>7.3</v>
      </c>
      <c r="O310" s="24">
        <v>7.3</v>
      </c>
      <c r="P310" s="24" t="s">
        <v>808</v>
      </c>
      <c r="Q310" s="25">
        <v>6461</v>
      </c>
      <c r="R310" s="24" t="s">
        <v>809</v>
      </c>
      <c r="S310" s="24" t="s">
        <v>675</v>
      </c>
      <c r="T310" s="24">
        <v>131</v>
      </c>
      <c r="U310" s="24" t="s">
        <v>810</v>
      </c>
      <c r="V310" s="24" t="s">
        <v>807</v>
      </c>
      <c r="W310" s="26"/>
      <c r="X310" s="26"/>
      <c r="Y310" s="26"/>
      <c r="Z310" s="26"/>
      <c r="AA310" s="26"/>
      <c r="AB310" s="26"/>
      <c r="AC310" s="26"/>
      <c r="AD310" s="26"/>
      <c r="AE310" s="26"/>
      <c r="AF310" s="26"/>
      <c r="AG310" s="26"/>
      <c r="AH310" s="33" t="s">
        <v>1260</v>
      </c>
      <c r="AI310" s="23" t="s">
        <v>811</v>
      </c>
      <c r="AJ310" s="33" t="str">
        <f t="shared" si="4"/>
        <v>PD5D_MB_Moactcseq/samples/ILB_BN2015_MB_MOactcseq_batch13_rep5.h5</v>
      </c>
      <c r="AK310" t="s">
        <v>1290</v>
      </c>
    </row>
    <row r="311" spans="1:37">
      <c r="A311" s="24" t="s">
        <v>1027</v>
      </c>
      <c r="B311" s="24" t="s">
        <v>243</v>
      </c>
      <c r="C311" s="24" t="s">
        <v>243</v>
      </c>
      <c r="D311" s="24" t="s">
        <v>823</v>
      </c>
      <c r="E311" s="24">
        <v>6</v>
      </c>
      <c r="F311" s="24">
        <v>0</v>
      </c>
      <c r="G311" s="24" t="s">
        <v>718</v>
      </c>
      <c r="H311" s="24" t="s">
        <v>668</v>
      </c>
      <c r="I311" s="24" t="s">
        <v>806</v>
      </c>
      <c r="J311" s="24" t="s">
        <v>807</v>
      </c>
      <c r="K311" s="24" t="s">
        <v>807</v>
      </c>
      <c r="L311" s="24" t="s">
        <v>807</v>
      </c>
      <c r="M311" s="24" t="s">
        <v>807</v>
      </c>
      <c r="N311" s="24">
        <v>7.3</v>
      </c>
      <c r="O311" s="24">
        <v>7.3</v>
      </c>
      <c r="P311" s="24" t="s">
        <v>808</v>
      </c>
      <c r="Q311" s="25">
        <v>6461</v>
      </c>
      <c r="R311" s="24" t="s">
        <v>809</v>
      </c>
      <c r="S311" s="24" t="s">
        <v>675</v>
      </c>
      <c r="T311" s="24">
        <v>131</v>
      </c>
      <c r="U311" s="24" t="s">
        <v>810</v>
      </c>
      <c r="V311" s="24" t="s">
        <v>807</v>
      </c>
      <c r="W311" s="26"/>
      <c r="X311" s="26"/>
      <c r="Y311" s="26"/>
      <c r="Z311" s="26"/>
      <c r="AA311" s="26"/>
      <c r="AB311" s="26"/>
      <c r="AC311" s="26"/>
      <c r="AD311" s="26"/>
      <c r="AE311" s="26"/>
      <c r="AF311" s="26"/>
      <c r="AG311" s="26"/>
      <c r="AH311" s="33" t="s">
        <v>1260</v>
      </c>
      <c r="AI311" s="23" t="s">
        <v>811</v>
      </c>
      <c r="AJ311" s="33" t="str">
        <f t="shared" si="4"/>
        <v>PD5D_MB_Moactcseq/samples/ILB_BN2015_MB_MOactcseq_batch13_rep6.h5</v>
      </c>
      <c r="AK311" t="s">
        <v>1290</v>
      </c>
    </row>
    <row r="312" spans="1:37">
      <c r="A312" s="24" t="s">
        <v>1028</v>
      </c>
      <c r="B312" s="24" t="s">
        <v>247</v>
      </c>
      <c r="C312" s="24" t="s">
        <v>247</v>
      </c>
      <c r="D312" s="24" t="s">
        <v>666</v>
      </c>
      <c r="E312" s="24">
        <v>2</v>
      </c>
      <c r="F312" s="24">
        <v>0</v>
      </c>
      <c r="G312" s="24" t="s">
        <v>725</v>
      </c>
      <c r="H312" s="24" t="s">
        <v>668</v>
      </c>
      <c r="I312" s="24" t="s">
        <v>806</v>
      </c>
      <c r="J312" s="24" t="s">
        <v>807</v>
      </c>
      <c r="K312" s="24" t="s">
        <v>807</v>
      </c>
      <c r="L312" s="24" t="s">
        <v>807</v>
      </c>
      <c r="M312" s="24" t="s">
        <v>807</v>
      </c>
      <c r="N312" s="24">
        <v>9.8000000000000007</v>
      </c>
      <c r="O312" s="24">
        <v>9.8000000000000007</v>
      </c>
      <c r="P312" s="24" t="s">
        <v>808</v>
      </c>
      <c r="Q312" s="25">
        <v>3691</v>
      </c>
      <c r="R312" s="24" t="s">
        <v>809</v>
      </c>
      <c r="S312" s="24" t="s">
        <v>675</v>
      </c>
      <c r="T312" s="24">
        <v>131</v>
      </c>
      <c r="U312" s="24" t="s">
        <v>810</v>
      </c>
      <c r="V312" s="24" t="s">
        <v>807</v>
      </c>
      <c r="W312" s="26"/>
      <c r="X312" s="26"/>
      <c r="Y312" s="26"/>
      <c r="Z312" s="26"/>
      <c r="AA312" s="26"/>
      <c r="AB312" s="26"/>
      <c r="AC312" s="26"/>
      <c r="AD312" s="26"/>
      <c r="AE312" s="26"/>
      <c r="AF312" s="26"/>
      <c r="AG312" s="26"/>
      <c r="AH312" s="33" t="s">
        <v>1260</v>
      </c>
      <c r="AI312" s="23" t="s">
        <v>811</v>
      </c>
      <c r="AJ312" s="33" t="str">
        <f t="shared" si="4"/>
        <v>PD5D_MB_Moactcseq/samples/ILB_BN9947_MB_MOactcseq_batch14_rep1.h5</v>
      </c>
      <c r="AK312" t="s">
        <v>1290</v>
      </c>
    </row>
    <row r="313" spans="1:37">
      <c r="A313" s="24" t="s">
        <v>1029</v>
      </c>
      <c r="B313" s="24" t="s">
        <v>247</v>
      </c>
      <c r="C313" s="24" t="s">
        <v>247</v>
      </c>
      <c r="D313" s="24" t="s">
        <v>689</v>
      </c>
      <c r="E313" s="24">
        <v>2</v>
      </c>
      <c r="F313" s="24">
        <v>0</v>
      </c>
      <c r="G313" s="24" t="s">
        <v>725</v>
      </c>
      <c r="H313" s="24" t="s">
        <v>668</v>
      </c>
      <c r="I313" s="24" t="s">
        <v>806</v>
      </c>
      <c r="J313" s="24" t="s">
        <v>807</v>
      </c>
      <c r="K313" s="24" t="s">
        <v>807</v>
      </c>
      <c r="L313" s="24" t="s">
        <v>807</v>
      </c>
      <c r="M313" s="24" t="s">
        <v>807</v>
      </c>
      <c r="N313" s="24">
        <v>9.8000000000000007</v>
      </c>
      <c r="O313" s="24">
        <v>9.8000000000000007</v>
      </c>
      <c r="P313" s="24" t="s">
        <v>808</v>
      </c>
      <c r="Q313" s="25">
        <v>3691</v>
      </c>
      <c r="R313" s="24" t="s">
        <v>809</v>
      </c>
      <c r="S313" s="24" t="s">
        <v>675</v>
      </c>
      <c r="T313" s="24">
        <v>131</v>
      </c>
      <c r="U313" s="24" t="s">
        <v>810</v>
      </c>
      <c r="V313" s="24" t="s">
        <v>807</v>
      </c>
      <c r="W313" s="26"/>
      <c r="X313" s="26"/>
      <c r="Y313" s="26"/>
      <c r="Z313" s="26"/>
      <c r="AA313" s="26"/>
      <c r="AB313" s="26"/>
      <c r="AC313" s="26"/>
      <c r="AD313" s="26"/>
      <c r="AE313" s="26"/>
      <c r="AF313" s="26"/>
      <c r="AG313" s="26"/>
      <c r="AH313" s="33" t="s">
        <v>1260</v>
      </c>
      <c r="AI313" s="23" t="s">
        <v>811</v>
      </c>
      <c r="AJ313" s="33" t="str">
        <f t="shared" si="4"/>
        <v>PD5D_MB_Moactcseq/samples/ILB_BN9947_MB_MOactcseq_batch14_rep2.h5</v>
      </c>
      <c r="AK313" t="s">
        <v>1290</v>
      </c>
    </row>
    <row r="314" spans="1:37">
      <c r="A314" s="24" t="s">
        <v>1030</v>
      </c>
      <c r="B314" s="24" t="s">
        <v>249</v>
      </c>
      <c r="C314" s="24" t="s">
        <v>249</v>
      </c>
      <c r="D314" s="24" t="s">
        <v>666</v>
      </c>
      <c r="E314" s="24">
        <v>7</v>
      </c>
      <c r="F314" s="24">
        <v>0</v>
      </c>
      <c r="G314" s="24" t="s">
        <v>773</v>
      </c>
      <c r="H314" s="24" t="s">
        <v>668</v>
      </c>
      <c r="I314" s="24" t="s">
        <v>806</v>
      </c>
      <c r="J314" s="24" t="s">
        <v>807</v>
      </c>
      <c r="K314" s="24" t="s">
        <v>807</v>
      </c>
      <c r="L314" s="24" t="s">
        <v>807</v>
      </c>
      <c r="M314" s="24" t="s">
        <v>807</v>
      </c>
      <c r="N314" s="24">
        <v>9.5</v>
      </c>
      <c r="O314" s="24">
        <v>9.5</v>
      </c>
      <c r="P314" s="24" t="s">
        <v>808</v>
      </c>
      <c r="Q314" s="25">
        <v>6107</v>
      </c>
      <c r="R314" s="24" t="s">
        <v>809</v>
      </c>
      <c r="S314" s="24" t="s">
        <v>675</v>
      </c>
      <c r="T314" s="24">
        <v>131</v>
      </c>
      <c r="U314" s="24" t="s">
        <v>810</v>
      </c>
      <c r="V314" s="24" t="s">
        <v>807</v>
      </c>
      <c r="W314" s="26"/>
      <c r="X314" s="26"/>
      <c r="Y314" s="26"/>
      <c r="Z314" s="26"/>
      <c r="AA314" s="26"/>
      <c r="AB314" s="26"/>
      <c r="AC314" s="26"/>
      <c r="AD314" s="26"/>
      <c r="AE314" s="26"/>
      <c r="AF314" s="26"/>
      <c r="AG314" s="26"/>
      <c r="AH314" s="33" t="s">
        <v>1260</v>
      </c>
      <c r="AI314" s="23" t="s">
        <v>811</v>
      </c>
      <c r="AJ314" s="33" t="str">
        <f t="shared" si="4"/>
        <v>PD5D_MB_Moactcseq/samples/ILB_BN9966_MB_MOactcseq_batch9_rep1.h5</v>
      </c>
      <c r="AK314" t="s">
        <v>1290</v>
      </c>
    </row>
    <row r="315" spans="1:37">
      <c r="A315" s="24" t="s">
        <v>1031</v>
      </c>
      <c r="B315" s="24" t="s">
        <v>249</v>
      </c>
      <c r="C315" s="24" t="s">
        <v>249</v>
      </c>
      <c r="D315" s="24" t="s">
        <v>689</v>
      </c>
      <c r="E315" s="24">
        <v>7</v>
      </c>
      <c r="F315" s="24">
        <v>0</v>
      </c>
      <c r="G315" s="24" t="s">
        <v>773</v>
      </c>
      <c r="H315" s="24" t="s">
        <v>668</v>
      </c>
      <c r="I315" s="24" t="s">
        <v>806</v>
      </c>
      <c r="J315" s="24" t="s">
        <v>807</v>
      </c>
      <c r="K315" s="24" t="s">
        <v>807</v>
      </c>
      <c r="L315" s="24" t="s">
        <v>807</v>
      </c>
      <c r="M315" s="24" t="s">
        <v>807</v>
      </c>
      <c r="N315" s="24">
        <v>9.5</v>
      </c>
      <c r="O315" s="24">
        <v>9.5</v>
      </c>
      <c r="P315" s="24" t="s">
        <v>808</v>
      </c>
      <c r="Q315" s="25">
        <v>6107</v>
      </c>
      <c r="R315" s="24" t="s">
        <v>809</v>
      </c>
      <c r="S315" s="24" t="s">
        <v>675</v>
      </c>
      <c r="T315" s="24">
        <v>131</v>
      </c>
      <c r="U315" s="24" t="s">
        <v>810</v>
      </c>
      <c r="V315" s="24" t="s">
        <v>807</v>
      </c>
      <c r="W315" s="26"/>
      <c r="X315" s="26"/>
      <c r="Y315" s="26"/>
      <c r="Z315" s="26"/>
      <c r="AA315" s="26"/>
      <c r="AB315" s="26"/>
      <c r="AC315" s="26"/>
      <c r="AD315" s="26"/>
      <c r="AE315" s="26"/>
      <c r="AF315" s="26"/>
      <c r="AG315" s="26"/>
      <c r="AH315" s="33" t="s">
        <v>1260</v>
      </c>
      <c r="AI315" s="23" t="s">
        <v>811</v>
      </c>
      <c r="AJ315" s="33" t="str">
        <f t="shared" si="4"/>
        <v>PD5D_MB_Moactcseq/samples/ILB_BN9966_MB_MOactcseq_batch9_rep2.h5</v>
      </c>
      <c r="AK315" t="s">
        <v>1290</v>
      </c>
    </row>
    <row r="316" spans="1:37">
      <c r="A316" s="24" t="s">
        <v>1032</v>
      </c>
      <c r="B316" s="24" t="s">
        <v>249</v>
      </c>
      <c r="C316" s="24" t="s">
        <v>249</v>
      </c>
      <c r="D316" s="24" t="s">
        <v>814</v>
      </c>
      <c r="E316" s="24">
        <v>7</v>
      </c>
      <c r="F316" s="24">
        <v>0</v>
      </c>
      <c r="G316" s="24" t="s">
        <v>773</v>
      </c>
      <c r="H316" s="24" t="s">
        <v>668</v>
      </c>
      <c r="I316" s="24" t="s">
        <v>806</v>
      </c>
      <c r="J316" s="24" t="s">
        <v>807</v>
      </c>
      <c r="K316" s="24" t="s">
        <v>807</v>
      </c>
      <c r="L316" s="24" t="s">
        <v>807</v>
      </c>
      <c r="M316" s="24" t="s">
        <v>807</v>
      </c>
      <c r="N316" s="24">
        <v>9.5</v>
      </c>
      <c r="O316" s="24">
        <v>9.5</v>
      </c>
      <c r="P316" s="24" t="s">
        <v>808</v>
      </c>
      <c r="Q316" s="25">
        <v>6107</v>
      </c>
      <c r="R316" s="24" t="s">
        <v>809</v>
      </c>
      <c r="S316" s="24" t="s">
        <v>675</v>
      </c>
      <c r="T316" s="24">
        <v>131</v>
      </c>
      <c r="U316" s="24" t="s">
        <v>810</v>
      </c>
      <c r="V316" s="24" t="s">
        <v>807</v>
      </c>
      <c r="W316" s="26"/>
      <c r="X316" s="26"/>
      <c r="Y316" s="26"/>
      <c r="Z316" s="26"/>
      <c r="AA316" s="26"/>
      <c r="AB316" s="26"/>
      <c r="AC316" s="26"/>
      <c r="AD316" s="26"/>
      <c r="AE316" s="26"/>
      <c r="AF316" s="26"/>
      <c r="AG316" s="26"/>
      <c r="AH316" s="33" t="s">
        <v>1260</v>
      </c>
      <c r="AI316" s="23" t="s">
        <v>811</v>
      </c>
      <c r="AJ316" s="33" t="str">
        <f t="shared" si="4"/>
        <v>PD5D_MB_Moactcseq/samples/ILB_BN9966_MB_MOactcseq_batch9_rep3.h5</v>
      </c>
      <c r="AK316" t="s">
        <v>1290</v>
      </c>
    </row>
    <row r="317" spans="1:37">
      <c r="A317" s="24" t="s">
        <v>1033</v>
      </c>
      <c r="B317" s="24" t="s">
        <v>249</v>
      </c>
      <c r="C317" s="24" t="s">
        <v>249</v>
      </c>
      <c r="D317" s="24" t="s">
        <v>819</v>
      </c>
      <c r="E317" s="24">
        <v>7</v>
      </c>
      <c r="F317" s="24">
        <v>0</v>
      </c>
      <c r="G317" s="24" t="s">
        <v>773</v>
      </c>
      <c r="H317" s="24" t="s">
        <v>668</v>
      </c>
      <c r="I317" s="24" t="s">
        <v>806</v>
      </c>
      <c r="J317" s="24" t="s">
        <v>807</v>
      </c>
      <c r="K317" s="24" t="s">
        <v>807</v>
      </c>
      <c r="L317" s="24" t="s">
        <v>807</v>
      </c>
      <c r="M317" s="24" t="s">
        <v>807</v>
      </c>
      <c r="N317" s="24">
        <v>9.5</v>
      </c>
      <c r="O317" s="24">
        <v>9.5</v>
      </c>
      <c r="P317" s="24" t="s">
        <v>808</v>
      </c>
      <c r="Q317" s="25">
        <v>6107</v>
      </c>
      <c r="R317" s="24" t="s">
        <v>809</v>
      </c>
      <c r="S317" s="24" t="s">
        <v>675</v>
      </c>
      <c r="T317" s="24">
        <v>131</v>
      </c>
      <c r="U317" s="24" t="s">
        <v>810</v>
      </c>
      <c r="V317" s="24" t="s">
        <v>807</v>
      </c>
      <c r="W317" s="26"/>
      <c r="X317" s="26"/>
      <c r="Y317" s="26"/>
      <c r="Z317" s="26"/>
      <c r="AA317" s="26"/>
      <c r="AB317" s="26"/>
      <c r="AC317" s="26"/>
      <c r="AD317" s="26"/>
      <c r="AE317" s="26"/>
      <c r="AF317" s="26"/>
      <c r="AG317" s="26"/>
      <c r="AH317" s="33" t="s">
        <v>1260</v>
      </c>
      <c r="AI317" s="23" t="s">
        <v>811</v>
      </c>
      <c r="AJ317" s="33" t="str">
        <f t="shared" si="4"/>
        <v>PD5D_MB_Moactcseq/samples/ILB_BN9966_MB_MOactcseq_batch9_rep4.h5</v>
      </c>
      <c r="AK317" t="s">
        <v>1290</v>
      </c>
    </row>
    <row r="318" spans="1:37">
      <c r="A318" s="24" t="s">
        <v>1034</v>
      </c>
      <c r="B318" s="24" t="s">
        <v>249</v>
      </c>
      <c r="C318" s="24" t="s">
        <v>249</v>
      </c>
      <c r="D318" s="24" t="s">
        <v>821</v>
      </c>
      <c r="E318" s="24">
        <v>7</v>
      </c>
      <c r="F318" s="24">
        <v>0</v>
      </c>
      <c r="G318" s="24" t="s">
        <v>773</v>
      </c>
      <c r="H318" s="24" t="s">
        <v>668</v>
      </c>
      <c r="I318" s="24" t="s">
        <v>806</v>
      </c>
      <c r="J318" s="24" t="s">
        <v>807</v>
      </c>
      <c r="K318" s="24" t="s">
        <v>807</v>
      </c>
      <c r="L318" s="24" t="s">
        <v>807</v>
      </c>
      <c r="M318" s="24" t="s">
        <v>807</v>
      </c>
      <c r="N318" s="24">
        <v>9.5</v>
      </c>
      <c r="O318" s="24">
        <v>9.5</v>
      </c>
      <c r="P318" s="24" t="s">
        <v>808</v>
      </c>
      <c r="Q318" s="25">
        <v>6107</v>
      </c>
      <c r="R318" s="24" t="s">
        <v>809</v>
      </c>
      <c r="S318" s="24" t="s">
        <v>675</v>
      </c>
      <c r="T318" s="24">
        <v>131</v>
      </c>
      <c r="U318" s="24" t="s">
        <v>810</v>
      </c>
      <c r="V318" s="24" t="s">
        <v>807</v>
      </c>
      <c r="W318" s="26"/>
      <c r="X318" s="26"/>
      <c r="Y318" s="26"/>
      <c r="Z318" s="26"/>
      <c r="AA318" s="26"/>
      <c r="AB318" s="26"/>
      <c r="AC318" s="26"/>
      <c r="AD318" s="26"/>
      <c r="AE318" s="26"/>
      <c r="AF318" s="26"/>
      <c r="AG318" s="26"/>
      <c r="AH318" s="33" t="s">
        <v>1260</v>
      </c>
      <c r="AI318" s="23" t="s">
        <v>811</v>
      </c>
      <c r="AJ318" s="33" t="str">
        <f t="shared" si="4"/>
        <v>PD5D_MB_Moactcseq/samples/ILB_BN9966_MB_MOactcseq_batch9_rep5.h5</v>
      </c>
      <c r="AK318" t="s">
        <v>1290</v>
      </c>
    </row>
    <row r="319" spans="1:37">
      <c r="A319" s="24" t="s">
        <v>1035</v>
      </c>
      <c r="B319" s="24" t="s">
        <v>249</v>
      </c>
      <c r="C319" s="24" t="s">
        <v>249</v>
      </c>
      <c r="D319" s="24" t="s">
        <v>823</v>
      </c>
      <c r="E319" s="24">
        <v>7</v>
      </c>
      <c r="F319" s="24">
        <v>0</v>
      </c>
      <c r="G319" s="24" t="s">
        <v>773</v>
      </c>
      <c r="H319" s="24" t="s">
        <v>668</v>
      </c>
      <c r="I319" s="24" t="s">
        <v>806</v>
      </c>
      <c r="J319" s="24" t="s">
        <v>807</v>
      </c>
      <c r="K319" s="24" t="s">
        <v>807</v>
      </c>
      <c r="L319" s="24" t="s">
        <v>807</v>
      </c>
      <c r="M319" s="24" t="s">
        <v>807</v>
      </c>
      <c r="N319" s="24">
        <v>9.5</v>
      </c>
      <c r="O319" s="24">
        <v>9.5</v>
      </c>
      <c r="P319" s="24" t="s">
        <v>808</v>
      </c>
      <c r="Q319" s="25">
        <v>6107</v>
      </c>
      <c r="R319" s="24" t="s">
        <v>809</v>
      </c>
      <c r="S319" s="24" t="s">
        <v>675</v>
      </c>
      <c r="T319" s="24">
        <v>131</v>
      </c>
      <c r="U319" s="24" t="s">
        <v>810</v>
      </c>
      <c r="V319" s="24" t="s">
        <v>807</v>
      </c>
      <c r="W319" s="26"/>
      <c r="X319" s="26"/>
      <c r="Y319" s="26"/>
      <c r="Z319" s="26"/>
      <c r="AA319" s="26"/>
      <c r="AB319" s="26"/>
      <c r="AC319" s="26"/>
      <c r="AD319" s="26"/>
      <c r="AE319" s="26"/>
      <c r="AF319" s="26"/>
      <c r="AG319" s="26"/>
      <c r="AH319" s="33" t="s">
        <v>1260</v>
      </c>
      <c r="AI319" s="23" t="s">
        <v>811</v>
      </c>
      <c r="AJ319" s="33" t="str">
        <f t="shared" si="4"/>
        <v>PD5D_MB_Moactcseq/samples/ILB_BN9966_MB_MOactcseq_batch9_rep6.h5</v>
      </c>
      <c r="AK319" t="s">
        <v>1290</v>
      </c>
    </row>
    <row r="320" spans="1:37">
      <c r="A320" s="24" t="s">
        <v>1036</v>
      </c>
      <c r="B320" s="24" t="s">
        <v>249</v>
      </c>
      <c r="C320" s="24" t="s">
        <v>249</v>
      </c>
      <c r="D320" s="24" t="s">
        <v>1037</v>
      </c>
      <c r="E320" s="24">
        <v>7</v>
      </c>
      <c r="F320" s="24">
        <v>0</v>
      </c>
      <c r="G320" s="24" t="s">
        <v>773</v>
      </c>
      <c r="H320" s="24" t="s">
        <v>668</v>
      </c>
      <c r="I320" s="24" t="s">
        <v>806</v>
      </c>
      <c r="J320" s="24" t="s">
        <v>807</v>
      </c>
      <c r="K320" s="24" t="s">
        <v>807</v>
      </c>
      <c r="L320" s="24" t="s">
        <v>807</v>
      </c>
      <c r="M320" s="24" t="s">
        <v>807</v>
      </c>
      <c r="N320" s="24">
        <v>9.5</v>
      </c>
      <c r="O320" s="24">
        <v>9.5</v>
      </c>
      <c r="P320" s="24" t="s">
        <v>808</v>
      </c>
      <c r="Q320" s="25">
        <v>6107</v>
      </c>
      <c r="R320" s="24" t="s">
        <v>809</v>
      </c>
      <c r="S320" s="24" t="s">
        <v>675</v>
      </c>
      <c r="T320" s="24">
        <v>131</v>
      </c>
      <c r="U320" s="24" t="s">
        <v>810</v>
      </c>
      <c r="V320" s="24" t="s">
        <v>807</v>
      </c>
      <c r="W320" s="26"/>
      <c r="X320" s="26"/>
      <c r="Y320" s="26"/>
      <c r="Z320" s="26"/>
      <c r="AA320" s="26"/>
      <c r="AB320" s="26"/>
      <c r="AC320" s="26"/>
      <c r="AD320" s="26"/>
      <c r="AE320" s="26"/>
      <c r="AF320" s="26"/>
      <c r="AG320" s="26"/>
      <c r="AH320" s="33" t="s">
        <v>1260</v>
      </c>
      <c r="AI320" s="23" t="s">
        <v>811</v>
      </c>
      <c r="AJ320" s="33" t="str">
        <f t="shared" si="4"/>
        <v>PD5D_MB_Moactcseq/samples/ILB_BN9966_MB_MOactcseq_batch9_rep7.h5</v>
      </c>
      <c r="AK320" t="s">
        <v>1290</v>
      </c>
    </row>
    <row r="321" spans="1:37">
      <c r="A321" s="24" t="s">
        <v>1038</v>
      </c>
      <c r="B321" s="24" t="s">
        <v>65</v>
      </c>
      <c r="C321" s="24" t="s">
        <v>65</v>
      </c>
      <c r="D321" s="24" t="s">
        <v>666</v>
      </c>
      <c r="E321" s="24">
        <v>7</v>
      </c>
      <c r="F321" s="24">
        <v>0</v>
      </c>
      <c r="G321" s="24" t="s">
        <v>773</v>
      </c>
      <c r="H321" s="24" t="s">
        <v>668</v>
      </c>
      <c r="I321" s="24" t="s">
        <v>806</v>
      </c>
      <c r="J321" s="24" t="s">
        <v>807</v>
      </c>
      <c r="K321" s="24" t="s">
        <v>807</v>
      </c>
      <c r="L321" s="24" t="s">
        <v>807</v>
      </c>
      <c r="M321" s="24" t="s">
        <v>807</v>
      </c>
      <c r="N321" s="24">
        <v>8.5</v>
      </c>
      <c r="O321" s="24">
        <v>8.5</v>
      </c>
      <c r="P321" s="24" t="s">
        <v>808</v>
      </c>
      <c r="Q321" s="25">
        <v>3528</v>
      </c>
      <c r="R321" s="24" t="s">
        <v>809</v>
      </c>
      <c r="S321" s="24" t="s">
        <v>675</v>
      </c>
      <c r="T321" s="24">
        <v>131</v>
      </c>
      <c r="U321" s="24" t="s">
        <v>810</v>
      </c>
      <c r="V321" s="24" t="s">
        <v>807</v>
      </c>
      <c r="W321" s="26"/>
      <c r="X321" s="26"/>
      <c r="Y321" s="26"/>
      <c r="Z321" s="26"/>
      <c r="AA321" s="26"/>
      <c r="AB321" s="26"/>
      <c r="AC321" s="26"/>
      <c r="AD321" s="26"/>
      <c r="AE321" s="26"/>
      <c r="AF321" s="26"/>
      <c r="AG321" s="26"/>
      <c r="AH321" s="33" t="s">
        <v>1260</v>
      </c>
      <c r="AI321" s="23" t="s">
        <v>811</v>
      </c>
      <c r="AJ321" s="33" t="str">
        <f t="shared" si="4"/>
        <v>PD5D_MB_Moactcseq/samples/PD_BN0329_MB_MOactcseq_batch9_rep1.h5</v>
      </c>
      <c r="AK321" t="s">
        <v>1290</v>
      </c>
    </row>
    <row r="322" spans="1:37">
      <c r="A322" s="24" t="s">
        <v>1039</v>
      </c>
      <c r="B322" s="24" t="s">
        <v>65</v>
      </c>
      <c r="C322" s="24" t="s">
        <v>65</v>
      </c>
      <c r="D322" s="24" t="s">
        <v>689</v>
      </c>
      <c r="E322" s="24">
        <v>7</v>
      </c>
      <c r="F322" s="24">
        <v>0</v>
      </c>
      <c r="G322" s="24" t="s">
        <v>773</v>
      </c>
      <c r="H322" s="24" t="s">
        <v>668</v>
      </c>
      <c r="I322" s="24" t="s">
        <v>806</v>
      </c>
      <c r="J322" s="24" t="s">
        <v>807</v>
      </c>
      <c r="K322" s="24" t="s">
        <v>807</v>
      </c>
      <c r="L322" s="24" t="s">
        <v>807</v>
      </c>
      <c r="M322" s="24" t="s">
        <v>807</v>
      </c>
      <c r="N322" s="24">
        <v>8.5</v>
      </c>
      <c r="O322" s="24">
        <v>8.5</v>
      </c>
      <c r="P322" s="24" t="s">
        <v>808</v>
      </c>
      <c r="Q322" s="25">
        <v>3528</v>
      </c>
      <c r="R322" s="24" t="s">
        <v>809</v>
      </c>
      <c r="S322" s="24" t="s">
        <v>675</v>
      </c>
      <c r="T322" s="24">
        <v>131</v>
      </c>
      <c r="U322" s="24" t="s">
        <v>810</v>
      </c>
      <c r="V322" s="24" t="s">
        <v>807</v>
      </c>
      <c r="W322" s="26"/>
      <c r="X322" s="26"/>
      <c r="Y322" s="26"/>
      <c r="Z322" s="26"/>
      <c r="AA322" s="26"/>
      <c r="AB322" s="26"/>
      <c r="AC322" s="26"/>
      <c r="AD322" s="26"/>
      <c r="AE322" s="26"/>
      <c r="AF322" s="26"/>
      <c r="AG322" s="26"/>
      <c r="AH322" s="33" t="s">
        <v>1260</v>
      </c>
      <c r="AI322" s="23" t="s">
        <v>811</v>
      </c>
      <c r="AJ322" s="33" t="str">
        <f t="shared" si="4"/>
        <v>PD5D_MB_Moactcseq/samples/PD_BN0329_MB_MOactcseq_batch9_rep2.h5</v>
      </c>
      <c r="AK322" t="s">
        <v>1290</v>
      </c>
    </row>
    <row r="323" spans="1:37">
      <c r="A323" s="24" t="s">
        <v>1040</v>
      </c>
      <c r="B323" s="24" t="s">
        <v>65</v>
      </c>
      <c r="C323" s="24" t="s">
        <v>65</v>
      </c>
      <c r="D323" s="24" t="s">
        <v>814</v>
      </c>
      <c r="E323" s="24">
        <v>7</v>
      </c>
      <c r="F323" s="24">
        <v>0</v>
      </c>
      <c r="G323" s="24" t="s">
        <v>773</v>
      </c>
      <c r="H323" s="24" t="s">
        <v>668</v>
      </c>
      <c r="I323" s="24" t="s">
        <v>806</v>
      </c>
      <c r="J323" s="24" t="s">
        <v>807</v>
      </c>
      <c r="K323" s="24" t="s">
        <v>807</v>
      </c>
      <c r="L323" s="24" t="s">
        <v>807</v>
      </c>
      <c r="M323" s="24" t="s">
        <v>807</v>
      </c>
      <c r="N323" s="24">
        <v>8.5</v>
      </c>
      <c r="O323" s="24">
        <v>8.5</v>
      </c>
      <c r="P323" s="24" t="s">
        <v>808</v>
      </c>
      <c r="Q323" s="25">
        <v>3528</v>
      </c>
      <c r="R323" s="24" t="s">
        <v>809</v>
      </c>
      <c r="S323" s="24" t="s">
        <v>675</v>
      </c>
      <c r="T323" s="24">
        <v>131</v>
      </c>
      <c r="U323" s="24" t="s">
        <v>810</v>
      </c>
      <c r="V323" s="24" t="s">
        <v>807</v>
      </c>
      <c r="W323" s="26"/>
      <c r="X323" s="26"/>
      <c r="Y323" s="26"/>
      <c r="Z323" s="26"/>
      <c r="AA323" s="26"/>
      <c r="AB323" s="26"/>
      <c r="AC323" s="26"/>
      <c r="AD323" s="26"/>
      <c r="AE323" s="26"/>
      <c r="AF323" s="26"/>
      <c r="AG323" s="26"/>
      <c r="AH323" s="33" t="s">
        <v>1260</v>
      </c>
      <c r="AI323" s="23" t="s">
        <v>811</v>
      </c>
      <c r="AJ323" s="33" t="str">
        <f t="shared" si="4"/>
        <v>PD5D_MB_Moactcseq/samples/PD_BN0329_MB_MOactcseq_batch9_rep3.h5</v>
      </c>
      <c r="AK323" t="s">
        <v>1290</v>
      </c>
    </row>
    <row r="324" spans="1:37">
      <c r="A324" s="24" t="s">
        <v>1041</v>
      </c>
      <c r="B324" s="24" t="s">
        <v>65</v>
      </c>
      <c r="C324" s="24" t="s">
        <v>65</v>
      </c>
      <c r="D324" s="24" t="s">
        <v>819</v>
      </c>
      <c r="E324" s="24">
        <v>7</v>
      </c>
      <c r="F324" s="24">
        <v>0</v>
      </c>
      <c r="G324" s="24" t="s">
        <v>773</v>
      </c>
      <c r="H324" s="24" t="s">
        <v>668</v>
      </c>
      <c r="I324" s="24" t="s">
        <v>806</v>
      </c>
      <c r="J324" s="24" t="s">
        <v>807</v>
      </c>
      <c r="K324" s="24" t="s">
        <v>807</v>
      </c>
      <c r="L324" s="24" t="s">
        <v>807</v>
      </c>
      <c r="M324" s="24" t="s">
        <v>807</v>
      </c>
      <c r="N324" s="24">
        <v>8.5</v>
      </c>
      <c r="O324" s="24">
        <v>8.5</v>
      </c>
      <c r="P324" s="24" t="s">
        <v>808</v>
      </c>
      <c r="Q324" s="25">
        <v>3528</v>
      </c>
      <c r="R324" s="24" t="s">
        <v>809</v>
      </c>
      <c r="S324" s="24" t="s">
        <v>675</v>
      </c>
      <c r="T324" s="24">
        <v>131</v>
      </c>
      <c r="U324" s="24" t="s">
        <v>810</v>
      </c>
      <c r="V324" s="24" t="s">
        <v>807</v>
      </c>
      <c r="W324" s="26"/>
      <c r="X324" s="26"/>
      <c r="Y324" s="26"/>
      <c r="Z324" s="26"/>
      <c r="AA324" s="26"/>
      <c r="AB324" s="26"/>
      <c r="AC324" s="26"/>
      <c r="AD324" s="26"/>
      <c r="AE324" s="26"/>
      <c r="AF324" s="26"/>
      <c r="AG324" s="26"/>
      <c r="AH324" s="33" t="s">
        <v>1260</v>
      </c>
      <c r="AI324" s="23" t="s">
        <v>811</v>
      </c>
      <c r="AJ324" s="33" t="str">
        <f t="shared" ref="AJ324:AJ384" si="5">_xlfn.CONCAT(AH324,"/samples/",A324,".h5")</f>
        <v>PD5D_MB_Moactcseq/samples/PD_BN0329_MB_MOactcseq_batch9_rep4.h5</v>
      </c>
      <c r="AK324" t="s">
        <v>1290</v>
      </c>
    </row>
    <row r="325" spans="1:37">
      <c r="A325" s="24" t="s">
        <v>1042</v>
      </c>
      <c r="B325" s="24" t="s">
        <v>65</v>
      </c>
      <c r="C325" s="24" t="s">
        <v>65</v>
      </c>
      <c r="D325" s="24" t="s">
        <v>821</v>
      </c>
      <c r="E325" s="24">
        <v>7</v>
      </c>
      <c r="F325" s="24">
        <v>0</v>
      </c>
      <c r="G325" s="24" t="s">
        <v>773</v>
      </c>
      <c r="H325" s="24" t="s">
        <v>668</v>
      </c>
      <c r="I325" s="24" t="s">
        <v>806</v>
      </c>
      <c r="J325" s="24" t="s">
        <v>807</v>
      </c>
      <c r="K325" s="24" t="s">
        <v>807</v>
      </c>
      <c r="L325" s="24" t="s">
        <v>807</v>
      </c>
      <c r="M325" s="24" t="s">
        <v>807</v>
      </c>
      <c r="N325" s="24">
        <v>8.5</v>
      </c>
      <c r="O325" s="24">
        <v>8.5</v>
      </c>
      <c r="P325" s="24" t="s">
        <v>808</v>
      </c>
      <c r="Q325" s="25">
        <v>3528</v>
      </c>
      <c r="R325" s="24" t="s">
        <v>809</v>
      </c>
      <c r="S325" s="24" t="s">
        <v>675</v>
      </c>
      <c r="T325" s="24">
        <v>131</v>
      </c>
      <c r="U325" s="24" t="s">
        <v>810</v>
      </c>
      <c r="V325" s="24" t="s">
        <v>807</v>
      </c>
      <c r="W325" s="26"/>
      <c r="X325" s="26"/>
      <c r="Y325" s="26"/>
      <c r="Z325" s="26"/>
      <c r="AA325" s="26"/>
      <c r="AB325" s="26"/>
      <c r="AC325" s="26"/>
      <c r="AD325" s="26"/>
      <c r="AE325" s="26"/>
      <c r="AF325" s="26"/>
      <c r="AG325" s="26"/>
      <c r="AH325" s="33" t="s">
        <v>1260</v>
      </c>
      <c r="AI325" s="23" t="s">
        <v>811</v>
      </c>
      <c r="AJ325" s="33" t="str">
        <f t="shared" si="5"/>
        <v>PD5D_MB_Moactcseq/samples/PD_BN0329_MB_MOactcseq_batch9_rep5.h5</v>
      </c>
      <c r="AK325" t="s">
        <v>1290</v>
      </c>
    </row>
    <row r="326" spans="1:37">
      <c r="A326" s="24" t="s">
        <v>1043</v>
      </c>
      <c r="B326" s="24" t="s">
        <v>65</v>
      </c>
      <c r="C326" s="24" t="s">
        <v>65</v>
      </c>
      <c r="D326" s="24" t="s">
        <v>823</v>
      </c>
      <c r="E326" s="24">
        <v>7</v>
      </c>
      <c r="F326" s="24">
        <v>0</v>
      </c>
      <c r="G326" s="24" t="s">
        <v>773</v>
      </c>
      <c r="H326" s="24" t="s">
        <v>668</v>
      </c>
      <c r="I326" s="24" t="s">
        <v>806</v>
      </c>
      <c r="J326" s="24" t="s">
        <v>807</v>
      </c>
      <c r="K326" s="24" t="s">
        <v>807</v>
      </c>
      <c r="L326" s="24" t="s">
        <v>807</v>
      </c>
      <c r="M326" s="24" t="s">
        <v>807</v>
      </c>
      <c r="N326" s="24">
        <v>8.5</v>
      </c>
      <c r="O326" s="24">
        <v>8.5</v>
      </c>
      <c r="P326" s="24" t="s">
        <v>808</v>
      </c>
      <c r="Q326" s="25">
        <v>3528</v>
      </c>
      <c r="R326" s="24" t="s">
        <v>809</v>
      </c>
      <c r="S326" s="24" t="s">
        <v>675</v>
      </c>
      <c r="T326" s="24">
        <v>131</v>
      </c>
      <c r="U326" s="24" t="s">
        <v>810</v>
      </c>
      <c r="V326" s="24" t="s">
        <v>807</v>
      </c>
      <c r="W326" s="26"/>
      <c r="X326" s="26"/>
      <c r="Y326" s="26"/>
      <c r="Z326" s="26"/>
      <c r="AA326" s="26"/>
      <c r="AB326" s="26"/>
      <c r="AC326" s="26"/>
      <c r="AD326" s="26"/>
      <c r="AE326" s="26"/>
      <c r="AF326" s="26"/>
      <c r="AG326" s="26"/>
      <c r="AH326" s="33" t="s">
        <v>1260</v>
      </c>
      <c r="AI326" s="23" t="s">
        <v>811</v>
      </c>
      <c r="AJ326" s="33" t="str">
        <f t="shared" si="5"/>
        <v>PD5D_MB_Moactcseq/samples/PD_BN0329_MB_MOactcseq_batch9_rep6.h5</v>
      </c>
      <c r="AK326" t="s">
        <v>1290</v>
      </c>
    </row>
    <row r="327" spans="1:37">
      <c r="A327" s="24" t="s">
        <v>1044</v>
      </c>
      <c r="B327" s="24" t="s">
        <v>65</v>
      </c>
      <c r="C327" s="24" t="s">
        <v>65</v>
      </c>
      <c r="D327" s="24" t="s">
        <v>1037</v>
      </c>
      <c r="E327" s="24">
        <v>7</v>
      </c>
      <c r="F327" s="24">
        <v>0</v>
      </c>
      <c r="G327" s="24" t="s">
        <v>773</v>
      </c>
      <c r="H327" s="24" t="s">
        <v>668</v>
      </c>
      <c r="I327" s="24" t="s">
        <v>806</v>
      </c>
      <c r="J327" s="24" t="s">
        <v>807</v>
      </c>
      <c r="K327" s="24" t="s">
        <v>807</v>
      </c>
      <c r="L327" s="24" t="s">
        <v>807</v>
      </c>
      <c r="M327" s="24" t="s">
        <v>807</v>
      </c>
      <c r="N327" s="24">
        <v>8.5</v>
      </c>
      <c r="O327" s="24">
        <v>8.5</v>
      </c>
      <c r="P327" s="24" t="s">
        <v>808</v>
      </c>
      <c r="Q327" s="25">
        <v>3528</v>
      </c>
      <c r="R327" s="24" t="s">
        <v>809</v>
      </c>
      <c r="S327" s="24" t="s">
        <v>675</v>
      </c>
      <c r="T327" s="24">
        <v>131</v>
      </c>
      <c r="U327" s="24" t="s">
        <v>810</v>
      </c>
      <c r="V327" s="24" t="s">
        <v>807</v>
      </c>
      <c r="W327" s="26"/>
      <c r="X327" s="26"/>
      <c r="Y327" s="26"/>
      <c r="Z327" s="26"/>
      <c r="AA327" s="26"/>
      <c r="AB327" s="26"/>
      <c r="AC327" s="26"/>
      <c r="AD327" s="26"/>
      <c r="AE327" s="26"/>
      <c r="AF327" s="26"/>
      <c r="AG327" s="26"/>
      <c r="AH327" s="33" t="s">
        <v>1260</v>
      </c>
      <c r="AI327" s="23" t="s">
        <v>811</v>
      </c>
      <c r="AJ327" s="33" t="str">
        <f t="shared" si="5"/>
        <v>PD5D_MB_Moactcseq/samples/PD_BN0329_MB_MOactcseq_batch9_rep7.h5</v>
      </c>
      <c r="AK327" t="s">
        <v>1290</v>
      </c>
    </row>
    <row r="328" spans="1:37">
      <c r="A328" s="24" t="s">
        <v>1045</v>
      </c>
      <c r="B328" s="24" t="s">
        <v>78</v>
      </c>
      <c r="C328" s="24" t="s">
        <v>78</v>
      </c>
      <c r="D328" s="24" t="s">
        <v>666</v>
      </c>
      <c r="E328" s="24">
        <v>2</v>
      </c>
      <c r="F328" s="24">
        <v>0</v>
      </c>
      <c r="G328" s="24" t="s">
        <v>718</v>
      </c>
      <c r="H328" s="24" t="s">
        <v>668</v>
      </c>
      <c r="I328" s="24" t="s">
        <v>806</v>
      </c>
      <c r="J328" s="24" t="s">
        <v>807</v>
      </c>
      <c r="K328" s="24" t="s">
        <v>807</v>
      </c>
      <c r="L328" s="24" t="s">
        <v>807</v>
      </c>
      <c r="M328" s="24" t="s">
        <v>807</v>
      </c>
      <c r="N328" s="24">
        <v>9.1</v>
      </c>
      <c r="O328" s="24">
        <v>9.1</v>
      </c>
      <c r="P328" s="24" t="s">
        <v>808</v>
      </c>
      <c r="Q328" s="25">
        <v>1825</v>
      </c>
      <c r="R328" s="24" t="s">
        <v>809</v>
      </c>
      <c r="S328" s="24" t="s">
        <v>675</v>
      </c>
      <c r="T328" s="24">
        <v>131</v>
      </c>
      <c r="U328" s="24" t="s">
        <v>810</v>
      </c>
      <c r="V328" s="24" t="s">
        <v>807</v>
      </c>
      <c r="W328" s="26"/>
      <c r="X328" s="26"/>
      <c r="Y328" s="26"/>
      <c r="Z328" s="26"/>
      <c r="AA328" s="26"/>
      <c r="AB328" s="26"/>
      <c r="AC328" s="26"/>
      <c r="AD328" s="26"/>
      <c r="AE328" s="26"/>
      <c r="AF328" s="26"/>
      <c r="AG328" s="26"/>
      <c r="AH328" s="33" t="s">
        <v>1260</v>
      </c>
      <c r="AI328" s="23" t="s">
        <v>811</v>
      </c>
      <c r="AJ328" s="33" t="str">
        <f t="shared" si="5"/>
        <v>PD5D_MB_Moactcseq/samples/PD_BN0348_MB_MOactcseq_batch13_rep1.h5</v>
      </c>
      <c r="AK328" t="s">
        <v>1290</v>
      </c>
    </row>
    <row r="329" spans="1:37">
      <c r="A329" s="24" t="s">
        <v>1046</v>
      </c>
      <c r="B329" s="24" t="s">
        <v>78</v>
      </c>
      <c r="C329" s="24" t="s">
        <v>78</v>
      </c>
      <c r="D329" s="24" t="s">
        <v>689</v>
      </c>
      <c r="E329" s="24">
        <v>2</v>
      </c>
      <c r="F329" s="24">
        <v>0</v>
      </c>
      <c r="G329" s="24" t="s">
        <v>718</v>
      </c>
      <c r="H329" s="24" t="s">
        <v>668</v>
      </c>
      <c r="I329" s="24" t="s">
        <v>806</v>
      </c>
      <c r="J329" s="24" t="s">
        <v>807</v>
      </c>
      <c r="K329" s="24" t="s">
        <v>807</v>
      </c>
      <c r="L329" s="24" t="s">
        <v>807</v>
      </c>
      <c r="M329" s="24" t="s">
        <v>807</v>
      </c>
      <c r="N329" s="24">
        <v>9.1</v>
      </c>
      <c r="O329" s="24">
        <v>9.1</v>
      </c>
      <c r="P329" s="24" t="s">
        <v>808</v>
      </c>
      <c r="Q329" s="25">
        <v>1825</v>
      </c>
      <c r="R329" s="24" t="s">
        <v>809</v>
      </c>
      <c r="S329" s="24" t="s">
        <v>675</v>
      </c>
      <c r="T329" s="24">
        <v>131</v>
      </c>
      <c r="U329" s="24" t="s">
        <v>810</v>
      </c>
      <c r="V329" s="24" t="s">
        <v>807</v>
      </c>
      <c r="W329" s="26"/>
      <c r="X329" s="26"/>
      <c r="Y329" s="26"/>
      <c r="Z329" s="26"/>
      <c r="AA329" s="26"/>
      <c r="AB329" s="26"/>
      <c r="AC329" s="26"/>
      <c r="AD329" s="26"/>
      <c r="AE329" s="26"/>
      <c r="AF329" s="26"/>
      <c r="AG329" s="26"/>
      <c r="AH329" s="33" t="s">
        <v>1260</v>
      </c>
      <c r="AI329" s="23" t="s">
        <v>811</v>
      </c>
      <c r="AJ329" s="33" t="str">
        <f t="shared" si="5"/>
        <v>PD5D_MB_Moactcseq/samples/PD_BN0348_MB_MOactcseq_batch13_rep2.h5</v>
      </c>
      <c r="AK329" t="s">
        <v>1290</v>
      </c>
    </row>
    <row r="330" spans="1:37">
      <c r="A330" s="24" t="s">
        <v>1047</v>
      </c>
      <c r="B330" s="24" t="s">
        <v>93</v>
      </c>
      <c r="C330" s="24" t="s">
        <v>93</v>
      </c>
      <c r="D330" s="24" t="s">
        <v>666</v>
      </c>
      <c r="E330" s="24">
        <v>3</v>
      </c>
      <c r="F330" s="24">
        <v>0</v>
      </c>
      <c r="G330" s="24" t="s">
        <v>773</v>
      </c>
      <c r="H330" s="24" t="s">
        <v>668</v>
      </c>
      <c r="I330" s="24" t="s">
        <v>806</v>
      </c>
      <c r="J330" s="24" t="s">
        <v>807</v>
      </c>
      <c r="K330" s="24" t="s">
        <v>807</v>
      </c>
      <c r="L330" s="24" t="s">
        <v>807</v>
      </c>
      <c r="M330" s="24" t="s">
        <v>807</v>
      </c>
      <c r="N330" s="24">
        <v>9.8000000000000007</v>
      </c>
      <c r="O330" s="24">
        <v>9.8000000000000007</v>
      </c>
      <c r="P330" s="24" t="s">
        <v>808</v>
      </c>
      <c r="Q330" s="25">
        <v>2263</v>
      </c>
      <c r="R330" s="24" t="s">
        <v>809</v>
      </c>
      <c r="S330" s="24" t="s">
        <v>675</v>
      </c>
      <c r="T330" s="24">
        <v>131</v>
      </c>
      <c r="U330" s="24" t="s">
        <v>810</v>
      </c>
      <c r="V330" s="24" t="s">
        <v>807</v>
      </c>
      <c r="W330" s="26"/>
      <c r="X330" s="26"/>
      <c r="Y330" s="26"/>
      <c r="Z330" s="26"/>
      <c r="AA330" s="26"/>
      <c r="AB330" s="26"/>
      <c r="AC330" s="26"/>
      <c r="AD330" s="26"/>
      <c r="AE330" s="26"/>
      <c r="AF330" s="26"/>
      <c r="AG330" s="26"/>
      <c r="AH330" s="33" t="s">
        <v>1260</v>
      </c>
      <c r="AI330" s="23" t="s">
        <v>811</v>
      </c>
      <c r="AJ330" s="33" t="str">
        <f t="shared" si="5"/>
        <v>PD5D_MB_Moactcseq/samples/PD_BN0644_MB_MOactcseq_batch9_rep1.h5</v>
      </c>
      <c r="AK330" t="s">
        <v>1290</v>
      </c>
    </row>
    <row r="331" spans="1:37">
      <c r="A331" s="24" t="s">
        <v>1048</v>
      </c>
      <c r="B331" s="24" t="s">
        <v>93</v>
      </c>
      <c r="C331" s="24" t="s">
        <v>93</v>
      </c>
      <c r="D331" s="24" t="s">
        <v>689</v>
      </c>
      <c r="E331" s="24">
        <v>3</v>
      </c>
      <c r="F331" s="24">
        <v>0</v>
      </c>
      <c r="G331" s="24" t="s">
        <v>773</v>
      </c>
      <c r="H331" s="24" t="s">
        <v>668</v>
      </c>
      <c r="I331" s="24" t="s">
        <v>806</v>
      </c>
      <c r="J331" s="24" t="s">
        <v>807</v>
      </c>
      <c r="K331" s="24" t="s">
        <v>807</v>
      </c>
      <c r="L331" s="24" t="s">
        <v>807</v>
      </c>
      <c r="M331" s="24" t="s">
        <v>807</v>
      </c>
      <c r="N331" s="24">
        <v>9.8000000000000007</v>
      </c>
      <c r="O331" s="24">
        <v>9.8000000000000007</v>
      </c>
      <c r="P331" s="24" t="s">
        <v>807</v>
      </c>
      <c r="Q331" s="25">
        <v>2263</v>
      </c>
      <c r="R331" s="24" t="s">
        <v>809</v>
      </c>
      <c r="S331" s="24" t="s">
        <v>675</v>
      </c>
      <c r="T331" s="24">
        <v>131</v>
      </c>
      <c r="U331" s="24" t="s">
        <v>810</v>
      </c>
      <c r="V331" s="24" t="s">
        <v>807</v>
      </c>
      <c r="W331" s="26"/>
      <c r="X331" s="26"/>
      <c r="Y331" s="26"/>
      <c r="Z331" s="26"/>
      <c r="AA331" s="26"/>
      <c r="AB331" s="26"/>
      <c r="AC331" s="26"/>
      <c r="AD331" s="26"/>
      <c r="AE331" s="26"/>
      <c r="AF331" s="26"/>
      <c r="AG331" s="26"/>
      <c r="AH331" s="33" t="s">
        <v>1260</v>
      </c>
      <c r="AI331" s="23" t="s">
        <v>811</v>
      </c>
      <c r="AJ331" s="33" t="str">
        <f t="shared" si="5"/>
        <v>PD5D_MB_Moactcseq/samples/PD_BN0644_MB_MOactcseq_batch9_rep2.h5</v>
      </c>
      <c r="AK331" t="s">
        <v>1290</v>
      </c>
    </row>
    <row r="332" spans="1:37">
      <c r="A332" s="24" t="s">
        <v>1049</v>
      </c>
      <c r="B332" s="24" t="s">
        <v>93</v>
      </c>
      <c r="C332" s="24" t="s">
        <v>93</v>
      </c>
      <c r="D332" s="24" t="s">
        <v>814</v>
      </c>
      <c r="E332" s="24">
        <v>3</v>
      </c>
      <c r="F332" s="24">
        <v>0</v>
      </c>
      <c r="G332" s="24" t="s">
        <v>773</v>
      </c>
      <c r="H332" s="24" t="s">
        <v>668</v>
      </c>
      <c r="I332" s="24" t="s">
        <v>806</v>
      </c>
      <c r="J332" s="24" t="s">
        <v>807</v>
      </c>
      <c r="K332" s="24" t="s">
        <v>807</v>
      </c>
      <c r="L332" s="24" t="s">
        <v>807</v>
      </c>
      <c r="M332" s="24" t="s">
        <v>807</v>
      </c>
      <c r="N332" s="24">
        <v>9.8000000000000007</v>
      </c>
      <c r="O332" s="24">
        <v>9.8000000000000007</v>
      </c>
      <c r="P332" s="24" t="s">
        <v>807</v>
      </c>
      <c r="Q332" s="25">
        <v>2263</v>
      </c>
      <c r="R332" s="24" t="s">
        <v>809</v>
      </c>
      <c r="S332" s="24" t="s">
        <v>675</v>
      </c>
      <c r="T332" s="24">
        <v>131</v>
      </c>
      <c r="U332" s="24" t="s">
        <v>810</v>
      </c>
      <c r="V332" s="24" t="s">
        <v>807</v>
      </c>
      <c r="W332" s="26"/>
      <c r="X332" s="26"/>
      <c r="Y332" s="26"/>
      <c r="Z332" s="26"/>
      <c r="AA332" s="26"/>
      <c r="AB332" s="26"/>
      <c r="AC332" s="26"/>
      <c r="AD332" s="26"/>
      <c r="AE332" s="26"/>
      <c r="AF332" s="26"/>
      <c r="AG332" s="26"/>
      <c r="AH332" s="33" t="s">
        <v>1260</v>
      </c>
      <c r="AI332" s="23" t="s">
        <v>811</v>
      </c>
      <c r="AJ332" s="33" t="str">
        <f t="shared" si="5"/>
        <v>PD5D_MB_Moactcseq/samples/PD_BN0644_MB_MOactcseq_batch9_rep3.h5</v>
      </c>
      <c r="AK332" t="s">
        <v>1290</v>
      </c>
    </row>
    <row r="333" spans="1:37">
      <c r="A333" s="24" t="s">
        <v>1050</v>
      </c>
      <c r="B333" s="24" t="s">
        <v>95</v>
      </c>
      <c r="C333" s="24" t="s">
        <v>95</v>
      </c>
      <c r="D333" s="24" t="s">
        <v>666</v>
      </c>
      <c r="E333" s="24">
        <v>3</v>
      </c>
      <c r="F333" s="24">
        <v>0</v>
      </c>
      <c r="G333" s="24" t="s">
        <v>773</v>
      </c>
      <c r="H333" s="24" t="s">
        <v>668</v>
      </c>
      <c r="I333" s="24" t="s">
        <v>806</v>
      </c>
      <c r="J333" s="24" t="s">
        <v>807</v>
      </c>
      <c r="K333" s="24" t="s">
        <v>807</v>
      </c>
      <c r="L333" s="24" t="s">
        <v>807</v>
      </c>
      <c r="M333" s="24" t="s">
        <v>807</v>
      </c>
      <c r="N333" s="24">
        <v>9.3000000000000007</v>
      </c>
      <c r="O333" s="24">
        <v>9.3000000000000007</v>
      </c>
      <c r="P333" s="24" t="s">
        <v>807</v>
      </c>
      <c r="Q333" s="25">
        <v>1331</v>
      </c>
      <c r="R333" s="24" t="s">
        <v>809</v>
      </c>
      <c r="S333" s="24" t="s">
        <v>675</v>
      </c>
      <c r="T333" s="24">
        <v>131</v>
      </c>
      <c r="U333" s="24" t="s">
        <v>810</v>
      </c>
      <c r="V333" s="24" t="s">
        <v>807</v>
      </c>
      <c r="W333" s="26"/>
      <c r="X333" s="26"/>
      <c r="Y333" s="26"/>
      <c r="Z333" s="26"/>
      <c r="AA333" s="26"/>
      <c r="AB333" s="26"/>
      <c r="AC333" s="26"/>
      <c r="AD333" s="26"/>
      <c r="AE333" s="26"/>
      <c r="AF333" s="26"/>
      <c r="AG333" s="26"/>
      <c r="AH333" s="33" t="s">
        <v>1260</v>
      </c>
      <c r="AI333" s="23" t="s">
        <v>811</v>
      </c>
      <c r="AJ333" s="33" t="str">
        <f t="shared" si="5"/>
        <v>PD5D_MB_Moactcseq/samples/PD_BN0651_MB_MOactcseq_batch9_rep1.h5</v>
      </c>
      <c r="AK333" t="s">
        <v>1290</v>
      </c>
    </row>
    <row r="334" spans="1:37">
      <c r="A334" s="24" t="s">
        <v>1051</v>
      </c>
      <c r="B334" s="24" t="s">
        <v>95</v>
      </c>
      <c r="C334" s="24" t="s">
        <v>95</v>
      </c>
      <c r="D334" s="24" t="s">
        <v>689</v>
      </c>
      <c r="E334" s="24">
        <v>3</v>
      </c>
      <c r="F334" s="24">
        <v>0</v>
      </c>
      <c r="G334" s="24" t="s">
        <v>773</v>
      </c>
      <c r="H334" s="24" t="s">
        <v>668</v>
      </c>
      <c r="I334" s="24" t="s">
        <v>806</v>
      </c>
      <c r="J334" s="24" t="s">
        <v>807</v>
      </c>
      <c r="K334" s="24" t="s">
        <v>807</v>
      </c>
      <c r="L334" s="24" t="s">
        <v>807</v>
      </c>
      <c r="M334" s="24" t="s">
        <v>807</v>
      </c>
      <c r="N334" s="24">
        <v>9.3000000000000007</v>
      </c>
      <c r="O334" s="24">
        <v>9.3000000000000007</v>
      </c>
      <c r="P334" s="24" t="s">
        <v>807</v>
      </c>
      <c r="Q334" s="25">
        <v>1331</v>
      </c>
      <c r="R334" s="24" t="s">
        <v>809</v>
      </c>
      <c r="S334" s="24" t="s">
        <v>675</v>
      </c>
      <c r="T334" s="24">
        <v>131</v>
      </c>
      <c r="U334" s="24" t="s">
        <v>810</v>
      </c>
      <c r="V334" s="24" t="s">
        <v>807</v>
      </c>
      <c r="W334" s="26"/>
      <c r="X334" s="26"/>
      <c r="Y334" s="26"/>
      <c r="Z334" s="26"/>
      <c r="AA334" s="26"/>
      <c r="AB334" s="26"/>
      <c r="AC334" s="26"/>
      <c r="AD334" s="26"/>
      <c r="AE334" s="26"/>
      <c r="AF334" s="26"/>
      <c r="AG334" s="26"/>
      <c r="AH334" s="33" t="s">
        <v>1260</v>
      </c>
      <c r="AI334" s="23" t="s">
        <v>811</v>
      </c>
      <c r="AJ334" s="33" t="str">
        <f t="shared" si="5"/>
        <v>PD5D_MB_Moactcseq/samples/PD_BN0651_MB_MOactcseq_batch9_rep2.h5</v>
      </c>
      <c r="AK334" t="s">
        <v>1290</v>
      </c>
    </row>
    <row r="335" spans="1:37">
      <c r="A335" s="24" t="s">
        <v>1052</v>
      </c>
      <c r="B335" s="24" t="s">
        <v>95</v>
      </c>
      <c r="C335" s="24" t="s">
        <v>95</v>
      </c>
      <c r="D335" s="24" t="s">
        <v>814</v>
      </c>
      <c r="E335" s="24">
        <v>3</v>
      </c>
      <c r="F335" s="24">
        <v>0</v>
      </c>
      <c r="G335" s="24" t="s">
        <v>773</v>
      </c>
      <c r="H335" s="24" t="s">
        <v>668</v>
      </c>
      <c r="I335" s="24" t="s">
        <v>806</v>
      </c>
      <c r="J335" s="24" t="s">
        <v>807</v>
      </c>
      <c r="K335" s="24" t="s">
        <v>807</v>
      </c>
      <c r="L335" s="24" t="s">
        <v>807</v>
      </c>
      <c r="M335" s="24" t="s">
        <v>807</v>
      </c>
      <c r="N335" s="24">
        <v>9.3000000000000007</v>
      </c>
      <c r="O335" s="24">
        <v>9.3000000000000007</v>
      </c>
      <c r="P335" s="24" t="s">
        <v>807</v>
      </c>
      <c r="Q335" s="25">
        <v>1331</v>
      </c>
      <c r="R335" s="24" t="s">
        <v>809</v>
      </c>
      <c r="S335" s="24" t="s">
        <v>675</v>
      </c>
      <c r="T335" s="24">
        <v>131</v>
      </c>
      <c r="U335" s="24" t="s">
        <v>810</v>
      </c>
      <c r="V335" s="24" t="s">
        <v>807</v>
      </c>
      <c r="W335" s="26"/>
      <c r="X335" s="26"/>
      <c r="Y335" s="26"/>
      <c r="Z335" s="26"/>
      <c r="AA335" s="26"/>
      <c r="AB335" s="26"/>
      <c r="AC335" s="26"/>
      <c r="AD335" s="26"/>
      <c r="AE335" s="26"/>
      <c r="AF335" s="26"/>
      <c r="AG335" s="26"/>
      <c r="AH335" s="33" t="s">
        <v>1260</v>
      </c>
      <c r="AI335" s="23" t="s">
        <v>811</v>
      </c>
      <c r="AJ335" s="33" t="str">
        <f t="shared" si="5"/>
        <v>PD5D_MB_Moactcseq/samples/PD_BN0651_MB_MOactcseq_batch9_rep3.h5</v>
      </c>
      <c r="AK335" t="s">
        <v>1290</v>
      </c>
    </row>
    <row r="336" spans="1:37">
      <c r="A336" s="24" t="s">
        <v>1053</v>
      </c>
      <c r="B336" s="24" t="s">
        <v>97</v>
      </c>
      <c r="C336" s="24" t="s">
        <v>97</v>
      </c>
      <c r="D336" s="24" t="s">
        <v>666</v>
      </c>
      <c r="E336" s="24">
        <v>2</v>
      </c>
      <c r="F336" s="24">
        <v>0</v>
      </c>
      <c r="G336" s="24" t="s">
        <v>725</v>
      </c>
      <c r="H336" s="24" t="s">
        <v>668</v>
      </c>
      <c r="I336" s="24" t="s">
        <v>806</v>
      </c>
      <c r="J336" s="24" t="s">
        <v>807</v>
      </c>
      <c r="K336" s="24" t="s">
        <v>807</v>
      </c>
      <c r="L336" s="24" t="s">
        <v>807</v>
      </c>
      <c r="M336" s="24" t="s">
        <v>807</v>
      </c>
      <c r="N336" s="24">
        <v>8.9</v>
      </c>
      <c r="O336" s="24">
        <v>8.9</v>
      </c>
      <c r="P336" s="24" t="s">
        <v>807</v>
      </c>
      <c r="Q336" s="24">
        <v>157</v>
      </c>
      <c r="R336" s="24" t="s">
        <v>809</v>
      </c>
      <c r="S336" s="24" t="s">
        <v>675</v>
      </c>
      <c r="T336" s="24">
        <v>131</v>
      </c>
      <c r="U336" s="24" t="s">
        <v>810</v>
      </c>
      <c r="V336" s="24" t="s">
        <v>807</v>
      </c>
      <c r="W336" s="26"/>
      <c r="X336" s="26"/>
      <c r="Y336" s="26"/>
      <c r="Z336" s="26"/>
      <c r="AA336" s="26"/>
      <c r="AB336" s="26"/>
      <c r="AC336" s="26"/>
      <c r="AD336" s="26"/>
      <c r="AE336" s="26"/>
      <c r="AF336" s="26"/>
      <c r="AG336" s="26"/>
      <c r="AH336" s="33" t="s">
        <v>1260</v>
      </c>
      <c r="AI336" s="23" t="s">
        <v>811</v>
      </c>
      <c r="AJ336" s="33" t="str">
        <f t="shared" si="5"/>
        <v>PD5D_MB_Moactcseq/samples/PD_BN0655_MB_MOactcseq_batch14_rep1.h5</v>
      </c>
      <c r="AK336" t="s">
        <v>1290</v>
      </c>
    </row>
    <row r="337" spans="1:37">
      <c r="A337" s="24" t="s">
        <v>1054</v>
      </c>
      <c r="B337" s="24" t="s">
        <v>97</v>
      </c>
      <c r="C337" s="24" t="s">
        <v>97</v>
      </c>
      <c r="D337" s="24" t="s">
        <v>689</v>
      </c>
      <c r="E337" s="24">
        <v>2</v>
      </c>
      <c r="F337" s="24">
        <v>0</v>
      </c>
      <c r="G337" s="24" t="s">
        <v>725</v>
      </c>
      <c r="H337" s="24" t="s">
        <v>668</v>
      </c>
      <c r="I337" s="24" t="s">
        <v>806</v>
      </c>
      <c r="J337" s="24" t="s">
        <v>807</v>
      </c>
      <c r="K337" s="24" t="s">
        <v>807</v>
      </c>
      <c r="L337" s="24" t="s">
        <v>807</v>
      </c>
      <c r="M337" s="24" t="s">
        <v>807</v>
      </c>
      <c r="N337" s="24">
        <v>8.9</v>
      </c>
      <c r="O337" s="24">
        <v>8.9</v>
      </c>
      <c r="P337" s="24" t="s">
        <v>807</v>
      </c>
      <c r="Q337" s="24">
        <v>157</v>
      </c>
      <c r="R337" s="24" t="s">
        <v>809</v>
      </c>
      <c r="S337" s="24" t="s">
        <v>675</v>
      </c>
      <c r="T337" s="24">
        <v>131</v>
      </c>
      <c r="U337" s="24" t="s">
        <v>810</v>
      </c>
      <c r="V337" s="24" t="s">
        <v>807</v>
      </c>
      <c r="W337" s="26"/>
      <c r="X337" s="26"/>
      <c r="Y337" s="26"/>
      <c r="Z337" s="26"/>
      <c r="AA337" s="26"/>
      <c r="AB337" s="26"/>
      <c r="AC337" s="26"/>
      <c r="AD337" s="26"/>
      <c r="AE337" s="26"/>
      <c r="AF337" s="26"/>
      <c r="AG337" s="26"/>
      <c r="AH337" s="33" t="s">
        <v>1260</v>
      </c>
      <c r="AI337" s="23" t="s">
        <v>811</v>
      </c>
      <c r="AJ337" s="33" t="str">
        <f t="shared" si="5"/>
        <v>PD5D_MB_Moactcseq/samples/PD_BN0655_MB_MOactcseq_batch14_rep2.h5</v>
      </c>
      <c r="AK337" t="s">
        <v>1290</v>
      </c>
    </row>
    <row r="338" spans="1:37">
      <c r="A338" s="24" t="s">
        <v>1055</v>
      </c>
      <c r="B338" s="24" t="s">
        <v>99</v>
      </c>
      <c r="C338" s="24" t="s">
        <v>99</v>
      </c>
      <c r="D338" s="24" t="s">
        <v>666</v>
      </c>
      <c r="E338" s="24">
        <v>2</v>
      </c>
      <c r="F338" s="24">
        <v>0</v>
      </c>
      <c r="G338" s="24" t="s">
        <v>735</v>
      </c>
      <c r="H338" s="24" t="s">
        <v>668</v>
      </c>
      <c r="I338" s="24" t="s">
        <v>806</v>
      </c>
      <c r="J338" s="24" t="s">
        <v>807</v>
      </c>
      <c r="K338" s="24" t="s">
        <v>807</v>
      </c>
      <c r="L338" s="24" t="s">
        <v>807</v>
      </c>
      <c r="M338" s="24" t="s">
        <v>807</v>
      </c>
      <c r="N338" s="24">
        <v>9.4</v>
      </c>
      <c r="O338" s="24">
        <v>9.4</v>
      </c>
      <c r="P338" s="24" t="s">
        <v>807</v>
      </c>
      <c r="Q338" s="25">
        <v>3235</v>
      </c>
      <c r="R338" s="24" t="s">
        <v>809</v>
      </c>
      <c r="S338" s="24" t="s">
        <v>675</v>
      </c>
      <c r="T338" s="24">
        <v>131</v>
      </c>
      <c r="U338" s="24" t="s">
        <v>810</v>
      </c>
      <c r="V338" s="24" t="s">
        <v>807</v>
      </c>
      <c r="W338" s="26"/>
      <c r="X338" s="26"/>
      <c r="Y338" s="26"/>
      <c r="Z338" s="26"/>
      <c r="AA338" s="26"/>
      <c r="AB338" s="26"/>
      <c r="AC338" s="26"/>
      <c r="AD338" s="26"/>
      <c r="AE338" s="26"/>
      <c r="AF338" s="26"/>
      <c r="AG338" s="26"/>
      <c r="AH338" s="33" t="s">
        <v>1260</v>
      </c>
      <c r="AI338" s="23" t="s">
        <v>811</v>
      </c>
      <c r="AJ338" s="33" t="str">
        <f t="shared" si="5"/>
        <v>PD5D_MB_Moactcseq/samples/PD_BN0662_MB_MOactcseq_batch12_rep1.h5</v>
      </c>
      <c r="AK338" t="s">
        <v>1290</v>
      </c>
    </row>
    <row r="339" spans="1:37">
      <c r="A339" s="24" t="s">
        <v>1056</v>
      </c>
      <c r="B339" s="24" t="s">
        <v>99</v>
      </c>
      <c r="C339" s="24" t="s">
        <v>99</v>
      </c>
      <c r="D339" s="24" t="s">
        <v>689</v>
      </c>
      <c r="E339" s="24">
        <v>2</v>
      </c>
      <c r="F339" s="24">
        <v>0</v>
      </c>
      <c r="G339" s="24" t="s">
        <v>735</v>
      </c>
      <c r="H339" s="24" t="s">
        <v>668</v>
      </c>
      <c r="I339" s="24" t="s">
        <v>806</v>
      </c>
      <c r="J339" s="24" t="s">
        <v>807</v>
      </c>
      <c r="K339" s="24" t="s">
        <v>807</v>
      </c>
      <c r="L339" s="24" t="s">
        <v>807</v>
      </c>
      <c r="M339" s="24" t="s">
        <v>807</v>
      </c>
      <c r="N339" s="24">
        <v>9.4</v>
      </c>
      <c r="O339" s="24">
        <v>9.4</v>
      </c>
      <c r="P339" s="24" t="s">
        <v>807</v>
      </c>
      <c r="Q339" s="25">
        <v>3235</v>
      </c>
      <c r="R339" s="24" t="s">
        <v>809</v>
      </c>
      <c r="S339" s="24" t="s">
        <v>675</v>
      </c>
      <c r="T339" s="24">
        <v>131</v>
      </c>
      <c r="U339" s="24" t="s">
        <v>810</v>
      </c>
      <c r="V339" s="24" t="s">
        <v>807</v>
      </c>
      <c r="W339" s="26"/>
      <c r="X339" s="26"/>
      <c r="Y339" s="26"/>
      <c r="Z339" s="26"/>
      <c r="AA339" s="26"/>
      <c r="AB339" s="26"/>
      <c r="AC339" s="26"/>
      <c r="AD339" s="26"/>
      <c r="AE339" s="26"/>
      <c r="AF339" s="26"/>
      <c r="AG339" s="26"/>
      <c r="AH339" s="33" t="s">
        <v>1260</v>
      </c>
      <c r="AI339" s="23" t="s">
        <v>811</v>
      </c>
      <c r="AJ339" s="33" t="str">
        <f t="shared" si="5"/>
        <v>PD5D_MB_Moactcseq/samples/PD_BN0662_MB_MOactcseq_batch12_rep2.h5</v>
      </c>
      <c r="AK339" t="s">
        <v>1290</v>
      </c>
    </row>
    <row r="340" spans="1:37">
      <c r="A340" s="24" t="s">
        <v>1057</v>
      </c>
      <c r="B340" s="24" t="s">
        <v>110</v>
      </c>
      <c r="C340" s="24" t="s">
        <v>110</v>
      </c>
      <c r="D340" s="24" t="s">
        <v>666</v>
      </c>
      <c r="E340" s="24">
        <v>2</v>
      </c>
      <c r="F340" s="24">
        <v>0</v>
      </c>
      <c r="G340" s="24" t="s">
        <v>735</v>
      </c>
      <c r="H340" s="24" t="s">
        <v>668</v>
      </c>
      <c r="I340" s="24" t="s">
        <v>806</v>
      </c>
      <c r="J340" s="24" t="s">
        <v>807</v>
      </c>
      <c r="K340" s="24" t="s">
        <v>807</v>
      </c>
      <c r="L340" s="24" t="s">
        <v>807</v>
      </c>
      <c r="M340" s="24" t="s">
        <v>807</v>
      </c>
      <c r="N340" s="24">
        <v>9.5</v>
      </c>
      <c r="O340" s="24">
        <v>9.5</v>
      </c>
      <c r="P340" s="24" t="s">
        <v>807</v>
      </c>
      <c r="Q340" s="24">
        <v>336</v>
      </c>
      <c r="R340" s="24" t="s">
        <v>809</v>
      </c>
      <c r="S340" s="24" t="s">
        <v>675</v>
      </c>
      <c r="T340" s="24">
        <v>131</v>
      </c>
      <c r="U340" s="24" t="s">
        <v>810</v>
      </c>
      <c r="V340" s="24" t="s">
        <v>807</v>
      </c>
      <c r="W340" s="26"/>
      <c r="X340" s="26"/>
      <c r="Y340" s="26"/>
      <c r="Z340" s="26"/>
      <c r="AA340" s="26"/>
      <c r="AB340" s="26"/>
      <c r="AC340" s="26"/>
      <c r="AD340" s="26"/>
      <c r="AE340" s="26"/>
      <c r="AF340" s="26"/>
      <c r="AG340" s="26"/>
      <c r="AH340" s="33" t="s">
        <v>1260</v>
      </c>
      <c r="AI340" s="23" t="s">
        <v>811</v>
      </c>
      <c r="AJ340" s="33" t="str">
        <f t="shared" si="5"/>
        <v>PD5D_MB_Moactcseq/samples/PD_BN0952_MB_MOactcseq_batch12_rep1.h5</v>
      </c>
      <c r="AK340" t="s">
        <v>1290</v>
      </c>
    </row>
    <row r="341" spans="1:37">
      <c r="A341" s="24" t="s">
        <v>1058</v>
      </c>
      <c r="B341" s="24" t="s">
        <v>110</v>
      </c>
      <c r="C341" s="24" t="s">
        <v>110</v>
      </c>
      <c r="D341" s="24" t="s">
        <v>689</v>
      </c>
      <c r="E341" s="24">
        <v>2</v>
      </c>
      <c r="F341" s="24">
        <v>0</v>
      </c>
      <c r="G341" s="24" t="s">
        <v>735</v>
      </c>
      <c r="H341" s="24" t="s">
        <v>668</v>
      </c>
      <c r="I341" s="24" t="s">
        <v>806</v>
      </c>
      <c r="J341" s="24" t="s">
        <v>807</v>
      </c>
      <c r="K341" s="24" t="s">
        <v>807</v>
      </c>
      <c r="L341" s="24" t="s">
        <v>807</v>
      </c>
      <c r="M341" s="24" t="s">
        <v>807</v>
      </c>
      <c r="N341" s="24">
        <v>9.5</v>
      </c>
      <c r="O341" s="24">
        <v>9.5</v>
      </c>
      <c r="P341" s="24" t="s">
        <v>807</v>
      </c>
      <c r="Q341" s="24">
        <v>336</v>
      </c>
      <c r="R341" s="24" t="s">
        <v>809</v>
      </c>
      <c r="S341" s="24" t="s">
        <v>675</v>
      </c>
      <c r="T341" s="24">
        <v>131</v>
      </c>
      <c r="U341" s="24" t="s">
        <v>810</v>
      </c>
      <c r="V341" s="24" t="s">
        <v>807</v>
      </c>
      <c r="W341" s="26"/>
      <c r="X341" s="26"/>
      <c r="Y341" s="26"/>
      <c r="Z341" s="26"/>
      <c r="AA341" s="26"/>
      <c r="AB341" s="26"/>
      <c r="AC341" s="26"/>
      <c r="AD341" s="26"/>
      <c r="AE341" s="26"/>
      <c r="AF341" s="26"/>
      <c r="AG341" s="26"/>
      <c r="AH341" s="33" t="s">
        <v>1260</v>
      </c>
      <c r="AI341" s="23" t="s">
        <v>811</v>
      </c>
      <c r="AJ341" s="33" t="str">
        <f t="shared" si="5"/>
        <v>PD5D_MB_Moactcseq/samples/PD_BN0952_MB_MOactcseq_batch12_rep2.h5</v>
      </c>
      <c r="AK341" t="s">
        <v>1290</v>
      </c>
    </row>
    <row r="342" spans="1:37">
      <c r="A342" s="24" t="s">
        <v>1059</v>
      </c>
      <c r="B342" s="24" t="s">
        <v>113</v>
      </c>
      <c r="C342" s="24" t="s">
        <v>113</v>
      </c>
      <c r="D342" s="24" t="s">
        <v>666</v>
      </c>
      <c r="E342" s="24">
        <v>3</v>
      </c>
      <c r="F342" s="24">
        <v>0</v>
      </c>
      <c r="G342" s="24" t="s">
        <v>706</v>
      </c>
      <c r="H342" s="24" t="s">
        <v>668</v>
      </c>
      <c r="I342" s="24" t="s">
        <v>806</v>
      </c>
      <c r="J342" s="24" t="s">
        <v>807</v>
      </c>
      <c r="K342" s="24" t="s">
        <v>807</v>
      </c>
      <c r="L342" s="24" t="s">
        <v>807</v>
      </c>
      <c r="M342" s="24" t="s">
        <v>807</v>
      </c>
      <c r="N342" s="24">
        <v>8.8000000000000007</v>
      </c>
      <c r="O342" s="24">
        <v>8.8000000000000007</v>
      </c>
      <c r="P342" s="24" t="s">
        <v>807</v>
      </c>
      <c r="Q342" s="25">
        <v>2439</v>
      </c>
      <c r="R342" s="24" t="s">
        <v>809</v>
      </c>
      <c r="S342" s="24" t="s">
        <v>675</v>
      </c>
      <c r="T342" s="24">
        <v>131</v>
      </c>
      <c r="U342" s="24" t="s">
        <v>810</v>
      </c>
      <c r="V342" s="24" t="s">
        <v>807</v>
      </c>
      <c r="W342" s="26"/>
      <c r="X342" s="26"/>
      <c r="Y342" s="26"/>
      <c r="Z342" s="26"/>
      <c r="AA342" s="26"/>
      <c r="AB342" s="26"/>
      <c r="AC342" s="26"/>
      <c r="AD342" s="26"/>
      <c r="AE342" s="26"/>
      <c r="AF342" s="26"/>
      <c r="AG342" s="26"/>
      <c r="AH342" s="33" t="s">
        <v>1260</v>
      </c>
      <c r="AI342" s="23" t="s">
        <v>811</v>
      </c>
      <c r="AJ342" s="33" t="str">
        <f t="shared" si="5"/>
        <v>PD5D_MB_Moactcseq/samples/PD_BN1076_MB_MOactcseq_batch8_rep1.h5</v>
      </c>
      <c r="AK342" t="s">
        <v>1290</v>
      </c>
    </row>
    <row r="343" spans="1:37">
      <c r="A343" s="24" t="s">
        <v>1060</v>
      </c>
      <c r="B343" s="24" t="s">
        <v>113</v>
      </c>
      <c r="C343" s="24" t="s">
        <v>113</v>
      </c>
      <c r="D343" s="24" t="s">
        <v>689</v>
      </c>
      <c r="E343" s="24">
        <v>3</v>
      </c>
      <c r="F343" s="24">
        <v>0</v>
      </c>
      <c r="G343" s="24" t="s">
        <v>706</v>
      </c>
      <c r="H343" s="24" t="s">
        <v>668</v>
      </c>
      <c r="I343" s="24" t="s">
        <v>806</v>
      </c>
      <c r="J343" s="24" t="s">
        <v>807</v>
      </c>
      <c r="K343" s="24" t="s">
        <v>807</v>
      </c>
      <c r="L343" s="24" t="s">
        <v>807</v>
      </c>
      <c r="M343" s="24" t="s">
        <v>807</v>
      </c>
      <c r="N343" s="24">
        <v>8.8000000000000007</v>
      </c>
      <c r="O343" s="24">
        <v>8.8000000000000007</v>
      </c>
      <c r="P343" s="24" t="s">
        <v>807</v>
      </c>
      <c r="Q343" s="25">
        <v>2439</v>
      </c>
      <c r="R343" s="24" t="s">
        <v>809</v>
      </c>
      <c r="S343" s="24" t="s">
        <v>675</v>
      </c>
      <c r="T343" s="24">
        <v>131</v>
      </c>
      <c r="U343" s="24" t="s">
        <v>810</v>
      </c>
      <c r="V343" s="24" t="s">
        <v>807</v>
      </c>
      <c r="W343" s="26"/>
      <c r="X343" s="26"/>
      <c r="Y343" s="26"/>
      <c r="Z343" s="26"/>
      <c r="AA343" s="26"/>
      <c r="AB343" s="26"/>
      <c r="AC343" s="26"/>
      <c r="AD343" s="26"/>
      <c r="AE343" s="26"/>
      <c r="AF343" s="26"/>
      <c r="AG343" s="26"/>
      <c r="AH343" s="33" t="s">
        <v>1260</v>
      </c>
      <c r="AI343" s="23" t="s">
        <v>811</v>
      </c>
      <c r="AJ343" s="33" t="str">
        <f t="shared" si="5"/>
        <v>PD5D_MB_Moactcseq/samples/PD_BN1076_MB_MOactcseq_batch8_rep2.h5</v>
      </c>
      <c r="AK343" t="s">
        <v>1290</v>
      </c>
    </row>
    <row r="344" spans="1:37">
      <c r="A344" s="24" t="s">
        <v>1061</v>
      </c>
      <c r="B344" s="24" t="s">
        <v>113</v>
      </c>
      <c r="C344" s="24" t="s">
        <v>113</v>
      </c>
      <c r="D344" s="24" t="s">
        <v>814</v>
      </c>
      <c r="E344" s="24">
        <v>3</v>
      </c>
      <c r="F344" s="24">
        <v>0</v>
      </c>
      <c r="G344" s="24" t="s">
        <v>706</v>
      </c>
      <c r="H344" s="24" t="s">
        <v>668</v>
      </c>
      <c r="I344" s="24" t="s">
        <v>806</v>
      </c>
      <c r="J344" s="24" t="s">
        <v>807</v>
      </c>
      <c r="K344" s="24" t="s">
        <v>807</v>
      </c>
      <c r="L344" s="24" t="s">
        <v>807</v>
      </c>
      <c r="M344" s="24" t="s">
        <v>807</v>
      </c>
      <c r="N344" s="24">
        <v>8.8000000000000007</v>
      </c>
      <c r="O344" s="24">
        <v>8.8000000000000007</v>
      </c>
      <c r="P344" s="24" t="s">
        <v>807</v>
      </c>
      <c r="Q344" s="25">
        <v>2439</v>
      </c>
      <c r="R344" s="24" t="s">
        <v>809</v>
      </c>
      <c r="S344" s="24" t="s">
        <v>675</v>
      </c>
      <c r="T344" s="24">
        <v>131</v>
      </c>
      <c r="U344" s="24" t="s">
        <v>810</v>
      </c>
      <c r="V344" s="24" t="s">
        <v>807</v>
      </c>
      <c r="W344" s="26"/>
      <c r="X344" s="26"/>
      <c r="Y344" s="26"/>
      <c r="Z344" s="26"/>
      <c r="AA344" s="26"/>
      <c r="AB344" s="26"/>
      <c r="AC344" s="26"/>
      <c r="AD344" s="26"/>
      <c r="AE344" s="26"/>
      <c r="AF344" s="26"/>
      <c r="AG344" s="26"/>
      <c r="AH344" s="33" t="s">
        <v>1260</v>
      </c>
      <c r="AI344" s="23" t="s">
        <v>811</v>
      </c>
      <c r="AJ344" s="33" t="str">
        <f t="shared" si="5"/>
        <v>PD5D_MB_Moactcseq/samples/PD_BN1076_MB_MOactcseq_batch8_rep3.h5</v>
      </c>
      <c r="AK344" t="s">
        <v>1290</v>
      </c>
    </row>
    <row r="345" spans="1:37">
      <c r="A345" s="24" t="s">
        <v>1062</v>
      </c>
      <c r="B345" s="24" t="s">
        <v>121</v>
      </c>
      <c r="C345" s="24" t="s">
        <v>121</v>
      </c>
      <c r="D345" s="24" t="s">
        <v>666</v>
      </c>
      <c r="E345" s="24">
        <v>4</v>
      </c>
      <c r="F345" s="24">
        <v>0</v>
      </c>
      <c r="G345" s="24" t="s">
        <v>686</v>
      </c>
      <c r="H345" s="24" t="s">
        <v>668</v>
      </c>
      <c r="I345" s="24" t="s">
        <v>806</v>
      </c>
      <c r="J345" s="24" t="s">
        <v>807</v>
      </c>
      <c r="K345" s="24" t="s">
        <v>807</v>
      </c>
      <c r="L345" s="24" t="s">
        <v>807</v>
      </c>
      <c r="M345" s="24" t="s">
        <v>807</v>
      </c>
      <c r="N345" s="24">
        <v>7.5</v>
      </c>
      <c r="O345" s="24">
        <v>7.5</v>
      </c>
      <c r="P345" s="24" t="s">
        <v>807</v>
      </c>
      <c r="Q345" s="25">
        <v>1596</v>
      </c>
      <c r="R345" s="24" t="s">
        <v>809</v>
      </c>
      <c r="S345" s="24" t="s">
        <v>675</v>
      </c>
      <c r="T345" s="24">
        <v>131</v>
      </c>
      <c r="U345" s="24" t="s">
        <v>810</v>
      </c>
      <c r="V345" s="24" t="s">
        <v>807</v>
      </c>
      <c r="W345" s="26"/>
      <c r="X345" s="26"/>
      <c r="Y345" s="26"/>
      <c r="Z345" s="26"/>
      <c r="AA345" s="26"/>
      <c r="AB345" s="26"/>
      <c r="AC345" s="26"/>
      <c r="AD345" s="26"/>
      <c r="AE345" s="26"/>
      <c r="AF345" s="26"/>
      <c r="AG345" s="26"/>
      <c r="AH345" s="33" t="s">
        <v>1260</v>
      </c>
      <c r="AI345" s="23" t="s">
        <v>811</v>
      </c>
      <c r="AJ345" s="33" t="str">
        <f t="shared" si="5"/>
        <v>PD5D_MB_Moactcseq/samples/PD_BN1204_MB_MOactcseq_batch7_rep1.h5</v>
      </c>
      <c r="AK345" t="s">
        <v>1290</v>
      </c>
    </row>
    <row r="346" spans="1:37">
      <c r="A346" s="24" t="s">
        <v>1063</v>
      </c>
      <c r="B346" s="24" t="s">
        <v>121</v>
      </c>
      <c r="C346" s="24" t="s">
        <v>121</v>
      </c>
      <c r="D346" s="24" t="s">
        <v>689</v>
      </c>
      <c r="E346" s="24">
        <v>4</v>
      </c>
      <c r="F346" s="24">
        <v>0</v>
      </c>
      <c r="G346" s="24" t="s">
        <v>686</v>
      </c>
      <c r="H346" s="24" t="s">
        <v>668</v>
      </c>
      <c r="I346" s="24" t="s">
        <v>806</v>
      </c>
      <c r="J346" s="24" t="s">
        <v>807</v>
      </c>
      <c r="K346" s="24" t="s">
        <v>807</v>
      </c>
      <c r="L346" s="24" t="s">
        <v>807</v>
      </c>
      <c r="M346" s="24" t="s">
        <v>807</v>
      </c>
      <c r="N346" s="24">
        <v>7.5</v>
      </c>
      <c r="O346" s="24">
        <v>7.5</v>
      </c>
      <c r="P346" s="24" t="s">
        <v>807</v>
      </c>
      <c r="Q346" s="25">
        <v>1596</v>
      </c>
      <c r="R346" s="24" t="s">
        <v>809</v>
      </c>
      <c r="S346" s="24" t="s">
        <v>675</v>
      </c>
      <c r="T346" s="24">
        <v>131</v>
      </c>
      <c r="U346" s="24" t="s">
        <v>810</v>
      </c>
      <c r="V346" s="24" t="s">
        <v>807</v>
      </c>
      <c r="W346" s="26"/>
      <c r="X346" s="26"/>
      <c r="Y346" s="26"/>
      <c r="Z346" s="26"/>
      <c r="AA346" s="26"/>
      <c r="AB346" s="26"/>
      <c r="AC346" s="26"/>
      <c r="AD346" s="26"/>
      <c r="AE346" s="26"/>
      <c r="AF346" s="26"/>
      <c r="AG346" s="26"/>
      <c r="AH346" s="33" t="s">
        <v>1260</v>
      </c>
      <c r="AI346" s="23" t="s">
        <v>811</v>
      </c>
      <c r="AJ346" s="33" t="str">
        <f t="shared" si="5"/>
        <v>PD5D_MB_Moactcseq/samples/PD_BN1204_MB_MOactcseq_batch7_rep2.h5</v>
      </c>
      <c r="AK346" t="s">
        <v>1290</v>
      </c>
    </row>
    <row r="347" spans="1:37">
      <c r="A347" s="24" t="s">
        <v>1064</v>
      </c>
      <c r="B347" s="24" t="s">
        <v>121</v>
      </c>
      <c r="C347" s="24" t="s">
        <v>121</v>
      </c>
      <c r="D347" s="24" t="s">
        <v>814</v>
      </c>
      <c r="E347" s="24">
        <v>4</v>
      </c>
      <c r="F347" s="24">
        <v>0</v>
      </c>
      <c r="G347" s="24" t="s">
        <v>686</v>
      </c>
      <c r="H347" s="24" t="s">
        <v>668</v>
      </c>
      <c r="I347" s="24" t="s">
        <v>806</v>
      </c>
      <c r="J347" s="24" t="s">
        <v>807</v>
      </c>
      <c r="K347" s="24" t="s">
        <v>807</v>
      </c>
      <c r="L347" s="24" t="s">
        <v>807</v>
      </c>
      <c r="M347" s="24" t="s">
        <v>807</v>
      </c>
      <c r="N347" s="24">
        <v>7.5</v>
      </c>
      <c r="O347" s="24">
        <v>7.5</v>
      </c>
      <c r="P347" s="24" t="s">
        <v>807</v>
      </c>
      <c r="Q347" s="25">
        <v>1596</v>
      </c>
      <c r="R347" s="24" t="s">
        <v>809</v>
      </c>
      <c r="S347" s="24" t="s">
        <v>675</v>
      </c>
      <c r="T347" s="24">
        <v>131</v>
      </c>
      <c r="U347" s="24" t="s">
        <v>810</v>
      </c>
      <c r="V347" s="24" t="s">
        <v>807</v>
      </c>
      <c r="W347" s="26"/>
      <c r="X347" s="26"/>
      <c r="Y347" s="26"/>
      <c r="Z347" s="26"/>
      <c r="AA347" s="26"/>
      <c r="AB347" s="26"/>
      <c r="AC347" s="26"/>
      <c r="AD347" s="26"/>
      <c r="AE347" s="26"/>
      <c r="AF347" s="26"/>
      <c r="AG347" s="26"/>
      <c r="AH347" s="33" t="s">
        <v>1260</v>
      </c>
      <c r="AI347" s="23" t="s">
        <v>811</v>
      </c>
      <c r="AJ347" s="33" t="str">
        <f t="shared" si="5"/>
        <v>PD5D_MB_Moactcseq/samples/PD_BN1204_MB_MOactcseq_batch7_rep3.h5</v>
      </c>
      <c r="AK347" t="s">
        <v>1290</v>
      </c>
    </row>
    <row r="348" spans="1:37">
      <c r="A348" s="24" t="s">
        <v>1065</v>
      </c>
      <c r="B348" s="24" t="s">
        <v>121</v>
      </c>
      <c r="C348" s="24" t="s">
        <v>121</v>
      </c>
      <c r="D348" s="24" t="s">
        <v>819</v>
      </c>
      <c r="E348" s="24">
        <v>4</v>
      </c>
      <c r="F348" s="24">
        <v>0</v>
      </c>
      <c r="G348" s="24" t="s">
        <v>686</v>
      </c>
      <c r="H348" s="24" t="s">
        <v>668</v>
      </c>
      <c r="I348" s="24" t="s">
        <v>806</v>
      </c>
      <c r="J348" s="24" t="s">
        <v>807</v>
      </c>
      <c r="K348" s="24" t="s">
        <v>807</v>
      </c>
      <c r="L348" s="24" t="s">
        <v>807</v>
      </c>
      <c r="M348" s="24" t="s">
        <v>807</v>
      </c>
      <c r="N348" s="24">
        <v>7.5</v>
      </c>
      <c r="O348" s="24">
        <v>7.5</v>
      </c>
      <c r="P348" s="24" t="s">
        <v>807</v>
      </c>
      <c r="Q348" s="25">
        <v>1596</v>
      </c>
      <c r="R348" s="24" t="s">
        <v>809</v>
      </c>
      <c r="S348" s="24" t="s">
        <v>675</v>
      </c>
      <c r="T348" s="24">
        <v>131</v>
      </c>
      <c r="U348" s="24" t="s">
        <v>810</v>
      </c>
      <c r="V348" s="24" t="s">
        <v>807</v>
      </c>
      <c r="W348" s="26"/>
      <c r="X348" s="26"/>
      <c r="Y348" s="26"/>
      <c r="Z348" s="26"/>
      <c r="AA348" s="26"/>
      <c r="AB348" s="26"/>
      <c r="AC348" s="26"/>
      <c r="AD348" s="26"/>
      <c r="AE348" s="26"/>
      <c r="AF348" s="26"/>
      <c r="AG348" s="26"/>
      <c r="AH348" s="33" t="s">
        <v>1260</v>
      </c>
      <c r="AI348" s="23" t="s">
        <v>811</v>
      </c>
      <c r="AJ348" s="33" t="str">
        <f t="shared" si="5"/>
        <v>PD5D_MB_Moactcseq/samples/PD_BN1204_MB_MOactcseq_batch7_rep4.h5</v>
      </c>
      <c r="AK348" t="s">
        <v>1290</v>
      </c>
    </row>
    <row r="349" spans="1:37">
      <c r="A349" s="24" t="s">
        <v>1066</v>
      </c>
      <c r="B349" s="24" t="s">
        <v>125</v>
      </c>
      <c r="C349" s="24" t="s">
        <v>125</v>
      </c>
      <c r="D349" s="24" t="s">
        <v>666</v>
      </c>
      <c r="E349" s="24">
        <v>2</v>
      </c>
      <c r="F349" s="24">
        <v>0</v>
      </c>
      <c r="G349" s="24" t="s">
        <v>735</v>
      </c>
      <c r="H349" s="24" t="s">
        <v>668</v>
      </c>
      <c r="I349" s="24" t="s">
        <v>806</v>
      </c>
      <c r="J349" s="24" t="s">
        <v>807</v>
      </c>
      <c r="K349" s="24" t="s">
        <v>807</v>
      </c>
      <c r="L349" s="24" t="s">
        <v>807</v>
      </c>
      <c r="M349" s="24" t="s">
        <v>807</v>
      </c>
      <c r="N349" s="24">
        <v>8</v>
      </c>
      <c r="O349" s="24">
        <v>8</v>
      </c>
      <c r="P349" s="24" t="s">
        <v>807</v>
      </c>
      <c r="Q349" s="24">
        <v>723</v>
      </c>
      <c r="R349" s="24" t="s">
        <v>809</v>
      </c>
      <c r="S349" s="24" t="s">
        <v>675</v>
      </c>
      <c r="T349" s="24">
        <v>131</v>
      </c>
      <c r="U349" s="24" t="s">
        <v>810</v>
      </c>
      <c r="V349" s="24" t="s">
        <v>807</v>
      </c>
      <c r="W349" s="26"/>
      <c r="X349" s="26"/>
      <c r="Y349" s="26"/>
      <c r="Z349" s="26"/>
      <c r="AA349" s="26"/>
      <c r="AB349" s="26"/>
      <c r="AC349" s="26"/>
      <c r="AD349" s="26"/>
      <c r="AE349" s="26"/>
      <c r="AF349" s="26"/>
      <c r="AG349" s="26"/>
      <c r="AH349" s="33" t="s">
        <v>1260</v>
      </c>
      <c r="AI349" s="23" t="s">
        <v>811</v>
      </c>
      <c r="AJ349" s="33" t="str">
        <f t="shared" si="5"/>
        <v>PD5D_MB_Moactcseq/samples/PD_BN1266_MB_MOactcseq_batch12_rep1.h5</v>
      </c>
      <c r="AK349" t="s">
        <v>1290</v>
      </c>
    </row>
    <row r="350" spans="1:37" ht="17" customHeight="1">
      <c r="A350" s="24" t="s">
        <v>1067</v>
      </c>
      <c r="B350" s="24" t="s">
        <v>125</v>
      </c>
      <c r="C350" s="24" t="s">
        <v>125</v>
      </c>
      <c r="D350" s="24" t="s">
        <v>689</v>
      </c>
      <c r="E350" s="24">
        <v>2</v>
      </c>
      <c r="F350" s="24">
        <v>0</v>
      </c>
      <c r="G350" s="24" t="s">
        <v>735</v>
      </c>
      <c r="H350" s="24" t="s">
        <v>668</v>
      </c>
      <c r="I350" s="24" t="s">
        <v>806</v>
      </c>
      <c r="J350" s="24" t="s">
        <v>807</v>
      </c>
      <c r="K350" s="24" t="s">
        <v>807</v>
      </c>
      <c r="L350" s="24" t="s">
        <v>807</v>
      </c>
      <c r="M350" s="24" t="s">
        <v>807</v>
      </c>
      <c r="N350" s="24">
        <v>8</v>
      </c>
      <c r="O350" s="24">
        <v>8</v>
      </c>
      <c r="P350" s="24" t="s">
        <v>807</v>
      </c>
      <c r="Q350" s="24">
        <v>723</v>
      </c>
      <c r="R350" s="24" t="s">
        <v>809</v>
      </c>
      <c r="S350" s="24" t="s">
        <v>675</v>
      </c>
      <c r="T350" s="24">
        <v>131</v>
      </c>
      <c r="U350" s="24" t="s">
        <v>810</v>
      </c>
      <c r="V350" s="24" t="s">
        <v>807</v>
      </c>
      <c r="W350" s="26"/>
      <c r="X350" s="26"/>
      <c r="Y350" s="26"/>
      <c r="Z350" s="26"/>
      <c r="AA350" s="26"/>
      <c r="AB350" s="26"/>
      <c r="AC350" s="26"/>
      <c r="AD350" s="26"/>
      <c r="AE350" s="26"/>
      <c r="AF350" s="26"/>
      <c r="AG350" s="26"/>
      <c r="AH350" s="33" t="s">
        <v>1260</v>
      </c>
      <c r="AI350" s="23" t="s">
        <v>811</v>
      </c>
      <c r="AJ350" s="33" t="str">
        <f t="shared" si="5"/>
        <v>PD5D_MB_Moactcseq/samples/PD_BN1266_MB_MOactcseq_batch12_rep2.h5</v>
      </c>
      <c r="AK350" t="s">
        <v>1290</v>
      </c>
    </row>
    <row r="351" spans="1:37">
      <c r="A351" s="27" t="s">
        <v>1068</v>
      </c>
      <c r="B351" s="27" t="s">
        <v>127</v>
      </c>
      <c r="C351" s="27" t="s">
        <v>127</v>
      </c>
      <c r="D351" s="27" t="s">
        <v>666</v>
      </c>
      <c r="E351" s="27">
        <v>5</v>
      </c>
      <c r="F351" s="27">
        <v>0</v>
      </c>
      <c r="G351" s="27" t="s">
        <v>733</v>
      </c>
      <c r="H351" s="27" t="s">
        <v>668</v>
      </c>
      <c r="I351" s="27" t="s">
        <v>806</v>
      </c>
      <c r="J351" s="27" t="s">
        <v>807</v>
      </c>
      <c r="K351" s="27" t="s">
        <v>807</v>
      </c>
      <c r="L351" s="27" t="s">
        <v>807</v>
      </c>
      <c r="M351" s="27" t="s">
        <v>807</v>
      </c>
      <c r="N351" s="27">
        <v>9.6</v>
      </c>
      <c r="O351" s="27">
        <v>9.6</v>
      </c>
      <c r="P351" s="27" t="s">
        <v>807</v>
      </c>
      <c r="Q351" s="28">
        <v>5912</v>
      </c>
      <c r="R351" s="27" t="s">
        <v>809</v>
      </c>
      <c r="S351" s="27" t="s">
        <v>675</v>
      </c>
      <c r="T351" s="27">
        <v>131</v>
      </c>
      <c r="U351" s="27" t="s">
        <v>810</v>
      </c>
      <c r="V351" s="27" t="s">
        <v>807</v>
      </c>
      <c r="W351" s="29"/>
      <c r="X351" s="29"/>
      <c r="Y351" s="29"/>
      <c r="Z351" s="29"/>
      <c r="AA351" s="29"/>
      <c r="AB351" s="29"/>
      <c r="AC351" s="29"/>
      <c r="AD351" s="29"/>
      <c r="AE351" s="29"/>
      <c r="AF351" s="29"/>
      <c r="AG351" s="29"/>
      <c r="AH351" s="33" t="s">
        <v>1260</v>
      </c>
      <c r="AI351" s="30" t="s">
        <v>811</v>
      </c>
      <c r="AJ351" s="33" t="str">
        <f t="shared" si="5"/>
        <v>PD5D_MB_Moactcseq/samples/PD_BN1305_MB_MOactcseq_batch15_rep1.h5</v>
      </c>
      <c r="AK351" t="s">
        <v>1290</v>
      </c>
    </row>
    <row r="352" spans="1:37">
      <c r="A352" s="24" t="s">
        <v>1069</v>
      </c>
      <c r="B352" s="24" t="s">
        <v>127</v>
      </c>
      <c r="C352" s="24" t="s">
        <v>127</v>
      </c>
      <c r="D352" s="24" t="s">
        <v>689</v>
      </c>
      <c r="E352" s="24">
        <v>5</v>
      </c>
      <c r="F352" s="24">
        <v>0</v>
      </c>
      <c r="G352" s="24" t="s">
        <v>733</v>
      </c>
      <c r="H352" s="24" t="s">
        <v>668</v>
      </c>
      <c r="I352" s="24" t="s">
        <v>806</v>
      </c>
      <c r="J352" s="24" t="s">
        <v>807</v>
      </c>
      <c r="K352" s="24" t="s">
        <v>807</v>
      </c>
      <c r="L352" s="24" t="s">
        <v>807</v>
      </c>
      <c r="M352" s="24" t="s">
        <v>807</v>
      </c>
      <c r="N352" s="24">
        <v>9.6</v>
      </c>
      <c r="O352" s="24">
        <v>9.6</v>
      </c>
      <c r="P352" s="24" t="s">
        <v>807</v>
      </c>
      <c r="Q352" s="25">
        <v>5912</v>
      </c>
      <c r="R352" s="24" t="s">
        <v>809</v>
      </c>
      <c r="S352" s="24" t="s">
        <v>675</v>
      </c>
      <c r="T352" s="24">
        <v>131</v>
      </c>
      <c r="U352" s="24" t="s">
        <v>810</v>
      </c>
      <c r="V352" s="24" t="s">
        <v>807</v>
      </c>
      <c r="W352" s="26"/>
      <c r="X352" s="26"/>
      <c r="Y352" s="26"/>
      <c r="Z352" s="26"/>
      <c r="AA352" s="26"/>
      <c r="AB352" s="26"/>
      <c r="AC352" s="26"/>
      <c r="AD352" s="26"/>
      <c r="AE352" s="26"/>
      <c r="AF352" s="26"/>
      <c r="AG352" s="26"/>
      <c r="AH352" s="33" t="s">
        <v>1260</v>
      </c>
      <c r="AI352" s="23" t="s">
        <v>811</v>
      </c>
      <c r="AJ352" s="33" t="str">
        <f t="shared" si="5"/>
        <v>PD5D_MB_Moactcseq/samples/PD_BN1305_MB_MOactcseq_batch15_rep2.h5</v>
      </c>
      <c r="AK352" t="s">
        <v>1290</v>
      </c>
    </row>
    <row r="353" spans="1:37">
      <c r="A353" s="24" t="s">
        <v>1070</v>
      </c>
      <c r="B353" s="24" t="s">
        <v>127</v>
      </c>
      <c r="C353" s="24" t="s">
        <v>127</v>
      </c>
      <c r="D353" s="24" t="s">
        <v>814</v>
      </c>
      <c r="E353" s="24">
        <v>5</v>
      </c>
      <c r="F353" s="24">
        <v>0</v>
      </c>
      <c r="G353" s="24" t="s">
        <v>733</v>
      </c>
      <c r="H353" s="24" t="s">
        <v>668</v>
      </c>
      <c r="I353" s="24" t="s">
        <v>806</v>
      </c>
      <c r="J353" s="24" t="s">
        <v>807</v>
      </c>
      <c r="K353" s="24" t="s">
        <v>807</v>
      </c>
      <c r="L353" s="24" t="s">
        <v>807</v>
      </c>
      <c r="M353" s="24" t="s">
        <v>807</v>
      </c>
      <c r="N353" s="24">
        <v>9.6</v>
      </c>
      <c r="O353" s="24">
        <v>9.6</v>
      </c>
      <c r="P353" s="24" t="s">
        <v>807</v>
      </c>
      <c r="Q353" s="25">
        <v>5912</v>
      </c>
      <c r="R353" s="24" t="s">
        <v>809</v>
      </c>
      <c r="S353" s="24" t="s">
        <v>675</v>
      </c>
      <c r="T353" s="24">
        <v>131</v>
      </c>
      <c r="U353" s="24" t="s">
        <v>810</v>
      </c>
      <c r="V353" s="24" t="s">
        <v>807</v>
      </c>
      <c r="W353" s="26"/>
      <c r="X353" s="26"/>
      <c r="Y353" s="26"/>
      <c r="Z353" s="26"/>
      <c r="AA353" s="26"/>
      <c r="AB353" s="26"/>
      <c r="AC353" s="26"/>
      <c r="AD353" s="26"/>
      <c r="AE353" s="26"/>
      <c r="AF353" s="26"/>
      <c r="AG353" s="26"/>
      <c r="AH353" s="33" t="s">
        <v>1260</v>
      </c>
      <c r="AI353" s="23" t="s">
        <v>811</v>
      </c>
      <c r="AJ353" s="33" t="str">
        <f t="shared" si="5"/>
        <v>PD5D_MB_Moactcseq/samples/PD_BN1305_MB_MOactcseq_batch15_rep3.h5</v>
      </c>
      <c r="AK353" t="s">
        <v>1290</v>
      </c>
    </row>
    <row r="354" spans="1:37">
      <c r="A354" s="24" t="s">
        <v>1071</v>
      </c>
      <c r="B354" s="24" t="s">
        <v>127</v>
      </c>
      <c r="C354" s="24" t="s">
        <v>127</v>
      </c>
      <c r="D354" s="24" t="s">
        <v>819</v>
      </c>
      <c r="E354" s="24">
        <v>5</v>
      </c>
      <c r="F354" s="24">
        <v>0</v>
      </c>
      <c r="G354" s="24" t="s">
        <v>733</v>
      </c>
      <c r="H354" s="24" t="s">
        <v>668</v>
      </c>
      <c r="I354" s="24" t="s">
        <v>806</v>
      </c>
      <c r="J354" s="24" t="s">
        <v>807</v>
      </c>
      <c r="K354" s="24" t="s">
        <v>807</v>
      </c>
      <c r="L354" s="24" t="s">
        <v>807</v>
      </c>
      <c r="M354" s="24" t="s">
        <v>807</v>
      </c>
      <c r="N354" s="24">
        <v>9.6</v>
      </c>
      <c r="O354" s="24">
        <v>9.6</v>
      </c>
      <c r="P354" s="24" t="s">
        <v>807</v>
      </c>
      <c r="Q354" s="25">
        <v>5912</v>
      </c>
      <c r="R354" s="24" t="s">
        <v>809</v>
      </c>
      <c r="S354" s="24" t="s">
        <v>675</v>
      </c>
      <c r="T354" s="24">
        <v>131</v>
      </c>
      <c r="U354" s="24" t="s">
        <v>810</v>
      </c>
      <c r="V354" s="24" t="s">
        <v>807</v>
      </c>
      <c r="W354" s="26"/>
      <c r="X354" s="26"/>
      <c r="Y354" s="26"/>
      <c r="Z354" s="26"/>
      <c r="AA354" s="26"/>
      <c r="AB354" s="26"/>
      <c r="AC354" s="26"/>
      <c r="AD354" s="26"/>
      <c r="AE354" s="26"/>
      <c r="AF354" s="26"/>
      <c r="AG354" s="26"/>
      <c r="AH354" s="33" t="s">
        <v>1260</v>
      </c>
      <c r="AI354" s="23" t="s">
        <v>811</v>
      </c>
      <c r="AJ354" s="33" t="str">
        <f t="shared" si="5"/>
        <v>PD5D_MB_Moactcseq/samples/PD_BN1305_MB_MOactcseq_batch15_rep4.h5</v>
      </c>
      <c r="AK354" t="s">
        <v>1290</v>
      </c>
    </row>
    <row r="355" spans="1:37">
      <c r="A355" s="24" t="s">
        <v>1072</v>
      </c>
      <c r="B355" s="24" t="s">
        <v>127</v>
      </c>
      <c r="C355" s="24" t="s">
        <v>127</v>
      </c>
      <c r="D355" s="24" t="s">
        <v>821</v>
      </c>
      <c r="E355" s="24">
        <v>5</v>
      </c>
      <c r="F355" s="24">
        <v>0</v>
      </c>
      <c r="G355" s="24" t="s">
        <v>733</v>
      </c>
      <c r="H355" s="24" t="s">
        <v>668</v>
      </c>
      <c r="I355" s="24" t="s">
        <v>806</v>
      </c>
      <c r="J355" s="24" t="s">
        <v>807</v>
      </c>
      <c r="K355" s="24" t="s">
        <v>807</v>
      </c>
      <c r="L355" s="24" t="s">
        <v>807</v>
      </c>
      <c r="M355" s="24" t="s">
        <v>807</v>
      </c>
      <c r="N355" s="24">
        <v>9.6</v>
      </c>
      <c r="O355" s="24">
        <v>9.6</v>
      </c>
      <c r="P355" s="24" t="s">
        <v>807</v>
      </c>
      <c r="Q355" s="25">
        <v>5912</v>
      </c>
      <c r="R355" s="24" t="s">
        <v>809</v>
      </c>
      <c r="S355" s="24" t="s">
        <v>675</v>
      </c>
      <c r="T355" s="24">
        <v>131</v>
      </c>
      <c r="U355" s="24" t="s">
        <v>810</v>
      </c>
      <c r="V355" s="24" t="s">
        <v>807</v>
      </c>
      <c r="W355" s="26"/>
      <c r="X355" s="26"/>
      <c r="Y355" s="26"/>
      <c r="Z355" s="26"/>
      <c r="AA355" s="26"/>
      <c r="AB355" s="26"/>
      <c r="AC355" s="26"/>
      <c r="AD355" s="26"/>
      <c r="AE355" s="26"/>
      <c r="AF355" s="26"/>
      <c r="AG355" s="26"/>
      <c r="AH355" s="33" t="s">
        <v>1260</v>
      </c>
      <c r="AI355" s="23" t="s">
        <v>811</v>
      </c>
      <c r="AJ355" s="33" t="str">
        <f t="shared" si="5"/>
        <v>PD5D_MB_Moactcseq/samples/PD_BN1305_MB_MOactcseq_batch15_rep5.h5</v>
      </c>
      <c r="AK355" t="s">
        <v>1290</v>
      </c>
    </row>
    <row r="356" spans="1:37">
      <c r="A356" s="24" t="s">
        <v>1073</v>
      </c>
      <c r="B356" s="24" t="s">
        <v>131</v>
      </c>
      <c r="C356" s="24" t="s">
        <v>131</v>
      </c>
      <c r="D356" s="24" t="s">
        <v>666</v>
      </c>
      <c r="E356" s="24">
        <v>5</v>
      </c>
      <c r="F356" s="24">
        <v>0</v>
      </c>
      <c r="G356" s="24" t="s">
        <v>718</v>
      </c>
      <c r="H356" s="24" t="s">
        <v>668</v>
      </c>
      <c r="I356" s="24" t="s">
        <v>806</v>
      </c>
      <c r="J356" s="24" t="s">
        <v>807</v>
      </c>
      <c r="K356" s="24" t="s">
        <v>807</v>
      </c>
      <c r="L356" s="24" t="s">
        <v>807</v>
      </c>
      <c r="M356" s="24" t="s">
        <v>807</v>
      </c>
      <c r="N356" s="24">
        <v>7.6</v>
      </c>
      <c r="O356" s="24">
        <v>7.6</v>
      </c>
      <c r="P356" s="24" t="s">
        <v>807</v>
      </c>
      <c r="Q356" s="25">
        <v>6981</v>
      </c>
      <c r="R356" s="24" t="s">
        <v>809</v>
      </c>
      <c r="S356" s="24" t="s">
        <v>675</v>
      </c>
      <c r="T356" s="24">
        <v>131</v>
      </c>
      <c r="U356" s="24" t="s">
        <v>810</v>
      </c>
      <c r="V356" s="24" t="s">
        <v>807</v>
      </c>
      <c r="W356" s="26"/>
      <c r="X356" s="26"/>
      <c r="Y356" s="26"/>
      <c r="Z356" s="26"/>
      <c r="AA356" s="26"/>
      <c r="AB356" s="26"/>
      <c r="AC356" s="26"/>
      <c r="AD356" s="26"/>
      <c r="AE356" s="26"/>
      <c r="AF356" s="26"/>
      <c r="AG356" s="26"/>
      <c r="AH356" s="33" t="s">
        <v>1260</v>
      </c>
      <c r="AI356" s="23" t="s">
        <v>811</v>
      </c>
      <c r="AJ356" s="33" t="str">
        <f t="shared" si="5"/>
        <v>PD5D_MB_Moactcseq/samples/PD_BN1317_MB_MOactcseq_batch13_rep1.h5</v>
      </c>
      <c r="AK356" t="s">
        <v>1290</v>
      </c>
    </row>
    <row r="357" spans="1:37">
      <c r="A357" s="24" t="s">
        <v>1074</v>
      </c>
      <c r="B357" s="24" t="s">
        <v>131</v>
      </c>
      <c r="C357" s="24" t="s">
        <v>131</v>
      </c>
      <c r="D357" s="24" t="s">
        <v>689</v>
      </c>
      <c r="E357" s="24">
        <v>5</v>
      </c>
      <c r="F357" s="24">
        <v>0</v>
      </c>
      <c r="G357" s="24" t="s">
        <v>718</v>
      </c>
      <c r="H357" s="24" t="s">
        <v>668</v>
      </c>
      <c r="I357" s="24" t="s">
        <v>806</v>
      </c>
      <c r="J357" s="24" t="s">
        <v>807</v>
      </c>
      <c r="K357" s="24" t="s">
        <v>807</v>
      </c>
      <c r="L357" s="24" t="s">
        <v>807</v>
      </c>
      <c r="M357" s="24" t="s">
        <v>807</v>
      </c>
      <c r="N357" s="24">
        <v>7.6</v>
      </c>
      <c r="O357" s="24">
        <v>7.6</v>
      </c>
      <c r="P357" s="24" t="s">
        <v>807</v>
      </c>
      <c r="Q357" s="25">
        <v>6981</v>
      </c>
      <c r="R357" s="24" t="s">
        <v>809</v>
      </c>
      <c r="S357" s="24" t="s">
        <v>675</v>
      </c>
      <c r="T357" s="24">
        <v>131</v>
      </c>
      <c r="U357" s="24" t="s">
        <v>810</v>
      </c>
      <c r="V357" s="24" t="s">
        <v>807</v>
      </c>
      <c r="W357" s="26"/>
      <c r="X357" s="26"/>
      <c r="Y357" s="26"/>
      <c r="Z357" s="26"/>
      <c r="AA357" s="26"/>
      <c r="AB357" s="26"/>
      <c r="AC357" s="26"/>
      <c r="AD357" s="26"/>
      <c r="AE357" s="26"/>
      <c r="AF357" s="26"/>
      <c r="AG357" s="26"/>
      <c r="AH357" s="33" t="s">
        <v>1260</v>
      </c>
      <c r="AI357" s="23" t="s">
        <v>811</v>
      </c>
      <c r="AJ357" s="33" t="str">
        <f t="shared" si="5"/>
        <v>PD5D_MB_Moactcseq/samples/PD_BN1317_MB_MOactcseq_batch13_rep2.h5</v>
      </c>
      <c r="AK357" t="s">
        <v>1290</v>
      </c>
    </row>
    <row r="358" spans="1:37">
      <c r="A358" s="24" t="s">
        <v>1075</v>
      </c>
      <c r="B358" s="24" t="s">
        <v>131</v>
      </c>
      <c r="C358" s="24" t="s">
        <v>131</v>
      </c>
      <c r="D358" s="24" t="s">
        <v>814</v>
      </c>
      <c r="E358" s="24">
        <v>5</v>
      </c>
      <c r="F358" s="24">
        <v>0</v>
      </c>
      <c r="G358" s="24" t="s">
        <v>718</v>
      </c>
      <c r="H358" s="24" t="s">
        <v>668</v>
      </c>
      <c r="I358" s="24" t="s">
        <v>806</v>
      </c>
      <c r="J358" s="24" t="s">
        <v>807</v>
      </c>
      <c r="K358" s="24" t="s">
        <v>807</v>
      </c>
      <c r="L358" s="24" t="s">
        <v>807</v>
      </c>
      <c r="M358" s="24" t="s">
        <v>807</v>
      </c>
      <c r="N358" s="24">
        <v>7.6</v>
      </c>
      <c r="O358" s="24">
        <v>7.6</v>
      </c>
      <c r="P358" s="24" t="s">
        <v>807</v>
      </c>
      <c r="Q358" s="25">
        <v>6981</v>
      </c>
      <c r="R358" s="24" t="s">
        <v>809</v>
      </c>
      <c r="S358" s="24" t="s">
        <v>675</v>
      </c>
      <c r="T358" s="24">
        <v>131</v>
      </c>
      <c r="U358" s="24" t="s">
        <v>810</v>
      </c>
      <c r="V358" s="24" t="s">
        <v>807</v>
      </c>
      <c r="W358" s="26"/>
      <c r="X358" s="26"/>
      <c r="Y358" s="26"/>
      <c r="Z358" s="26"/>
      <c r="AA358" s="26"/>
      <c r="AB358" s="26"/>
      <c r="AC358" s="26"/>
      <c r="AD358" s="26"/>
      <c r="AE358" s="26"/>
      <c r="AF358" s="26"/>
      <c r="AG358" s="26"/>
      <c r="AH358" s="33" t="s">
        <v>1260</v>
      </c>
      <c r="AI358" s="23" t="s">
        <v>811</v>
      </c>
      <c r="AJ358" s="33" t="str">
        <f t="shared" si="5"/>
        <v>PD5D_MB_Moactcseq/samples/PD_BN1317_MB_MOactcseq_batch13_rep3.h5</v>
      </c>
      <c r="AK358" t="s">
        <v>1290</v>
      </c>
    </row>
    <row r="359" spans="1:37">
      <c r="A359" s="24" t="s">
        <v>1076</v>
      </c>
      <c r="B359" s="24" t="s">
        <v>131</v>
      </c>
      <c r="C359" s="24" t="s">
        <v>131</v>
      </c>
      <c r="D359" s="24" t="s">
        <v>819</v>
      </c>
      <c r="E359" s="24">
        <v>5</v>
      </c>
      <c r="F359" s="24">
        <v>0</v>
      </c>
      <c r="G359" s="24" t="s">
        <v>718</v>
      </c>
      <c r="H359" s="24" t="s">
        <v>668</v>
      </c>
      <c r="I359" s="24" t="s">
        <v>806</v>
      </c>
      <c r="J359" s="24" t="s">
        <v>807</v>
      </c>
      <c r="K359" s="24" t="s">
        <v>807</v>
      </c>
      <c r="L359" s="24" t="s">
        <v>807</v>
      </c>
      <c r="M359" s="24" t="s">
        <v>807</v>
      </c>
      <c r="N359" s="24">
        <v>7.6</v>
      </c>
      <c r="O359" s="24">
        <v>7.6</v>
      </c>
      <c r="P359" s="24" t="s">
        <v>807</v>
      </c>
      <c r="Q359" s="25">
        <v>6981</v>
      </c>
      <c r="R359" s="24" t="s">
        <v>809</v>
      </c>
      <c r="S359" s="24" t="s">
        <v>675</v>
      </c>
      <c r="T359" s="24">
        <v>131</v>
      </c>
      <c r="U359" s="24" t="s">
        <v>810</v>
      </c>
      <c r="V359" s="24" t="s">
        <v>807</v>
      </c>
      <c r="W359" s="26"/>
      <c r="X359" s="26"/>
      <c r="Y359" s="26"/>
      <c r="Z359" s="26"/>
      <c r="AA359" s="26"/>
      <c r="AB359" s="26"/>
      <c r="AC359" s="26"/>
      <c r="AD359" s="26"/>
      <c r="AE359" s="26"/>
      <c r="AF359" s="26"/>
      <c r="AG359" s="26"/>
      <c r="AH359" s="33" t="s">
        <v>1260</v>
      </c>
      <c r="AI359" s="23" t="s">
        <v>811</v>
      </c>
      <c r="AJ359" s="33" t="str">
        <f t="shared" si="5"/>
        <v>PD5D_MB_Moactcseq/samples/PD_BN1317_MB_MOactcseq_batch13_rep4.h5</v>
      </c>
      <c r="AK359" t="s">
        <v>1290</v>
      </c>
    </row>
    <row r="360" spans="1:37">
      <c r="A360" s="24" t="s">
        <v>1077</v>
      </c>
      <c r="B360" s="24" t="s">
        <v>131</v>
      </c>
      <c r="C360" s="24" t="s">
        <v>131</v>
      </c>
      <c r="D360" s="24" t="s">
        <v>821</v>
      </c>
      <c r="E360" s="24">
        <v>5</v>
      </c>
      <c r="F360" s="24">
        <v>0</v>
      </c>
      <c r="G360" s="24" t="s">
        <v>718</v>
      </c>
      <c r="H360" s="24" t="s">
        <v>668</v>
      </c>
      <c r="I360" s="24" t="s">
        <v>806</v>
      </c>
      <c r="J360" s="24" t="s">
        <v>807</v>
      </c>
      <c r="K360" s="24" t="s">
        <v>807</v>
      </c>
      <c r="L360" s="24" t="s">
        <v>807</v>
      </c>
      <c r="M360" s="24" t="s">
        <v>807</v>
      </c>
      <c r="N360" s="24">
        <v>7.6</v>
      </c>
      <c r="O360" s="24">
        <v>7.6</v>
      </c>
      <c r="P360" s="24" t="s">
        <v>807</v>
      </c>
      <c r="Q360" s="25">
        <v>6981</v>
      </c>
      <c r="R360" s="24" t="s">
        <v>809</v>
      </c>
      <c r="S360" s="24" t="s">
        <v>675</v>
      </c>
      <c r="T360" s="24">
        <v>131</v>
      </c>
      <c r="U360" s="24" t="s">
        <v>810</v>
      </c>
      <c r="V360" s="24" t="s">
        <v>807</v>
      </c>
      <c r="W360" s="26"/>
      <c r="X360" s="26"/>
      <c r="Y360" s="26"/>
      <c r="Z360" s="26"/>
      <c r="AA360" s="26"/>
      <c r="AB360" s="26"/>
      <c r="AC360" s="26"/>
      <c r="AD360" s="26"/>
      <c r="AE360" s="26"/>
      <c r="AF360" s="26"/>
      <c r="AG360" s="26"/>
      <c r="AH360" s="33" t="s">
        <v>1260</v>
      </c>
      <c r="AI360" s="23" t="s">
        <v>811</v>
      </c>
      <c r="AJ360" s="33" t="str">
        <f t="shared" si="5"/>
        <v>PD5D_MB_Moactcseq/samples/PD_BN1317_MB_MOactcseq_batch13_rep5.h5</v>
      </c>
      <c r="AK360" t="s">
        <v>1290</v>
      </c>
    </row>
    <row r="361" spans="1:37">
      <c r="A361" s="24" t="s">
        <v>1078</v>
      </c>
      <c r="B361" s="24" t="s">
        <v>141</v>
      </c>
      <c r="C361" s="24" t="s">
        <v>141</v>
      </c>
      <c r="D361" s="24" t="s">
        <v>666</v>
      </c>
      <c r="E361" s="24">
        <v>3</v>
      </c>
      <c r="F361" s="24">
        <v>0</v>
      </c>
      <c r="G361" s="24" t="s">
        <v>706</v>
      </c>
      <c r="H361" s="24" t="s">
        <v>668</v>
      </c>
      <c r="I361" s="24" t="s">
        <v>806</v>
      </c>
      <c r="J361" s="24" t="s">
        <v>807</v>
      </c>
      <c r="K361" s="24" t="s">
        <v>807</v>
      </c>
      <c r="L361" s="24" t="s">
        <v>807</v>
      </c>
      <c r="M361" s="24" t="s">
        <v>807</v>
      </c>
      <c r="N361" s="24">
        <v>9.4</v>
      </c>
      <c r="O361" s="24">
        <v>9.4</v>
      </c>
      <c r="P361" s="24" t="s">
        <v>807</v>
      </c>
      <c r="Q361" s="24">
        <v>532</v>
      </c>
      <c r="R361" s="24" t="s">
        <v>809</v>
      </c>
      <c r="S361" s="24" t="s">
        <v>675</v>
      </c>
      <c r="T361" s="24">
        <v>131</v>
      </c>
      <c r="U361" s="24" t="s">
        <v>810</v>
      </c>
      <c r="V361" s="24" t="s">
        <v>807</v>
      </c>
      <c r="W361" s="26"/>
      <c r="X361" s="26"/>
      <c r="Y361" s="26"/>
      <c r="Z361" s="26"/>
      <c r="AA361" s="26"/>
      <c r="AB361" s="26"/>
      <c r="AC361" s="26"/>
      <c r="AD361" s="26"/>
      <c r="AE361" s="26"/>
      <c r="AF361" s="26"/>
      <c r="AG361" s="26"/>
      <c r="AH361" s="33" t="s">
        <v>1260</v>
      </c>
      <c r="AI361" s="23" t="s">
        <v>811</v>
      </c>
      <c r="AJ361" s="33" t="str">
        <f t="shared" si="5"/>
        <v>PD5D_MB_Moactcseq/samples/PD_BN1412_MB_MOactcseq_batch8_rep1.h5</v>
      </c>
      <c r="AK361" t="s">
        <v>1290</v>
      </c>
    </row>
    <row r="362" spans="1:37">
      <c r="A362" s="24" t="s">
        <v>1079</v>
      </c>
      <c r="B362" s="24" t="s">
        <v>141</v>
      </c>
      <c r="C362" s="24" t="s">
        <v>141</v>
      </c>
      <c r="D362" s="24" t="s">
        <v>689</v>
      </c>
      <c r="E362" s="24">
        <v>3</v>
      </c>
      <c r="F362" s="24">
        <v>0</v>
      </c>
      <c r="G362" s="24" t="s">
        <v>706</v>
      </c>
      <c r="H362" s="24" t="s">
        <v>668</v>
      </c>
      <c r="I362" s="24" t="s">
        <v>806</v>
      </c>
      <c r="J362" s="24" t="s">
        <v>807</v>
      </c>
      <c r="K362" s="24" t="s">
        <v>807</v>
      </c>
      <c r="L362" s="24" t="s">
        <v>807</v>
      </c>
      <c r="M362" s="24" t="s">
        <v>807</v>
      </c>
      <c r="N362" s="24">
        <v>9.4</v>
      </c>
      <c r="O362" s="24">
        <v>9.4</v>
      </c>
      <c r="P362" s="24" t="s">
        <v>807</v>
      </c>
      <c r="Q362" s="24">
        <v>532</v>
      </c>
      <c r="R362" s="24" t="s">
        <v>809</v>
      </c>
      <c r="S362" s="24" t="s">
        <v>675</v>
      </c>
      <c r="T362" s="24">
        <v>131</v>
      </c>
      <c r="U362" s="24" t="s">
        <v>810</v>
      </c>
      <c r="V362" s="24" t="s">
        <v>807</v>
      </c>
      <c r="W362" s="26"/>
      <c r="X362" s="26"/>
      <c r="Y362" s="26"/>
      <c r="Z362" s="26"/>
      <c r="AA362" s="26"/>
      <c r="AB362" s="26"/>
      <c r="AC362" s="26"/>
      <c r="AD362" s="26"/>
      <c r="AE362" s="26"/>
      <c r="AF362" s="26"/>
      <c r="AG362" s="26"/>
      <c r="AH362" s="33" t="s">
        <v>1260</v>
      </c>
      <c r="AI362" s="23" t="s">
        <v>811</v>
      </c>
      <c r="AJ362" s="33" t="str">
        <f t="shared" si="5"/>
        <v>PD5D_MB_Moactcseq/samples/PD_BN1412_MB_MOactcseq_batch8_rep2.h5</v>
      </c>
      <c r="AK362" t="s">
        <v>1290</v>
      </c>
    </row>
    <row r="363" spans="1:37">
      <c r="A363" s="24" t="s">
        <v>1080</v>
      </c>
      <c r="B363" s="24" t="s">
        <v>141</v>
      </c>
      <c r="C363" s="24" t="s">
        <v>141</v>
      </c>
      <c r="D363" s="24" t="s">
        <v>814</v>
      </c>
      <c r="E363" s="24">
        <v>3</v>
      </c>
      <c r="F363" s="24">
        <v>0</v>
      </c>
      <c r="G363" s="24" t="s">
        <v>706</v>
      </c>
      <c r="H363" s="24" t="s">
        <v>668</v>
      </c>
      <c r="I363" s="24" t="s">
        <v>806</v>
      </c>
      <c r="J363" s="24" t="s">
        <v>807</v>
      </c>
      <c r="K363" s="24" t="s">
        <v>807</v>
      </c>
      <c r="L363" s="24" t="s">
        <v>807</v>
      </c>
      <c r="M363" s="24" t="s">
        <v>807</v>
      </c>
      <c r="N363" s="24">
        <v>9.4</v>
      </c>
      <c r="O363" s="24">
        <v>9.4</v>
      </c>
      <c r="P363" s="24" t="s">
        <v>807</v>
      </c>
      <c r="Q363" s="24">
        <v>532</v>
      </c>
      <c r="R363" s="24" t="s">
        <v>809</v>
      </c>
      <c r="S363" s="24" t="s">
        <v>675</v>
      </c>
      <c r="T363" s="24">
        <v>131</v>
      </c>
      <c r="U363" s="24" t="s">
        <v>810</v>
      </c>
      <c r="V363" s="24" t="s">
        <v>807</v>
      </c>
      <c r="W363" s="26"/>
      <c r="X363" s="26"/>
      <c r="Y363" s="26"/>
      <c r="Z363" s="26"/>
      <c r="AA363" s="26"/>
      <c r="AB363" s="26"/>
      <c r="AC363" s="26"/>
      <c r="AD363" s="26"/>
      <c r="AE363" s="26"/>
      <c r="AF363" s="26"/>
      <c r="AG363" s="26"/>
      <c r="AH363" s="33" t="s">
        <v>1260</v>
      </c>
      <c r="AI363" s="23" t="s">
        <v>811</v>
      </c>
      <c r="AJ363" s="33" t="str">
        <f t="shared" si="5"/>
        <v>PD5D_MB_Moactcseq/samples/PD_BN1412_MB_MOactcseq_batch8_rep3.h5</v>
      </c>
      <c r="AK363" t="s">
        <v>1290</v>
      </c>
    </row>
    <row r="364" spans="1:37">
      <c r="A364" s="24" t="s">
        <v>1081</v>
      </c>
      <c r="B364" s="24" t="s">
        <v>147</v>
      </c>
      <c r="C364" s="24" t="s">
        <v>147</v>
      </c>
      <c r="D364" s="24" t="s">
        <v>666</v>
      </c>
      <c r="E364" s="24">
        <v>3</v>
      </c>
      <c r="F364" s="24">
        <v>0</v>
      </c>
      <c r="G364" s="24" t="s">
        <v>777</v>
      </c>
      <c r="H364" s="24" t="s">
        <v>668</v>
      </c>
      <c r="I364" s="24" t="s">
        <v>806</v>
      </c>
      <c r="J364" s="24" t="s">
        <v>807</v>
      </c>
      <c r="K364" s="24" t="s">
        <v>807</v>
      </c>
      <c r="L364" s="24" t="s">
        <v>807</v>
      </c>
      <c r="M364" s="24" t="s">
        <v>807</v>
      </c>
      <c r="N364" s="24">
        <v>7.8</v>
      </c>
      <c r="O364" s="24">
        <v>7.8</v>
      </c>
      <c r="P364" s="24" t="s">
        <v>807</v>
      </c>
      <c r="Q364" s="25">
        <v>7697</v>
      </c>
      <c r="R364" s="24" t="s">
        <v>809</v>
      </c>
      <c r="S364" s="24" t="s">
        <v>675</v>
      </c>
      <c r="T364" s="24">
        <v>131</v>
      </c>
      <c r="U364" s="24" t="s">
        <v>810</v>
      </c>
      <c r="V364" s="24" t="s">
        <v>807</v>
      </c>
      <c r="W364" s="26"/>
      <c r="X364" s="26"/>
      <c r="Y364" s="26"/>
      <c r="Z364" s="26"/>
      <c r="AA364" s="26"/>
      <c r="AB364" s="26"/>
      <c r="AC364" s="26"/>
      <c r="AD364" s="26"/>
      <c r="AE364" s="26"/>
      <c r="AF364" s="26"/>
      <c r="AG364" s="26"/>
      <c r="AH364" s="33" t="s">
        <v>1260</v>
      </c>
      <c r="AI364" s="23" t="s">
        <v>811</v>
      </c>
      <c r="AJ364" s="33" t="str">
        <f t="shared" si="5"/>
        <v>PD5D_MB_Moactcseq/samples/PD_BN1504_MB_MOactcseq_batch10_rep1.h5</v>
      </c>
      <c r="AK364" t="s">
        <v>1290</v>
      </c>
    </row>
    <row r="365" spans="1:37">
      <c r="A365" s="24" t="s">
        <v>1082</v>
      </c>
      <c r="B365" s="24" t="s">
        <v>147</v>
      </c>
      <c r="C365" s="24" t="s">
        <v>147</v>
      </c>
      <c r="D365" s="24" t="s">
        <v>689</v>
      </c>
      <c r="E365" s="24">
        <v>3</v>
      </c>
      <c r="F365" s="24">
        <v>0</v>
      </c>
      <c r="G365" s="24" t="s">
        <v>777</v>
      </c>
      <c r="H365" s="24" t="s">
        <v>668</v>
      </c>
      <c r="I365" s="24" t="s">
        <v>806</v>
      </c>
      <c r="J365" s="24" t="s">
        <v>807</v>
      </c>
      <c r="K365" s="24" t="s">
        <v>807</v>
      </c>
      <c r="L365" s="24" t="s">
        <v>807</v>
      </c>
      <c r="M365" s="24" t="s">
        <v>807</v>
      </c>
      <c r="N365" s="24">
        <v>7.8</v>
      </c>
      <c r="O365" s="24">
        <v>7.8</v>
      </c>
      <c r="P365" s="24" t="s">
        <v>807</v>
      </c>
      <c r="Q365" s="25">
        <v>7697</v>
      </c>
      <c r="R365" s="24" t="s">
        <v>809</v>
      </c>
      <c r="S365" s="24" t="s">
        <v>675</v>
      </c>
      <c r="T365" s="24">
        <v>131</v>
      </c>
      <c r="U365" s="24" t="s">
        <v>810</v>
      </c>
      <c r="V365" s="24" t="s">
        <v>807</v>
      </c>
      <c r="W365" s="26"/>
      <c r="X365" s="26"/>
      <c r="Y365" s="26"/>
      <c r="Z365" s="26"/>
      <c r="AA365" s="26"/>
      <c r="AB365" s="26"/>
      <c r="AC365" s="26"/>
      <c r="AD365" s="26"/>
      <c r="AE365" s="26"/>
      <c r="AF365" s="26"/>
      <c r="AG365" s="26"/>
      <c r="AH365" s="33" t="s">
        <v>1260</v>
      </c>
      <c r="AI365" s="23" t="s">
        <v>811</v>
      </c>
      <c r="AJ365" s="33" t="str">
        <f t="shared" si="5"/>
        <v>PD5D_MB_Moactcseq/samples/PD_BN1504_MB_MOactcseq_batch10_rep2.h5</v>
      </c>
      <c r="AK365" t="s">
        <v>1290</v>
      </c>
    </row>
    <row r="366" spans="1:37">
      <c r="A366" s="24" t="s">
        <v>1083</v>
      </c>
      <c r="B366" s="24" t="s">
        <v>147</v>
      </c>
      <c r="C366" s="24" t="s">
        <v>147</v>
      </c>
      <c r="D366" s="24" t="s">
        <v>814</v>
      </c>
      <c r="E366" s="24">
        <v>3</v>
      </c>
      <c r="F366" s="24">
        <v>0</v>
      </c>
      <c r="G366" s="24" t="s">
        <v>777</v>
      </c>
      <c r="H366" s="24" t="s">
        <v>668</v>
      </c>
      <c r="I366" s="24" t="s">
        <v>806</v>
      </c>
      <c r="J366" s="24" t="s">
        <v>807</v>
      </c>
      <c r="K366" s="24" t="s">
        <v>807</v>
      </c>
      <c r="L366" s="24" t="s">
        <v>807</v>
      </c>
      <c r="M366" s="24" t="s">
        <v>807</v>
      </c>
      <c r="N366" s="24">
        <v>7.8</v>
      </c>
      <c r="O366" s="24">
        <v>7.8</v>
      </c>
      <c r="P366" s="24" t="s">
        <v>807</v>
      </c>
      <c r="Q366" s="25">
        <v>7697</v>
      </c>
      <c r="R366" s="24" t="s">
        <v>809</v>
      </c>
      <c r="S366" s="24" t="s">
        <v>675</v>
      </c>
      <c r="T366" s="24">
        <v>131</v>
      </c>
      <c r="U366" s="24" t="s">
        <v>810</v>
      </c>
      <c r="V366" s="24" t="s">
        <v>807</v>
      </c>
      <c r="W366" s="26"/>
      <c r="X366" s="26"/>
      <c r="Y366" s="26"/>
      <c r="Z366" s="26"/>
      <c r="AA366" s="26"/>
      <c r="AB366" s="26"/>
      <c r="AC366" s="26"/>
      <c r="AD366" s="26"/>
      <c r="AE366" s="26"/>
      <c r="AF366" s="26"/>
      <c r="AG366" s="26"/>
      <c r="AH366" s="33" t="s">
        <v>1260</v>
      </c>
      <c r="AI366" s="23" t="s">
        <v>811</v>
      </c>
      <c r="AJ366" s="33" t="str">
        <f t="shared" si="5"/>
        <v>PD5D_MB_Moactcseq/samples/PD_BN1504_MB_MOactcseq_batch10_rep3.h5</v>
      </c>
      <c r="AK366" t="s">
        <v>1290</v>
      </c>
    </row>
    <row r="367" spans="1:37">
      <c r="A367" s="24" t="s">
        <v>1084</v>
      </c>
      <c r="B367" s="24" t="s">
        <v>149</v>
      </c>
      <c r="C367" s="24" t="s">
        <v>149</v>
      </c>
      <c r="D367" s="24" t="s">
        <v>666</v>
      </c>
      <c r="E367" s="24">
        <v>6</v>
      </c>
      <c r="F367" s="24">
        <v>0</v>
      </c>
      <c r="G367" s="24" t="s">
        <v>777</v>
      </c>
      <c r="H367" s="24" t="s">
        <v>668</v>
      </c>
      <c r="I367" s="24" t="s">
        <v>806</v>
      </c>
      <c r="J367" s="24" t="s">
        <v>807</v>
      </c>
      <c r="K367" s="24" t="s">
        <v>807</v>
      </c>
      <c r="L367" s="24" t="s">
        <v>807</v>
      </c>
      <c r="M367" s="24" t="s">
        <v>807</v>
      </c>
      <c r="N367" s="24">
        <v>8.9</v>
      </c>
      <c r="O367" s="24">
        <v>8.9</v>
      </c>
      <c r="P367" s="24" t="s">
        <v>807</v>
      </c>
      <c r="Q367" s="25">
        <v>6185</v>
      </c>
      <c r="R367" s="24" t="s">
        <v>809</v>
      </c>
      <c r="S367" s="24" t="s">
        <v>675</v>
      </c>
      <c r="T367" s="24">
        <v>131</v>
      </c>
      <c r="U367" s="24" t="s">
        <v>810</v>
      </c>
      <c r="V367" s="24" t="s">
        <v>807</v>
      </c>
      <c r="W367" s="26"/>
      <c r="X367" s="26"/>
      <c r="Y367" s="26"/>
      <c r="Z367" s="26"/>
      <c r="AA367" s="26"/>
      <c r="AB367" s="26"/>
      <c r="AC367" s="26"/>
      <c r="AD367" s="26"/>
      <c r="AE367" s="26"/>
      <c r="AF367" s="26"/>
      <c r="AG367" s="26"/>
      <c r="AH367" s="33" t="s">
        <v>1260</v>
      </c>
      <c r="AI367" s="23" t="s">
        <v>811</v>
      </c>
      <c r="AJ367" s="33" t="str">
        <f t="shared" si="5"/>
        <v>PD5D_MB_Moactcseq/samples/PD_BN1506_MB_MOactcseq_batch10_rep1.h5</v>
      </c>
      <c r="AK367" t="s">
        <v>1290</v>
      </c>
    </row>
    <row r="368" spans="1:37">
      <c r="A368" s="24" t="s">
        <v>1085</v>
      </c>
      <c r="B368" s="24" t="s">
        <v>149</v>
      </c>
      <c r="C368" s="24" t="s">
        <v>149</v>
      </c>
      <c r="D368" s="24" t="s">
        <v>689</v>
      </c>
      <c r="E368" s="24">
        <v>6</v>
      </c>
      <c r="F368" s="24">
        <v>0</v>
      </c>
      <c r="G368" s="24" t="s">
        <v>777</v>
      </c>
      <c r="H368" s="24" t="s">
        <v>668</v>
      </c>
      <c r="I368" s="24" t="s">
        <v>806</v>
      </c>
      <c r="J368" s="24" t="s">
        <v>807</v>
      </c>
      <c r="K368" s="24" t="s">
        <v>807</v>
      </c>
      <c r="L368" s="24" t="s">
        <v>807</v>
      </c>
      <c r="M368" s="24" t="s">
        <v>807</v>
      </c>
      <c r="N368" s="24">
        <v>8.9</v>
      </c>
      <c r="O368" s="24">
        <v>8.9</v>
      </c>
      <c r="P368" s="24" t="s">
        <v>807</v>
      </c>
      <c r="Q368" s="25">
        <v>6185</v>
      </c>
      <c r="R368" s="24" t="s">
        <v>809</v>
      </c>
      <c r="S368" s="24" t="s">
        <v>675</v>
      </c>
      <c r="T368" s="24">
        <v>131</v>
      </c>
      <c r="U368" s="24" t="s">
        <v>810</v>
      </c>
      <c r="V368" s="24" t="s">
        <v>807</v>
      </c>
      <c r="W368" s="26"/>
      <c r="X368" s="26"/>
      <c r="Y368" s="26"/>
      <c r="Z368" s="26"/>
      <c r="AA368" s="26"/>
      <c r="AB368" s="26"/>
      <c r="AC368" s="26"/>
      <c r="AD368" s="26"/>
      <c r="AE368" s="26"/>
      <c r="AF368" s="26"/>
      <c r="AG368" s="26"/>
      <c r="AH368" s="33" t="s">
        <v>1260</v>
      </c>
      <c r="AI368" s="23" t="s">
        <v>811</v>
      </c>
      <c r="AJ368" s="33" t="str">
        <f t="shared" si="5"/>
        <v>PD5D_MB_Moactcseq/samples/PD_BN1506_MB_MOactcseq_batch10_rep2.h5</v>
      </c>
      <c r="AK368" t="s">
        <v>1290</v>
      </c>
    </row>
    <row r="369" spans="1:37">
      <c r="A369" s="24" t="s">
        <v>1086</v>
      </c>
      <c r="B369" s="24" t="s">
        <v>149</v>
      </c>
      <c r="C369" s="24" t="s">
        <v>149</v>
      </c>
      <c r="D369" s="24" t="s">
        <v>814</v>
      </c>
      <c r="E369" s="24">
        <v>6</v>
      </c>
      <c r="F369" s="24">
        <v>0</v>
      </c>
      <c r="G369" s="24" t="s">
        <v>777</v>
      </c>
      <c r="H369" s="24" t="s">
        <v>668</v>
      </c>
      <c r="I369" s="24" t="s">
        <v>806</v>
      </c>
      <c r="J369" s="24" t="s">
        <v>807</v>
      </c>
      <c r="K369" s="24" t="s">
        <v>807</v>
      </c>
      <c r="L369" s="24" t="s">
        <v>807</v>
      </c>
      <c r="M369" s="24" t="s">
        <v>807</v>
      </c>
      <c r="N369" s="24">
        <v>8.9</v>
      </c>
      <c r="O369" s="24">
        <v>8.9</v>
      </c>
      <c r="P369" s="24" t="s">
        <v>807</v>
      </c>
      <c r="Q369" s="25">
        <v>6185</v>
      </c>
      <c r="R369" s="24" t="s">
        <v>809</v>
      </c>
      <c r="S369" s="24" t="s">
        <v>675</v>
      </c>
      <c r="T369" s="24">
        <v>131</v>
      </c>
      <c r="U369" s="24" t="s">
        <v>810</v>
      </c>
      <c r="V369" s="24" t="s">
        <v>807</v>
      </c>
      <c r="W369" s="26"/>
      <c r="X369" s="26"/>
      <c r="Y369" s="26"/>
      <c r="Z369" s="26"/>
      <c r="AA369" s="26"/>
      <c r="AB369" s="26"/>
      <c r="AC369" s="26"/>
      <c r="AD369" s="26"/>
      <c r="AE369" s="26"/>
      <c r="AF369" s="26"/>
      <c r="AG369" s="26"/>
      <c r="AH369" s="33" t="s">
        <v>1260</v>
      </c>
      <c r="AI369" s="23" t="s">
        <v>811</v>
      </c>
      <c r="AJ369" s="33" t="str">
        <f t="shared" si="5"/>
        <v>PD5D_MB_Moactcseq/samples/PD_BN1506_MB_MOactcseq_batch10_rep3.h5</v>
      </c>
      <c r="AK369" t="s">
        <v>1290</v>
      </c>
    </row>
    <row r="370" spans="1:37">
      <c r="A370" s="24" t="s">
        <v>1087</v>
      </c>
      <c r="B370" s="24" t="s">
        <v>149</v>
      </c>
      <c r="C370" s="24" t="s">
        <v>149</v>
      </c>
      <c r="D370" s="24" t="s">
        <v>819</v>
      </c>
      <c r="E370" s="24">
        <v>6</v>
      </c>
      <c r="F370" s="24">
        <v>0</v>
      </c>
      <c r="G370" s="24" t="s">
        <v>777</v>
      </c>
      <c r="H370" s="24" t="s">
        <v>668</v>
      </c>
      <c r="I370" s="24" t="s">
        <v>806</v>
      </c>
      <c r="J370" s="24" t="s">
        <v>807</v>
      </c>
      <c r="K370" s="24" t="s">
        <v>807</v>
      </c>
      <c r="L370" s="24" t="s">
        <v>807</v>
      </c>
      <c r="M370" s="24" t="s">
        <v>807</v>
      </c>
      <c r="N370" s="24">
        <v>8.9</v>
      </c>
      <c r="O370" s="24">
        <v>8.9</v>
      </c>
      <c r="P370" s="24" t="s">
        <v>807</v>
      </c>
      <c r="Q370" s="25">
        <v>6185</v>
      </c>
      <c r="R370" s="24" t="s">
        <v>809</v>
      </c>
      <c r="S370" s="24" t="s">
        <v>675</v>
      </c>
      <c r="T370" s="24">
        <v>131</v>
      </c>
      <c r="U370" s="24" t="s">
        <v>810</v>
      </c>
      <c r="V370" s="24" t="s">
        <v>807</v>
      </c>
      <c r="W370" s="26"/>
      <c r="X370" s="26"/>
      <c r="Y370" s="26"/>
      <c r="Z370" s="26"/>
      <c r="AA370" s="26"/>
      <c r="AB370" s="26"/>
      <c r="AC370" s="26"/>
      <c r="AD370" s="26"/>
      <c r="AE370" s="26"/>
      <c r="AF370" s="26"/>
      <c r="AG370" s="26"/>
      <c r="AH370" s="33" t="s">
        <v>1260</v>
      </c>
      <c r="AI370" s="23" t="s">
        <v>811</v>
      </c>
      <c r="AJ370" s="33" t="str">
        <f t="shared" si="5"/>
        <v>PD5D_MB_Moactcseq/samples/PD_BN1506_MB_MOactcseq_batch10_rep4.h5</v>
      </c>
      <c r="AK370" t="s">
        <v>1290</v>
      </c>
    </row>
    <row r="371" spans="1:37">
      <c r="A371" s="24" t="s">
        <v>1088</v>
      </c>
      <c r="B371" s="24" t="s">
        <v>149</v>
      </c>
      <c r="C371" s="24" t="s">
        <v>149</v>
      </c>
      <c r="D371" s="24" t="s">
        <v>821</v>
      </c>
      <c r="E371" s="24">
        <v>6</v>
      </c>
      <c r="F371" s="24">
        <v>0</v>
      </c>
      <c r="G371" s="24" t="s">
        <v>777</v>
      </c>
      <c r="H371" s="24" t="s">
        <v>668</v>
      </c>
      <c r="I371" s="24" t="s">
        <v>806</v>
      </c>
      <c r="J371" s="24" t="s">
        <v>807</v>
      </c>
      <c r="K371" s="24" t="s">
        <v>807</v>
      </c>
      <c r="L371" s="24" t="s">
        <v>807</v>
      </c>
      <c r="M371" s="24" t="s">
        <v>807</v>
      </c>
      <c r="N371" s="24">
        <v>8.9</v>
      </c>
      <c r="O371" s="24">
        <v>8.9</v>
      </c>
      <c r="P371" s="24" t="s">
        <v>807</v>
      </c>
      <c r="Q371" s="25">
        <v>6185</v>
      </c>
      <c r="R371" s="24" t="s">
        <v>809</v>
      </c>
      <c r="S371" s="24" t="s">
        <v>675</v>
      </c>
      <c r="T371" s="24">
        <v>131</v>
      </c>
      <c r="U371" s="24" t="s">
        <v>810</v>
      </c>
      <c r="V371" s="24" t="s">
        <v>807</v>
      </c>
      <c r="W371" s="26"/>
      <c r="X371" s="26"/>
      <c r="Y371" s="26"/>
      <c r="Z371" s="26"/>
      <c r="AA371" s="26"/>
      <c r="AB371" s="26"/>
      <c r="AC371" s="26"/>
      <c r="AD371" s="26"/>
      <c r="AE371" s="26"/>
      <c r="AF371" s="26"/>
      <c r="AG371" s="26"/>
      <c r="AH371" s="33" t="s">
        <v>1260</v>
      </c>
      <c r="AI371" s="23" t="s">
        <v>811</v>
      </c>
      <c r="AJ371" s="33" t="str">
        <f t="shared" si="5"/>
        <v>PD5D_MB_Moactcseq/samples/PD_BN1506_MB_MOactcseq_batch10_rep5.h5</v>
      </c>
      <c r="AK371" t="s">
        <v>1290</v>
      </c>
    </row>
    <row r="372" spans="1:37">
      <c r="A372" s="24" t="s">
        <v>1089</v>
      </c>
      <c r="B372" s="24" t="s">
        <v>149</v>
      </c>
      <c r="C372" s="24" t="s">
        <v>149</v>
      </c>
      <c r="D372" s="24" t="s">
        <v>823</v>
      </c>
      <c r="E372" s="24">
        <v>6</v>
      </c>
      <c r="F372" s="24">
        <v>0</v>
      </c>
      <c r="G372" s="24" t="s">
        <v>777</v>
      </c>
      <c r="H372" s="24" t="s">
        <v>668</v>
      </c>
      <c r="I372" s="24" t="s">
        <v>806</v>
      </c>
      <c r="J372" s="24" t="s">
        <v>807</v>
      </c>
      <c r="K372" s="24" t="s">
        <v>807</v>
      </c>
      <c r="L372" s="24" t="s">
        <v>807</v>
      </c>
      <c r="M372" s="24" t="s">
        <v>807</v>
      </c>
      <c r="N372" s="24">
        <v>8.9</v>
      </c>
      <c r="O372" s="24">
        <v>8.9</v>
      </c>
      <c r="P372" s="24" t="s">
        <v>807</v>
      </c>
      <c r="Q372" s="25">
        <v>6185</v>
      </c>
      <c r="R372" s="24" t="s">
        <v>809</v>
      </c>
      <c r="S372" s="24" t="s">
        <v>675</v>
      </c>
      <c r="T372" s="24">
        <v>131</v>
      </c>
      <c r="U372" s="24" t="s">
        <v>810</v>
      </c>
      <c r="V372" s="24" t="s">
        <v>807</v>
      </c>
      <c r="W372" s="26"/>
      <c r="X372" s="26"/>
      <c r="Y372" s="26"/>
      <c r="Z372" s="26"/>
      <c r="AA372" s="26"/>
      <c r="AB372" s="26"/>
      <c r="AC372" s="26"/>
      <c r="AD372" s="26"/>
      <c r="AE372" s="26"/>
      <c r="AF372" s="26"/>
      <c r="AG372" s="26"/>
      <c r="AH372" s="33" t="s">
        <v>1260</v>
      </c>
      <c r="AI372" s="23" t="s">
        <v>811</v>
      </c>
      <c r="AJ372" s="33" t="str">
        <f t="shared" si="5"/>
        <v>PD5D_MB_Moactcseq/samples/PD_BN1506_MB_MOactcseq_batch10_rep6.h5</v>
      </c>
      <c r="AK372" t="s">
        <v>1290</v>
      </c>
    </row>
    <row r="373" spans="1:37">
      <c r="A373" s="24" t="s">
        <v>1090</v>
      </c>
      <c r="B373" s="24" t="s">
        <v>157</v>
      </c>
      <c r="C373" s="24" t="s">
        <v>157</v>
      </c>
      <c r="D373" s="24" t="s">
        <v>666</v>
      </c>
      <c r="E373" s="24">
        <v>3</v>
      </c>
      <c r="F373" s="24">
        <v>0</v>
      </c>
      <c r="G373" s="24" t="s">
        <v>777</v>
      </c>
      <c r="H373" s="24" t="s">
        <v>668</v>
      </c>
      <c r="I373" s="24" t="s">
        <v>806</v>
      </c>
      <c r="J373" s="24" t="s">
        <v>807</v>
      </c>
      <c r="K373" s="24" t="s">
        <v>807</v>
      </c>
      <c r="L373" s="24" t="s">
        <v>807</v>
      </c>
      <c r="M373" s="24" t="s">
        <v>807</v>
      </c>
      <c r="N373" s="24">
        <v>9.4</v>
      </c>
      <c r="O373" s="24">
        <v>9.4</v>
      </c>
      <c r="P373" s="24" t="s">
        <v>807</v>
      </c>
      <c r="Q373" s="25">
        <v>8604</v>
      </c>
      <c r="R373" s="24" t="s">
        <v>809</v>
      </c>
      <c r="S373" s="24" t="s">
        <v>675</v>
      </c>
      <c r="T373" s="24">
        <v>131</v>
      </c>
      <c r="U373" s="24" t="s">
        <v>810</v>
      </c>
      <c r="V373" s="24" t="s">
        <v>807</v>
      </c>
      <c r="W373" s="26"/>
      <c r="X373" s="26"/>
      <c r="Y373" s="26"/>
      <c r="Z373" s="26"/>
      <c r="AA373" s="26"/>
      <c r="AB373" s="26"/>
      <c r="AC373" s="26"/>
      <c r="AD373" s="26"/>
      <c r="AE373" s="26"/>
      <c r="AF373" s="26"/>
      <c r="AG373" s="26"/>
      <c r="AH373" s="33" t="s">
        <v>1260</v>
      </c>
      <c r="AI373" s="23" t="s">
        <v>811</v>
      </c>
      <c r="AJ373" s="33" t="str">
        <f t="shared" si="5"/>
        <v>PD5D_MB_Moactcseq/samples/PD_BN1554_MB_MOactcseq_batch10_rep1.h5</v>
      </c>
      <c r="AK373" t="s">
        <v>1290</v>
      </c>
    </row>
    <row r="374" spans="1:37">
      <c r="A374" s="24" t="s">
        <v>1091</v>
      </c>
      <c r="B374" s="24" t="s">
        <v>157</v>
      </c>
      <c r="C374" s="24" t="s">
        <v>157</v>
      </c>
      <c r="D374" s="24" t="s">
        <v>689</v>
      </c>
      <c r="E374" s="24">
        <v>3</v>
      </c>
      <c r="F374" s="24">
        <v>0</v>
      </c>
      <c r="G374" s="24" t="s">
        <v>777</v>
      </c>
      <c r="H374" s="24" t="s">
        <v>668</v>
      </c>
      <c r="I374" s="24" t="s">
        <v>806</v>
      </c>
      <c r="J374" s="24" t="s">
        <v>807</v>
      </c>
      <c r="K374" s="24" t="s">
        <v>807</v>
      </c>
      <c r="L374" s="24" t="s">
        <v>807</v>
      </c>
      <c r="M374" s="24" t="s">
        <v>807</v>
      </c>
      <c r="N374" s="24">
        <v>9.4</v>
      </c>
      <c r="O374" s="24">
        <v>9.4</v>
      </c>
      <c r="P374" s="24" t="s">
        <v>807</v>
      </c>
      <c r="Q374" s="25">
        <v>8604</v>
      </c>
      <c r="R374" s="24" t="s">
        <v>809</v>
      </c>
      <c r="S374" s="24" t="s">
        <v>675</v>
      </c>
      <c r="T374" s="24">
        <v>131</v>
      </c>
      <c r="U374" s="24" t="s">
        <v>810</v>
      </c>
      <c r="V374" s="24" t="s">
        <v>807</v>
      </c>
      <c r="W374" s="26"/>
      <c r="X374" s="26"/>
      <c r="Y374" s="26"/>
      <c r="Z374" s="26"/>
      <c r="AA374" s="26"/>
      <c r="AB374" s="26"/>
      <c r="AC374" s="26"/>
      <c r="AD374" s="26"/>
      <c r="AE374" s="26"/>
      <c r="AF374" s="26"/>
      <c r="AG374" s="26"/>
      <c r="AH374" s="33" t="s">
        <v>1260</v>
      </c>
      <c r="AI374" s="23" t="s">
        <v>811</v>
      </c>
      <c r="AJ374" s="33" t="str">
        <f t="shared" si="5"/>
        <v>PD5D_MB_Moactcseq/samples/PD_BN1554_MB_MOactcseq_batch10_rep2.h5</v>
      </c>
      <c r="AK374" t="s">
        <v>1290</v>
      </c>
    </row>
    <row r="375" spans="1:37">
      <c r="A375" s="24" t="s">
        <v>1092</v>
      </c>
      <c r="B375" s="24" t="s">
        <v>157</v>
      </c>
      <c r="C375" s="24" t="s">
        <v>157</v>
      </c>
      <c r="D375" s="24" t="s">
        <v>814</v>
      </c>
      <c r="E375" s="24">
        <v>3</v>
      </c>
      <c r="F375" s="24">
        <v>0</v>
      </c>
      <c r="G375" s="24" t="s">
        <v>777</v>
      </c>
      <c r="H375" s="24" t="s">
        <v>668</v>
      </c>
      <c r="I375" s="24" t="s">
        <v>806</v>
      </c>
      <c r="J375" s="24" t="s">
        <v>807</v>
      </c>
      <c r="K375" s="24" t="s">
        <v>807</v>
      </c>
      <c r="L375" s="24" t="s">
        <v>807</v>
      </c>
      <c r="M375" s="24" t="s">
        <v>807</v>
      </c>
      <c r="N375" s="24">
        <v>9.4</v>
      </c>
      <c r="O375" s="24">
        <v>9.4</v>
      </c>
      <c r="P375" s="24" t="s">
        <v>807</v>
      </c>
      <c r="Q375" s="25">
        <v>8604</v>
      </c>
      <c r="R375" s="24" t="s">
        <v>809</v>
      </c>
      <c r="S375" s="24" t="s">
        <v>675</v>
      </c>
      <c r="T375" s="24">
        <v>131</v>
      </c>
      <c r="U375" s="24" t="s">
        <v>810</v>
      </c>
      <c r="V375" s="24" t="s">
        <v>807</v>
      </c>
      <c r="W375" s="26"/>
      <c r="X375" s="26"/>
      <c r="Y375" s="26"/>
      <c r="Z375" s="26"/>
      <c r="AA375" s="26"/>
      <c r="AB375" s="26"/>
      <c r="AC375" s="26"/>
      <c r="AD375" s="26"/>
      <c r="AE375" s="26"/>
      <c r="AF375" s="26"/>
      <c r="AG375" s="26"/>
      <c r="AH375" s="33" t="s">
        <v>1260</v>
      </c>
      <c r="AI375" s="23" t="s">
        <v>811</v>
      </c>
      <c r="AJ375" s="33" t="str">
        <f t="shared" si="5"/>
        <v>PD5D_MB_Moactcseq/samples/PD_BN1554_MB_MOactcseq_batch10_rep3.h5</v>
      </c>
      <c r="AK375" t="s">
        <v>1290</v>
      </c>
    </row>
    <row r="376" spans="1:37">
      <c r="A376" s="24" t="s">
        <v>1093</v>
      </c>
      <c r="B376" s="24" t="s">
        <v>165</v>
      </c>
      <c r="C376" s="24" t="s">
        <v>165</v>
      </c>
      <c r="D376" s="24" t="s">
        <v>666</v>
      </c>
      <c r="E376" s="24">
        <v>6</v>
      </c>
      <c r="F376" s="24">
        <v>0</v>
      </c>
      <c r="G376" s="24" t="s">
        <v>713</v>
      </c>
      <c r="H376" s="24" t="s">
        <v>668</v>
      </c>
      <c r="I376" s="24" t="s">
        <v>806</v>
      </c>
      <c r="J376" s="24" t="s">
        <v>807</v>
      </c>
      <c r="K376" s="24" t="s">
        <v>807</v>
      </c>
      <c r="L376" s="24" t="s">
        <v>807</v>
      </c>
      <c r="M376" s="24" t="s">
        <v>807</v>
      </c>
      <c r="N376" s="24">
        <v>8.6</v>
      </c>
      <c r="O376" s="24">
        <v>8.6</v>
      </c>
      <c r="P376" s="24" t="s">
        <v>807</v>
      </c>
      <c r="Q376" s="25">
        <v>7187</v>
      </c>
      <c r="R376" s="24" t="s">
        <v>809</v>
      </c>
      <c r="S376" s="24" t="s">
        <v>675</v>
      </c>
      <c r="T376" s="24">
        <v>131</v>
      </c>
      <c r="U376" s="24" t="s">
        <v>810</v>
      </c>
      <c r="V376" s="24" t="s">
        <v>807</v>
      </c>
      <c r="W376" s="26"/>
      <c r="X376" s="26"/>
      <c r="Y376" s="26"/>
      <c r="Z376" s="26"/>
      <c r="AA376" s="26"/>
      <c r="AB376" s="26"/>
      <c r="AC376" s="26"/>
      <c r="AD376" s="26"/>
      <c r="AE376" s="26"/>
      <c r="AF376" s="26"/>
      <c r="AG376" s="26"/>
      <c r="AH376" s="33" t="s">
        <v>1260</v>
      </c>
      <c r="AI376" s="23" t="s">
        <v>811</v>
      </c>
      <c r="AJ376" s="33" t="str">
        <f t="shared" si="5"/>
        <v>PD5D_MB_Moactcseq/samples/PD_BN1614_MB_MOactcseq_batch11_rep1.h5</v>
      </c>
      <c r="AK376" t="s">
        <v>1290</v>
      </c>
    </row>
    <row r="377" spans="1:37">
      <c r="A377" s="24" t="s">
        <v>1094</v>
      </c>
      <c r="B377" s="24" t="s">
        <v>165</v>
      </c>
      <c r="C377" s="24" t="s">
        <v>165</v>
      </c>
      <c r="D377" s="24" t="s">
        <v>689</v>
      </c>
      <c r="E377" s="24">
        <v>6</v>
      </c>
      <c r="F377" s="24">
        <v>0</v>
      </c>
      <c r="G377" s="24" t="s">
        <v>713</v>
      </c>
      <c r="H377" s="24" t="s">
        <v>668</v>
      </c>
      <c r="I377" s="24" t="s">
        <v>806</v>
      </c>
      <c r="J377" s="24" t="s">
        <v>807</v>
      </c>
      <c r="K377" s="24" t="s">
        <v>807</v>
      </c>
      <c r="L377" s="24" t="s">
        <v>807</v>
      </c>
      <c r="M377" s="24" t="s">
        <v>807</v>
      </c>
      <c r="N377" s="24">
        <v>8.6</v>
      </c>
      <c r="O377" s="24">
        <v>8.6</v>
      </c>
      <c r="P377" s="24" t="s">
        <v>807</v>
      </c>
      <c r="Q377" s="25">
        <v>7187</v>
      </c>
      <c r="R377" s="24" t="s">
        <v>809</v>
      </c>
      <c r="S377" s="24" t="s">
        <v>675</v>
      </c>
      <c r="T377" s="24">
        <v>131</v>
      </c>
      <c r="U377" s="24" t="s">
        <v>810</v>
      </c>
      <c r="V377" s="24" t="s">
        <v>807</v>
      </c>
      <c r="W377" s="26"/>
      <c r="X377" s="26"/>
      <c r="Y377" s="26"/>
      <c r="Z377" s="26"/>
      <c r="AA377" s="26"/>
      <c r="AB377" s="26"/>
      <c r="AC377" s="26"/>
      <c r="AD377" s="26"/>
      <c r="AE377" s="26"/>
      <c r="AF377" s="26"/>
      <c r="AG377" s="26"/>
      <c r="AH377" s="33" t="s">
        <v>1260</v>
      </c>
      <c r="AI377" s="23" t="s">
        <v>811</v>
      </c>
      <c r="AJ377" s="33" t="str">
        <f t="shared" si="5"/>
        <v>PD5D_MB_Moactcseq/samples/PD_BN1614_MB_MOactcseq_batch11_rep2.h5</v>
      </c>
      <c r="AK377" t="s">
        <v>1290</v>
      </c>
    </row>
    <row r="378" spans="1:37">
      <c r="A378" s="24" t="s">
        <v>1095</v>
      </c>
      <c r="B378" s="24" t="s">
        <v>165</v>
      </c>
      <c r="C378" s="24" t="s">
        <v>165</v>
      </c>
      <c r="D378" s="24" t="s">
        <v>814</v>
      </c>
      <c r="E378" s="24">
        <v>6</v>
      </c>
      <c r="F378" s="24">
        <v>0</v>
      </c>
      <c r="G378" s="24" t="s">
        <v>713</v>
      </c>
      <c r="H378" s="24" t="s">
        <v>668</v>
      </c>
      <c r="I378" s="24" t="s">
        <v>806</v>
      </c>
      <c r="J378" s="24" t="s">
        <v>807</v>
      </c>
      <c r="K378" s="24" t="s">
        <v>807</v>
      </c>
      <c r="L378" s="24" t="s">
        <v>807</v>
      </c>
      <c r="M378" s="24" t="s">
        <v>807</v>
      </c>
      <c r="N378" s="24">
        <v>8.6</v>
      </c>
      <c r="O378" s="24">
        <v>8.6</v>
      </c>
      <c r="P378" s="24" t="s">
        <v>807</v>
      </c>
      <c r="Q378" s="25">
        <v>7187</v>
      </c>
      <c r="R378" s="24" t="s">
        <v>809</v>
      </c>
      <c r="S378" s="24" t="s">
        <v>675</v>
      </c>
      <c r="T378" s="24">
        <v>131</v>
      </c>
      <c r="U378" s="24" t="s">
        <v>810</v>
      </c>
      <c r="V378" s="24" t="s">
        <v>807</v>
      </c>
      <c r="W378" s="26"/>
      <c r="X378" s="26"/>
      <c r="Y378" s="26"/>
      <c r="Z378" s="26"/>
      <c r="AA378" s="26"/>
      <c r="AB378" s="26"/>
      <c r="AC378" s="26"/>
      <c r="AD378" s="26"/>
      <c r="AE378" s="26"/>
      <c r="AF378" s="26"/>
      <c r="AG378" s="26"/>
      <c r="AH378" s="33" t="s">
        <v>1260</v>
      </c>
      <c r="AI378" s="23" t="s">
        <v>811</v>
      </c>
      <c r="AJ378" s="33" t="str">
        <f t="shared" si="5"/>
        <v>PD5D_MB_Moactcseq/samples/PD_BN1614_MB_MOactcseq_batch11_rep3.h5</v>
      </c>
      <c r="AK378" t="s">
        <v>1290</v>
      </c>
    </row>
    <row r="379" spans="1:37">
      <c r="A379" s="24" t="s">
        <v>1096</v>
      </c>
      <c r="B379" s="24" t="s">
        <v>165</v>
      </c>
      <c r="C379" s="24" t="s">
        <v>165</v>
      </c>
      <c r="D379" s="24" t="s">
        <v>819</v>
      </c>
      <c r="E379" s="24">
        <v>6</v>
      </c>
      <c r="F379" s="24">
        <v>0</v>
      </c>
      <c r="G379" s="24" t="s">
        <v>713</v>
      </c>
      <c r="H379" s="24" t="s">
        <v>668</v>
      </c>
      <c r="I379" s="24" t="s">
        <v>806</v>
      </c>
      <c r="J379" s="24" t="s">
        <v>807</v>
      </c>
      <c r="K379" s="24" t="s">
        <v>807</v>
      </c>
      <c r="L379" s="24" t="s">
        <v>807</v>
      </c>
      <c r="M379" s="24" t="s">
        <v>807</v>
      </c>
      <c r="N379" s="24">
        <v>8.6</v>
      </c>
      <c r="O379" s="24">
        <v>8.6</v>
      </c>
      <c r="P379" s="24" t="s">
        <v>807</v>
      </c>
      <c r="Q379" s="25">
        <v>7187</v>
      </c>
      <c r="R379" s="24" t="s">
        <v>809</v>
      </c>
      <c r="S379" s="24" t="s">
        <v>675</v>
      </c>
      <c r="T379" s="24">
        <v>131</v>
      </c>
      <c r="U379" s="24" t="s">
        <v>810</v>
      </c>
      <c r="V379" s="24" t="s">
        <v>807</v>
      </c>
      <c r="W379" s="26"/>
      <c r="X379" s="26"/>
      <c r="Y379" s="26"/>
      <c r="Z379" s="26"/>
      <c r="AA379" s="26"/>
      <c r="AB379" s="26"/>
      <c r="AC379" s="26"/>
      <c r="AD379" s="26"/>
      <c r="AE379" s="26"/>
      <c r="AF379" s="26"/>
      <c r="AG379" s="26"/>
      <c r="AH379" s="33" t="s">
        <v>1260</v>
      </c>
      <c r="AI379" s="23" t="s">
        <v>811</v>
      </c>
      <c r="AJ379" s="33" t="str">
        <f t="shared" si="5"/>
        <v>PD5D_MB_Moactcseq/samples/PD_BN1614_MB_MOactcseq_batch11_rep4.h5</v>
      </c>
      <c r="AK379" t="s">
        <v>1290</v>
      </c>
    </row>
    <row r="380" spans="1:37">
      <c r="A380" s="24" t="s">
        <v>1097</v>
      </c>
      <c r="B380" s="24" t="s">
        <v>165</v>
      </c>
      <c r="C380" s="24" t="s">
        <v>165</v>
      </c>
      <c r="D380" s="24" t="s">
        <v>821</v>
      </c>
      <c r="E380" s="24">
        <v>6</v>
      </c>
      <c r="F380" s="24">
        <v>0</v>
      </c>
      <c r="G380" s="24" t="s">
        <v>713</v>
      </c>
      <c r="H380" s="24" t="s">
        <v>668</v>
      </c>
      <c r="I380" s="24" t="s">
        <v>806</v>
      </c>
      <c r="J380" s="24" t="s">
        <v>807</v>
      </c>
      <c r="K380" s="24" t="s">
        <v>807</v>
      </c>
      <c r="L380" s="24" t="s">
        <v>807</v>
      </c>
      <c r="M380" s="24" t="s">
        <v>807</v>
      </c>
      <c r="N380" s="24">
        <v>8.6</v>
      </c>
      <c r="O380" s="24">
        <v>8.6</v>
      </c>
      <c r="P380" s="24" t="s">
        <v>807</v>
      </c>
      <c r="Q380" s="25">
        <v>7187</v>
      </c>
      <c r="R380" s="24" t="s">
        <v>809</v>
      </c>
      <c r="S380" s="24" t="s">
        <v>675</v>
      </c>
      <c r="T380" s="24">
        <v>131</v>
      </c>
      <c r="U380" s="24" t="s">
        <v>810</v>
      </c>
      <c r="V380" s="24" t="s">
        <v>807</v>
      </c>
      <c r="W380" s="26"/>
      <c r="X380" s="26"/>
      <c r="Y380" s="26"/>
      <c r="Z380" s="26"/>
      <c r="AA380" s="26"/>
      <c r="AB380" s="26"/>
      <c r="AC380" s="26"/>
      <c r="AD380" s="26"/>
      <c r="AE380" s="26"/>
      <c r="AF380" s="26"/>
      <c r="AG380" s="26"/>
      <c r="AH380" s="33" t="s">
        <v>1260</v>
      </c>
      <c r="AI380" s="23" t="s">
        <v>811</v>
      </c>
      <c r="AJ380" s="33" t="str">
        <f t="shared" si="5"/>
        <v>PD5D_MB_Moactcseq/samples/PD_BN1614_MB_MOactcseq_batch11_rep5.h5</v>
      </c>
      <c r="AK380" t="s">
        <v>1290</v>
      </c>
    </row>
    <row r="381" spans="1:37">
      <c r="A381" s="24" t="s">
        <v>1098</v>
      </c>
      <c r="B381" s="24" t="s">
        <v>165</v>
      </c>
      <c r="C381" s="24" t="s">
        <v>165</v>
      </c>
      <c r="D381" s="24" t="s">
        <v>823</v>
      </c>
      <c r="E381" s="24">
        <v>6</v>
      </c>
      <c r="F381" s="24">
        <v>0</v>
      </c>
      <c r="G381" s="24" t="s">
        <v>713</v>
      </c>
      <c r="H381" s="24" t="s">
        <v>668</v>
      </c>
      <c r="I381" s="24" t="s">
        <v>806</v>
      </c>
      <c r="J381" s="24" t="s">
        <v>807</v>
      </c>
      <c r="K381" s="24" t="s">
        <v>807</v>
      </c>
      <c r="L381" s="24" t="s">
        <v>807</v>
      </c>
      <c r="M381" s="24" t="s">
        <v>807</v>
      </c>
      <c r="N381" s="24">
        <v>8.6</v>
      </c>
      <c r="O381" s="24">
        <v>8.6</v>
      </c>
      <c r="P381" s="24" t="s">
        <v>807</v>
      </c>
      <c r="Q381" s="25">
        <v>7187</v>
      </c>
      <c r="R381" s="24" t="s">
        <v>809</v>
      </c>
      <c r="S381" s="24" t="s">
        <v>675</v>
      </c>
      <c r="T381" s="24">
        <v>131</v>
      </c>
      <c r="U381" s="24" t="s">
        <v>810</v>
      </c>
      <c r="V381" s="24" t="s">
        <v>807</v>
      </c>
      <c r="W381" s="26"/>
      <c r="X381" s="26"/>
      <c r="Y381" s="26"/>
      <c r="Z381" s="26"/>
      <c r="AA381" s="26"/>
      <c r="AB381" s="26"/>
      <c r="AC381" s="26"/>
      <c r="AD381" s="26"/>
      <c r="AE381" s="26"/>
      <c r="AF381" s="26"/>
      <c r="AG381" s="26"/>
      <c r="AH381" s="33" t="s">
        <v>1260</v>
      </c>
      <c r="AI381" s="23" t="s">
        <v>811</v>
      </c>
      <c r="AJ381" s="33" t="str">
        <f t="shared" si="5"/>
        <v>PD5D_MB_Moactcseq/samples/PD_BN1614_MB_MOactcseq_batch11_rep6.h5</v>
      </c>
      <c r="AK381" t="s">
        <v>1290</v>
      </c>
    </row>
    <row r="382" spans="1:37">
      <c r="A382" s="24" t="s">
        <v>1099</v>
      </c>
      <c r="B382" s="24" t="s">
        <v>167</v>
      </c>
      <c r="C382" s="24" t="s">
        <v>167</v>
      </c>
      <c r="D382" s="24" t="s">
        <v>666</v>
      </c>
      <c r="E382" s="24">
        <v>6</v>
      </c>
      <c r="F382" s="24">
        <v>0</v>
      </c>
      <c r="G382" s="24" t="s">
        <v>713</v>
      </c>
      <c r="H382" s="24" t="s">
        <v>668</v>
      </c>
      <c r="I382" s="24" t="s">
        <v>806</v>
      </c>
      <c r="J382" s="24" t="s">
        <v>807</v>
      </c>
      <c r="K382" s="24" t="s">
        <v>807</v>
      </c>
      <c r="L382" s="24" t="s">
        <v>807</v>
      </c>
      <c r="M382" s="24" t="s">
        <v>807</v>
      </c>
      <c r="N382" s="24">
        <v>9</v>
      </c>
      <c r="O382" s="24">
        <v>9</v>
      </c>
      <c r="P382" s="24" t="s">
        <v>807</v>
      </c>
      <c r="Q382" s="25">
        <v>4841</v>
      </c>
      <c r="R382" s="24" t="s">
        <v>809</v>
      </c>
      <c r="S382" s="24" t="s">
        <v>675</v>
      </c>
      <c r="T382" s="24">
        <v>131</v>
      </c>
      <c r="U382" s="24" t="s">
        <v>810</v>
      </c>
      <c r="V382" s="24" t="s">
        <v>807</v>
      </c>
      <c r="W382" s="26"/>
      <c r="X382" s="26"/>
      <c r="Y382" s="26"/>
      <c r="Z382" s="26"/>
      <c r="AA382" s="26"/>
      <c r="AB382" s="26"/>
      <c r="AC382" s="26"/>
      <c r="AD382" s="26"/>
      <c r="AE382" s="26"/>
      <c r="AF382" s="26"/>
      <c r="AG382" s="26"/>
      <c r="AH382" s="33" t="s">
        <v>1260</v>
      </c>
      <c r="AI382" s="23" t="s">
        <v>811</v>
      </c>
      <c r="AJ382" s="33" t="str">
        <f t="shared" si="5"/>
        <v>PD5D_MB_Moactcseq/samples/PD_BN1644_MB_MOactcseq_batch11_rep1.h5</v>
      </c>
      <c r="AK382" t="s">
        <v>1290</v>
      </c>
    </row>
    <row r="383" spans="1:37">
      <c r="A383" s="24" t="s">
        <v>1100</v>
      </c>
      <c r="B383" s="24" t="s">
        <v>167</v>
      </c>
      <c r="C383" s="24" t="s">
        <v>167</v>
      </c>
      <c r="D383" s="24" t="s">
        <v>689</v>
      </c>
      <c r="E383" s="24">
        <v>6</v>
      </c>
      <c r="F383" s="24">
        <v>0</v>
      </c>
      <c r="G383" s="24" t="s">
        <v>713</v>
      </c>
      <c r="H383" s="24" t="s">
        <v>668</v>
      </c>
      <c r="I383" s="24" t="s">
        <v>806</v>
      </c>
      <c r="J383" s="24" t="s">
        <v>807</v>
      </c>
      <c r="K383" s="24" t="s">
        <v>807</v>
      </c>
      <c r="L383" s="24" t="s">
        <v>807</v>
      </c>
      <c r="M383" s="24" t="s">
        <v>807</v>
      </c>
      <c r="N383" s="24">
        <v>9</v>
      </c>
      <c r="O383" s="24">
        <v>9</v>
      </c>
      <c r="P383" s="24" t="s">
        <v>807</v>
      </c>
      <c r="Q383" s="25">
        <v>4841</v>
      </c>
      <c r="R383" s="24" t="s">
        <v>809</v>
      </c>
      <c r="S383" s="24" t="s">
        <v>675</v>
      </c>
      <c r="T383" s="24">
        <v>131</v>
      </c>
      <c r="U383" s="24" t="s">
        <v>810</v>
      </c>
      <c r="V383" s="24" t="s">
        <v>807</v>
      </c>
      <c r="W383" s="26"/>
      <c r="X383" s="26"/>
      <c r="Y383" s="26"/>
      <c r="Z383" s="26"/>
      <c r="AA383" s="26"/>
      <c r="AB383" s="26"/>
      <c r="AC383" s="26"/>
      <c r="AD383" s="26"/>
      <c r="AE383" s="26"/>
      <c r="AF383" s="26"/>
      <c r="AG383" s="26"/>
      <c r="AH383" s="33" t="s">
        <v>1260</v>
      </c>
      <c r="AI383" s="23" t="s">
        <v>811</v>
      </c>
      <c r="AJ383" s="33" t="str">
        <f t="shared" si="5"/>
        <v>PD5D_MB_Moactcseq/samples/PD_BN1644_MB_MOactcseq_batch11_rep2.h5</v>
      </c>
      <c r="AK383" t="s">
        <v>1290</v>
      </c>
    </row>
    <row r="384" spans="1:37">
      <c r="A384" s="24" t="s">
        <v>1101</v>
      </c>
      <c r="B384" s="24" t="s">
        <v>167</v>
      </c>
      <c r="C384" s="24" t="s">
        <v>167</v>
      </c>
      <c r="D384" s="24" t="s">
        <v>814</v>
      </c>
      <c r="E384" s="24">
        <v>6</v>
      </c>
      <c r="F384" s="24">
        <v>0</v>
      </c>
      <c r="G384" s="24" t="s">
        <v>713</v>
      </c>
      <c r="H384" s="24" t="s">
        <v>668</v>
      </c>
      <c r="I384" s="24" t="s">
        <v>806</v>
      </c>
      <c r="J384" s="24" t="s">
        <v>807</v>
      </c>
      <c r="K384" s="24" t="s">
        <v>807</v>
      </c>
      <c r="L384" s="24" t="s">
        <v>807</v>
      </c>
      <c r="M384" s="24" t="s">
        <v>807</v>
      </c>
      <c r="N384" s="24">
        <v>9</v>
      </c>
      <c r="O384" s="24">
        <v>9</v>
      </c>
      <c r="P384" s="24" t="s">
        <v>807</v>
      </c>
      <c r="Q384" s="25">
        <v>4841</v>
      </c>
      <c r="R384" s="24" t="s">
        <v>809</v>
      </c>
      <c r="S384" s="24" t="s">
        <v>675</v>
      </c>
      <c r="T384" s="24">
        <v>131</v>
      </c>
      <c r="U384" s="24" t="s">
        <v>810</v>
      </c>
      <c r="V384" s="24" t="s">
        <v>807</v>
      </c>
      <c r="W384" s="26"/>
      <c r="X384" s="26"/>
      <c r="Y384" s="26"/>
      <c r="Z384" s="26"/>
      <c r="AA384" s="26"/>
      <c r="AB384" s="26"/>
      <c r="AC384" s="26"/>
      <c r="AD384" s="26"/>
      <c r="AE384" s="26"/>
      <c r="AF384" s="26"/>
      <c r="AG384" s="26"/>
      <c r="AH384" s="33" t="s">
        <v>1260</v>
      </c>
      <c r="AI384" s="23" t="s">
        <v>811</v>
      </c>
      <c r="AJ384" s="33" t="str">
        <f t="shared" si="5"/>
        <v>PD5D_MB_Moactcseq/samples/PD_BN1644_MB_MOactcseq_batch11_rep3.h5</v>
      </c>
      <c r="AK384" t="s">
        <v>1290</v>
      </c>
    </row>
    <row r="385" spans="1:37">
      <c r="A385" s="24" t="s">
        <v>1102</v>
      </c>
      <c r="B385" s="24" t="s">
        <v>167</v>
      </c>
      <c r="C385" s="24" t="s">
        <v>167</v>
      </c>
      <c r="D385" s="24" t="s">
        <v>819</v>
      </c>
      <c r="E385" s="24">
        <v>6</v>
      </c>
      <c r="F385" s="24">
        <v>0</v>
      </c>
      <c r="G385" s="24" t="s">
        <v>713</v>
      </c>
      <c r="H385" s="24" t="s">
        <v>668</v>
      </c>
      <c r="I385" s="24" t="s">
        <v>806</v>
      </c>
      <c r="J385" s="24" t="s">
        <v>807</v>
      </c>
      <c r="K385" s="24" t="s">
        <v>807</v>
      </c>
      <c r="L385" s="24" t="s">
        <v>807</v>
      </c>
      <c r="M385" s="24" t="s">
        <v>807</v>
      </c>
      <c r="N385" s="24">
        <v>9</v>
      </c>
      <c r="O385" s="24">
        <v>9</v>
      </c>
      <c r="P385" s="24" t="s">
        <v>807</v>
      </c>
      <c r="Q385" s="25">
        <v>4841</v>
      </c>
      <c r="R385" s="24" t="s">
        <v>809</v>
      </c>
      <c r="S385" s="24" t="s">
        <v>675</v>
      </c>
      <c r="T385" s="24">
        <v>131</v>
      </c>
      <c r="U385" s="24" t="s">
        <v>810</v>
      </c>
      <c r="V385" s="24" t="s">
        <v>807</v>
      </c>
      <c r="W385" s="26"/>
      <c r="X385" s="26"/>
      <c r="Y385" s="26"/>
      <c r="Z385" s="26"/>
      <c r="AA385" s="26"/>
      <c r="AB385" s="26"/>
      <c r="AC385" s="26"/>
      <c r="AD385" s="26"/>
      <c r="AE385" s="26"/>
      <c r="AF385" s="26"/>
      <c r="AG385" s="26"/>
      <c r="AH385" s="33" t="s">
        <v>1260</v>
      </c>
      <c r="AI385" s="23" t="s">
        <v>811</v>
      </c>
      <c r="AJ385" s="33" t="str">
        <f t="shared" ref="AJ385:AJ448" si="6">_xlfn.CONCAT(AH385,"/samples/",A385,".h5")</f>
        <v>PD5D_MB_Moactcseq/samples/PD_BN1644_MB_MOactcseq_batch11_rep4.h5</v>
      </c>
      <c r="AK385" t="s">
        <v>1290</v>
      </c>
    </row>
    <row r="386" spans="1:37">
      <c r="A386" s="24" t="s">
        <v>1103</v>
      </c>
      <c r="B386" s="24" t="s">
        <v>167</v>
      </c>
      <c r="C386" s="24" t="s">
        <v>167</v>
      </c>
      <c r="D386" s="24" t="s">
        <v>821</v>
      </c>
      <c r="E386" s="24">
        <v>6</v>
      </c>
      <c r="F386" s="24">
        <v>0</v>
      </c>
      <c r="G386" s="24" t="s">
        <v>713</v>
      </c>
      <c r="H386" s="24" t="s">
        <v>668</v>
      </c>
      <c r="I386" s="24" t="s">
        <v>806</v>
      </c>
      <c r="J386" s="24" t="s">
        <v>807</v>
      </c>
      <c r="K386" s="24" t="s">
        <v>807</v>
      </c>
      <c r="L386" s="24" t="s">
        <v>807</v>
      </c>
      <c r="M386" s="24" t="s">
        <v>807</v>
      </c>
      <c r="N386" s="24">
        <v>9</v>
      </c>
      <c r="O386" s="24">
        <v>9</v>
      </c>
      <c r="P386" s="24" t="s">
        <v>807</v>
      </c>
      <c r="Q386" s="25">
        <v>4841</v>
      </c>
      <c r="R386" s="24" t="s">
        <v>809</v>
      </c>
      <c r="S386" s="24" t="s">
        <v>675</v>
      </c>
      <c r="T386" s="24">
        <v>131</v>
      </c>
      <c r="U386" s="24" t="s">
        <v>810</v>
      </c>
      <c r="V386" s="24" t="s">
        <v>807</v>
      </c>
      <c r="W386" s="26"/>
      <c r="X386" s="26"/>
      <c r="Y386" s="26"/>
      <c r="Z386" s="26"/>
      <c r="AA386" s="26"/>
      <c r="AB386" s="26"/>
      <c r="AC386" s="26"/>
      <c r="AD386" s="26"/>
      <c r="AE386" s="26"/>
      <c r="AF386" s="26"/>
      <c r="AG386" s="26"/>
      <c r="AH386" s="33" t="s">
        <v>1260</v>
      </c>
      <c r="AI386" s="23" t="s">
        <v>811</v>
      </c>
      <c r="AJ386" s="33" t="str">
        <f t="shared" si="6"/>
        <v>PD5D_MB_Moactcseq/samples/PD_BN1644_MB_MOactcseq_batch11_rep5.h5</v>
      </c>
      <c r="AK386" t="s">
        <v>1290</v>
      </c>
    </row>
    <row r="387" spans="1:37">
      <c r="A387" s="24" t="s">
        <v>1104</v>
      </c>
      <c r="B387" s="24" t="s">
        <v>167</v>
      </c>
      <c r="C387" s="24" t="s">
        <v>167</v>
      </c>
      <c r="D387" s="24" t="s">
        <v>823</v>
      </c>
      <c r="E387" s="24">
        <v>6</v>
      </c>
      <c r="F387" s="24">
        <v>0</v>
      </c>
      <c r="G387" s="24" t="s">
        <v>713</v>
      </c>
      <c r="H387" s="24" t="s">
        <v>668</v>
      </c>
      <c r="I387" s="24" t="s">
        <v>806</v>
      </c>
      <c r="J387" s="24" t="s">
        <v>807</v>
      </c>
      <c r="K387" s="24" t="s">
        <v>807</v>
      </c>
      <c r="L387" s="24" t="s">
        <v>807</v>
      </c>
      <c r="M387" s="24" t="s">
        <v>807</v>
      </c>
      <c r="N387" s="24">
        <v>9</v>
      </c>
      <c r="O387" s="24">
        <v>9</v>
      </c>
      <c r="P387" s="24" t="s">
        <v>807</v>
      </c>
      <c r="Q387" s="25">
        <v>4841</v>
      </c>
      <c r="R387" s="24" t="s">
        <v>809</v>
      </c>
      <c r="S387" s="24" t="s">
        <v>675</v>
      </c>
      <c r="T387" s="24">
        <v>131</v>
      </c>
      <c r="U387" s="24" t="s">
        <v>810</v>
      </c>
      <c r="V387" s="24" t="s">
        <v>807</v>
      </c>
      <c r="W387" s="26"/>
      <c r="X387" s="26"/>
      <c r="Y387" s="26"/>
      <c r="Z387" s="26"/>
      <c r="AA387" s="26"/>
      <c r="AB387" s="26"/>
      <c r="AC387" s="26"/>
      <c r="AD387" s="26"/>
      <c r="AE387" s="26"/>
      <c r="AF387" s="26"/>
      <c r="AG387" s="26"/>
      <c r="AH387" s="33" t="s">
        <v>1260</v>
      </c>
      <c r="AI387" s="23" t="s">
        <v>811</v>
      </c>
      <c r="AJ387" s="33" t="str">
        <f t="shared" si="6"/>
        <v>PD5D_MB_Moactcseq/samples/PD_BN1644_MB_MOactcseq_batch11_rep6.h5</v>
      </c>
      <c r="AK387" t="s">
        <v>1290</v>
      </c>
    </row>
    <row r="388" spans="1:37">
      <c r="A388" s="24" t="s">
        <v>1105</v>
      </c>
      <c r="B388" s="24" t="s">
        <v>181</v>
      </c>
      <c r="C388" s="24" t="s">
        <v>181</v>
      </c>
      <c r="D388" s="24" t="s">
        <v>666</v>
      </c>
      <c r="E388" s="24">
        <v>3</v>
      </c>
      <c r="F388" s="24">
        <v>0</v>
      </c>
      <c r="G388" s="24" t="s">
        <v>706</v>
      </c>
      <c r="H388" s="24" t="s">
        <v>668</v>
      </c>
      <c r="I388" s="24" t="s">
        <v>806</v>
      </c>
      <c r="J388" s="24" t="s">
        <v>807</v>
      </c>
      <c r="K388" s="24" t="s">
        <v>807</v>
      </c>
      <c r="L388" s="24" t="s">
        <v>807</v>
      </c>
      <c r="M388" s="24" t="s">
        <v>807</v>
      </c>
      <c r="N388" s="24">
        <v>9.9</v>
      </c>
      <c r="O388" s="24">
        <v>9.9</v>
      </c>
      <c r="P388" s="24" t="s">
        <v>807</v>
      </c>
      <c r="Q388" s="25">
        <v>3413</v>
      </c>
      <c r="R388" s="24" t="s">
        <v>809</v>
      </c>
      <c r="S388" s="24" t="s">
        <v>675</v>
      </c>
      <c r="T388" s="24">
        <v>131</v>
      </c>
      <c r="U388" s="24" t="s">
        <v>810</v>
      </c>
      <c r="V388" s="24" t="s">
        <v>807</v>
      </c>
      <c r="W388" s="26"/>
      <c r="X388" s="26"/>
      <c r="Y388" s="26"/>
      <c r="Z388" s="26"/>
      <c r="AA388" s="26"/>
      <c r="AB388" s="26"/>
      <c r="AC388" s="26"/>
      <c r="AD388" s="26"/>
      <c r="AE388" s="26"/>
      <c r="AF388" s="26"/>
      <c r="AG388" s="26"/>
      <c r="AH388" s="33" t="s">
        <v>1260</v>
      </c>
      <c r="AI388" s="23" t="s">
        <v>811</v>
      </c>
      <c r="AJ388" s="33" t="str">
        <f t="shared" si="6"/>
        <v>PD5D_MB_Moactcseq/samples/PD_BN1747_MB_MOactcseq_batch8_rep1.h5</v>
      </c>
      <c r="AK388" t="s">
        <v>1290</v>
      </c>
    </row>
    <row r="389" spans="1:37">
      <c r="A389" s="24" t="s">
        <v>1106</v>
      </c>
      <c r="B389" s="24" t="s">
        <v>181</v>
      </c>
      <c r="C389" s="24" t="s">
        <v>181</v>
      </c>
      <c r="D389" s="24" t="s">
        <v>689</v>
      </c>
      <c r="E389" s="24">
        <v>3</v>
      </c>
      <c r="F389" s="24">
        <v>0</v>
      </c>
      <c r="G389" s="24" t="s">
        <v>706</v>
      </c>
      <c r="H389" s="24" t="s">
        <v>668</v>
      </c>
      <c r="I389" s="24" t="s">
        <v>806</v>
      </c>
      <c r="J389" s="24" t="s">
        <v>807</v>
      </c>
      <c r="K389" s="24" t="s">
        <v>807</v>
      </c>
      <c r="L389" s="24" t="s">
        <v>807</v>
      </c>
      <c r="M389" s="24" t="s">
        <v>807</v>
      </c>
      <c r="N389" s="24">
        <v>9.9</v>
      </c>
      <c r="O389" s="24">
        <v>9.9</v>
      </c>
      <c r="P389" s="24" t="s">
        <v>807</v>
      </c>
      <c r="Q389" s="25">
        <v>3413</v>
      </c>
      <c r="R389" s="24" t="s">
        <v>809</v>
      </c>
      <c r="S389" s="24" t="s">
        <v>675</v>
      </c>
      <c r="T389" s="24">
        <v>131</v>
      </c>
      <c r="U389" s="24" t="s">
        <v>810</v>
      </c>
      <c r="V389" s="24" t="s">
        <v>807</v>
      </c>
      <c r="W389" s="26"/>
      <c r="X389" s="26"/>
      <c r="Y389" s="26"/>
      <c r="Z389" s="26"/>
      <c r="AA389" s="26"/>
      <c r="AB389" s="26"/>
      <c r="AC389" s="26"/>
      <c r="AD389" s="26"/>
      <c r="AE389" s="26"/>
      <c r="AF389" s="26"/>
      <c r="AG389" s="26"/>
      <c r="AH389" s="33" t="s">
        <v>1260</v>
      </c>
      <c r="AI389" s="23" t="s">
        <v>811</v>
      </c>
      <c r="AJ389" s="33" t="str">
        <f t="shared" si="6"/>
        <v>PD5D_MB_Moactcseq/samples/PD_BN1747_MB_MOactcseq_batch8_rep2.h5</v>
      </c>
      <c r="AK389" t="s">
        <v>1290</v>
      </c>
    </row>
    <row r="390" spans="1:37">
      <c r="A390" s="24" t="s">
        <v>1107</v>
      </c>
      <c r="B390" s="24" t="s">
        <v>181</v>
      </c>
      <c r="C390" s="24" t="s">
        <v>181</v>
      </c>
      <c r="D390" s="24" t="s">
        <v>814</v>
      </c>
      <c r="E390" s="24">
        <v>3</v>
      </c>
      <c r="F390" s="24">
        <v>0</v>
      </c>
      <c r="G390" s="24" t="s">
        <v>706</v>
      </c>
      <c r="H390" s="24" t="s">
        <v>668</v>
      </c>
      <c r="I390" s="24" t="s">
        <v>806</v>
      </c>
      <c r="J390" s="24" t="s">
        <v>807</v>
      </c>
      <c r="K390" s="24" t="s">
        <v>807</v>
      </c>
      <c r="L390" s="24" t="s">
        <v>807</v>
      </c>
      <c r="M390" s="24" t="s">
        <v>807</v>
      </c>
      <c r="N390" s="24">
        <v>9.9</v>
      </c>
      <c r="O390" s="24">
        <v>9.9</v>
      </c>
      <c r="P390" s="24" t="s">
        <v>807</v>
      </c>
      <c r="Q390" s="25">
        <v>3413</v>
      </c>
      <c r="R390" s="24" t="s">
        <v>809</v>
      </c>
      <c r="S390" s="24" t="s">
        <v>675</v>
      </c>
      <c r="T390" s="24">
        <v>131</v>
      </c>
      <c r="U390" s="24" t="s">
        <v>810</v>
      </c>
      <c r="V390" s="24" t="s">
        <v>807</v>
      </c>
      <c r="W390" s="26"/>
      <c r="X390" s="26"/>
      <c r="Y390" s="26"/>
      <c r="Z390" s="26"/>
      <c r="AA390" s="26"/>
      <c r="AB390" s="26"/>
      <c r="AC390" s="26"/>
      <c r="AD390" s="26"/>
      <c r="AE390" s="26"/>
      <c r="AF390" s="26"/>
      <c r="AG390" s="26"/>
      <c r="AH390" s="33" t="s">
        <v>1260</v>
      </c>
      <c r="AI390" s="23" t="s">
        <v>811</v>
      </c>
      <c r="AJ390" s="33" t="str">
        <f t="shared" si="6"/>
        <v>PD5D_MB_Moactcseq/samples/PD_BN1747_MB_MOactcseq_batch8_rep3.h5</v>
      </c>
      <c r="AK390" t="s">
        <v>1290</v>
      </c>
    </row>
    <row r="391" spans="1:37">
      <c r="A391" s="24" t="s">
        <v>1108</v>
      </c>
      <c r="B391" s="24" t="s">
        <v>183</v>
      </c>
      <c r="C391" s="24" t="s">
        <v>183</v>
      </c>
      <c r="D391" s="24" t="s">
        <v>666</v>
      </c>
      <c r="E391" s="24">
        <v>7</v>
      </c>
      <c r="F391" s="24">
        <v>0</v>
      </c>
      <c r="G391" s="24" t="s">
        <v>713</v>
      </c>
      <c r="H391" s="24" t="s">
        <v>668</v>
      </c>
      <c r="I391" s="24" t="s">
        <v>806</v>
      </c>
      <c r="J391" s="24" t="s">
        <v>807</v>
      </c>
      <c r="K391" s="24" t="s">
        <v>807</v>
      </c>
      <c r="L391" s="24" t="s">
        <v>807</v>
      </c>
      <c r="M391" s="24" t="s">
        <v>807</v>
      </c>
      <c r="N391" s="24">
        <v>9.4</v>
      </c>
      <c r="O391" s="24">
        <v>9.4</v>
      </c>
      <c r="P391" s="24" t="s">
        <v>807</v>
      </c>
      <c r="Q391" s="25">
        <v>6631</v>
      </c>
      <c r="R391" s="24" t="s">
        <v>809</v>
      </c>
      <c r="S391" s="24" t="s">
        <v>675</v>
      </c>
      <c r="T391" s="24">
        <v>131</v>
      </c>
      <c r="U391" s="24" t="s">
        <v>810</v>
      </c>
      <c r="V391" s="24" t="s">
        <v>807</v>
      </c>
      <c r="W391" s="26"/>
      <c r="X391" s="26"/>
      <c r="Y391" s="26"/>
      <c r="Z391" s="26"/>
      <c r="AA391" s="26"/>
      <c r="AB391" s="26"/>
      <c r="AC391" s="26"/>
      <c r="AD391" s="26"/>
      <c r="AE391" s="26"/>
      <c r="AF391" s="26"/>
      <c r="AG391" s="26"/>
      <c r="AH391" s="33" t="s">
        <v>1260</v>
      </c>
      <c r="AI391" s="23" t="s">
        <v>811</v>
      </c>
      <c r="AJ391" s="33" t="str">
        <f t="shared" si="6"/>
        <v>PD5D_MB_Moactcseq/samples/PD_BN1749_MB_MOactcseq_batch11_rep1.h5</v>
      </c>
      <c r="AK391" t="s">
        <v>1290</v>
      </c>
    </row>
    <row r="392" spans="1:37">
      <c r="A392" s="24" t="s">
        <v>1109</v>
      </c>
      <c r="B392" s="24" t="s">
        <v>183</v>
      </c>
      <c r="C392" s="24" t="s">
        <v>183</v>
      </c>
      <c r="D392" s="24" t="s">
        <v>689</v>
      </c>
      <c r="E392" s="24">
        <v>7</v>
      </c>
      <c r="F392" s="24">
        <v>0</v>
      </c>
      <c r="G392" s="24" t="s">
        <v>713</v>
      </c>
      <c r="H392" s="24" t="s">
        <v>668</v>
      </c>
      <c r="I392" s="24" t="s">
        <v>806</v>
      </c>
      <c r="J392" s="24" t="s">
        <v>807</v>
      </c>
      <c r="K392" s="24" t="s">
        <v>807</v>
      </c>
      <c r="L392" s="24" t="s">
        <v>807</v>
      </c>
      <c r="M392" s="24" t="s">
        <v>807</v>
      </c>
      <c r="N392" s="24">
        <v>9.4</v>
      </c>
      <c r="O392" s="24">
        <v>9.4</v>
      </c>
      <c r="P392" s="24" t="s">
        <v>807</v>
      </c>
      <c r="Q392" s="25">
        <v>6631</v>
      </c>
      <c r="R392" s="24" t="s">
        <v>809</v>
      </c>
      <c r="S392" s="24" t="s">
        <v>675</v>
      </c>
      <c r="T392" s="24">
        <v>131</v>
      </c>
      <c r="U392" s="24" t="s">
        <v>810</v>
      </c>
      <c r="V392" s="24" t="s">
        <v>807</v>
      </c>
      <c r="W392" s="26"/>
      <c r="X392" s="26"/>
      <c r="Y392" s="26"/>
      <c r="Z392" s="26"/>
      <c r="AA392" s="26"/>
      <c r="AB392" s="26"/>
      <c r="AC392" s="26"/>
      <c r="AD392" s="26"/>
      <c r="AE392" s="26"/>
      <c r="AF392" s="26"/>
      <c r="AG392" s="26"/>
      <c r="AH392" s="33" t="s">
        <v>1260</v>
      </c>
      <c r="AI392" s="23" t="s">
        <v>811</v>
      </c>
      <c r="AJ392" s="33" t="str">
        <f t="shared" si="6"/>
        <v>PD5D_MB_Moactcseq/samples/PD_BN1749_MB_MOactcseq_batch11_rep2.h5</v>
      </c>
      <c r="AK392" t="s">
        <v>1290</v>
      </c>
    </row>
    <row r="393" spans="1:37">
      <c r="A393" s="24" t="s">
        <v>1110</v>
      </c>
      <c r="B393" s="24" t="s">
        <v>183</v>
      </c>
      <c r="C393" s="24" t="s">
        <v>183</v>
      </c>
      <c r="D393" s="24" t="s">
        <v>814</v>
      </c>
      <c r="E393" s="24">
        <v>7</v>
      </c>
      <c r="F393" s="24">
        <v>0</v>
      </c>
      <c r="G393" s="24" t="s">
        <v>713</v>
      </c>
      <c r="H393" s="24" t="s">
        <v>668</v>
      </c>
      <c r="I393" s="24" t="s">
        <v>806</v>
      </c>
      <c r="J393" s="24" t="s">
        <v>807</v>
      </c>
      <c r="K393" s="24" t="s">
        <v>807</v>
      </c>
      <c r="L393" s="24" t="s">
        <v>807</v>
      </c>
      <c r="M393" s="24" t="s">
        <v>807</v>
      </c>
      <c r="N393" s="24">
        <v>9.4</v>
      </c>
      <c r="O393" s="24">
        <v>9.4</v>
      </c>
      <c r="P393" s="24" t="s">
        <v>807</v>
      </c>
      <c r="Q393" s="25">
        <v>6631</v>
      </c>
      <c r="R393" s="24" t="s">
        <v>809</v>
      </c>
      <c r="S393" s="24" t="s">
        <v>675</v>
      </c>
      <c r="T393" s="24">
        <v>131</v>
      </c>
      <c r="U393" s="24" t="s">
        <v>810</v>
      </c>
      <c r="V393" s="24" t="s">
        <v>807</v>
      </c>
      <c r="W393" s="26"/>
      <c r="X393" s="26"/>
      <c r="Y393" s="26"/>
      <c r="Z393" s="26"/>
      <c r="AA393" s="26"/>
      <c r="AB393" s="26"/>
      <c r="AC393" s="26"/>
      <c r="AD393" s="26"/>
      <c r="AE393" s="26"/>
      <c r="AF393" s="26"/>
      <c r="AG393" s="26"/>
      <c r="AH393" s="33" t="s">
        <v>1260</v>
      </c>
      <c r="AI393" s="23" t="s">
        <v>811</v>
      </c>
      <c r="AJ393" s="33" t="str">
        <f t="shared" si="6"/>
        <v>PD5D_MB_Moactcseq/samples/PD_BN1749_MB_MOactcseq_batch11_rep3.h5</v>
      </c>
      <c r="AK393" t="s">
        <v>1290</v>
      </c>
    </row>
    <row r="394" spans="1:37">
      <c r="A394" s="24" t="s">
        <v>1111</v>
      </c>
      <c r="B394" s="24" t="s">
        <v>183</v>
      </c>
      <c r="C394" s="24" t="s">
        <v>183</v>
      </c>
      <c r="D394" s="24" t="s">
        <v>819</v>
      </c>
      <c r="E394" s="24">
        <v>7</v>
      </c>
      <c r="F394" s="24">
        <v>0</v>
      </c>
      <c r="G394" s="24" t="s">
        <v>713</v>
      </c>
      <c r="H394" s="24" t="s">
        <v>668</v>
      </c>
      <c r="I394" s="24" t="s">
        <v>806</v>
      </c>
      <c r="J394" s="24" t="s">
        <v>807</v>
      </c>
      <c r="K394" s="24" t="s">
        <v>807</v>
      </c>
      <c r="L394" s="24" t="s">
        <v>807</v>
      </c>
      <c r="M394" s="24" t="s">
        <v>807</v>
      </c>
      <c r="N394" s="24">
        <v>9.4</v>
      </c>
      <c r="O394" s="24">
        <v>9.4</v>
      </c>
      <c r="P394" s="24" t="s">
        <v>807</v>
      </c>
      <c r="Q394" s="25">
        <v>6631</v>
      </c>
      <c r="R394" s="24" t="s">
        <v>809</v>
      </c>
      <c r="S394" s="24" t="s">
        <v>675</v>
      </c>
      <c r="T394" s="24">
        <v>131</v>
      </c>
      <c r="U394" s="24" t="s">
        <v>810</v>
      </c>
      <c r="V394" s="24" t="s">
        <v>807</v>
      </c>
      <c r="W394" s="26"/>
      <c r="X394" s="26"/>
      <c r="Y394" s="26"/>
      <c r="Z394" s="26"/>
      <c r="AA394" s="26"/>
      <c r="AB394" s="26"/>
      <c r="AC394" s="26"/>
      <c r="AD394" s="26"/>
      <c r="AE394" s="26"/>
      <c r="AF394" s="26"/>
      <c r="AG394" s="26"/>
      <c r="AH394" s="33" t="s">
        <v>1260</v>
      </c>
      <c r="AI394" s="23" t="s">
        <v>811</v>
      </c>
      <c r="AJ394" s="33" t="str">
        <f t="shared" si="6"/>
        <v>PD5D_MB_Moactcseq/samples/PD_BN1749_MB_MOactcseq_batch11_rep4.h5</v>
      </c>
      <c r="AK394" t="s">
        <v>1290</v>
      </c>
    </row>
    <row r="395" spans="1:37">
      <c r="A395" s="24" t="s">
        <v>1112</v>
      </c>
      <c r="B395" s="24" t="s">
        <v>183</v>
      </c>
      <c r="C395" s="24" t="s">
        <v>183</v>
      </c>
      <c r="D395" s="24" t="s">
        <v>821</v>
      </c>
      <c r="E395" s="24">
        <v>7</v>
      </c>
      <c r="F395" s="24">
        <v>0</v>
      </c>
      <c r="G395" s="24" t="s">
        <v>713</v>
      </c>
      <c r="H395" s="24" t="s">
        <v>668</v>
      </c>
      <c r="I395" s="24" t="s">
        <v>806</v>
      </c>
      <c r="J395" s="24" t="s">
        <v>807</v>
      </c>
      <c r="K395" s="24" t="s">
        <v>807</v>
      </c>
      <c r="L395" s="24" t="s">
        <v>807</v>
      </c>
      <c r="M395" s="24" t="s">
        <v>807</v>
      </c>
      <c r="N395" s="24">
        <v>9.4</v>
      </c>
      <c r="O395" s="24">
        <v>9.4</v>
      </c>
      <c r="P395" s="24" t="s">
        <v>807</v>
      </c>
      <c r="Q395" s="25">
        <v>6631</v>
      </c>
      <c r="R395" s="24" t="s">
        <v>809</v>
      </c>
      <c r="S395" s="24" t="s">
        <v>675</v>
      </c>
      <c r="T395" s="24">
        <v>131</v>
      </c>
      <c r="U395" s="24" t="s">
        <v>810</v>
      </c>
      <c r="V395" s="24" t="s">
        <v>807</v>
      </c>
      <c r="W395" s="26"/>
      <c r="X395" s="26"/>
      <c r="Y395" s="26"/>
      <c r="Z395" s="26"/>
      <c r="AA395" s="26"/>
      <c r="AB395" s="26"/>
      <c r="AC395" s="26"/>
      <c r="AD395" s="26"/>
      <c r="AE395" s="26"/>
      <c r="AF395" s="26"/>
      <c r="AG395" s="26"/>
      <c r="AH395" s="33" t="s">
        <v>1260</v>
      </c>
      <c r="AI395" s="23" t="s">
        <v>811</v>
      </c>
      <c r="AJ395" s="33" t="str">
        <f t="shared" si="6"/>
        <v>PD5D_MB_Moactcseq/samples/PD_BN1749_MB_MOactcseq_batch11_rep5.h5</v>
      </c>
      <c r="AK395" t="s">
        <v>1290</v>
      </c>
    </row>
    <row r="396" spans="1:37">
      <c r="A396" s="24" t="s">
        <v>1113</v>
      </c>
      <c r="B396" s="24" t="s">
        <v>183</v>
      </c>
      <c r="C396" s="24" t="s">
        <v>183</v>
      </c>
      <c r="D396" s="24" t="s">
        <v>823</v>
      </c>
      <c r="E396" s="24">
        <v>7</v>
      </c>
      <c r="F396" s="24">
        <v>0</v>
      </c>
      <c r="G396" s="24" t="s">
        <v>713</v>
      </c>
      <c r="H396" s="24" t="s">
        <v>668</v>
      </c>
      <c r="I396" s="24" t="s">
        <v>806</v>
      </c>
      <c r="J396" s="24" t="s">
        <v>807</v>
      </c>
      <c r="K396" s="24" t="s">
        <v>807</v>
      </c>
      <c r="L396" s="24" t="s">
        <v>807</v>
      </c>
      <c r="M396" s="24" t="s">
        <v>807</v>
      </c>
      <c r="N396" s="24">
        <v>9.4</v>
      </c>
      <c r="O396" s="24">
        <v>9.4</v>
      </c>
      <c r="P396" s="24" t="s">
        <v>807</v>
      </c>
      <c r="Q396" s="25">
        <v>6631</v>
      </c>
      <c r="R396" s="24" t="s">
        <v>809</v>
      </c>
      <c r="S396" s="24" t="s">
        <v>675</v>
      </c>
      <c r="T396" s="24">
        <v>131</v>
      </c>
      <c r="U396" s="24" t="s">
        <v>810</v>
      </c>
      <c r="V396" s="24" t="s">
        <v>807</v>
      </c>
      <c r="W396" s="26"/>
      <c r="X396" s="26"/>
      <c r="Y396" s="26"/>
      <c r="Z396" s="26"/>
      <c r="AA396" s="26"/>
      <c r="AB396" s="26"/>
      <c r="AC396" s="26"/>
      <c r="AD396" s="26"/>
      <c r="AE396" s="26"/>
      <c r="AF396" s="26"/>
      <c r="AG396" s="26"/>
      <c r="AH396" s="33" t="s">
        <v>1260</v>
      </c>
      <c r="AI396" s="23" t="s">
        <v>811</v>
      </c>
      <c r="AJ396" s="33" t="str">
        <f t="shared" si="6"/>
        <v>PD5D_MB_Moactcseq/samples/PD_BN1749_MB_MOactcseq_batch11_rep6.h5</v>
      </c>
      <c r="AK396" t="s">
        <v>1290</v>
      </c>
    </row>
    <row r="397" spans="1:37">
      <c r="A397" s="24" t="s">
        <v>1114</v>
      </c>
      <c r="B397" s="24" t="s">
        <v>183</v>
      </c>
      <c r="C397" s="24" t="s">
        <v>183</v>
      </c>
      <c r="D397" s="24" t="s">
        <v>1037</v>
      </c>
      <c r="E397" s="24">
        <v>7</v>
      </c>
      <c r="F397" s="24">
        <v>0</v>
      </c>
      <c r="G397" s="24" t="s">
        <v>713</v>
      </c>
      <c r="H397" s="24" t="s">
        <v>668</v>
      </c>
      <c r="I397" s="24" t="s">
        <v>806</v>
      </c>
      <c r="J397" s="24" t="s">
        <v>807</v>
      </c>
      <c r="K397" s="24" t="s">
        <v>807</v>
      </c>
      <c r="L397" s="24" t="s">
        <v>807</v>
      </c>
      <c r="M397" s="24" t="s">
        <v>807</v>
      </c>
      <c r="N397" s="24">
        <v>9.4</v>
      </c>
      <c r="O397" s="24">
        <v>9.4</v>
      </c>
      <c r="P397" s="24" t="s">
        <v>807</v>
      </c>
      <c r="Q397" s="25">
        <v>6631</v>
      </c>
      <c r="R397" s="24" t="s">
        <v>809</v>
      </c>
      <c r="S397" s="24" t="s">
        <v>675</v>
      </c>
      <c r="T397" s="24">
        <v>131</v>
      </c>
      <c r="U397" s="24" t="s">
        <v>810</v>
      </c>
      <c r="V397" s="24" t="s">
        <v>807</v>
      </c>
      <c r="W397" s="26"/>
      <c r="X397" s="26"/>
      <c r="Y397" s="26"/>
      <c r="Z397" s="26"/>
      <c r="AA397" s="26"/>
      <c r="AB397" s="26"/>
      <c r="AC397" s="26"/>
      <c r="AD397" s="26"/>
      <c r="AE397" s="26"/>
      <c r="AF397" s="26"/>
      <c r="AG397" s="26"/>
      <c r="AH397" s="33" t="s">
        <v>1260</v>
      </c>
      <c r="AI397" s="23" t="s">
        <v>811</v>
      </c>
      <c r="AJ397" s="33" t="str">
        <f t="shared" si="6"/>
        <v>PD5D_MB_Moactcseq/samples/PD_BN1749_MB_MOactcseq_batch11_rep7.h5</v>
      </c>
      <c r="AK397" t="s">
        <v>1290</v>
      </c>
    </row>
    <row r="398" spans="1:37">
      <c r="A398" s="24" t="s">
        <v>1115</v>
      </c>
      <c r="B398" s="24" t="s">
        <v>187</v>
      </c>
      <c r="C398" s="24" t="s">
        <v>187</v>
      </c>
      <c r="D398" s="24" t="s">
        <v>666</v>
      </c>
      <c r="E398" s="24">
        <v>3</v>
      </c>
      <c r="F398" s="24">
        <v>0</v>
      </c>
      <c r="G398" s="24" t="s">
        <v>698</v>
      </c>
      <c r="H398" s="24" t="s">
        <v>668</v>
      </c>
      <c r="I398" s="24" t="s">
        <v>806</v>
      </c>
      <c r="J398" s="24" t="s">
        <v>807</v>
      </c>
      <c r="K398" s="24" t="s">
        <v>807</v>
      </c>
      <c r="L398" s="24" t="s">
        <v>807</v>
      </c>
      <c r="M398" s="24" t="s">
        <v>807</v>
      </c>
      <c r="N398" s="24">
        <v>8.6</v>
      </c>
      <c r="O398" s="24">
        <v>8.6</v>
      </c>
      <c r="P398" s="24" t="s">
        <v>807</v>
      </c>
      <c r="Q398" s="25">
        <v>3685</v>
      </c>
      <c r="R398" s="24" t="s">
        <v>809</v>
      </c>
      <c r="S398" s="24" t="s">
        <v>675</v>
      </c>
      <c r="T398" s="24">
        <v>131</v>
      </c>
      <c r="U398" s="24" t="s">
        <v>810</v>
      </c>
      <c r="V398" s="24" t="s">
        <v>807</v>
      </c>
      <c r="W398" s="26"/>
      <c r="X398" s="26"/>
      <c r="Y398" s="26"/>
      <c r="Z398" s="26"/>
      <c r="AA398" s="26"/>
      <c r="AB398" s="26"/>
      <c r="AC398" s="26"/>
      <c r="AD398" s="26"/>
      <c r="AE398" s="26"/>
      <c r="AF398" s="26"/>
      <c r="AG398" s="26"/>
      <c r="AH398" s="33" t="s">
        <v>1260</v>
      </c>
      <c r="AI398" s="23" t="s">
        <v>811</v>
      </c>
      <c r="AJ398" s="33" t="str">
        <f t="shared" si="6"/>
        <v>PD5D_MB_Moactcseq/samples/PD_BN1756_MB_MOactcseq_batch6_rep1.h5</v>
      </c>
      <c r="AK398" t="s">
        <v>1290</v>
      </c>
    </row>
    <row r="399" spans="1:37">
      <c r="A399" s="24" t="s">
        <v>1116</v>
      </c>
      <c r="B399" s="24" t="s">
        <v>187</v>
      </c>
      <c r="C399" s="24" t="s">
        <v>187</v>
      </c>
      <c r="D399" s="24" t="s">
        <v>689</v>
      </c>
      <c r="E399" s="24">
        <v>3</v>
      </c>
      <c r="F399" s="24">
        <v>0</v>
      </c>
      <c r="G399" s="24" t="s">
        <v>698</v>
      </c>
      <c r="H399" s="24" t="s">
        <v>668</v>
      </c>
      <c r="I399" s="24" t="s">
        <v>806</v>
      </c>
      <c r="J399" s="24" t="s">
        <v>807</v>
      </c>
      <c r="K399" s="24" t="s">
        <v>807</v>
      </c>
      <c r="L399" s="24" t="s">
        <v>807</v>
      </c>
      <c r="M399" s="24" t="s">
        <v>807</v>
      </c>
      <c r="N399" s="24">
        <v>8.6</v>
      </c>
      <c r="O399" s="24">
        <v>8.6</v>
      </c>
      <c r="P399" s="24" t="s">
        <v>807</v>
      </c>
      <c r="Q399" s="25">
        <v>3685</v>
      </c>
      <c r="R399" s="24" t="s">
        <v>809</v>
      </c>
      <c r="S399" s="24" t="s">
        <v>675</v>
      </c>
      <c r="T399" s="24">
        <v>131</v>
      </c>
      <c r="U399" s="24" t="s">
        <v>810</v>
      </c>
      <c r="V399" s="24" t="s">
        <v>807</v>
      </c>
      <c r="W399" s="26"/>
      <c r="X399" s="26"/>
      <c r="Y399" s="26"/>
      <c r="Z399" s="26"/>
      <c r="AA399" s="26"/>
      <c r="AB399" s="26"/>
      <c r="AC399" s="26"/>
      <c r="AD399" s="26"/>
      <c r="AE399" s="26"/>
      <c r="AF399" s="26"/>
      <c r="AG399" s="26"/>
      <c r="AH399" s="33" t="s">
        <v>1260</v>
      </c>
      <c r="AI399" s="23" t="s">
        <v>811</v>
      </c>
      <c r="AJ399" s="33" t="str">
        <f t="shared" si="6"/>
        <v>PD5D_MB_Moactcseq/samples/PD_BN1756_MB_MOactcseq_batch6_rep2.h5</v>
      </c>
      <c r="AK399" t="s">
        <v>1290</v>
      </c>
    </row>
    <row r="400" spans="1:37">
      <c r="A400" s="24" t="s">
        <v>1117</v>
      </c>
      <c r="B400" s="24" t="s">
        <v>187</v>
      </c>
      <c r="C400" s="24" t="s">
        <v>187</v>
      </c>
      <c r="D400" s="24" t="s">
        <v>814</v>
      </c>
      <c r="E400" s="24">
        <v>3</v>
      </c>
      <c r="F400" s="24">
        <v>0</v>
      </c>
      <c r="G400" s="24" t="s">
        <v>698</v>
      </c>
      <c r="H400" s="24" t="s">
        <v>668</v>
      </c>
      <c r="I400" s="24" t="s">
        <v>806</v>
      </c>
      <c r="J400" s="24" t="s">
        <v>807</v>
      </c>
      <c r="K400" s="24" t="s">
        <v>807</v>
      </c>
      <c r="L400" s="24" t="s">
        <v>807</v>
      </c>
      <c r="M400" s="24" t="s">
        <v>807</v>
      </c>
      <c r="N400" s="24">
        <v>8.6</v>
      </c>
      <c r="O400" s="24">
        <v>8.6</v>
      </c>
      <c r="P400" s="24" t="s">
        <v>807</v>
      </c>
      <c r="Q400" s="25">
        <v>3685</v>
      </c>
      <c r="R400" s="24" t="s">
        <v>809</v>
      </c>
      <c r="S400" s="24" t="s">
        <v>675</v>
      </c>
      <c r="T400" s="24">
        <v>131</v>
      </c>
      <c r="U400" s="24" t="s">
        <v>810</v>
      </c>
      <c r="V400" s="24" t="s">
        <v>807</v>
      </c>
      <c r="W400" s="26"/>
      <c r="X400" s="26"/>
      <c r="Y400" s="26"/>
      <c r="Z400" s="26"/>
      <c r="AA400" s="26"/>
      <c r="AB400" s="26"/>
      <c r="AC400" s="26"/>
      <c r="AD400" s="26"/>
      <c r="AE400" s="26"/>
      <c r="AF400" s="26"/>
      <c r="AG400" s="26"/>
      <c r="AH400" s="33" t="s">
        <v>1260</v>
      </c>
      <c r="AI400" s="23" t="s">
        <v>811</v>
      </c>
      <c r="AJ400" s="33" t="str">
        <f t="shared" si="6"/>
        <v>PD5D_MB_Moactcseq/samples/PD_BN1756_MB_MOactcseq_batch6_rep3.h5</v>
      </c>
      <c r="AK400" t="s">
        <v>1290</v>
      </c>
    </row>
    <row r="401" spans="1:37">
      <c r="A401" s="24" t="s">
        <v>1118</v>
      </c>
      <c r="B401" s="24" t="s">
        <v>197</v>
      </c>
      <c r="C401" s="24" t="s">
        <v>197</v>
      </c>
      <c r="D401" s="24" t="s">
        <v>666</v>
      </c>
      <c r="E401" s="24">
        <v>2</v>
      </c>
      <c r="F401" s="24">
        <v>0</v>
      </c>
      <c r="G401" s="24" t="s">
        <v>696</v>
      </c>
      <c r="H401" s="24" t="s">
        <v>668</v>
      </c>
      <c r="I401" s="24" t="s">
        <v>806</v>
      </c>
      <c r="J401" s="24" t="s">
        <v>807</v>
      </c>
      <c r="K401" s="24" t="s">
        <v>807</v>
      </c>
      <c r="L401" s="24" t="s">
        <v>807</v>
      </c>
      <c r="M401" s="24" t="s">
        <v>807</v>
      </c>
      <c r="N401" s="24">
        <v>9.9</v>
      </c>
      <c r="O401" s="24">
        <v>9.9</v>
      </c>
      <c r="P401" s="24" t="s">
        <v>807</v>
      </c>
      <c r="Q401" s="24">
        <v>4456</v>
      </c>
      <c r="R401" s="24" t="s">
        <v>809</v>
      </c>
      <c r="S401" s="24" t="s">
        <v>675</v>
      </c>
      <c r="T401" s="24">
        <v>131</v>
      </c>
      <c r="U401" s="24" t="s">
        <v>810</v>
      </c>
      <c r="V401" s="24" t="s">
        <v>807</v>
      </c>
      <c r="W401" s="26"/>
      <c r="X401" s="26"/>
      <c r="Y401" s="26"/>
      <c r="Z401" s="26"/>
      <c r="AA401" s="26"/>
      <c r="AB401" s="26"/>
      <c r="AC401" s="26"/>
      <c r="AD401" s="26"/>
      <c r="AE401" s="26"/>
      <c r="AF401" s="26"/>
      <c r="AG401" s="26"/>
      <c r="AH401" s="33" t="s">
        <v>1260</v>
      </c>
      <c r="AI401" s="23" t="s">
        <v>811</v>
      </c>
      <c r="AJ401" s="33" t="str">
        <f t="shared" si="6"/>
        <v>PD5D_MB_Moactcseq/samples/PD_BN1805_MB_MOactcseq_batch5_rep1.h5</v>
      </c>
      <c r="AK401" t="s">
        <v>1290</v>
      </c>
    </row>
    <row r="402" spans="1:37">
      <c r="A402" s="24" t="s">
        <v>1119</v>
      </c>
      <c r="B402" s="24" t="s">
        <v>197</v>
      </c>
      <c r="C402" s="24" t="s">
        <v>197</v>
      </c>
      <c r="D402" s="24" t="s">
        <v>689</v>
      </c>
      <c r="E402" s="24">
        <v>2</v>
      </c>
      <c r="F402" s="24">
        <v>0</v>
      </c>
      <c r="G402" s="24" t="s">
        <v>696</v>
      </c>
      <c r="H402" s="24" t="s">
        <v>668</v>
      </c>
      <c r="I402" s="24" t="s">
        <v>806</v>
      </c>
      <c r="J402" s="24" t="s">
        <v>807</v>
      </c>
      <c r="K402" s="24" t="s">
        <v>807</v>
      </c>
      <c r="L402" s="24" t="s">
        <v>807</v>
      </c>
      <c r="M402" s="24" t="s">
        <v>807</v>
      </c>
      <c r="N402" s="24">
        <v>9.9</v>
      </c>
      <c r="O402" s="24">
        <v>9.9</v>
      </c>
      <c r="P402" s="24" t="s">
        <v>807</v>
      </c>
      <c r="Q402" s="24">
        <v>4456</v>
      </c>
      <c r="R402" s="24" t="s">
        <v>809</v>
      </c>
      <c r="S402" s="24" t="s">
        <v>675</v>
      </c>
      <c r="T402" s="24">
        <v>131</v>
      </c>
      <c r="U402" s="24" t="s">
        <v>810</v>
      </c>
      <c r="V402" s="24" t="s">
        <v>807</v>
      </c>
      <c r="W402" s="26"/>
      <c r="X402" s="26"/>
      <c r="Y402" s="26"/>
      <c r="Z402" s="26"/>
      <c r="AA402" s="26"/>
      <c r="AB402" s="26"/>
      <c r="AC402" s="26"/>
      <c r="AD402" s="26"/>
      <c r="AE402" s="26"/>
      <c r="AF402" s="26"/>
      <c r="AG402" s="26"/>
      <c r="AH402" s="33" t="s">
        <v>1260</v>
      </c>
      <c r="AI402" s="23" t="s">
        <v>811</v>
      </c>
      <c r="AJ402" s="33" t="str">
        <f t="shared" si="6"/>
        <v>PD5D_MB_Moactcseq/samples/PD_BN1805_MB_MOactcseq_batch5_rep2.h5</v>
      </c>
      <c r="AK402" t="s">
        <v>1290</v>
      </c>
    </row>
    <row r="403" spans="1:37">
      <c r="A403" s="24" t="s">
        <v>1120</v>
      </c>
      <c r="B403" s="24" t="s">
        <v>191</v>
      </c>
      <c r="C403" s="24" t="s">
        <v>191</v>
      </c>
      <c r="D403" s="24" t="s">
        <v>666</v>
      </c>
      <c r="E403" s="24">
        <v>3</v>
      </c>
      <c r="F403" s="24">
        <v>0</v>
      </c>
      <c r="G403" s="24" t="s">
        <v>686</v>
      </c>
      <c r="H403" s="24" t="s">
        <v>668</v>
      </c>
      <c r="I403" s="24" t="s">
        <v>806</v>
      </c>
      <c r="J403" s="24" t="s">
        <v>807</v>
      </c>
      <c r="K403" s="24" t="s">
        <v>807</v>
      </c>
      <c r="L403" s="24" t="s">
        <v>807</v>
      </c>
      <c r="M403" s="24" t="s">
        <v>807</v>
      </c>
      <c r="N403" s="24">
        <v>6.3</v>
      </c>
      <c r="O403" s="24">
        <v>6.3</v>
      </c>
      <c r="P403" s="24" t="s">
        <v>807</v>
      </c>
      <c r="Q403" s="25">
        <v>6345</v>
      </c>
      <c r="R403" s="24" t="s">
        <v>809</v>
      </c>
      <c r="S403" s="24" t="s">
        <v>675</v>
      </c>
      <c r="T403" s="24">
        <v>131</v>
      </c>
      <c r="U403" s="24" t="s">
        <v>810</v>
      </c>
      <c r="V403" s="24" t="s">
        <v>807</v>
      </c>
      <c r="W403" s="26"/>
      <c r="X403" s="26"/>
      <c r="Y403" s="26"/>
      <c r="Z403" s="26"/>
      <c r="AA403" s="26"/>
      <c r="AB403" s="26"/>
      <c r="AC403" s="26"/>
      <c r="AD403" s="26"/>
      <c r="AE403" s="26"/>
      <c r="AF403" s="26"/>
      <c r="AG403" s="26"/>
      <c r="AH403" s="33" t="s">
        <v>1260</v>
      </c>
      <c r="AI403" s="23" t="s">
        <v>811</v>
      </c>
      <c r="AJ403" s="33" t="str">
        <f t="shared" si="6"/>
        <v>PD5D_MB_Moactcseq/samples/PD_BN1809_MB_MOactcseq_batch7_rep1.h5</v>
      </c>
      <c r="AK403" t="s">
        <v>1290</v>
      </c>
    </row>
    <row r="404" spans="1:37">
      <c r="A404" s="24" t="s">
        <v>1121</v>
      </c>
      <c r="B404" s="24" t="s">
        <v>191</v>
      </c>
      <c r="C404" s="24" t="s">
        <v>191</v>
      </c>
      <c r="D404" s="24" t="s">
        <v>689</v>
      </c>
      <c r="E404" s="24">
        <v>3</v>
      </c>
      <c r="F404" s="24">
        <v>0</v>
      </c>
      <c r="G404" s="24" t="s">
        <v>686</v>
      </c>
      <c r="H404" s="24" t="s">
        <v>668</v>
      </c>
      <c r="I404" s="24" t="s">
        <v>806</v>
      </c>
      <c r="J404" s="24" t="s">
        <v>807</v>
      </c>
      <c r="K404" s="24" t="s">
        <v>807</v>
      </c>
      <c r="L404" s="24" t="s">
        <v>807</v>
      </c>
      <c r="M404" s="24" t="s">
        <v>807</v>
      </c>
      <c r="N404" s="24">
        <v>6.3</v>
      </c>
      <c r="O404" s="24">
        <v>6.3</v>
      </c>
      <c r="P404" s="24" t="s">
        <v>807</v>
      </c>
      <c r="Q404" s="25">
        <v>6345</v>
      </c>
      <c r="R404" s="24" t="s">
        <v>809</v>
      </c>
      <c r="S404" s="24" t="s">
        <v>675</v>
      </c>
      <c r="T404" s="24">
        <v>131</v>
      </c>
      <c r="U404" s="24" t="s">
        <v>810</v>
      </c>
      <c r="V404" s="24" t="s">
        <v>807</v>
      </c>
      <c r="W404" s="26"/>
      <c r="X404" s="26"/>
      <c r="Y404" s="26"/>
      <c r="Z404" s="26"/>
      <c r="AA404" s="26"/>
      <c r="AB404" s="26"/>
      <c r="AC404" s="26"/>
      <c r="AD404" s="26"/>
      <c r="AE404" s="26"/>
      <c r="AF404" s="26"/>
      <c r="AG404" s="26"/>
      <c r="AH404" s="33" t="s">
        <v>1260</v>
      </c>
      <c r="AI404" s="23" t="s">
        <v>811</v>
      </c>
      <c r="AJ404" s="33" t="str">
        <f t="shared" si="6"/>
        <v>PD5D_MB_Moactcseq/samples/PD_BN1809_MB_MOactcseq_batch7_rep2.h5</v>
      </c>
      <c r="AK404" t="s">
        <v>1290</v>
      </c>
    </row>
    <row r="405" spans="1:37">
      <c r="A405" s="24" t="s">
        <v>1122</v>
      </c>
      <c r="B405" s="24" t="s">
        <v>191</v>
      </c>
      <c r="C405" s="24" t="s">
        <v>191</v>
      </c>
      <c r="D405" s="24" t="s">
        <v>814</v>
      </c>
      <c r="E405" s="24">
        <v>3</v>
      </c>
      <c r="F405" s="24">
        <v>0</v>
      </c>
      <c r="G405" s="24" t="s">
        <v>686</v>
      </c>
      <c r="H405" s="24" t="s">
        <v>668</v>
      </c>
      <c r="I405" s="24" t="s">
        <v>806</v>
      </c>
      <c r="J405" s="24" t="s">
        <v>807</v>
      </c>
      <c r="K405" s="24" t="s">
        <v>807</v>
      </c>
      <c r="L405" s="24" t="s">
        <v>807</v>
      </c>
      <c r="M405" s="24" t="s">
        <v>807</v>
      </c>
      <c r="N405" s="24">
        <v>6.3</v>
      </c>
      <c r="O405" s="24">
        <v>6.3</v>
      </c>
      <c r="P405" s="24" t="s">
        <v>807</v>
      </c>
      <c r="Q405" s="25">
        <v>6345</v>
      </c>
      <c r="R405" s="24" t="s">
        <v>809</v>
      </c>
      <c r="S405" s="24" t="s">
        <v>675</v>
      </c>
      <c r="T405" s="24">
        <v>131</v>
      </c>
      <c r="U405" s="24" t="s">
        <v>810</v>
      </c>
      <c r="V405" s="24" t="s">
        <v>807</v>
      </c>
      <c r="W405" s="26"/>
      <c r="X405" s="26"/>
      <c r="Y405" s="26"/>
      <c r="Z405" s="26"/>
      <c r="AA405" s="26"/>
      <c r="AB405" s="26"/>
      <c r="AC405" s="26"/>
      <c r="AD405" s="26"/>
      <c r="AE405" s="26"/>
      <c r="AF405" s="26"/>
      <c r="AG405" s="26"/>
      <c r="AH405" s="33" t="s">
        <v>1260</v>
      </c>
      <c r="AI405" s="23" t="s">
        <v>811</v>
      </c>
      <c r="AJ405" s="33" t="str">
        <f t="shared" si="6"/>
        <v>PD5D_MB_Moactcseq/samples/PD_BN1809_MB_MOactcseq_batch7_rep3.h5</v>
      </c>
      <c r="AK405" t="s">
        <v>1290</v>
      </c>
    </row>
    <row r="406" spans="1:37">
      <c r="A406" s="24" t="s">
        <v>1123</v>
      </c>
      <c r="B406" s="24" t="s">
        <v>193</v>
      </c>
      <c r="C406" s="24" t="s">
        <v>193</v>
      </c>
      <c r="D406" s="24" t="s">
        <v>666</v>
      </c>
      <c r="E406" s="24">
        <v>2</v>
      </c>
      <c r="F406" s="24">
        <v>0</v>
      </c>
      <c r="G406" s="24" t="s">
        <v>696</v>
      </c>
      <c r="H406" s="24" t="s">
        <v>668</v>
      </c>
      <c r="I406" s="24" t="s">
        <v>806</v>
      </c>
      <c r="J406" s="24" t="s">
        <v>807</v>
      </c>
      <c r="K406" s="24" t="s">
        <v>807</v>
      </c>
      <c r="L406" s="24" t="s">
        <v>807</v>
      </c>
      <c r="M406" s="24" t="s">
        <v>807</v>
      </c>
      <c r="N406" s="24">
        <v>8.6</v>
      </c>
      <c r="O406" s="24">
        <v>8.6</v>
      </c>
      <c r="P406" s="24" t="s">
        <v>807</v>
      </c>
      <c r="Q406" s="24">
        <v>3312</v>
      </c>
      <c r="R406" s="24" t="s">
        <v>809</v>
      </c>
      <c r="S406" s="24" t="s">
        <v>675</v>
      </c>
      <c r="T406" s="24">
        <v>131</v>
      </c>
      <c r="U406" s="24" t="s">
        <v>810</v>
      </c>
      <c r="V406" s="24" t="s">
        <v>807</v>
      </c>
      <c r="W406" s="26"/>
      <c r="X406" s="26"/>
      <c r="Y406" s="26"/>
      <c r="Z406" s="26"/>
      <c r="AA406" s="26"/>
      <c r="AB406" s="26"/>
      <c r="AC406" s="26"/>
      <c r="AD406" s="26"/>
      <c r="AE406" s="26"/>
      <c r="AF406" s="26"/>
      <c r="AG406" s="26"/>
      <c r="AH406" s="33" t="s">
        <v>1260</v>
      </c>
      <c r="AI406" s="23" t="s">
        <v>811</v>
      </c>
      <c r="AJ406" s="33" t="str">
        <f t="shared" si="6"/>
        <v>PD5D_MB_Moactcseq/samples/PD_BN1812_MB_MOactcseq_batch5_rep1.h5</v>
      </c>
      <c r="AK406" t="s">
        <v>1290</v>
      </c>
    </row>
    <row r="407" spans="1:37">
      <c r="A407" s="24" t="s">
        <v>1124</v>
      </c>
      <c r="B407" s="24" t="s">
        <v>193</v>
      </c>
      <c r="C407" s="24" t="s">
        <v>193</v>
      </c>
      <c r="D407" s="24" t="s">
        <v>689</v>
      </c>
      <c r="E407" s="24">
        <v>2</v>
      </c>
      <c r="F407" s="24">
        <v>0</v>
      </c>
      <c r="G407" s="24" t="s">
        <v>696</v>
      </c>
      <c r="H407" s="24" t="s">
        <v>668</v>
      </c>
      <c r="I407" s="24" t="s">
        <v>806</v>
      </c>
      <c r="J407" s="24" t="s">
        <v>807</v>
      </c>
      <c r="K407" s="24" t="s">
        <v>807</v>
      </c>
      <c r="L407" s="24" t="s">
        <v>807</v>
      </c>
      <c r="M407" s="24" t="s">
        <v>807</v>
      </c>
      <c r="N407" s="24">
        <v>8.6</v>
      </c>
      <c r="O407" s="24">
        <v>8.6</v>
      </c>
      <c r="P407" s="24" t="s">
        <v>807</v>
      </c>
      <c r="Q407" s="24">
        <v>3312</v>
      </c>
      <c r="R407" s="24" t="s">
        <v>809</v>
      </c>
      <c r="S407" s="24" t="s">
        <v>675</v>
      </c>
      <c r="T407" s="24">
        <v>131</v>
      </c>
      <c r="U407" s="24" t="s">
        <v>810</v>
      </c>
      <c r="V407" s="24" t="s">
        <v>807</v>
      </c>
      <c r="W407" s="26"/>
      <c r="X407" s="26"/>
      <c r="Y407" s="26"/>
      <c r="Z407" s="26"/>
      <c r="AA407" s="26"/>
      <c r="AB407" s="26"/>
      <c r="AC407" s="26"/>
      <c r="AD407" s="26"/>
      <c r="AE407" s="26"/>
      <c r="AF407" s="26"/>
      <c r="AG407" s="26"/>
      <c r="AH407" s="33" t="s">
        <v>1260</v>
      </c>
      <c r="AI407" s="23" t="s">
        <v>811</v>
      </c>
      <c r="AJ407" s="33" t="str">
        <f t="shared" si="6"/>
        <v>PD5D_MB_Moactcseq/samples/PD_BN1812_MB_MOactcseq_batch5_rep2.h5</v>
      </c>
      <c r="AK407" t="s">
        <v>1290</v>
      </c>
    </row>
    <row r="408" spans="1:37">
      <c r="A408" s="24" t="s">
        <v>1125</v>
      </c>
      <c r="B408" s="24" t="s">
        <v>195</v>
      </c>
      <c r="C408" s="24" t="s">
        <v>195</v>
      </c>
      <c r="D408" s="24" t="s">
        <v>666</v>
      </c>
      <c r="E408" s="24">
        <v>3</v>
      </c>
      <c r="F408" s="24">
        <v>0</v>
      </c>
      <c r="G408" s="24" t="s">
        <v>733</v>
      </c>
      <c r="H408" s="24" t="s">
        <v>668</v>
      </c>
      <c r="I408" s="24" t="s">
        <v>806</v>
      </c>
      <c r="J408" s="24" t="s">
        <v>807</v>
      </c>
      <c r="K408" s="24" t="s">
        <v>807</v>
      </c>
      <c r="L408" s="24" t="s">
        <v>807</v>
      </c>
      <c r="M408" s="24" t="s">
        <v>807</v>
      </c>
      <c r="N408" s="24">
        <v>9.6999999999999993</v>
      </c>
      <c r="O408" s="24">
        <v>9.6999999999999993</v>
      </c>
      <c r="P408" s="24" t="s">
        <v>807</v>
      </c>
      <c r="Q408" s="25">
        <v>1200</v>
      </c>
      <c r="R408" s="24" t="s">
        <v>809</v>
      </c>
      <c r="S408" s="24" t="s">
        <v>675</v>
      </c>
      <c r="T408" s="24">
        <v>131</v>
      </c>
      <c r="U408" s="24" t="s">
        <v>810</v>
      </c>
      <c r="V408" s="24" t="s">
        <v>807</v>
      </c>
      <c r="W408" s="26"/>
      <c r="X408" s="26"/>
      <c r="Y408" s="26"/>
      <c r="Z408" s="26"/>
      <c r="AA408" s="26"/>
      <c r="AB408" s="26"/>
      <c r="AC408" s="26"/>
      <c r="AD408" s="26"/>
      <c r="AE408" s="26"/>
      <c r="AF408" s="26"/>
      <c r="AG408" s="26"/>
      <c r="AH408" s="33" t="s">
        <v>1260</v>
      </c>
      <c r="AI408" s="23" t="s">
        <v>811</v>
      </c>
      <c r="AJ408" s="33" t="str">
        <f t="shared" si="6"/>
        <v>PD5D_MB_Moactcseq/samples/PD_BN1814_MB_MOactcseq_batch15_rep1.h5</v>
      </c>
      <c r="AK408" t="s">
        <v>1290</v>
      </c>
    </row>
    <row r="409" spans="1:37">
      <c r="A409" s="24" t="s">
        <v>1126</v>
      </c>
      <c r="B409" s="24" t="s">
        <v>195</v>
      </c>
      <c r="C409" s="24" t="s">
        <v>195</v>
      </c>
      <c r="D409" s="24" t="s">
        <v>689</v>
      </c>
      <c r="E409" s="24">
        <v>3</v>
      </c>
      <c r="F409" s="24">
        <v>0</v>
      </c>
      <c r="G409" s="24" t="s">
        <v>733</v>
      </c>
      <c r="H409" s="24" t="s">
        <v>668</v>
      </c>
      <c r="I409" s="24" t="s">
        <v>806</v>
      </c>
      <c r="J409" s="24" t="s">
        <v>807</v>
      </c>
      <c r="K409" s="24" t="s">
        <v>807</v>
      </c>
      <c r="L409" s="24" t="s">
        <v>807</v>
      </c>
      <c r="M409" s="24" t="s">
        <v>807</v>
      </c>
      <c r="N409" s="24">
        <v>9.6999999999999993</v>
      </c>
      <c r="O409" s="24">
        <v>9.6999999999999993</v>
      </c>
      <c r="P409" s="24" t="s">
        <v>807</v>
      </c>
      <c r="Q409" s="25">
        <v>1200</v>
      </c>
      <c r="R409" s="24" t="s">
        <v>809</v>
      </c>
      <c r="S409" s="24" t="s">
        <v>675</v>
      </c>
      <c r="T409" s="24">
        <v>131</v>
      </c>
      <c r="U409" s="24" t="s">
        <v>810</v>
      </c>
      <c r="V409" s="24" t="s">
        <v>807</v>
      </c>
      <c r="W409" s="26"/>
      <c r="X409" s="26"/>
      <c r="Y409" s="26"/>
      <c r="Z409" s="26"/>
      <c r="AA409" s="26"/>
      <c r="AB409" s="26"/>
      <c r="AC409" s="26"/>
      <c r="AD409" s="26"/>
      <c r="AE409" s="26"/>
      <c r="AF409" s="26"/>
      <c r="AG409" s="26"/>
      <c r="AH409" s="33" t="s">
        <v>1260</v>
      </c>
      <c r="AI409" s="23" t="s">
        <v>811</v>
      </c>
      <c r="AJ409" s="33" t="str">
        <f t="shared" si="6"/>
        <v>PD5D_MB_Moactcseq/samples/PD_BN1814_MB_MOactcseq_batch15_rep2.h5</v>
      </c>
      <c r="AK409" t="s">
        <v>1290</v>
      </c>
    </row>
    <row r="410" spans="1:37">
      <c r="A410" s="24" t="s">
        <v>1127</v>
      </c>
      <c r="B410" s="24" t="s">
        <v>195</v>
      </c>
      <c r="C410" s="24" t="s">
        <v>195</v>
      </c>
      <c r="D410" s="24" t="s">
        <v>814</v>
      </c>
      <c r="E410" s="24">
        <v>3</v>
      </c>
      <c r="F410" s="24">
        <v>0</v>
      </c>
      <c r="G410" s="24" t="s">
        <v>733</v>
      </c>
      <c r="H410" s="24" t="s">
        <v>668</v>
      </c>
      <c r="I410" s="24" t="s">
        <v>806</v>
      </c>
      <c r="J410" s="24" t="s">
        <v>807</v>
      </c>
      <c r="K410" s="24" t="s">
        <v>807</v>
      </c>
      <c r="L410" s="24" t="s">
        <v>807</v>
      </c>
      <c r="M410" s="24" t="s">
        <v>807</v>
      </c>
      <c r="N410" s="24">
        <v>9.6999999999999993</v>
      </c>
      <c r="O410" s="24">
        <v>9.6999999999999993</v>
      </c>
      <c r="P410" s="24" t="s">
        <v>807</v>
      </c>
      <c r="Q410" s="25">
        <v>1200</v>
      </c>
      <c r="R410" s="24" t="s">
        <v>809</v>
      </c>
      <c r="S410" s="24" t="s">
        <v>675</v>
      </c>
      <c r="T410" s="24">
        <v>131</v>
      </c>
      <c r="U410" s="24" t="s">
        <v>810</v>
      </c>
      <c r="V410" s="24" t="s">
        <v>807</v>
      </c>
      <c r="W410" s="26"/>
      <c r="X410" s="26"/>
      <c r="Y410" s="26"/>
      <c r="Z410" s="26"/>
      <c r="AA410" s="26"/>
      <c r="AB410" s="26"/>
      <c r="AC410" s="26"/>
      <c r="AD410" s="26"/>
      <c r="AE410" s="26"/>
      <c r="AF410" s="26"/>
      <c r="AG410" s="26"/>
      <c r="AH410" s="33" t="s">
        <v>1260</v>
      </c>
      <c r="AI410" s="23" t="s">
        <v>811</v>
      </c>
      <c r="AJ410" s="33" t="str">
        <f t="shared" si="6"/>
        <v>PD5D_MB_Moactcseq/samples/PD_BN1814_MB_MOactcseq_batch15_rep3.h5</v>
      </c>
      <c r="AK410" t="s">
        <v>1290</v>
      </c>
    </row>
    <row r="411" spans="1:37">
      <c r="A411" s="24" t="s">
        <v>1128</v>
      </c>
      <c r="B411" s="24" t="s">
        <v>203</v>
      </c>
      <c r="C411" s="24" t="s">
        <v>203</v>
      </c>
      <c r="D411" s="24" t="s">
        <v>666</v>
      </c>
      <c r="E411" s="24">
        <v>2</v>
      </c>
      <c r="F411" s="24">
        <v>0</v>
      </c>
      <c r="G411" s="24" t="s">
        <v>696</v>
      </c>
      <c r="H411" s="24" t="s">
        <v>668</v>
      </c>
      <c r="I411" s="24" t="s">
        <v>806</v>
      </c>
      <c r="J411" s="24" t="s">
        <v>807</v>
      </c>
      <c r="K411" s="24" t="s">
        <v>807</v>
      </c>
      <c r="L411" s="24" t="s">
        <v>807</v>
      </c>
      <c r="M411" s="24" t="s">
        <v>807</v>
      </c>
      <c r="N411" s="24">
        <v>8.1999999999999993</v>
      </c>
      <c r="O411" s="24">
        <v>8.1999999999999993</v>
      </c>
      <c r="P411" s="24" t="s">
        <v>807</v>
      </c>
      <c r="Q411" s="24">
        <v>2897</v>
      </c>
      <c r="R411" s="24" t="s">
        <v>809</v>
      </c>
      <c r="S411" s="24" t="s">
        <v>675</v>
      </c>
      <c r="T411" s="24">
        <v>131</v>
      </c>
      <c r="U411" s="24" t="s">
        <v>810</v>
      </c>
      <c r="V411" s="24" t="s">
        <v>807</v>
      </c>
      <c r="W411" s="26"/>
      <c r="X411" s="26"/>
      <c r="Y411" s="26"/>
      <c r="Z411" s="26"/>
      <c r="AA411" s="26"/>
      <c r="AB411" s="26"/>
      <c r="AC411" s="26"/>
      <c r="AD411" s="26"/>
      <c r="AE411" s="26"/>
      <c r="AF411" s="26"/>
      <c r="AG411" s="26"/>
      <c r="AH411" s="33" t="s">
        <v>1260</v>
      </c>
      <c r="AI411" s="23" t="s">
        <v>811</v>
      </c>
      <c r="AJ411" s="33" t="str">
        <f t="shared" si="6"/>
        <v>PD5D_MB_Moactcseq/samples/PD_BN1827_MB_MOactcseq_batch5_rep1.h5</v>
      </c>
      <c r="AK411" t="s">
        <v>1290</v>
      </c>
    </row>
    <row r="412" spans="1:37">
      <c r="A412" s="24" t="s">
        <v>1129</v>
      </c>
      <c r="B412" s="24" t="s">
        <v>203</v>
      </c>
      <c r="C412" s="24" t="s">
        <v>203</v>
      </c>
      <c r="D412" s="24" t="s">
        <v>689</v>
      </c>
      <c r="E412" s="24">
        <v>2</v>
      </c>
      <c r="F412" s="24">
        <v>0</v>
      </c>
      <c r="G412" s="24" t="s">
        <v>696</v>
      </c>
      <c r="H412" s="24" t="s">
        <v>668</v>
      </c>
      <c r="I412" s="24" t="s">
        <v>806</v>
      </c>
      <c r="J412" s="24" t="s">
        <v>807</v>
      </c>
      <c r="K412" s="24" t="s">
        <v>807</v>
      </c>
      <c r="L412" s="24" t="s">
        <v>807</v>
      </c>
      <c r="M412" s="24" t="s">
        <v>807</v>
      </c>
      <c r="N412" s="24">
        <v>8.1999999999999993</v>
      </c>
      <c r="O412" s="24">
        <v>8.1999999999999993</v>
      </c>
      <c r="P412" s="24" t="s">
        <v>807</v>
      </c>
      <c r="Q412" s="24">
        <v>2897</v>
      </c>
      <c r="R412" s="24" t="s">
        <v>809</v>
      </c>
      <c r="S412" s="24" t="s">
        <v>675</v>
      </c>
      <c r="T412" s="24">
        <v>131</v>
      </c>
      <c r="U412" s="24" t="s">
        <v>810</v>
      </c>
      <c r="V412" s="24" t="s">
        <v>807</v>
      </c>
      <c r="W412" s="26"/>
      <c r="X412" s="26"/>
      <c r="Y412" s="26"/>
      <c r="Z412" s="26"/>
      <c r="AA412" s="26"/>
      <c r="AB412" s="26"/>
      <c r="AC412" s="26"/>
      <c r="AD412" s="26"/>
      <c r="AE412" s="26"/>
      <c r="AF412" s="26"/>
      <c r="AG412" s="26"/>
      <c r="AH412" s="33" t="s">
        <v>1260</v>
      </c>
      <c r="AI412" s="23" t="s">
        <v>811</v>
      </c>
      <c r="AJ412" s="33" t="str">
        <f t="shared" si="6"/>
        <v>PD5D_MB_Moactcseq/samples/PD_BN1827_MB_MOactcseq_batch5_rep2.h5</v>
      </c>
      <c r="AK412" t="s">
        <v>1290</v>
      </c>
    </row>
    <row r="413" spans="1:37">
      <c r="A413" s="24" t="s">
        <v>1130</v>
      </c>
      <c r="B413" s="24" t="s">
        <v>207</v>
      </c>
      <c r="C413" s="24" t="s">
        <v>207</v>
      </c>
      <c r="D413" s="24" t="s">
        <v>666</v>
      </c>
      <c r="E413" s="24">
        <v>3</v>
      </c>
      <c r="F413" s="24">
        <v>0</v>
      </c>
      <c r="G413" s="24" t="s">
        <v>698</v>
      </c>
      <c r="H413" s="24" t="s">
        <v>668</v>
      </c>
      <c r="I413" s="24" t="s">
        <v>806</v>
      </c>
      <c r="J413" s="24" t="s">
        <v>807</v>
      </c>
      <c r="K413" s="24" t="s">
        <v>807</v>
      </c>
      <c r="L413" s="24" t="s">
        <v>807</v>
      </c>
      <c r="M413" s="24" t="s">
        <v>807</v>
      </c>
      <c r="N413" s="24">
        <v>8.1999999999999993</v>
      </c>
      <c r="O413" s="24">
        <v>8.1999999999999993</v>
      </c>
      <c r="P413" s="24" t="s">
        <v>807</v>
      </c>
      <c r="Q413" s="25">
        <v>5580</v>
      </c>
      <c r="R413" s="24" t="s">
        <v>809</v>
      </c>
      <c r="S413" s="24" t="s">
        <v>675</v>
      </c>
      <c r="T413" s="24">
        <v>131</v>
      </c>
      <c r="U413" s="24" t="s">
        <v>810</v>
      </c>
      <c r="V413" s="24" t="s">
        <v>807</v>
      </c>
      <c r="W413" s="26"/>
      <c r="X413" s="26"/>
      <c r="Y413" s="26"/>
      <c r="Z413" s="26"/>
      <c r="AA413" s="26"/>
      <c r="AB413" s="26"/>
      <c r="AC413" s="26"/>
      <c r="AD413" s="26"/>
      <c r="AE413" s="26"/>
      <c r="AF413" s="26"/>
      <c r="AG413" s="26"/>
      <c r="AH413" s="33" t="s">
        <v>1260</v>
      </c>
      <c r="AI413" s="23" t="s">
        <v>811</v>
      </c>
      <c r="AJ413" s="33" t="str">
        <f t="shared" si="6"/>
        <v>PD5D_MB_Moactcseq/samples/PD_BN1839_MB_MOactcseq_batch6_rep1.h5</v>
      </c>
      <c r="AK413" t="s">
        <v>1290</v>
      </c>
    </row>
    <row r="414" spans="1:37">
      <c r="A414" s="24" t="s">
        <v>1131</v>
      </c>
      <c r="B414" s="24" t="s">
        <v>207</v>
      </c>
      <c r="C414" s="24" t="s">
        <v>207</v>
      </c>
      <c r="D414" s="24" t="s">
        <v>689</v>
      </c>
      <c r="E414" s="24">
        <v>3</v>
      </c>
      <c r="F414" s="24">
        <v>0</v>
      </c>
      <c r="G414" s="24" t="s">
        <v>698</v>
      </c>
      <c r="H414" s="24" t="s">
        <v>668</v>
      </c>
      <c r="I414" s="24" t="s">
        <v>806</v>
      </c>
      <c r="J414" s="24" t="s">
        <v>807</v>
      </c>
      <c r="K414" s="24" t="s">
        <v>807</v>
      </c>
      <c r="L414" s="24" t="s">
        <v>807</v>
      </c>
      <c r="M414" s="24" t="s">
        <v>807</v>
      </c>
      <c r="N414" s="24">
        <v>8.1999999999999993</v>
      </c>
      <c r="O414" s="24">
        <v>8.1999999999999993</v>
      </c>
      <c r="P414" s="24" t="s">
        <v>807</v>
      </c>
      <c r="Q414" s="25">
        <v>5580</v>
      </c>
      <c r="R414" s="24" t="s">
        <v>809</v>
      </c>
      <c r="S414" s="24" t="s">
        <v>675</v>
      </c>
      <c r="T414" s="24">
        <v>131</v>
      </c>
      <c r="U414" s="24" t="s">
        <v>810</v>
      </c>
      <c r="V414" s="24" t="s">
        <v>807</v>
      </c>
      <c r="W414" s="26"/>
      <c r="X414" s="26"/>
      <c r="Y414" s="26"/>
      <c r="Z414" s="26"/>
      <c r="AA414" s="26"/>
      <c r="AB414" s="26"/>
      <c r="AC414" s="26"/>
      <c r="AD414" s="26"/>
      <c r="AE414" s="26"/>
      <c r="AF414" s="26"/>
      <c r="AG414" s="26"/>
      <c r="AH414" s="33" t="s">
        <v>1260</v>
      </c>
      <c r="AI414" s="23" t="s">
        <v>811</v>
      </c>
      <c r="AJ414" s="33" t="str">
        <f t="shared" si="6"/>
        <v>PD5D_MB_Moactcseq/samples/PD_BN1839_MB_MOactcseq_batch6_rep2.h5</v>
      </c>
      <c r="AK414" t="s">
        <v>1290</v>
      </c>
    </row>
    <row r="415" spans="1:37">
      <c r="A415" s="24" t="s">
        <v>1132</v>
      </c>
      <c r="B415" s="24" t="s">
        <v>207</v>
      </c>
      <c r="C415" s="24" t="s">
        <v>207</v>
      </c>
      <c r="D415" s="24" t="s">
        <v>814</v>
      </c>
      <c r="E415" s="24">
        <v>3</v>
      </c>
      <c r="F415" s="24">
        <v>0</v>
      </c>
      <c r="G415" s="24" t="s">
        <v>698</v>
      </c>
      <c r="H415" s="24" t="s">
        <v>668</v>
      </c>
      <c r="I415" s="24" t="s">
        <v>806</v>
      </c>
      <c r="J415" s="24" t="s">
        <v>807</v>
      </c>
      <c r="K415" s="24" t="s">
        <v>807</v>
      </c>
      <c r="L415" s="24" t="s">
        <v>807</v>
      </c>
      <c r="M415" s="24" t="s">
        <v>807</v>
      </c>
      <c r="N415" s="24">
        <v>8.1999999999999993</v>
      </c>
      <c r="O415" s="24">
        <v>8.1999999999999993</v>
      </c>
      <c r="P415" s="24" t="s">
        <v>807</v>
      </c>
      <c r="Q415" s="25">
        <v>5580</v>
      </c>
      <c r="R415" s="24" t="s">
        <v>809</v>
      </c>
      <c r="S415" s="24" t="s">
        <v>675</v>
      </c>
      <c r="T415" s="24">
        <v>131</v>
      </c>
      <c r="U415" s="24" t="s">
        <v>810</v>
      </c>
      <c r="V415" s="24" t="s">
        <v>807</v>
      </c>
      <c r="W415" s="26"/>
      <c r="X415" s="26"/>
      <c r="Y415" s="26"/>
      <c r="Z415" s="26"/>
      <c r="AA415" s="26"/>
      <c r="AB415" s="26"/>
      <c r="AC415" s="26"/>
      <c r="AD415" s="26"/>
      <c r="AE415" s="26"/>
      <c r="AF415" s="26"/>
      <c r="AG415" s="26"/>
      <c r="AH415" s="33" t="s">
        <v>1260</v>
      </c>
      <c r="AI415" s="23" t="s">
        <v>811</v>
      </c>
      <c r="AJ415" s="33" t="str">
        <f t="shared" si="6"/>
        <v>PD5D_MB_Moactcseq/samples/PD_BN1839_MB_MOactcseq_batch6_rep3.h5</v>
      </c>
      <c r="AK415" t="s">
        <v>1290</v>
      </c>
    </row>
    <row r="416" spans="1:37">
      <c r="A416" s="24" t="s">
        <v>1133</v>
      </c>
      <c r="B416" s="24" t="s">
        <v>219</v>
      </c>
      <c r="C416" s="24" t="s">
        <v>219</v>
      </c>
      <c r="D416" s="24" t="s">
        <v>666</v>
      </c>
      <c r="E416" s="24">
        <v>3</v>
      </c>
      <c r="F416" s="24">
        <v>0</v>
      </c>
      <c r="G416" s="24" t="s">
        <v>698</v>
      </c>
      <c r="H416" s="24" t="s">
        <v>668</v>
      </c>
      <c r="I416" s="24" t="s">
        <v>806</v>
      </c>
      <c r="J416" s="24" t="s">
        <v>807</v>
      </c>
      <c r="K416" s="24" t="s">
        <v>807</v>
      </c>
      <c r="L416" s="24" t="s">
        <v>807</v>
      </c>
      <c r="M416" s="24" t="s">
        <v>807</v>
      </c>
      <c r="N416" s="24">
        <v>9.1</v>
      </c>
      <c r="O416" s="24">
        <v>9.1</v>
      </c>
      <c r="P416" s="24" t="s">
        <v>807</v>
      </c>
      <c r="Q416" s="24">
        <v>558</v>
      </c>
      <c r="R416" s="24" t="s">
        <v>809</v>
      </c>
      <c r="S416" s="24" t="s">
        <v>675</v>
      </c>
      <c r="T416" s="24">
        <v>131</v>
      </c>
      <c r="U416" s="24" t="s">
        <v>810</v>
      </c>
      <c r="V416" s="24" t="s">
        <v>807</v>
      </c>
      <c r="W416" s="26"/>
      <c r="X416" s="26"/>
      <c r="Y416" s="26"/>
      <c r="Z416" s="26"/>
      <c r="AA416" s="26"/>
      <c r="AB416" s="26"/>
      <c r="AC416" s="26"/>
      <c r="AD416" s="26"/>
      <c r="AE416" s="26"/>
      <c r="AF416" s="26"/>
      <c r="AG416" s="26"/>
      <c r="AH416" s="33" t="s">
        <v>1260</v>
      </c>
      <c r="AI416" s="23" t="s">
        <v>811</v>
      </c>
      <c r="AJ416" s="33" t="str">
        <f t="shared" si="6"/>
        <v>PD5D_MB_Moactcseq/samples/PD_BN1865_MB_MOactcseq_batch6_rep1.h5</v>
      </c>
      <c r="AK416" t="s">
        <v>1290</v>
      </c>
    </row>
    <row r="417" spans="1:37">
      <c r="A417" s="24" t="s">
        <v>1134</v>
      </c>
      <c r="B417" s="24" t="s">
        <v>219</v>
      </c>
      <c r="C417" s="24" t="s">
        <v>219</v>
      </c>
      <c r="D417" s="24" t="s">
        <v>689</v>
      </c>
      <c r="E417" s="24">
        <v>3</v>
      </c>
      <c r="F417" s="24">
        <v>0</v>
      </c>
      <c r="G417" s="24" t="s">
        <v>698</v>
      </c>
      <c r="H417" s="24" t="s">
        <v>668</v>
      </c>
      <c r="I417" s="24" t="s">
        <v>806</v>
      </c>
      <c r="J417" s="24" t="s">
        <v>807</v>
      </c>
      <c r="K417" s="24" t="s">
        <v>807</v>
      </c>
      <c r="L417" s="24" t="s">
        <v>807</v>
      </c>
      <c r="M417" s="24" t="s">
        <v>807</v>
      </c>
      <c r="N417" s="24">
        <v>9.1</v>
      </c>
      <c r="O417" s="24">
        <v>9.1</v>
      </c>
      <c r="P417" s="24" t="s">
        <v>807</v>
      </c>
      <c r="Q417" s="24">
        <v>558</v>
      </c>
      <c r="R417" s="24" t="s">
        <v>809</v>
      </c>
      <c r="S417" s="24" t="s">
        <v>675</v>
      </c>
      <c r="T417" s="24">
        <v>131</v>
      </c>
      <c r="U417" s="24" t="s">
        <v>810</v>
      </c>
      <c r="V417" s="24" t="s">
        <v>807</v>
      </c>
      <c r="W417" s="26"/>
      <c r="X417" s="26"/>
      <c r="Y417" s="26"/>
      <c r="Z417" s="26"/>
      <c r="AA417" s="26"/>
      <c r="AB417" s="26"/>
      <c r="AC417" s="26"/>
      <c r="AD417" s="26"/>
      <c r="AE417" s="26"/>
      <c r="AF417" s="26"/>
      <c r="AG417" s="26"/>
      <c r="AH417" s="33" t="s">
        <v>1260</v>
      </c>
      <c r="AI417" s="23" t="s">
        <v>811</v>
      </c>
      <c r="AJ417" s="33" t="str">
        <f t="shared" si="6"/>
        <v>PD5D_MB_Moactcseq/samples/PD_BN1865_MB_MOactcseq_batch6_rep2.h5</v>
      </c>
      <c r="AK417" t="s">
        <v>1290</v>
      </c>
    </row>
    <row r="418" spans="1:37">
      <c r="A418" s="24" t="s">
        <v>1135</v>
      </c>
      <c r="B418" s="24" t="s">
        <v>219</v>
      </c>
      <c r="C418" s="24" t="s">
        <v>219</v>
      </c>
      <c r="D418" s="24" t="s">
        <v>814</v>
      </c>
      <c r="E418" s="24">
        <v>3</v>
      </c>
      <c r="F418" s="24">
        <v>0</v>
      </c>
      <c r="G418" s="24" t="s">
        <v>698</v>
      </c>
      <c r="H418" s="24" t="s">
        <v>668</v>
      </c>
      <c r="I418" s="24" t="s">
        <v>806</v>
      </c>
      <c r="J418" s="24" t="s">
        <v>807</v>
      </c>
      <c r="K418" s="24" t="s">
        <v>807</v>
      </c>
      <c r="L418" s="24" t="s">
        <v>807</v>
      </c>
      <c r="M418" s="24" t="s">
        <v>807</v>
      </c>
      <c r="N418" s="24">
        <v>9.1</v>
      </c>
      <c r="O418" s="24">
        <v>9.1</v>
      </c>
      <c r="P418" s="24" t="s">
        <v>807</v>
      </c>
      <c r="Q418" s="24">
        <v>558</v>
      </c>
      <c r="R418" s="24" t="s">
        <v>809</v>
      </c>
      <c r="S418" s="24" t="s">
        <v>675</v>
      </c>
      <c r="T418" s="24">
        <v>131</v>
      </c>
      <c r="U418" s="24" t="s">
        <v>810</v>
      </c>
      <c r="V418" s="24" t="s">
        <v>807</v>
      </c>
      <c r="W418" s="26"/>
      <c r="X418" s="26"/>
      <c r="Y418" s="26"/>
      <c r="Z418" s="26"/>
      <c r="AA418" s="26"/>
      <c r="AB418" s="26"/>
      <c r="AC418" s="26"/>
      <c r="AD418" s="26"/>
      <c r="AE418" s="26"/>
      <c r="AF418" s="26"/>
      <c r="AG418" s="26"/>
      <c r="AH418" s="33" t="s">
        <v>1260</v>
      </c>
      <c r="AI418" s="23" t="s">
        <v>811</v>
      </c>
      <c r="AJ418" s="33" t="str">
        <f t="shared" si="6"/>
        <v>PD5D_MB_Moactcseq/samples/PD_BN1865_MB_MOactcseq_batch6_rep3.h5</v>
      </c>
      <c r="AK418" t="s">
        <v>1290</v>
      </c>
    </row>
    <row r="419" spans="1:37">
      <c r="A419" s="24" t="s">
        <v>1136</v>
      </c>
      <c r="B419" s="24" t="s">
        <v>221</v>
      </c>
      <c r="C419" s="24" t="s">
        <v>221</v>
      </c>
      <c r="D419" s="24" t="s">
        <v>666</v>
      </c>
      <c r="E419" s="24">
        <v>2</v>
      </c>
      <c r="F419" s="24">
        <v>0</v>
      </c>
      <c r="G419" s="24" t="s">
        <v>692</v>
      </c>
      <c r="H419" s="24" t="s">
        <v>668</v>
      </c>
      <c r="I419" s="24" t="s">
        <v>806</v>
      </c>
      <c r="J419" s="24" t="s">
        <v>807</v>
      </c>
      <c r="K419" s="24" t="s">
        <v>807</v>
      </c>
      <c r="L419" s="24" t="s">
        <v>807</v>
      </c>
      <c r="M419" s="24" t="s">
        <v>807</v>
      </c>
      <c r="N419" s="24">
        <v>9.1</v>
      </c>
      <c r="O419" s="24">
        <v>9.1</v>
      </c>
      <c r="P419" s="24" t="s">
        <v>807</v>
      </c>
      <c r="Q419" s="24">
        <v>2820</v>
      </c>
      <c r="R419" s="24" t="s">
        <v>809</v>
      </c>
      <c r="S419" s="24" t="s">
        <v>675</v>
      </c>
      <c r="T419" s="24">
        <v>131</v>
      </c>
      <c r="U419" s="24" t="s">
        <v>810</v>
      </c>
      <c r="V419" s="24" t="s">
        <v>807</v>
      </c>
      <c r="W419" s="26"/>
      <c r="X419" s="26"/>
      <c r="Y419" s="26"/>
      <c r="Z419" s="26"/>
      <c r="AA419" s="26"/>
      <c r="AB419" s="26"/>
      <c r="AC419" s="26"/>
      <c r="AD419" s="26"/>
      <c r="AE419" s="26"/>
      <c r="AF419" s="26"/>
      <c r="AG419" s="26"/>
      <c r="AH419" s="33" t="s">
        <v>1260</v>
      </c>
      <c r="AI419" s="23" t="s">
        <v>811</v>
      </c>
      <c r="AJ419" s="33" t="str">
        <f t="shared" si="6"/>
        <v>PD5D_MB_Moactcseq/samples/PD_BN1872_MB_MOactcseq_batch4_rep1.h5</v>
      </c>
      <c r="AK419" t="s">
        <v>1290</v>
      </c>
    </row>
    <row r="420" spans="1:37">
      <c r="A420" s="24" t="s">
        <v>1137</v>
      </c>
      <c r="B420" s="24" t="s">
        <v>221</v>
      </c>
      <c r="C420" s="24" t="s">
        <v>221</v>
      </c>
      <c r="D420" s="24" t="s">
        <v>689</v>
      </c>
      <c r="E420" s="24">
        <v>2</v>
      </c>
      <c r="F420" s="24">
        <v>0</v>
      </c>
      <c r="G420" s="24" t="s">
        <v>692</v>
      </c>
      <c r="H420" s="24" t="s">
        <v>668</v>
      </c>
      <c r="I420" s="24" t="s">
        <v>806</v>
      </c>
      <c r="J420" s="24" t="s">
        <v>807</v>
      </c>
      <c r="K420" s="24" t="s">
        <v>807</v>
      </c>
      <c r="L420" s="24" t="s">
        <v>807</v>
      </c>
      <c r="M420" s="24" t="s">
        <v>807</v>
      </c>
      <c r="N420" s="24">
        <v>9.1</v>
      </c>
      <c r="O420" s="24">
        <v>9.1</v>
      </c>
      <c r="P420" s="24" t="s">
        <v>807</v>
      </c>
      <c r="Q420" s="24">
        <v>2820</v>
      </c>
      <c r="R420" s="24" t="s">
        <v>809</v>
      </c>
      <c r="S420" s="24" t="s">
        <v>675</v>
      </c>
      <c r="T420" s="24">
        <v>131</v>
      </c>
      <c r="U420" s="24" t="s">
        <v>810</v>
      </c>
      <c r="V420" s="24" t="s">
        <v>807</v>
      </c>
      <c r="W420" s="26"/>
      <c r="X420" s="26"/>
      <c r="Y420" s="26"/>
      <c r="Z420" s="26"/>
      <c r="AA420" s="26"/>
      <c r="AB420" s="26"/>
      <c r="AC420" s="26"/>
      <c r="AD420" s="26"/>
      <c r="AE420" s="26"/>
      <c r="AF420" s="26"/>
      <c r="AG420" s="26"/>
      <c r="AH420" s="33" t="s">
        <v>1260</v>
      </c>
      <c r="AI420" s="23" t="s">
        <v>811</v>
      </c>
      <c r="AJ420" s="33" t="str">
        <f t="shared" si="6"/>
        <v>PD5D_MB_Moactcseq/samples/PD_BN1872_MB_MOactcseq_batch4_rep2.h5</v>
      </c>
      <c r="AK420" t="s">
        <v>1290</v>
      </c>
    </row>
    <row r="421" spans="1:37">
      <c r="A421" s="24" t="s">
        <v>1138</v>
      </c>
      <c r="B421" s="24" t="s">
        <v>225</v>
      </c>
      <c r="C421" s="24" t="s">
        <v>225</v>
      </c>
      <c r="D421" s="24" t="s">
        <v>666</v>
      </c>
      <c r="E421" s="24">
        <v>2</v>
      </c>
      <c r="F421" s="24">
        <v>0</v>
      </c>
      <c r="G421" s="24" t="s">
        <v>692</v>
      </c>
      <c r="H421" s="24" t="s">
        <v>668</v>
      </c>
      <c r="I421" s="24" t="s">
        <v>806</v>
      </c>
      <c r="J421" s="24" t="s">
        <v>807</v>
      </c>
      <c r="K421" s="24" t="s">
        <v>807</v>
      </c>
      <c r="L421" s="24" t="s">
        <v>807</v>
      </c>
      <c r="M421" s="24" t="s">
        <v>807</v>
      </c>
      <c r="N421" s="24">
        <v>9.5</v>
      </c>
      <c r="O421" s="24">
        <v>9.5</v>
      </c>
      <c r="P421" s="24" t="s">
        <v>807</v>
      </c>
      <c r="Q421" s="24">
        <v>4461</v>
      </c>
      <c r="R421" s="24" t="s">
        <v>809</v>
      </c>
      <c r="S421" s="24" t="s">
        <v>675</v>
      </c>
      <c r="T421" s="24">
        <v>131</v>
      </c>
      <c r="U421" s="24" t="s">
        <v>810</v>
      </c>
      <c r="V421" s="24" t="s">
        <v>807</v>
      </c>
      <c r="W421" s="26"/>
      <c r="X421" s="26"/>
      <c r="Y421" s="26"/>
      <c r="Z421" s="26"/>
      <c r="AA421" s="26"/>
      <c r="AB421" s="26"/>
      <c r="AC421" s="26"/>
      <c r="AD421" s="26"/>
      <c r="AE421" s="26"/>
      <c r="AF421" s="26"/>
      <c r="AG421" s="26"/>
      <c r="AH421" s="33" t="s">
        <v>1260</v>
      </c>
      <c r="AI421" s="23" t="s">
        <v>811</v>
      </c>
      <c r="AJ421" s="33" t="str">
        <f t="shared" si="6"/>
        <v>PD5D_MB_Moactcseq/samples/PD_BN1902_MB_MOactcseq_batch4_rep1.h5</v>
      </c>
      <c r="AK421" t="s">
        <v>1290</v>
      </c>
    </row>
    <row r="422" spans="1:37">
      <c r="A422" s="24" t="s">
        <v>1139</v>
      </c>
      <c r="B422" s="24" t="s">
        <v>225</v>
      </c>
      <c r="C422" s="24" t="s">
        <v>225</v>
      </c>
      <c r="D422" s="24" t="s">
        <v>689</v>
      </c>
      <c r="E422" s="24">
        <v>2</v>
      </c>
      <c r="F422" s="24">
        <v>0</v>
      </c>
      <c r="G422" s="24" t="s">
        <v>692</v>
      </c>
      <c r="H422" s="24" t="s">
        <v>668</v>
      </c>
      <c r="I422" s="24" t="s">
        <v>806</v>
      </c>
      <c r="J422" s="24" t="s">
        <v>807</v>
      </c>
      <c r="K422" s="24" t="s">
        <v>807</v>
      </c>
      <c r="L422" s="24" t="s">
        <v>807</v>
      </c>
      <c r="M422" s="24" t="s">
        <v>807</v>
      </c>
      <c r="N422" s="24">
        <v>9.5</v>
      </c>
      <c r="O422" s="24">
        <v>9.5</v>
      </c>
      <c r="P422" s="24" t="s">
        <v>807</v>
      </c>
      <c r="Q422" s="24">
        <v>4461</v>
      </c>
      <c r="R422" s="24" t="s">
        <v>809</v>
      </c>
      <c r="S422" s="24" t="s">
        <v>675</v>
      </c>
      <c r="T422" s="24">
        <v>131</v>
      </c>
      <c r="U422" s="24" t="s">
        <v>810</v>
      </c>
      <c r="V422" s="24" t="s">
        <v>807</v>
      </c>
      <c r="W422" s="26"/>
      <c r="X422" s="26"/>
      <c r="Y422" s="26"/>
      <c r="Z422" s="26"/>
      <c r="AA422" s="26"/>
      <c r="AB422" s="26"/>
      <c r="AC422" s="26"/>
      <c r="AD422" s="26"/>
      <c r="AE422" s="26"/>
      <c r="AF422" s="26"/>
      <c r="AG422" s="26"/>
      <c r="AH422" s="33" t="s">
        <v>1260</v>
      </c>
      <c r="AI422" s="23" t="s">
        <v>811</v>
      </c>
      <c r="AJ422" s="33" t="str">
        <f t="shared" si="6"/>
        <v>PD5D_MB_Moactcseq/samples/PD_BN1902_MB_MOactcseq_batch4_rep2.h5</v>
      </c>
      <c r="AK422" t="s">
        <v>1290</v>
      </c>
    </row>
    <row r="423" spans="1:37">
      <c r="A423" s="24" t="s">
        <v>1140</v>
      </c>
      <c r="B423" s="24" t="s">
        <v>233</v>
      </c>
      <c r="C423" s="24" t="s">
        <v>233</v>
      </c>
      <c r="D423" s="24" t="s">
        <v>666</v>
      </c>
      <c r="E423" s="24">
        <v>2</v>
      </c>
      <c r="F423" s="24">
        <v>0</v>
      </c>
      <c r="G423" s="24" t="s">
        <v>692</v>
      </c>
      <c r="H423" s="24" t="s">
        <v>668</v>
      </c>
      <c r="I423" s="24" t="s">
        <v>806</v>
      </c>
      <c r="J423" s="24" t="s">
        <v>807</v>
      </c>
      <c r="K423" s="24" t="s">
        <v>807</v>
      </c>
      <c r="L423" s="24" t="s">
        <v>807</v>
      </c>
      <c r="M423" s="24" t="s">
        <v>807</v>
      </c>
      <c r="N423" s="24">
        <v>10</v>
      </c>
      <c r="O423" s="24">
        <v>10</v>
      </c>
      <c r="P423" s="24" t="s">
        <v>807</v>
      </c>
      <c r="Q423" s="24">
        <v>1017</v>
      </c>
      <c r="R423" s="24" t="s">
        <v>809</v>
      </c>
      <c r="S423" s="24" t="s">
        <v>675</v>
      </c>
      <c r="T423" s="24">
        <v>131</v>
      </c>
      <c r="U423" s="24" t="s">
        <v>810</v>
      </c>
      <c r="V423" s="24" t="s">
        <v>807</v>
      </c>
      <c r="W423" s="26"/>
      <c r="X423" s="26"/>
      <c r="Y423" s="26"/>
      <c r="Z423" s="26"/>
      <c r="AA423" s="26"/>
      <c r="AB423" s="26"/>
      <c r="AC423" s="26"/>
      <c r="AD423" s="26"/>
      <c r="AE423" s="26"/>
      <c r="AF423" s="26"/>
      <c r="AG423" s="26"/>
      <c r="AH423" s="33" t="s">
        <v>1260</v>
      </c>
      <c r="AI423" s="23" t="s">
        <v>811</v>
      </c>
      <c r="AJ423" s="33" t="str">
        <f t="shared" si="6"/>
        <v>PD5D_MB_Moactcseq/samples/PD_BN1957_MB_MOactcseq_batch4_rep1.h5</v>
      </c>
      <c r="AK423" t="s">
        <v>1290</v>
      </c>
    </row>
    <row r="424" spans="1:37">
      <c r="A424" s="24" t="s">
        <v>1141</v>
      </c>
      <c r="B424" s="24" t="s">
        <v>233</v>
      </c>
      <c r="C424" s="24" t="s">
        <v>233</v>
      </c>
      <c r="D424" s="24" t="s">
        <v>689</v>
      </c>
      <c r="E424" s="24">
        <v>2</v>
      </c>
      <c r="F424" s="24">
        <v>0</v>
      </c>
      <c r="G424" s="24" t="s">
        <v>692</v>
      </c>
      <c r="H424" s="24" t="s">
        <v>668</v>
      </c>
      <c r="I424" s="24" t="s">
        <v>806</v>
      </c>
      <c r="J424" s="24" t="s">
        <v>807</v>
      </c>
      <c r="K424" s="24" t="s">
        <v>807</v>
      </c>
      <c r="L424" s="24" t="s">
        <v>807</v>
      </c>
      <c r="M424" s="24" t="s">
        <v>807</v>
      </c>
      <c r="N424" s="24">
        <v>10</v>
      </c>
      <c r="O424" s="24">
        <v>10</v>
      </c>
      <c r="P424" s="24" t="s">
        <v>807</v>
      </c>
      <c r="Q424" s="24">
        <v>1017</v>
      </c>
      <c r="R424" s="24" t="s">
        <v>809</v>
      </c>
      <c r="S424" s="24" t="s">
        <v>675</v>
      </c>
      <c r="T424" s="24">
        <v>131</v>
      </c>
      <c r="U424" s="24" t="s">
        <v>810</v>
      </c>
      <c r="V424" s="24" t="s">
        <v>807</v>
      </c>
      <c r="W424" s="26"/>
      <c r="X424" s="26"/>
      <c r="Y424" s="26"/>
      <c r="Z424" s="26"/>
      <c r="AA424" s="26"/>
      <c r="AB424" s="26"/>
      <c r="AC424" s="26"/>
      <c r="AD424" s="26"/>
      <c r="AE424" s="26"/>
      <c r="AF424" s="26"/>
      <c r="AG424" s="26"/>
      <c r="AH424" s="33" t="s">
        <v>1260</v>
      </c>
      <c r="AI424" s="23" t="s">
        <v>811</v>
      </c>
      <c r="AJ424" s="33" t="str">
        <f t="shared" si="6"/>
        <v>PD5D_MB_Moactcseq/samples/PD_BN1957_MB_MOactcseq_batch4_rep2.h5</v>
      </c>
      <c r="AK424" t="s">
        <v>1290</v>
      </c>
    </row>
    <row r="425" spans="1:37">
      <c r="A425" s="24" t="s">
        <v>1142</v>
      </c>
      <c r="B425" s="24" t="s">
        <v>235</v>
      </c>
      <c r="C425" s="24" t="s">
        <v>235</v>
      </c>
      <c r="D425" s="24" t="s">
        <v>666</v>
      </c>
      <c r="E425" s="24">
        <v>2</v>
      </c>
      <c r="F425" s="24">
        <v>0</v>
      </c>
      <c r="G425" s="24" t="s">
        <v>694</v>
      </c>
      <c r="H425" s="24" t="s">
        <v>668</v>
      </c>
      <c r="I425" s="24" t="s">
        <v>806</v>
      </c>
      <c r="J425" s="24" t="s">
        <v>807</v>
      </c>
      <c r="K425" s="24" t="s">
        <v>807</v>
      </c>
      <c r="L425" s="24" t="s">
        <v>807</v>
      </c>
      <c r="M425" s="24" t="s">
        <v>807</v>
      </c>
      <c r="N425" s="24">
        <v>8.9</v>
      </c>
      <c r="O425" s="24">
        <v>8.9</v>
      </c>
      <c r="P425" s="24" t="s">
        <v>807</v>
      </c>
      <c r="Q425" s="25">
        <v>10213</v>
      </c>
      <c r="R425" s="24" t="s">
        <v>809</v>
      </c>
      <c r="S425" s="24" t="s">
        <v>675</v>
      </c>
      <c r="T425" s="24">
        <v>131</v>
      </c>
      <c r="U425" s="24" t="s">
        <v>810</v>
      </c>
      <c r="V425" s="24" t="s">
        <v>807</v>
      </c>
      <c r="W425" s="26"/>
      <c r="X425" s="26"/>
      <c r="Y425" s="26"/>
      <c r="Z425" s="26"/>
      <c r="AA425" s="26"/>
      <c r="AB425" s="26"/>
      <c r="AC425" s="26"/>
      <c r="AD425" s="26"/>
      <c r="AE425" s="26"/>
      <c r="AF425" s="26"/>
      <c r="AG425" s="26"/>
      <c r="AH425" s="33" t="s">
        <v>1260</v>
      </c>
      <c r="AI425" s="23" t="s">
        <v>811</v>
      </c>
      <c r="AJ425" s="33" t="str">
        <f t="shared" si="6"/>
        <v>PD5D_MB_Moactcseq/samples/PD_BN1959_MB_MOactcseq_batch3_rep1.h5</v>
      </c>
      <c r="AK425" t="s">
        <v>1290</v>
      </c>
    </row>
    <row r="426" spans="1:37">
      <c r="A426" s="24" t="s">
        <v>1143</v>
      </c>
      <c r="B426" s="24" t="s">
        <v>235</v>
      </c>
      <c r="C426" s="24" t="s">
        <v>235</v>
      </c>
      <c r="D426" s="24" t="s">
        <v>689</v>
      </c>
      <c r="E426" s="24">
        <v>2</v>
      </c>
      <c r="F426" s="24">
        <v>0</v>
      </c>
      <c r="G426" s="24" t="s">
        <v>694</v>
      </c>
      <c r="H426" s="24" t="s">
        <v>668</v>
      </c>
      <c r="I426" s="24" t="s">
        <v>806</v>
      </c>
      <c r="J426" s="24" t="s">
        <v>807</v>
      </c>
      <c r="K426" s="24" t="s">
        <v>807</v>
      </c>
      <c r="L426" s="24" t="s">
        <v>807</v>
      </c>
      <c r="M426" s="24" t="s">
        <v>807</v>
      </c>
      <c r="N426" s="24">
        <v>8.9</v>
      </c>
      <c r="O426" s="24">
        <v>8.9</v>
      </c>
      <c r="P426" s="24" t="s">
        <v>807</v>
      </c>
      <c r="Q426" s="25">
        <v>10213</v>
      </c>
      <c r="R426" s="24" t="s">
        <v>809</v>
      </c>
      <c r="S426" s="24" t="s">
        <v>675</v>
      </c>
      <c r="T426" s="24">
        <v>131</v>
      </c>
      <c r="U426" s="24" t="s">
        <v>810</v>
      </c>
      <c r="V426" s="24" t="s">
        <v>807</v>
      </c>
      <c r="W426" s="26"/>
      <c r="X426" s="26"/>
      <c r="Y426" s="26"/>
      <c r="Z426" s="26"/>
      <c r="AA426" s="26"/>
      <c r="AB426" s="26"/>
      <c r="AC426" s="26"/>
      <c r="AD426" s="26"/>
      <c r="AE426" s="26"/>
      <c r="AF426" s="26"/>
      <c r="AG426" s="26"/>
      <c r="AH426" s="33" t="s">
        <v>1260</v>
      </c>
      <c r="AI426" s="23" t="s">
        <v>811</v>
      </c>
      <c r="AJ426" s="33" t="str">
        <f t="shared" si="6"/>
        <v>PD5D_MB_Moactcseq/samples/PD_BN1959_MB_MOactcseq_batch3_rep2.h5</v>
      </c>
      <c r="AK426" t="s">
        <v>1290</v>
      </c>
    </row>
    <row r="427" spans="1:37">
      <c r="A427" s="24" t="s">
        <v>1144</v>
      </c>
      <c r="B427" s="24" t="s">
        <v>237</v>
      </c>
      <c r="C427" s="24" t="s">
        <v>237</v>
      </c>
      <c r="D427" s="24" t="s">
        <v>666</v>
      </c>
      <c r="E427" s="24">
        <v>2</v>
      </c>
      <c r="F427" s="24">
        <v>0</v>
      </c>
      <c r="G427" s="24" t="s">
        <v>733</v>
      </c>
      <c r="H427" s="24" t="s">
        <v>668</v>
      </c>
      <c r="I427" s="24" t="s">
        <v>806</v>
      </c>
      <c r="J427" s="24" t="s">
        <v>807</v>
      </c>
      <c r="K427" s="24" t="s">
        <v>807</v>
      </c>
      <c r="L427" s="24" t="s">
        <v>807</v>
      </c>
      <c r="M427" s="24" t="s">
        <v>807</v>
      </c>
      <c r="N427" s="24">
        <v>9.3000000000000007</v>
      </c>
      <c r="O427" s="24">
        <v>9.3000000000000007</v>
      </c>
      <c r="P427" s="24" t="s">
        <v>807</v>
      </c>
      <c r="Q427" s="25">
        <v>2385</v>
      </c>
      <c r="R427" s="24" t="s">
        <v>809</v>
      </c>
      <c r="S427" s="24" t="s">
        <v>675</v>
      </c>
      <c r="T427" s="24">
        <v>131</v>
      </c>
      <c r="U427" s="24" t="s">
        <v>810</v>
      </c>
      <c r="V427" s="24" t="s">
        <v>807</v>
      </c>
      <c r="W427" s="26"/>
      <c r="X427" s="26"/>
      <c r="Y427" s="26"/>
      <c r="Z427" s="26"/>
      <c r="AA427" s="26"/>
      <c r="AB427" s="26"/>
      <c r="AC427" s="26"/>
      <c r="AD427" s="26"/>
      <c r="AE427" s="26"/>
      <c r="AF427" s="26"/>
      <c r="AG427" s="26"/>
      <c r="AH427" s="33" t="s">
        <v>1260</v>
      </c>
      <c r="AI427" s="23" t="s">
        <v>811</v>
      </c>
      <c r="AJ427" s="33" t="str">
        <f t="shared" si="6"/>
        <v>PD5D_MB_Moactcseq/samples/PD_BN1960_MB_MOactcseq_batch15_rep1.h5</v>
      </c>
      <c r="AK427" t="s">
        <v>1290</v>
      </c>
    </row>
    <row r="428" spans="1:37">
      <c r="A428" s="24" t="s">
        <v>1145</v>
      </c>
      <c r="B428" s="24" t="s">
        <v>237</v>
      </c>
      <c r="C428" s="24" t="s">
        <v>237</v>
      </c>
      <c r="D428" s="24" t="s">
        <v>689</v>
      </c>
      <c r="E428" s="24">
        <v>2</v>
      </c>
      <c r="F428" s="24">
        <v>0</v>
      </c>
      <c r="G428" s="24" t="s">
        <v>733</v>
      </c>
      <c r="H428" s="24" t="s">
        <v>668</v>
      </c>
      <c r="I428" s="24" t="s">
        <v>806</v>
      </c>
      <c r="J428" s="24" t="s">
        <v>807</v>
      </c>
      <c r="K428" s="24" t="s">
        <v>807</v>
      </c>
      <c r="L428" s="24" t="s">
        <v>807</v>
      </c>
      <c r="M428" s="24" t="s">
        <v>807</v>
      </c>
      <c r="N428" s="24">
        <v>9.3000000000000007</v>
      </c>
      <c r="O428" s="24">
        <v>9.3000000000000007</v>
      </c>
      <c r="P428" s="24" t="s">
        <v>807</v>
      </c>
      <c r="Q428" s="25">
        <v>2385</v>
      </c>
      <c r="R428" s="24" t="s">
        <v>809</v>
      </c>
      <c r="S428" s="24" t="s">
        <v>675</v>
      </c>
      <c r="T428" s="24">
        <v>131</v>
      </c>
      <c r="U428" s="24" t="s">
        <v>810</v>
      </c>
      <c r="V428" s="24" t="s">
        <v>807</v>
      </c>
      <c r="W428" s="26"/>
      <c r="X428" s="26"/>
      <c r="Y428" s="26"/>
      <c r="Z428" s="26"/>
      <c r="AA428" s="26"/>
      <c r="AB428" s="26"/>
      <c r="AC428" s="26"/>
      <c r="AD428" s="26"/>
      <c r="AE428" s="26"/>
      <c r="AF428" s="26"/>
      <c r="AG428" s="26"/>
      <c r="AH428" s="33" t="s">
        <v>1260</v>
      </c>
      <c r="AI428" s="23" t="s">
        <v>811</v>
      </c>
      <c r="AJ428" s="33" t="str">
        <f t="shared" si="6"/>
        <v>PD5D_MB_Moactcseq/samples/PD_BN1960_MB_MOactcseq_batch15_rep2.h5</v>
      </c>
      <c r="AK428" t="s">
        <v>1290</v>
      </c>
    </row>
    <row r="429" spans="1:37">
      <c r="A429" s="24" t="s">
        <v>1146</v>
      </c>
      <c r="B429" s="24" t="s">
        <v>241</v>
      </c>
      <c r="C429" s="24" t="s">
        <v>241</v>
      </c>
      <c r="D429" s="24" t="s">
        <v>666</v>
      </c>
      <c r="E429" s="24">
        <v>2</v>
      </c>
      <c r="F429" s="24">
        <v>0</v>
      </c>
      <c r="G429" s="24" t="s">
        <v>692</v>
      </c>
      <c r="H429" s="24" t="s">
        <v>668</v>
      </c>
      <c r="I429" s="24" t="s">
        <v>806</v>
      </c>
      <c r="J429" s="24" t="s">
        <v>807</v>
      </c>
      <c r="K429" s="24" t="s">
        <v>807</v>
      </c>
      <c r="L429" s="24" t="s">
        <v>807</v>
      </c>
      <c r="M429" s="24" t="s">
        <v>807</v>
      </c>
      <c r="N429" s="24">
        <v>9.1999999999999993</v>
      </c>
      <c r="O429" s="24">
        <v>9.1999999999999993</v>
      </c>
      <c r="P429" s="24" t="s">
        <v>807</v>
      </c>
      <c r="Q429" s="24">
        <v>1750</v>
      </c>
      <c r="R429" s="24" t="s">
        <v>809</v>
      </c>
      <c r="S429" s="24" t="s">
        <v>675</v>
      </c>
      <c r="T429" s="24">
        <v>131</v>
      </c>
      <c r="U429" s="24" t="s">
        <v>810</v>
      </c>
      <c r="V429" s="24" t="s">
        <v>807</v>
      </c>
      <c r="W429" s="26"/>
      <c r="X429" s="26"/>
      <c r="Y429" s="26"/>
      <c r="Z429" s="26"/>
      <c r="AA429" s="26"/>
      <c r="AB429" s="26"/>
      <c r="AC429" s="26"/>
      <c r="AD429" s="26"/>
      <c r="AE429" s="26"/>
      <c r="AF429" s="26"/>
      <c r="AG429" s="26"/>
      <c r="AH429" s="33" t="s">
        <v>1260</v>
      </c>
      <c r="AI429" s="23" t="s">
        <v>811</v>
      </c>
      <c r="AJ429" s="33" t="str">
        <f t="shared" si="6"/>
        <v>PD5D_MB_Moactcseq/samples/PD_BN2003_MB_MOactcseq_batch4_rep1.h5</v>
      </c>
      <c r="AK429" t="s">
        <v>1290</v>
      </c>
    </row>
    <row r="430" spans="1:37">
      <c r="A430" s="24" t="s">
        <v>1147</v>
      </c>
      <c r="B430" s="24" t="s">
        <v>241</v>
      </c>
      <c r="C430" s="24" t="s">
        <v>241</v>
      </c>
      <c r="D430" s="24" t="s">
        <v>689</v>
      </c>
      <c r="E430" s="24">
        <v>2</v>
      </c>
      <c r="F430" s="24">
        <v>0</v>
      </c>
      <c r="G430" s="24" t="s">
        <v>692</v>
      </c>
      <c r="H430" s="24" t="s">
        <v>668</v>
      </c>
      <c r="I430" s="24" t="s">
        <v>806</v>
      </c>
      <c r="J430" s="24" t="s">
        <v>807</v>
      </c>
      <c r="K430" s="24" t="s">
        <v>807</v>
      </c>
      <c r="L430" s="24" t="s">
        <v>807</v>
      </c>
      <c r="M430" s="24" t="s">
        <v>807</v>
      </c>
      <c r="N430" s="24">
        <v>9.1999999999999993</v>
      </c>
      <c r="O430" s="24">
        <v>9.1999999999999993</v>
      </c>
      <c r="P430" s="24" t="s">
        <v>807</v>
      </c>
      <c r="Q430" s="24">
        <v>1750</v>
      </c>
      <c r="R430" s="24" t="s">
        <v>809</v>
      </c>
      <c r="S430" s="24" t="s">
        <v>675</v>
      </c>
      <c r="T430" s="24">
        <v>131</v>
      </c>
      <c r="U430" s="24" t="s">
        <v>810</v>
      </c>
      <c r="V430" s="24" t="s">
        <v>807</v>
      </c>
      <c r="W430" s="26"/>
      <c r="X430" s="26"/>
      <c r="Y430" s="26"/>
      <c r="Z430" s="26"/>
      <c r="AA430" s="26"/>
      <c r="AB430" s="26"/>
      <c r="AC430" s="26"/>
      <c r="AD430" s="26"/>
      <c r="AE430" s="26"/>
      <c r="AF430" s="26"/>
      <c r="AG430" s="26"/>
      <c r="AH430" s="33" t="s">
        <v>1260</v>
      </c>
      <c r="AI430" s="23" t="s">
        <v>811</v>
      </c>
      <c r="AJ430" s="33" t="str">
        <f t="shared" si="6"/>
        <v>PD5D_MB_Moactcseq/samples/PD_BN2003_MB_MOactcseq_batch4_rep2.h5</v>
      </c>
      <c r="AK430" t="s">
        <v>1290</v>
      </c>
    </row>
    <row r="431" spans="1:37">
      <c r="A431" s="23" t="s">
        <v>1148</v>
      </c>
      <c r="B431" s="23" t="s">
        <v>89</v>
      </c>
      <c r="C431" s="23" t="s">
        <v>89</v>
      </c>
      <c r="D431" s="23" t="s">
        <v>689</v>
      </c>
      <c r="E431" s="23">
        <v>2</v>
      </c>
      <c r="F431" s="23">
        <v>1</v>
      </c>
      <c r="G431" s="23" t="s">
        <v>1149</v>
      </c>
      <c r="H431" s="23" t="s">
        <v>668</v>
      </c>
      <c r="I431" s="23" t="s">
        <v>669</v>
      </c>
      <c r="J431" s="23" t="s">
        <v>670</v>
      </c>
      <c r="K431" s="23" t="s">
        <v>671</v>
      </c>
      <c r="L431" s="23" t="s">
        <v>669</v>
      </c>
      <c r="M431" s="23" t="s">
        <v>672</v>
      </c>
      <c r="N431" s="23">
        <v>7.7</v>
      </c>
      <c r="O431" s="23">
        <v>7.7</v>
      </c>
      <c r="P431" s="23" t="s">
        <v>1150</v>
      </c>
      <c r="Q431" s="31">
        <v>4713</v>
      </c>
      <c r="R431" s="23" t="s">
        <v>1151</v>
      </c>
      <c r="S431" s="23" t="s">
        <v>675</v>
      </c>
      <c r="T431" s="23"/>
      <c r="U431" s="23" t="s">
        <v>1152</v>
      </c>
      <c r="V431" s="23"/>
      <c r="W431" s="23"/>
      <c r="X431" s="23"/>
      <c r="Y431" s="23"/>
      <c r="Z431" s="23"/>
      <c r="AA431" s="23"/>
      <c r="AB431" s="23" t="s">
        <v>1153</v>
      </c>
      <c r="AC431" s="23"/>
      <c r="AD431" s="23"/>
      <c r="AH431" s="33" t="s">
        <v>1261</v>
      </c>
      <c r="AI431" s="23" t="s">
        <v>1264</v>
      </c>
      <c r="AJ431" s="33" t="str">
        <f t="shared" si="6"/>
        <v>PD5D_MTG_VisiumST/samples/ILB_BN0602_MTG_VisiumST_batch81_rep2.h5</v>
      </c>
      <c r="AK431" t="s">
        <v>1290</v>
      </c>
    </row>
    <row r="432" spans="1:37">
      <c r="A432" s="23" t="s">
        <v>1155</v>
      </c>
      <c r="B432" s="23" t="s">
        <v>131</v>
      </c>
      <c r="C432" s="23" t="s">
        <v>131</v>
      </c>
      <c r="D432" s="23" t="s">
        <v>666</v>
      </c>
      <c r="E432" s="23">
        <v>1</v>
      </c>
      <c r="F432" s="23">
        <v>0</v>
      </c>
      <c r="G432" s="23" t="s">
        <v>804</v>
      </c>
      <c r="H432" s="23" t="s">
        <v>668</v>
      </c>
      <c r="I432" s="23" t="s">
        <v>669</v>
      </c>
      <c r="J432" s="23" t="s">
        <v>670</v>
      </c>
      <c r="K432" s="23" t="s">
        <v>671</v>
      </c>
      <c r="L432" s="23" t="s">
        <v>669</v>
      </c>
      <c r="M432" s="23" t="s">
        <v>672</v>
      </c>
      <c r="N432" s="23">
        <v>7.6</v>
      </c>
      <c r="O432" s="23">
        <v>7.6</v>
      </c>
      <c r="P432" s="23" t="s">
        <v>1150</v>
      </c>
      <c r="Q432" s="31">
        <v>3508</v>
      </c>
      <c r="R432" s="23" t="s">
        <v>1151</v>
      </c>
      <c r="S432" s="23" t="s">
        <v>675</v>
      </c>
      <c r="T432" s="23"/>
      <c r="U432" s="23" t="s">
        <v>1152</v>
      </c>
      <c r="V432" s="23"/>
      <c r="W432" s="23"/>
      <c r="X432" s="23"/>
      <c r="Y432" s="23"/>
      <c r="Z432" s="23"/>
      <c r="AA432" s="23"/>
      <c r="AB432" s="23" t="s">
        <v>1153</v>
      </c>
      <c r="AC432" s="23"/>
      <c r="AD432" s="23"/>
      <c r="AH432" s="33" t="s">
        <v>1261</v>
      </c>
      <c r="AI432" s="23" t="s">
        <v>1264</v>
      </c>
      <c r="AJ432" s="33" t="str">
        <f t="shared" si="6"/>
        <v>PD5D_MTG_VisiumST/samples/PD_BN1317_MTG_VisiumST_batch25_rep1.h5</v>
      </c>
      <c r="AK432" t="s">
        <v>1290</v>
      </c>
    </row>
    <row r="433" spans="1:37">
      <c r="A433" s="23" t="s">
        <v>1156</v>
      </c>
      <c r="B433" s="23" t="s">
        <v>112</v>
      </c>
      <c r="C433" s="23" t="s">
        <v>112</v>
      </c>
      <c r="D433" s="23" t="s">
        <v>814</v>
      </c>
      <c r="E433" s="23">
        <v>3</v>
      </c>
      <c r="F433" s="23">
        <v>1</v>
      </c>
      <c r="G433" s="23" t="s">
        <v>1149</v>
      </c>
      <c r="H433" s="23" t="s">
        <v>668</v>
      </c>
      <c r="I433" s="23" t="s">
        <v>669</v>
      </c>
      <c r="J433" s="23" t="s">
        <v>670</v>
      </c>
      <c r="K433" s="23" t="s">
        <v>671</v>
      </c>
      <c r="L433" s="23" t="s">
        <v>669</v>
      </c>
      <c r="M433" s="23" t="s">
        <v>672</v>
      </c>
      <c r="N433" s="23">
        <v>6.8</v>
      </c>
      <c r="O433" s="23">
        <v>6.8</v>
      </c>
      <c r="P433" s="23" t="s">
        <v>1150</v>
      </c>
      <c r="Q433" s="31">
        <v>4260</v>
      </c>
      <c r="R433" s="23" t="s">
        <v>1151</v>
      </c>
      <c r="S433" s="23" t="s">
        <v>675</v>
      </c>
      <c r="T433" s="23"/>
      <c r="U433" s="23" t="s">
        <v>1152</v>
      </c>
      <c r="V433" s="23"/>
      <c r="W433" s="23"/>
      <c r="X433" s="23"/>
      <c r="Y433" s="23"/>
      <c r="Z433" s="23"/>
      <c r="AA433" s="23"/>
      <c r="AB433" s="23" t="s">
        <v>1153</v>
      </c>
      <c r="AC433" s="23"/>
      <c r="AD433" s="23"/>
      <c r="AH433" s="33" t="s">
        <v>1261</v>
      </c>
      <c r="AI433" s="23" t="s">
        <v>1264</v>
      </c>
      <c r="AJ433" s="33" t="str">
        <f t="shared" si="6"/>
        <v>PD5D_MTG_VisiumST/samples/HC_BN1022_MTG_VisiumST_batch81_rep3.h5</v>
      </c>
      <c r="AK433" t="s">
        <v>1290</v>
      </c>
    </row>
    <row r="434" spans="1:37">
      <c r="A434" s="23" t="s">
        <v>1157</v>
      </c>
      <c r="B434" s="23" t="s">
        <v>157</v>
      </c>
      <c r="C434" s="23" t="s">
        <v>157</v>
      </c>
      <c r="D434" s="23" t="s">
        <v>666</v>
      </c>
      <c r="E434" s="23">
        <v>2</v>
      </c>
      <c r="F434" s="23">
        <v>1</v>
      </c>
      <c r="G434" s="23" t="s">
        <v>694</v>
      </c>
      <c r="H434" s="23" t="s">
        <v>668</v>
      </c>
      <c r="I434" s="23" t="s">
        <v>669</v>
      </c>
      <c r="J434" s="23" t="s">
        <v>670</v>
      </c>
      <c r="K434" s="23" t="s">
        <v>671</v>
      </c>
      <c r="L434" s="23" t="s">
        <v>669</v>
      </c>
      <c r="M434" s="23" t="s">
        <v>672</v>
      </c>
      <c r="N434" s="23">
        <v>9.4</v>
      </c>
      <c r="O434" s="23">
        <v>9.4</v>
      </c>
      <c r="P434" s="23" t="s">
        <v>1150</v>
      </c>
      <c r="Q434" s="31">
        <v>2543</v>
      </c>
      <c r="R434" s="23" t="s">
        <v>1151</v>
      </c>
      <c r="S434" s="23" t="s">
        <v>675</v>
      </c>
      <c r="T434" s="23"/>
      <c r="U434" s="23" t="s">
        <v>1152</v>
      </c>
      <c r="V434" s="23"/>
      <c r="W434" s="23"/>
      <c r="X434" s="23"/>
      <c r="Y434" s="23"/>
      <c r="Z434" s="23"/>
      <c r="AA434" s="23"/>
      <c r="AB434" s="23" t="s">
        <v>1153</v>
      </c>
      <c r="AC434" s="23"/>
      <c r="AD434" s="23"/>
      <c r="AH434" s="33" t="s">
        <v>1261</v>
      </c>
      <c r="AI434" s="23" t="s">
        <v>1264</v>
      </c>
      <c r="AJ434" s="33" t="str">
        <f t="shared" si="6"/>
        <v>PD5D_MTG_VisiumST/samples/PD_BN1554_MTG_VisiumST_batch3_rep1.h5</v>
      </c>
      <c r="AK434" t="s">
        <v>1290</v>
      </c>
    </row>
    <row r="435" spans="1:37">
      <c r="A435" s="23" t="s">
        <v>1158</v>
      </c>
      <c r="B435" s="23" t="s">
        <v>169</v>
      </c>
      <c r="C435" s="23" t="s">
        <v>169</v>
      </c>
      <c r="D435" s="23" t="s">
        <v>666</v>
      </c>
      <c r="E435" s="23">
        <v>1</v>
      </c>
      <c r="F435" s="23">
        <v>0</v>
      </c>
      <c r="G435" s="23" t="s">
        <v>690</v>
      </c>
      <c r="H435" s="23" t="s">
        <v>668</v>
      </c>
      <c r="I435" s="23" t="s">
        <v>669</v>
      </c>
      <c r="J435" s="23" t="s">
        <v>670</v>
      </c>
      <c r="K435" s="23" t="s">
        <v>671</v>
      </c>
      <c r="L435" s="23" t="s">
        <v>669</v>
      </c>
      <c r="M435" s="23" t="s">
        <v>672</v>
      </c>
      <c r="N435" s="23">
        <v>9.4</v>
      </c>
      <c r="O435" s="23">
        <v>9.4</v>
      </c>
      <c r="P435" s="23" t="s">
        <v>1150</v>
      </c>
      <c r="Q435" s="31">
        <v>3795</v>
      </c>
      <c r="R435" s="23" t="s">
        <v>1151</v>
      </c>
      <c r="S435" s="23" t="s">
        <v>675</v>
      </c>
      <c r="T435" s="23"/>
      <c r="U435" s="23" t="s">
        <v>1152</v>
      </c>
      <c r="V435" s="23"/>
      <c r="W435" s="23"/>
      <c r="X435" s="23"/>
      <c r="Y435" s="23"/>
      <c r="Z435" s="23"/>
      <c r="AA435" s="23"/>
      <c r="AB435" s="23" t="s">
        <v>1153</v>
      </c>
      <c r="AC435" s="23"/>
      <c r="AD435" s="23"/>
      <c r="AH435" s="33" t="s">
        <v>1261</v>
      </c>
      <c r="AI435" s="23" t="s">
        <v>1264</v>
      </c>
      <c r="AJ435" s="33" t="str">
        <f t="shared" si="6"/>
        <v>PD5D_MTG_VisiumST/samples/HC_BN1719_MTG_VisiumST_batch26_rep1.h5</v>
      </c>
      <c r="AK435" t="s">
        <v>1290</v>
      </c>
    </row>
    <row r="436" spans="1:37">
      <c r="A436" s="23" t="s">
        <v>1159</v>
      </c>
      <c r="B436" s="23" t="s">
        <v>141</v>
      </c>
      <c r="C436" s="23" t="s">
        <v>141</v>
      </c>
      <c r="D436" s="23" t="s">
        <v>689</v>
      </c>
      <c r="E436" s="23">
        <v>3</v>
      </c>
      <c r="F436" s="23">
        <v>1</v>
      </c>
      <c r="G436" s="23" t="s">
        <v>667</v>
      </c>
      <c r="H436" s="23" t="s">
        <v>668</v>
      </c>
      <c r="I436" s="23" t="s">
        <v>669</v>
      </c>
      <c r="J436" s="23" t="s">
        <v>670</v>
      </c>
      <c r="K436" s="23" t="s">
        <v>671</v>
      </c>
      <c r="L436" s="23" t="s">
        <v>669</v>
      </c>
      <c r="M436" s="23" t="s">
        <v>672</v>
      </c>
      <c r="N436" s="23">
        <v>9.4</v>
      </c>
      <c r="O436" s="23">
        <v>9.4</v>
      </c>
      <c r="P436" s="23" t="s">
        <v>1150</v>
      </c>
      <c r="Q436" s="31">
        <v>2904</v>
      </c>
      <c r="R436" s="23" t="s">
        <v>1151</v>
      </c>
      <c r="S436" s="23" t="s">
        <v>675</v>
      </c>
      <c r="T436" s="23"/>
      <c r="U436" s="23" t="s">
        <v>1152</v>
      </c>
      <c r="V436" s="23"/>
      <c r="W436" s="23"/>
      <c r="X436" s="23"/>
      <c r="Y436" s="23"/>
      <c r="Z436" s="23"/>
      <c r="AA436" s="23"/>
      <c r="AB436" s="23" t="s">
        <v>1153</v>
      </c>
      <c r="AC436" s="23"/>
      <c r="AD436" s="23"/>
      <c r="AH436" s="33" t="s">
        <v>1261</v>
      </c>
      <c r="AI436" s="23" t="s">
        <v>1264</v>
      </c>
      <c r="AJ436" s="33" t="str">
        <f t="shared" si="6"/>
        <v>PD5D_MTG_VisiumST/samples/PD_BN1412_MTG_VisiumST_batch1_rep2.h5</v>
      </c>
      <c r="AK436" t="s">
        <v>1290</v>
      </c>
    </row>
    <row r="437" spans="1:37">
      <c r="A437" s="23" t="s">
        <v>1160</v>
      </c>
      <c r="B437" s="23" t="s">
        <v>112</v>
      </c>
      <c r="C437" s="23" t="s">
        <v>112</v>
      </c>
      <c r="D437" s="23" t="s">
        <v>689</v>
      </c>
      <c r="E437" s="23">
        <v>3</v>
      </c>
      <c r="F437" s="23">
        <v>1</v>
      </c>
      <c r="G437" s="23" t="s">
        <v>708</v>
      </c>
      <c r="H437" s="23" t="s">
        <v>668</v>
      </c>
      <c r="I437" s="23" t="s">
        <v>669</v>
      </c>
      <c r="J437" s="23" t="s">
        <v>670</v>
      </c>
      <c r="K437" s="23" t="s">
        <v>671</v>
      </c>
      <c r="L437" s="23" t="s">
        <v>669</v>
      </c>
      <c r="M437" s="23" t="s">
        <v>672</v>
      </c>
      <c r="N437" s="23">
        <v>6.8</v>
      </c>
      <c r="O437" s="23">
        <v>6.8</v>
      </c>
      <c r="P437" s="23" t="s">
        <v>1150</v>
      </c>
      <c r="Q437" s="31">
        <v>2940</v>
      </c>
      <c r="R437" s="23" t="s">
        <v>1151</v>
      </c>
      <c r="S437" s="23" t="s">
        <v>675</v>
      </c>
      <c r="T437" s="23"/>
      <c r="U437" s="23" t="s">
        <v>1152</v>
      </c>
      <c r="V437" s="23"/>
      <c r="W437" s="23"/>
      <c r="X437" s="23"/>
      <c r="Y437" s="23"/>
      <c r="Z437" s="23"/>
      <c r="AA437" s="23"/>
      <c r="AB437" s="23" t="s">
        <v>1153</v>
      </c>
      <c r="AC437" s="23"/>
      <c r="AD437" s="23"/>
      <c r="AH437" s="33" t="s">
        <v>1261</v>
      </c>
      <c r="AI437" s="23" t="s">
        <v>1264</v>
      </c>
      <c r="AJ437" s="33" t="str">
        <f t="shared" si="6"/>
        <v>PD5D_MTG_VisiumST/samples/HC_BN1022_MTG_VisiumST_batch27_rep2.h5</v>
      </c>
      <c r="AK437" t="s">
        <v>1290</v>
      </c>
    </row>
    <row r="438" spans="1:37">
      <c r="A438" s="23" t="s">
        <v>1161</v>
      </c>
      <c r="B438" s="23" t="s">
        <v>235</v>
      </c>
      <c r="C438" s="23" t="s">
        <v>235</v>
      </c>
      <c r="D438" s="23" t="s">
        <v>666</v>
      </c>
      <c r="E438" s="23">
        <v>1</v>
      </c>
      <c r="F438" s="23">
        <v>0</v>
      </c>
      <c r="G438" s="23" t="s">
        <v>771</v>
      </c>
      <c r="H438" s="23" t="s">
        <v>668</v>
      </c>
      <c r="I438" s="23" t="s">
        <v>669</v>
      </c>
      <c r="J438" s="23" t="s">
        <v>670</v>
      </c>
      <c r="K438" s="23" t="s">
        <v>671</v>
      </c>
      <c r="L438" s="23" t="s">
        <v>669</v>
      </c>
      <c r="M438" s="23" t="s">
        <v>672</v>
      </c>
      <c r="N438" s="23">
        <v>8.9</v>
      </c>
      <c r="O438" s="23">
        <v>8.9</v>
      </c>
      <c r="P438" s="23" t="s">
        <v>1150</v>
      </c>
      <c r="Q438" s="31">
        <v>3538</v>
      </c>
      <c r="R438" s="23" t="s">
        <v>1151</v>
      </c>
      <c r="S438" s="23" t="s">
        <v>675</v>
      </c>
      <c r="T438" s="23"/>
      <c r="U438" s="23" t="s">
        <v>1152</v>
      </c>
      <c r="V438" s="23"/>
      <c r="W438" s="23"/>
      <c r="X438" s="23"/>
      <c r="Y438" s="23"/>
      <c r="Z438" s="23"/>
      <c r="AA438" s="23"/>
      <c r="AB438" s="23" t="s">
        <v>1153</v>
      </c>
      <c r="AC438" s="23"/>
      <c r="AD438" s="23"/>
      <c r="AH438" s="33" t="s">
        <v>1261</v>
      </c>
      <c r="AI438" s="23" t="s">
        <v>1264</v>
      </c>
      <c r="AJ438" s="33" t="str">
        <f t="shared" si="6"/>
        <v>PD5D_MTG_VisiumST/samples/PD_BN1959_MTG_VisiumST_batch22_rep1.h5</v>
      </c>
      <c r="AK438" t="s">
        <v>1290</v>
      </c>
    </row>
    <row r="439" spans="1:37">
      <c r="A439" s="23" t="s">
        <v>1162</v>
      </c>
      <c r="B439" s="23" t="s">
        <v>141</v>
      </c>
      <c r="C439" s="23" t="s">
        <v>141</v>
      </c>
      <c r="D439" s="23" t="s">
        <v>814</v>
      </c>
      <c r="E439" s="23">
        <v>3</v>
      </c>
      <c r="F439" s="23">
        <v>1</v>
      </c>
      <c r="G439" s="23" t="s">
        <v>1149</v>
      </c>
      <c r="H439" s="23" t="s">
        <v>668</v>
      </c>
      <c r="I439" s="23" t="s">
        <v>669</v>
      </c>
      <c r="J439" s="23" t="s">
        <v>670</v>
      </c>
      <c r="K439" s="23" t="s">
        <v>671</v>
      </c>
      <c r="L439" s="23" t="s">
        <v>669</v>
      </c>
      <c r="M439" s="23" t="s">
        <v>672</v>
      </c>
      <c r="N439" s="23">
        <v>9.4</v>
      </c>
      <c r="O439" s="23">
        <v>9.4</v>
      </c>
      <c r="P439" s="23" t="s">
        <v>1150</v>
      </c>
      <c r="Q439" s="31">
        <v>3718</v>
      </c>
      <c r="R439" s="23" t="s">
        <v>1151</v>
      </c>
      <c r="S439" s="23" t="s">
        <v>675</v>
      </c>
      <c r="T439" s="23"/>
      <c r="U439" s="23" t="s">
        <v>1152</v>
      </c>
      <c r="V439" s="23"/>
      <c r="W439" s="23"/>
      <c r="X439" s="23"/>
      <c r="Y439" s="23"/>
      <c r="Z439" s="23"/>
      <c r="AA439" s="23"/>
      <c r="AB439" s="23" t="s">
        <v>1153</v>
      </c>
      <c r="AC439" s="23"/>
      <c r="AD439" s="23"/>
      <c r="AH439" s="33" t="s">
        <v>1261</v>
      </c>
      <c r="AI439" s="23" t="s">
        <v>1264</v>
      </c>
      <c r="AJ439" s="33" t="str">
        <f t="shared" si="6"/>
        <v>PD5D_MTG_VisiumST/samples/PD_BN1412_MTG_VisiumST_batch81_rep3.h5</v>
      </c>
      <c r="AK439" t="s">
        <v>1290</v>
      </c>
    </row>
    <row r="440" spans="1:37">
      <c r="A440" s="23" t="s">
        <v>1163</v>
      </c>
      <c r="B440" s="23" t="s">
        <v>91</v>
      </c>
      <c r="C440" s="23" t="s">
        <v>91</v>
      </c>
      <c r="D440" s="23" t="s">
        <v>666</v>
      </c>
      <c r="E440" s="23">
        <v>1</v>
      </c>
      <c r="F440" s="23">
        <v>0</v>
      </c>
      <c r="G440" s="23" t="s">
        <v>746</v>
      </c>
      <c r="H440" s="23" t="s">
        <v>668</v>
      </c>
      <c r="I440" s="23" t="s">
        <v>669</v>
      </c>
      <c r="J440" s="23" t="s">
        <v>670</v>
      </c>
      <c r="K440" s="23" t="s">
        <v>671</v>
      </c>
      <c r="L440" s="23" t="s">
        <v>669</v>
      </c>
      <c r="M440" s="23" t="s">
        <v>672</v>
      </c>
      <c r="N440" s="23">
        <v>8.5</v>
      </c>
      <c r="O440" s="23">
        <v>8.5</v>
      </c>
      <c r="P440" s="23" t="s">
        <v>1150</v>
      </c>
      <c r="Q440" s="31">
        <v>3257</v>
      </c>
      <c r="R440" s="23" t="s">
        <v>1151</v>
      </c>
      <c r="S440" s="23" t="s">
        <v>675</v>
      </c>
      <c r="T440" s="23"/>
      <c r="U440" s="23" t="s">
        <v>1152</v>
      </c>
      <c r="V440" s="23"/>
      <c r="W440" s="23"/>
      <c r="X440" s="23"/>
      <c r="Y440" s="23"/>
      <c r="Z440" s="23"/>
      <c r="AA440" s="23"/>
      <c r="AB440" s="23" t="s">
        <v>1153</v>
      </c>
      <c r="AC440" s="23"/>
      <c r="AD440" s="23"/>
      <c r="AH440" s="33" t="s">
        <v>1261</v>
      </c>
      <c r="AI440" s="23" t="s">
        <v>1264</v>
      </c>
      <c r="AJ440" s="33" t="str">
        <f t="shared" si="6"/>
        <v>PD5D_MTG_VisiumST/samples/HC_BN0635_MTG_VisiumST_batch18_rep1.h5</v>
      </c>
      <c r="AK440" t="s">
        <v>1290</v>
      </c>
    </row>
    <row r="441" spans="1:37">
      <c r="A441" s="23" t="s">
        <v>1164</v>
      </c>
      <c r="B441" s="23" t="s">
        <v>141</v>
      </c>
      <c r="C441" s="23" t="s">
        <v>141</v>
      </c>
      <c r="D441" s="23" t="s">
        <v>666</v>
      </c>
      <c r="E441" s="23">
        <v>3</v>
      </c>
      <c r="F441" s="23">
        <v>1</v>
      </c>
      <c r="G441" s="23" t="s">
        <v>667</v>
      </c>
      <c r="H441" s="23" t="s">
        <v>668</v>
      </c>
      <c r="I441" s="23" t="s">
        <v>669</v>
      </c>
      <c r="J441" s="23" t="s">
        <v>670</v>
      </c>
      <c r="K441" s="23" t="s">
        <v>671</v>
      </c>
      <c r="L441" s="23" t="s">
        <v>669</v>
      </c>
      <c r="M441" s="23" t="s">
        <v>672</v>
      </c>
      <c r="N441" s="23">
        <v>9.4</v>
      </c>
      <c r="O441" s="23">
        <v>9.4</v>
      </c>
      <c r="P441" s="23" t="s">
        <v>1150</v>
      </c>
      <c r="Q441" s="31">
        <v>3465</v>
      </c>
      <c r="R441" s="23" t="s">
        <v>1151</v>
      </c>
      <c r="S441" s="23" t="s">
        <v>675</v>
      </c>
      <c r="T441" s="23"/>
      <c r="U441" s="23" t="s">
        <v>1152</v>
      </c>
      <c r="V441" s="23"/>
      <c r="W441" s="23"/>
      <c r="X441" s="23"/>
      <c r="Y441" s="23"/>
      <c r="Z441" s="23"/>
      <c r="AA441" s="23"/>
      <c r="AB441" s="23" t="s">
        <v>1153</v>
      </c>
      <c r="AC441" s="23"/>
      <c r="AD441" s="23"/>
      <c r="AH441" s="33" t="s">
        <v>1261</v>
      </c>
      <c r="AI441" s="23" t="s">
        <v>1264</v>
      </c>
      <c r="AJ441" s="33" t="str">
        <f t="shared" si="6"/>
        <v>PD5D_MTG_VisiumST/samples/PD_BN1412_MTG_VisiumST_batch1_rep1.h5</v>
      </c>
      <c r="AK441" t="s">
        <v>1290</v>
      </c>
    </row>
    <row r="442" spans="1:37">
      <c r="A442" s="23" t="s">
        <v>1165</v>
      </c>
      <c r="B442" s="23" t="s">
        <v>121</v>
      </c>
      <c r="C442" s="23" t="s">
        <v>121</v>
      </c>
      <c r="D442" s="23" t="s">
        <v>666</v>
      </c>
      <c r="E442" s="23">
        <v>1</v>
      </c>
      <c r="F442" s="23">
        <v>0</v>
      </c>
      <c r="G442" s="23" t="s">
        <v>781</v>
      </c>
      <c r="H442" s="23" t="s">
        <v>668</v>
      </c>
      <c r="I442" s="23" t="s">
        <v>669</v>
      </c>
      <c r="J442" s="23" t="s">
        <v>670</v>
      </c>
      <c r="K442" s="23" t="s">
        <v>671</v>
      </c>
      <c r="L442" s="23" t="s">
        <v>669</v>
      </c>
      <c r="M442" s="23" t="s">
        <v>672</v>
      </c>
      <c r="N442" s="23">
        <v>7.5</v>
      </c>
      <c r="O442" s="23">
        <v>7.5</v>
      </c>
      <c r="P442" s="23" t="s">
        <v>1150</v>
      </c>
      <c r="Q442" s="31">
        <v>3335</v>
      </c>
      <c r="R442" s="23" t="s">
        <v>1151</v>
      </c>
      <c r="S442" s="23" t="s">
        <v>675</v>
      </c>
      <c r="T442" s="23"/>
      <c r="U442" s="23" t="s">
        <v>1152</v>
      </c>
      <c r="V442" s="23"/>
      <c r="W442" s="23"/>
      <c r="X442" s="23"/>
      <c r="Y442" s="23"/>
      <c r="Z442" s="23"/>
      <c r="AA442" s="23"/>
      <c r="AB442" s="23" t="s">
        <v>1153</v>
      </c>
      <c r="AC442" s="23"/>
      <c r="AD442" s="23"/>
      <c r="AH442" s="33" t="s">
        <v>1261</v>
      </c>
      <c r="AI442" s="23" t="s">
        <v>1264</v>
      </c>
      <c r="AJ442" s="33" t="str">
        <f t="shared" si="6"/>
        <v>PD5D_MTG_VisiumST/samples/PD_BN1204_MTG_VisiumST_batch24_rep1.h5</v>
      </c>
      <c r="AK442" t="s">
        <v>1290</v>
      </c>
    </row>
    <row r="443" spans="1:37">
      <c r="A443" s="23" t="s">
        <v>1166</v>
      </c>
      <c r="B443" s="23" t="s">
        <v>89</v>
      </c>
      <c r="C443" s="23" t="s">
        <v>89</v>
      </c>
      <c r="D443" s="23" t="s">
        <v>666</v>
      </c>
      <c r="E443" s="23">
        <v>2</v>
      </c>
      <c r="F443" s="23">
        <v>1</v>
      </c>
      <c r="G443" s="23" t="s">
        <v>750</v>
      </c>
      <c r="H443" s="23" t="s">
        <v>668</v>
      </c>
      <c r="I443" s="23" t="s">
        <v>669</v>
      </c>
      <c r="J443" s="23" t="s">
        <v>670</v>
      </c>
      <c r="K443" s="23" t="s">
        <v>671</v>
      </c>
      <c r="L443" s="23" t="s">
        <v>669</v>
      </c>
      <c r="M443" s="23" t="s">
        <v>672</v>
      </c>
      <c r="N443" s="23">
        <v>7.7</v>
      </c>
      <c r="O443" s="23">
        <v>7.7</v>
      </c>
      <c r="P443" s="23" t="s">
        <v>1150</v>
      </c>
      <c r="Q443" s="31">
        <v>3623</v>
      </c>
      <c r="R443" s="23" t="s">
        <v>1151</v>
      </c>
      <c r="S443" s="23" t="s">
        <v>675</v>
      </c>
      <c r="T443" s="23"/>
      <c r="U443" s="23" t="s">
        <v>1152</v>
      </c>
      <c r="V443" s="23"/>
      <c r="W443" s="23"/>
      <c r="X443" s="23"/>
      <c r="Y443" s="23"/>
      <c r="Z443" s="23"/>
      <c r="AA443" s="23"/>
      <c r="AB443" s="23" t="s">
        <v>1153</v>
      </c>
      <c r="AC443" s="23"/>
      <c r="AD443" s="23"/>
      <c r="AH443" s="33" t="s">
        <v>1261</v>
      </c>
      <c r="AI443" s="23" t="s">
        <v>1264</v>
      </c>
      <c r="AJ443" s="33" t="str">
        <f t="shared" si="6"/>
        <v>PD5D_MTG_VisiumST/samples/ILB_BN0602_MTG_VisiumST_batch19_rep1.h5</v>
      </c>
      <c r="AK443" t="s">
        <v>1290</v>
      </c>
    </row>
    <row r="444" spans="1:37">
      <c r="A444" s="23" t="s">
        <v>1167</v>
      </c>
      <c r="B444" s="23" t="s">
        <v>179</v>
      </c>
      <c r="C444" s="23" t="s">
        <v>179</v>
      </c>
      <c r="D444" s="23" t="s">
        <v>666</v>
      </c>
      <c r="E444" s="23">
        <v>1</v>
      </c>
      <c r="F444" s="23">
        <v>0</v>
      </c>
      <c r="G444" s="23" t="s">
        <v>733</v>
      </c>
      <c r="H444" s="23" t="s">
        <v>668</v>
      </c>
      <c r="I444" s="23" t="s">
        <v>669</v>
      </c>
      <c r="J444" s="23" t="s">
        <v>670</v>
      </c>
      <c r="K444" s="23" t="s">
        <v>671</v>
      </c>
      <c r="L444" s="23" t="s">
        <v>669</v>
      </c>
      <c r="M444" s="23" t="s">
        <v>672</v>
      </c>
      <c r="N444" s="23">
        <v>10</v>
      </c>
      <c r="O444" s="23">
        <v>10</v>
      </c>
      <c r="P444" s="23" t="s">
        <v>1150</v>
      </c>
      <c r="Q444" s="31">
        <v>4290</v>
      </c>
      <c r="R444" s="23" t="s">
        <v>1151</v>
      </c>
      <c r="S444" s="23" t="s">
        <v>675</v>
      </c>
      <c r="T444" s="23"/>
      <c r="U444" s="23" t="s">
        <v>1152</v>
      </c>
      <c r="V444" s="23"/>
      <c r="W444" s="23"/>
      <c r="X444" s="23"/>
      <c r="Y444" s="23"/>
      <c r="Z444" s="23"/>
      <c r="AA444" s="23"/>
      <c r="AB444" s="23" t="s">
        <v>1153</v>
      </c>
      <c r="AC444" s="23"/>
      <c r="AD444" s="23"/>
      <c r="AH444" s="33" t="s">
        <v>1261</v>
      </c>
      <c r="AI444" s="23" t="s">
        <v>1264</v>
      </c>
      <c r="AJ444" s="33" t="str">
        <f t="shared" si="6"/>
        <v>PD5D_MTG_VisiumST/samples/ILB_BN1741_MTG_VisiumST_batch15_rep1.h5</v>
      </c>
      <c r="AK444" t="s">
        <v>1290</v>
      </c>
    </row>
    <row r="445" spans="1:37">
      <c r="A445" s="23" t="s">
        <v>1168</v>
      </c>
      <c r="B445" s="23" t="s">
        <v>65</v>
      </c>
      <c r="C445" s="23" t="s">
        <v>65</v>
      </c>
      <c r="D445" s="23" t="s">
        <v>666</v>
      </c>
      <c r="E445" s="23">
        <v>1</v>
      </c>
      <c r="F445" s="23">
        <v>0</v>
      </c>
      <c r="G445" s="23" t="s">
        <v>686</v>
      </c>
      <c r="H445" s="23" t="s">
        <v>668</v>
      </c>
      <c r="I445" s="23" t="s">
        <v>669</v>
      </c>
      <c r="J445" s="23" t="s">
        <v>670</v>
      </c>
      <c r="K445" s="23" t="s">
        <v>671</v>
      </c>
      <c r="L445" s="23" t="s">
        <v>669</v>
      </c>
      <c r="M445" s="23" t="s">
        <v>672</v>
      </c>
      <c r="N445" s="23">
        <v>8.5</v>
      </c>
      <c r="O445" s="23">
        <v>8.5</v>
      </c>
      <c r="P445" s="23" t="s">
        <v>1150</v>
      </c>
      <c r="Q445" s="31">
        <v>2977</v>
      </c>
      <c r="R445" s="23" t="s">
        <v>1151</v>
      </c>
      <c r="S445" s="23" t="s">
        <v>675</v>
      </c>
      <c r="T445" s="23"/>
      <c r="U445" s="23" t="s">
        <v>1152</v>
      </c>
      <c r="V445" s="23"/>
      <c r="W445" s="23"/>
      <c r="X445" s="23"/>
      <c r="Y445" s="23"/>
      <c r="Z445" s="23"/>
      <c r="AA445" s="23"/>
      <c r="AB445" s="23" t="s">
        <v>1153</v>
      </c>
      <c r="AC445" s="23"/>
      <c r="AD445" s="23"/>
      <c r="AH445" s="33" t="s">
        <v>1261</v>
      </c>
      <c r="AI445" s="23" t="s">
        <v>1264</v>
      </c>
      <c r="AJ445" s="33" t="str">
        <f t="shared" si="6"/>
        <v>PD5D_MTG_VisiumST/samples/PD_BN0329_MTG_VisiumST_batch7_rep1.h5</v>
      </c>
      <c r="AK445" t="s">
        <v>1290</v>
      </c>
    </row>
    <row r="446" spans="1:37">
      <c r="A446" s="23" t="s">
        <v>1169</v>
      </c>
      <c r="B446" s="23" t="s">
        <v>87</v>
      </c>
      <c r="C446" s="23" t="s">
        <v>87</v>
      </c>
      <c r="D446" s="23" t="s">
        <v>666</v>
      </c>
      <c r="E446" s="23">
        <v>1</v>
      </c>
      <c r="F446" s="23">
        <v>0</v>
      </c>
      <c r="G446" s="23" t="s">
        <v>692</v>
      </c>
      <c r="H446" s="23" t="s">
        <v>668</v>
      </c>
      <c r="I446" s="23" t="s">
        <v>669</v>
      </c>
      <c r="J446" s="23" t="s">
        <v>670</v>
      </c>
      <c r="K446" s="23" t="s">
        <v>671</v>
      </c>
      <c r="L446" s="23" t="s">
        <v>669</v>
      </c>
      <c r="M446" s="23" t="s">
        <v>672</v>
      </c>
      <c r="N446" s="23">
        <v>8.8000000000000007</v>
      </c>
      <c r="O446" s="23">
        <v>8.8000000000000007</v>
      </c>
      <c r="P446" s="23" t="s">
        <v>1150</v>
      </c>
      <c r="Q446" s="31">
        <v>3511</v>
      </c>
      <c r="R446" s="23" t="s">
        <v>1151</v>
      </c>
      <c r="S446" s="23" t="s">
        <v>675</v>
      </c>
      <c r="T446" s="23"/>
      <c r="U446" s="23" t="s">
        <v>1152</v>
      </c>
      <c r="V446" s="23"/>
      <c r="W446" s="23"/>
      <c r="X446" s="23"/>
      <c r="Y446" s="23"/>
      <c r="Z446" s="23"/>
      <c r="AA446" s="23"/>
      <c r="AB446" s="23" t="s">
        <v>1153</v>
      </c>
      <c r="AC446" s="23"/>
      <c r="AD446" s="23"/>
      <c r="AH446" s="33" t="s">
        <v>1261</v>
      </c>
      <c r="AI446" s="23" t="s">
        <v>1264</v>
      </c>
      <c r="AJ446" s="33" t="str">
        <f t="shared" si="6"/>
        <v>PD5D_MTG_VisiumST/samples/HC_BN0536_MTG_VisiumST_batch4_rep1.h5</v>
      </c>
      <c r="AK446" t="s">
        <v>1290</v>
      </c>
    </row>
    <row r="447" spans="1:37">
      <c r="A447" s="23" t="s">
        <v>1170</v>
      </c>
      <c r="B447" s="23" t="s">
        <v>137</v>
      </c>
      <c r="C447" s="23" t="s">
        <v>137</v>
      </c>
      <c r="D447" s="23" t="s">
        <v>666</v>
      </c>
      <c r="E447" s="23">
        <v>1</v>
      </c>
      <c r="F447" s="23">
        <v>0</v>
      </c>
      <c r="G447" s="23" t="s">
        <v>755</v>
      </c>
      <c r="H447" s="23" t="s">
        <v>668</v>
      </c>
      <c r="I447" s="23" t="s">
        <v>669</v>
      </c>
      <c r="J447" s="23" t="s">
        <v>670</v>
      </c>
      <c r="K447" s="23" t="s">
        <v>671</v>
      </c>
      <c r="L447" s="23" t="s">
        <v>669</v>
      </c>
      <c r="M447" s="23" t="s">
        <v>672</v>
      </c>
      <c r="N447" s="23">
        <v>9.3000000000000007</v>
      </c>
      <c r="O447" s="23">
        <v>9.3000000000000007</v>
      </c>
      <c r="P447" s="23" t="s">
        <v>1150</v>
      </c>
      <c r="Q447" s="31">
        <v>3688</v>
      </c>
      <c r="R447" s="23" t="s">
        <v>1151</v>
      </c>
      <c r="S447" s="23" t="s">
        <v>675</v>
      </c>
      <c r="T447" s="23"/>
      <c r="U447" s="23" t="s">
        <v>1152</v>
      </c>
      <c r="V447" s="23"/>
      <c r="W447" s="23"/>
      <c r="X447" s="23"/>
      <c r="Y447" s="23"/>
      <c r="Z447" s="23"/>
      <c r="AA447" s="23"/>
      <c r="AB447" s="23" t="s">
        <v>1153</v>
      </c>
      <c r="AC447" s="23"/>
      <c r="AD447" s="23"/>
      <c r="AH447" s="33" t="s">
        <v>1261</v>
      </c>
      <c r="AI447" s="23" t="s">
        <v>1264</v>
      </c>
      <c r="AJ447" s="33" t="str">
        <f t="shared" si="6"/>
        <v>PD5D_MTG_VisiumST/samples/ILB_BN1351_MTG_VisiumST_batch21_rep1.h5</v>
      </c>
      <c r="AK447" t="s">
        <v>1290</v>
      </c>
    </row>
    <row r="448" spans="1:37">
      <c r="A448" s="23" t="s">
        <v>1171</v>
      </c>
      <c r="B448" s="23" t="s">
        <v>189</v>
      </c>
      <c r="C448" s="23" t="s">
        <v>189</v>
      </c>
      <c r="D448" s="23" t="s">
        <v>666</v>
      </c>
      <c r="E448" s="23">
        <v>1</v>
      </c>
      <c r="F448" s="23">
        <v>0</v>
      </c>
      <c r="G448" s="23" t="s">
        <v>804</v>
      </c>
      <c r="H448" s="23" t="s">
        <v>668</v>
      </c>
      <c r="I448" s="23" t="s">
        <v>669</v>
      </c>
      <c r="J448" s="23" t="s">
        <v>670</v>
      </c>
      <c r="K448" s="23" t="s">
        <v>671</v>
      </c>
      <c r="L448" s="23" t="s">
        <v>669</v>
      </c>
      <c r="M448" s="23" t="s">
        <v>672</v>
      </c>
      <c r="N448" s="23">
        <v>7.3</v>
      </c>
      <c r="O448" s="23">
        <v>7.3</v>
      </c>
      <c r="P448" s="23" t="s">
        <v>1150</v>
      </c>
      <c r="Q448" s="31">
        <v>3811</v>
      </c>
      <c r="R448" s="23" t="s">
        <v>1151</v>
      </c>
      <c r="S448" s="23" t="s">
        <v>675</v>
      </c>
      <c r="T448" s="23"/>
      <c r="U448" s="23" t="s">
        <v>1152</v>
      </c>
      <c r="V448" s="23"/>
      <c r="W448" s="23"/>
      <c r="X448" s="23"/>
      <c r="Y448" s="23"/>
      <c r="Z448" s="23"/>
      <c r="AA448" s="23"/>
      <c r="AB448" s="23" t="s">
        <v>1153</v>
      </c>
      <c r="AC448" s="23"/>
      <c r="AD448" s="23"/>
      <c r="AH448" s="33" t="s">
        <v>1261</v>
      </c>
      <c r="AI448" s="23" t="s">
        <v>1264</v>
      </c>
      <c r="AJ448" s="33" t="str">
        <f t="shared" si="6"/>
        <v>PD5D_MTG_VisiumST/samples/HC_BN1762_MTG_VisiumST_batch25_rep1.h5</v>
      </c>
      <c r="AK448" t="s">
        <v>1290</v>
      </c>
    </row>
    <row r="449" spans="1:37">
      <c r="A449" s="23" t="s">
        <v>1172</v>
      </c>
      <c r="B449" s="23" t="s">
        <v>112</v>
      </c>
      <c r="C449" s="23" t="s">
        <v>112</v>
      </c>
      <c r="D449" s="23" t="s">
        <v>666</v>
      </c>
      <c r="E449" s="23">
        <v>3</v>
      </c>
      <c r="F449" s="23">
        <v>1</v>
      </c>
      <c r="G449" s="23" t="s">
        <v>755</v>
      </c>
      <c r="H449" s="23" t="s">
        <v>668</v>
      </c>
      <c r="I449" s="23" t="s">
        <v>669</v>
      </c>
      <c r="J449" s="23" t="s">
        <v>670</v>
      </c>
      <c r="K449" s="23" t="s">
        <v>671</v>
      </c>
      <c r="L449" s="23" t="s">
        <v>669</v>
      </c>
      <c r="M449" s="23" t="s">
        <v>672</v>
      </c>
      <c r="N449" s="23">
        <v>6.8</v>
      </c>
      <c r="O449" s="23">
        <v>6.8</v>
      </c>
      <c r="P449" s="23" t="s">
        <v>1150</v>
      </c>
      <c r="Q449" s="31">
        <v>4115</v>
      </c>
      <c r="R449" s="23" t="s">
        <v>1151</v>
      </c>
      <c r="S449" s="23" t="s">
        <v>675</v>
      </c>
      <c r="T449" s="23"/>
      <c r="U449" s="23" t="s">
        <v>1152</v>
      </c>
      <c r="V449" s="23"/>
      <c r="W449" s="23"/>
      <c r="X449" s="23"/>
      <c r="Y449" s="23"/>
      <c r="Z449" s="23"/>
      <c r="AA449" s="23"/>
      <c r="AB449" s="23" t="s">
        <v>1153</v>
      </c>
      <c r="AC449" s="23"/>
      <c r="AD449" s="23"/>
      <c r="AH449" s="33" t="s">
        <v>1261</v>
      </c>
      <c r="AI449" s="23" t="s">
        <v>1264</v>
      </c>
      <c r="AJ449" s="33" t="str">
        <f t="shared" ref="AJ449:AJ512" si="7">_xlfn.CONCAT(AH449,"/samples/",A449,".h5")</f>
        <v>PD5D_MTG_VisiumST/samples/HC_BN1022_MTG_VisiumST_batch21_rep1.h5</v>
      </c>
      <c r="AK449" t="s">
        <v>1290</v>
      </c>
    </row>
    <row r="450" spans="1:37">
      <c r="A450" s="23" t="s">
        <v>1173</v>
      </c>
      <c r="B450" s="23" t="s">
        <v>171</v>
      </c>
      <c r="C450" s="23" t="s">
        <v>171</v>
      </c>
      <c r="D450" s="23" t="s">
        <v>666</v>
      </c>
      <c r="E450" s="23">
        <v>1</v>
      </c>
      <c r="F450" s="23">
        <v>0</v>
      </c>
      <c r="G450" s="23" t="s">
        <v>733</v>
      </c>
      <c r="H450" s="23" t="s">
        <v>668</v>
      </c>
      <c r="I450" s="23" t="s">
        <v>669</v>
      </c>
      <c r="J450" s="23" t="s">
        <v>670</v>
      </c>
      <c r="K450" s="23" t="s">
        <v>671</v>
      </c>
      <c r="L450" s="23" t="s">
        <v>669</v>
      </c>
      <c r="M450" s="23" t="s">
        <v>672</v>
      </c>
      <c r="N450" s="23">
        <v>9.4</v>
      </c>
      <c r="O450" s="23">
        <v>9.4</v>
      </c>
      <c r="P450" s="23" t="s">
        <v>1150</v>
      </c>
      <c r="Q450" s="31">
        <v>3989</v>
      </c>
      <c r="R450" s="23" t="s">
        <v>1151</v>
      </c>
      <c r="S450" s="23" t="s">
        <v>675</v>
      </c>
      <c r="T450" s="23"/>
      <c r="U450" s="23" t="s">
        <v>1152</v>
      </c>
      <c r="V450" s="23"/>
      <c r="W450" s="23"/>
      <c r="X450" s="23"/>
      <c r="Y450" s="23"/>
      <c r="Z450" s="23"/>
      <c r="AA450" s="23"/>
      <c r="AB450" s="23" t="s">
        <v>1153</v>
      </c>
      <c r="AC450" s="23"/>
      <c r="AD450" s="23"/>
      <c r="AH450" s="33" t="s">
        <v>1261</v>
      </c>
      <c r="AI450" s="23" t="s">
        <v>1264</v>
      </c>
      <c r="AJ450" s="33" t="str">
        <f t="shared" si="7"/>
        <v>PD5D_MTG_VisiumST/samples/ILB_BN1722_MTG_VisiumST_batch15_rep1.h5</v>
      </c>
      <c r="AK450" t="s">
        <v>1290</v>
      </c>
    </row>
    <row r="451" spans="1:37">
      <c r="A451" s="23" t="s">
        <v>1174</v>
      </c>
      <c r="B451" s="23" t="s">
        <v>225</v>
      </c>
      <c r="C451" s="23" t="s">
        <v>225</v>
      </c>
      <c r="D451" s="23" t="s">
        <v>666</v>
      </c>
      <c r="E451" s="23">
        <v>1</v>
      </c>
      <c r="F451" s="23">
        <v>0</v>
      </c>
      <c r="G451" s="23" t="s">
        <v>746</v>
      </c>
      <c r="H451" s="23" t="s">
        <v>668</v>
      </c>
      <c r="I451" s="23" t="s">
        <v>669</v>
      </c>
      <c r="J451" s="23" t="s">
        <v>670</v>
      </c>
      <c r="K451" s="23" t="s">
        <v>671</v>
      </c>
      <c r="L451" s="23" t="s">
        <v>669</v>
      </c>
      <c r="M451" s="23" t="s">
        <v>672</v>
      </c>
      <c r="N451" s="23">
        <v>9.5</v>
      </c>
      <c r="O451" s="23">
        <v>9.5</v>
      </c>
      <c r="P451" s="23" t="s">
        <v>1150</v>
      </c>
      <c r="Q451" s="31">
        <v>4680</v>
      </c>
      <c r="R451" s="23" t="s">
        <v>1151</v>
      </c>
      <c r="S451" s="23" t="s">
        <v>675</v>
      </c>
      <c r="T451" s="23"/>
      <c r="U451" s="23" t="s">
        <v>1152</v>
      </c>
      <c r="V451" s="23"/>
      <c r="W451" s="23"/>
      <c r="X451" s="23"/>
      <c r="Y451" s="23"/>
      <c r="Z451" s="23"/>
      <c r="AA451" s="23"/>
      <c r="AB451" s="23" t="s">
        <v>1153</v>
      </c>
      <c r="AC451" s="23"/>
      <c r="AD451" s="23"/>
      <c r="AH451" s="33" t="s">
        <v>1261</v>
      </c>
      <c r="AI451" s="23" t="s">
        <v>1264</v>
      </c>
      <c r="AJ451" s="33" t="str">
        <f t="shared" si="7"/>
        <v>PD5D_MTG_VisiumST/samples/PD_BN1902_MTG_VisiumST_batch18_rep1.h5</v>
      </c>
      <c r="AK451" t="s">
        <v>1290</v>
      </c>
    </row>
    <row r="452" spans="1:37">
      <c r="A452" s="23" t="s">
        <v>1175</v>
      </c>
      <c r="B452" s="23" t="s">
        <v>110</v>
      </c>
      <c r="C452" s="23" t="s">
        <v>110</v>
      </c>
      <c r="D452" s="23" t="s">
        <v>666</v>
      </c>
      <c r="E452" s="23">
        <v>1</v>
      </c>
      <c r="F452" s="23">
        <v>0</v>
      </c>
      <c r="G452" s="23" t="s">
        <v>692</v>
      </c>
      <c r="H452" s="23" t="s">
        <v>668</v>
      </c>
      <c r="I452" s="23" t="s">
        <v>669</v>
      </c>
      <c r="J452" s="23" t="s">
        <v>670</v>
      </c>
      <c r="K452" s="23" t="s">
        <v>671</v>
      </c>
      <c r="L452" s="23" t="s">
        <v>669</v>
      </c>
      <c r="M452" s="23" t="s">
        <v>672</v>
      </c>
      <c r="N452" s="23">
        <v>9.5</v>
      </c>
      <c r="O452" s="23">
        <v>9.5</v>
      </c>
      <c r="P452" s="23" t="s">
        <v>1150</v>
      </c>
      <c r="Q452" s="31">
        <v>4119</v>
      </c>
      <c r="R452" s="23" t="s">
        <v>1151</v>
      </c>
      <c r="S452" s="23" t="s">
        <v>675</v>
      </c>
      <c r="T452" s="23"/>
      <c r="U452" s="23" t="s">
        <v>1152</v>
      </c>
      <c r="V452" s="23"/>
      <c r="W452" s="23"/>
      <c r="X452" s="23"/>
      <c r="Y452" s="23"/>
      <c r="Z452" s="23"/>
      <c r="AA452" s="23"/>
      <c r="AB452" s="23" t="s">
        <v>1153</v>
      </c>
      <c r="AC452" s="23"/>
      <c r="AD452" s="23"/>
      <c r="AH452" s="33" t="s">
        <v>1261</v>
      </c>
      <c r="AI452" s="23" t="s">
        <v>1264</v>
      </c>
      <c r="AJ452" s="33" t="str">
        <f t="shared" si="7"/>
        <v>PD5D_MTG_VisiumST/samples/PD_BN0952_MTG_VisiumST_batch4_rep1.h5</v>
      </c>
      <c r="AK452" t="s">
        <v>1290</v>
      </c>
    </row>
    <row r="453" spans="1:37">
      <c r="A453" s="23" t="s">
        <v>1176</v>
      </c>
      <c r="B453" s="23" t="s">
        <v>219</v>
      </c>
      <c r="C453" s="23" t="s">
        <v>219</v>
      </c>
      <c r="D453" s="23" t="s">
        <v>666</v>
      </c>
      <c r="E453" s="23">
        <v>1</v>
      </c>
      <c r="F453" s="23">
        <v>0</v>
      </c>
      <c r="G453" s="23" t="s">
        <v>725</v>
      </c>
      <c r="H453" s="23" t="s">
        <v>668</v>
      </c>
      <c r="I453" s="23" t="s">
        <v>669</v>
      </c>
      <c r="J453" s="23" t="s">
        <v>670</v>
      </c>
      <c r="K453" s="23" t="s">
        <v>671</v>
      </c>
      <c r="L453" s="23" t="s">
        <v>669</v>
      </c>
      <c r="M453" s="23" t="s">
        <v>672</v>
      </c>
      <c r="N453" s="23">
        <v>9.8000000000000007</v>
      </c>
      <c r="O453" s="23">
        <v>9.8000000000000007</v>
      </c>
      <c r="P453" s="23" t="s">
        <v>1150</v>
      </c>
      <c r="Q453" s="31">
        <v>4330</v>
      </c>
      <c r="R453" s="23" t="s">
        <v>1151</v>
      </c>
      <c r="S453" s="23" t="s">
        <v>675</v>
      </c>
      <c r="T453" s="23"/>
      <c r="U453" s="23" t="s">
        <v>1152</v>
      </c>
      <c r="V453" s="23"/>
      <c r="W453" s="23"/>
      <c r="X453" s="23"/>
      <c r="Y453" s="23"/>
      <c r="Z453" s="23"/>
      <c r="AA453" s="23"/>
      <c r="AB453" s="23" t="s">
        <v>1153</v>
      </c>
      <c r="AC453" s="23"/>
      <c r="AD453" s="23"/>
      <c r="AH453" s="33" t="s">
        <v>1261</v>
      </c>
      <c r="AI453" s="23" t="s">
        <v>1264</v>
      </c>
      <c r="AJ453" s="33" t="str">
        <f t="shared" si="7"/>
        <v>PD5D_MTG_VisiumST/samples/PD_BN1865_MTG_VisiumST_batch14_rep1.h5</v>
      </c>
      <c r="AK453" t="s">
        <v>1290</v>
      </c>
    </row>
    <row r="454" spans="1:37">
      <c r="A454" s="23" t="s">
        <v>1177</v>
      </c>
      <c r="B454" s="23" t="s">
        <v>147</v>
      </c>
      <c r="C454" s="23" t="s">
        <v>147</v>
      </c>
      <c r="D454" s="23" t="s">
        <v>666</v>
      </c>
      <c r="E454" s="23">
        <v>1</v>
      </c>
      <c r="F454" s="23">
        <v>0</v>
      </c>
      <c r="G454" s="23" t="s">
        <v>733</v>
      </c>
      <c r="H454" s="23" t="s">
        <v>668</v>
      </c>
      <c r="I454" s="23" t="s">
        <v>669</v>
      </c>
      <c r="J454" s="23" t="s">
        <v>670</v>
      </c>
      <c r="K454" s="23" t="s">
        <v>671</v>
      </c>
      <c r="L454" s="23" t="s">
        <v>669</v>
      </c>
      <c r="M454" s="23" t="s">
        <v>672</v>
      </c>
      <c r="N454" s="23">
        <v>7.8</v>
      </c>
      <c r="O454" s="23">
        <v>7.8</v>
      </c>
      <c r="P454" s="23" t="s">
        <v>1150</v>
      </c>
      <c r="Q454" s="31">
        <v>3516</v>
      </c>
      <c r="R454" s="23" t="s">
        <v>1151</v>
      </c>
      <c r="S454" s="23" t="s">
        <v>675</v>
      </c>
      <c r="T454" s="23"/>
      <c r="U454" s="23" t="s">
        <v>1152</v>
      </c>
      <c r="V454" s="23"/>
      <c r="W454" s="23"/>
      <c r="X454" s="23"/>
      <c r="Y454" s="23"/>
      <c r="Z454" s="23"/>
      <c r="AA454" s="23"/>
      <c r="AB454" s="23" t="s">
        <v>1153</v>
      </c>
      <c r="AC454" s="23"/>
      <c r="AD454" s="23"/>
      <c r="AH454" s="33" t="s">
        <v>1261</v>
      </c>
      <c r="AI454" s="23" t="s">
        <v>1264</v>
      </c>
      <c r="AJ454" s="33" t="str">
        <f t="shared" si="7"/>
        <v>PD5D_MTG_VisiumST/samples/PD_BN1504_MTG_VisiumST_batch15_rep1.h5</v>
      </c>
      <c r="AK454" t="s">
        <v>1290</v>
      </c>
    </row>
    <row r="455" spans="1:37">
      <c r="A455" s="23" t="s">
        <v>1178</v>
      </c>
      <c r="B455" s="23" t="s">
        <v>113</v>
      </c>
      <c r="C455" s="23" t="s">
        <v>113</v>
      </c>
      <c r="D455" s="23" t="s">
        <v>666</v>
      </c>
      <c r="E455" s="23">
        <v>1</v>
      </c>
      <c r="F455" s="23">
        <v>0</v>
      </c>
      <c r="G455" s="23" t="s">
        <v>692</v>
      </c>
      <c r="H455" s="23" t="s">
        <v>668</v>
      </c>
      <c r="I455" s="23" t="s">
        <v>669</v>
      </c>
      <c r="J455" s="23" t="s">
        <v>670</v>
      </c>
      <c r="K455" s="23" t="s">
        <v>671</v>
      </c>
      <c r="L455" s="23" t="s">
        <v>669</v>
      </c>
      <c r="M455" s="23" t="s">
        <v>672</v>
      </c>
      <c r="N455" s="23">
        <v>8.8000000000000007</v>
      </c>
      <c r="O455" s="23">
        <v>8.8000000000000007</v>
      </c>
      <c r="P455" s="23" t="s">
        <v>1150</v>
      </c>
      <c r="Q455" s="31">
        <v>2905</v>
      </c>
      <c r="R455" s="23" t="s">
        <v>1151</v>
      </c>
      <c r="S455" s="23" t="s">
        <v>675</v>
      </c>
      <c r="T455" s="23"/>
      <c r="U455" s="23" t="s">
        <v>1152</v>
      </c>
      <c r="V455" s="23"/>
      <c r="W455" s="23"/>
      <c r="X455" s="23"/>
      <c r="Y455" s="23"/>
      <c r="Z455" s="23"/>
      <c r="AA455" s="23"/>
      <c r="AB455" s="23" t="s">
        <v>1153</v>
      </c>
      <c r="AC455" s="23"/>
      <c r="AD455" s="23"/>
      <c r="AH455" s="33" t="s">
        <v>1261</v>
      </c>
      <c r="AI455" s="23" t="s">
        <v>1264</v>
      </c>
      <c r="AJ455" s="33" t="str">
        <f t="shared" si="7"/>
        <v>PD5D_MTG_VisiumST/samples/PD_BN1076_MTG_VisiumST_batch4_rep1.h5</v>
      </c>
      <c r="AK455" t="s">
        <v>1290</v>
      </c>
    </row>
    <row r="456" spans="1:37">
      <c r="A456" s="23" t="s">
        <v>1179</v>
      </c>
      <c r="B456" s="23" t="s">
        <v>127</v>
      </c>
      <c r="C456" s="23" t="s">
        <v>127</v>
      </c>
      <c r="D456" s="23" t="s">
        <v>666</v>
      </c>
      <c r="E456" s="23">
        <v>1</v>
      </c>
      <c r="F456" s="23">
        <v>0</v>
      </c>
      <c r="G456" s="23" t="s">
        <v>723</v>
      </c>
      <c r="H456" s="23" t="s">
        <v>668</v>
      </c>
      <c r="I456" s="23" t="s">
        <v>669</v>
      </c>
      <c r="J456" s="23" t="s">
        <v>670</v>
      </c>
      <c r="K456" s="23" t="s">
        <v>671</v>
      </c>
      <c r="L456" s="23" t="s">
        <v>669</v>
      </c>
      <c r="M456" s="23" t="s">
        <v>672</v>
      </c>
      <c r="N456" s="23">
        <v>9.6</v>
      </c>
      <c r="O456" s="23">
        <v>9.6</v>
      </c>
      <c r="P456" s="23" t="s">
        <v>1150</v>
      </c>
      <c r="Q456" s="31">
        <v>3259</v>
      </c>
      <c r="R456" s="23" t="s">
        <v>1151</v>
      </c>
      <c r="S456" s="23" t="s">
        <v>675</v>
      </c>
      <c r="T456" s="23"/>
      <c r="U456" s="23" t="s">
        <v>1152</v>
      </c>
      <c r="V456" s="23"/>
      <c r="W456" s="23"/>
      <c r="X456" s="23"/>
      <c r="Y456" s="23"/>
      <c r="Z456" s="23"/>
      <c r="AA456" s="23"/>
      <c r="AB456" s="23" t="s">
        <v>1153</v>
      </c>
      <c r="AC456" s="23"/>
      <c r="AD456" s="23"/>
      <c r="AH456" s="33" t="s">
        <v>1261</v>
      </c>
      <c r="AI456" s="23" t="s">
        <v>1264</v>
      </c>
      <c r="AJ456" s="33" t="str">
        <f t="shared" si="7"/>
        <v>PD5D_MTG_VisiumST/samples/PD_BN1305_MTG_VisiumST_batch16_rep1.h5</v>
      </c>
      <c r="AK456" t="s">
        <v>1290</v>
      </c>
    </row>
    <row r="457" spans="1:37">
      <c r="A457" s="23" t="s">
        <v>1180</v>
      </c>
      <c r="B457" s="23" t="s">
        <v>101</v>
      </c>
      <c r="C457" s="23" t="s">
        <v>101</v>
      </c>
      <c r="D457" s="23" t="s">
        <v>666</v>
      </c>
      <c r="E457" s="23">
        <v>1</v>
      </c>
      <c r="F457" s="23">
        <v>0</v>
      </c>
      <c r="G457" s="23" t="s">
        <v>692</v>
      </c>
      <c r="H457" s="23" t="s">
        <v>668</v>
      </c>
      <c r="I457" s="23" t="s">
        <v>669</v>
      </c>
      <c r="J457" s="23" t="s">
        <v>670</v>
      </c>
      <c r="K457" s="23" t="s">
        <v>671</v>
      </c>
      <c r="L457" s="23" t="s">
        <v>669</v>
      </c>
      <c r="M457" s="23" t="s">
        <v>672</v>
      </c>
      <c r="N457" s="23">
        <v>9.6999999999999993</v>
      </c>
      <c r="O457" s="23">
        <v>9.6999999999999993</v>
      </c>
      <c r="P457" s="23" t="s">
        <v>1150</v>
      </c>
      <c r="Q457" s="31">
        <v>3519</v>
      </c>
      <c r="R457" s="23" t="s">
        <v>1151</v>
      </c>
      <c r="S457" s="23" t="s">
        <v>675</v>
      </c>
      <c r="T457" s="23"/>
      <c r="U457" s="23" t="s">
        <v>1152</v>
      </c>
      <c r="V457" s="23"/>
      <c r="W457" s="23"/>
      <c r="X457" s="23"/>
      <c r="Y457" s="23"/>
      <c r="Z457" s="23"/>
      <c r="AA457" s="23"/>
      <c r="AB457" s="23" t="s">
        <v>1153</v>
      </c>
      <c r="AC457" s="23"/>
      <c r="AD457" s="23"/>
      <c r="AH457" s="33" t="s">
        <v>1261</v>
      </c>
      <c r="AI457" s="23" t="s">
        <v>1264</v>
      </c>
      <c r="AJ457" s="33" t="str">
        <f t="shared" si="7"/>
        <v>PD5D_MTG_VisiumST/samples/HC_BN0704_MTG_VisiumST_batch4_rep1.h5</v>
      </c>
      <c r="AK457" t="s">
        <v>1290</v>
      </c>
    </row>
    <row r="458" spans="1:37">
      <c r="A458" s="23" t="s">
        <v>1181</v>
      </c>
      <c r="B458" s="23" t="s">
        <v>185</v>
      </c>
      <c r="C458" s="23" t="s">
        <v>185</v>
      </c>
      <c r="D458" s="23" t="s">
        <v>666</v>
      </c>
      <c r="E458" s="23">
        <v>1</v>
      </c>
      <c r="F458" s="23">
        <v>0</v>
      </c>
      <c r="G458" s="23" t="s">
        <v>725</v>
      </c>
      <c r="H458" s="23" t="s">
        <v>668</v>
      </c>
      <c r="I458" s="23" t="s">
        <v>669</v>
      </c>
      <c r="J458" s="23" t="s">
        <v>670</v>
      </c>
      <c r="K458" s="23" t="s">
        <v>671</v>
      </c>
      <c r="L458" s="23" t="s">
        <v>669</v>
      </c>
      <c r="M458" s="23" t="s">
        <v>672</v>
      </c>
      <c r="N458" s="23">
        <v>7.4</v>
      </c>
      <c r="O458" s="23">
        <v>7.4</v>
      </c>
      <c r="P458" s="23" t="s">
        <v>1150</v>
      </c>
      <c r="Q458" s="31">
        <v>3735</v>
      </c>
      <c r="R458" s="23" t="s">
        <v>1151</v>
      </c>
      <c r="S458" s="23" t="s">
        <v>675</v>
      </c>
      <c r="T458" s="23"/>
      <c r="U458" s="23" t="s">
        <v>1152</v>
      </c>
      <c r="V458" s="23"/>
      <c r="W458" s="23"/>
      <c r="X458" s="23"/>
      <c r="Y458" s="23"/>
      <c r="Z458" s="23"/>
      <c r="AA458" s="23"/>
      <c r="AB458" s="23" t="s">
        <v>1153</v>
      </c>
      <c r="AC458" s="23"/>
      <c r="AD458" s="23"/>
      <c r="AH458" s="33" t="s">
        <v>1261</v>
      </c>
      <c r="AI458" s="23" t="s">
        <v>1264</v>
      </c>
      <c r="AJ458" s="33" t="str">
        <f t="shared" si="7"/>
        <v>PD5D_MTG_VisiumST/samples/ILB_BN1752_MTG_VisiumST_batch14_rep1.h5</v>
      </c>
      <c r="AK458" t="s">
        <v>1290</v>
      </c>
    </row>
    <row r="459" spans="1:37">
      <c r="A459" s="23" t="s">
        <v>1182</v>
      </c>
      <c r="B459" s="23" t="s">
        <v>191</v>
      </c>
      <c r="C459" s="23" t="s">
        <v>191</v>
      </c>
      <c r="D459" s="23" t="s">
        <v>666</v>
      </c>
      <c r="E459" s="23">
        <v>1</v>
      </c>
      <c r="F459" s="23">
        <v>0</v>
      </c>
      <c r="G459" s="23" t="s">
        <v>690</v>
      </c>
      <c r="H459" s="23" t="s">
        <v>668</v>
      </c>
      <c r="I459" s="23" t="s">
        <v>669</v>
      </c>
      <c r="J459" s="23" t="s">
        <v>670</v>
      </c>
      <c r="K459" s="23" t="s">
        <v>671</v>
      </c>
      <c r="L459" s="23" t="s">
        <v>669</v>
      </c>
      <c r="M459" s="23" t="s">
        <v>672</v>
      </c>
      <c r="N459" s="23">
        <v>6.3</v>
      </c>
      <c r="O459" s="23">
        <v>6.3</v>
      </c>
      <c r="P459" s="23" t="s">
        <v>1150</v>
      </c>
      <c r="Q459" s="31">
        <v>3578</v>
      </c>
      <c r="R459" s="23" t="s">
        <v>1151</v>
      </c>
      <c r="S459" s="23" t="s">
        <v>675</v>
      </c>
      <c r="T459" s="23"/>
      <c r="U459" s="23" t="s">
        <v>1152</v>
      </c>
      <c r="V459" s="23"/>
      <c r="W459" s="23"/>
      <c r="X459" s="23"/>
      <c r="Y459" s="23"/>
      <c r="Z459" s="23"/>
      <c r="AA459" s="23"/>
      <c r="AB459" s="23" t="s">
        <v>1153</v>
      </c>
      <c r="AC459" s="23"/>
      <c r="AD459" s="23"/>
      <c r="AH459" s="33" t="s">
        <v>1261</v>
      </c>
      <c r="AI459" s="23" t="s">
        <v>1264</v>
      </c>
      <c r="AJ459" s="33" t="str">
        <f t="shared" si="7"/>
        <v>PD5D_MTG_VisiumST/samples/PD_BN1809_MTG_VisiumST_batch26_rep1.h5</v>
      </c>
      <c r="AK459" t="s">
        <v>1290</v>
      </c>
    </row>
    <row r="460" spans="1:37">
      <c r="A460" s="23" t="s">
        <v>1183</v>
      </c>
      <c r="B460" s="23" t="s">
        <v>163</v>
      </c>
      <c r="C460" s="23" t="s">
        <v>163</v>
      </c>
      <c r="D460" s="23" t="s">
        <v>666</v>
      </c>
      <c r="E460" s="23">
        <v>1</v>
      </c>
      <c r="F460" s="23">
        <v>0</v>
      </c>
      <c r="G460" s="23" t="s">
        <v>723</v>
      </c>
      <c r="H460" s="23" t="s">
        <v>668</v>
      </c>
      <c r="I460" s="23" t="s">
        <v>669</v>
      </c>
      <c r="J460" s="23" t="s">
        <v>670</v>
      </c>
      <c r="K460" s="23" t="s">
        <v>671</v>
      </c>
      <c r="L460" s="23" t="s">
        <v>669</v>
      </c>
      <c r="M460" s="23" t="s">
        <v>672</v>
      </c>
      <c r="N460" s="23">
        <v>9.4</v>
      </c>
      <c r="O460" s="23">
        <v>9.4</v>
      </c>
      <c r="P460" s="23" t="s">
        <v>1150</v>
      </c>
      <c r="Q460" s="31">
        <v>3007</v>
      </c>
      <c r="R460" s="23" t="s">
        <v>1151</v>
      </c>
      <c r="S460" s="23" t="s">
        <v>675</v>
      </c>
      <c r="T460" s="23"/>
      <c r="U460" s="23" t="s">
        <v>1152</v>
      </c>
      <c r="V460" s="23"/>
      <c r="W460" s="23"/>
      <c r="X460" s="23"/>
      <c r="Y460" s="23"/>
      <c r="Z460" s="23"/>
      <c r="AA460" s="23"/>
      <c r="AB460" s="23" t="s">
        <v>1153</v>
      </c>
      <c r="AC460" s="23"/>
      <c r="AD460" s="23"/>
      <c r="AH460" s="33" t="s">
        <v>1261</v>
      </c>
      <c r="AI460" s="23" t="s">
        <v>1264</v>
      </c>
      <c r="AJ460" s="33" t="str">
        <f t="shared" si="7"/>
        <v>PD5D_MTG_VisiumST/samples/ILB_BN1585_MTG_VisiumST_batch16_rep1.h5</v>
      </c>
      <c r="AK460" t="s">
        <v>1290</v>
      </c>
    </row>
    <row r="461" spans="1:37">
      <c r="A461" s="23" t="s">
        <v>1184</v>
      </c>
      <c r="B461" s="23" t="s">
        <v>227</v>
      </c>
      <c r="C461" s="23" t="s">
        <v>227</v>
      </c>
      <c r="D461" s="23" t="s">
        <v>666</v>
      </c>
      <c r="E461" s="23">
        <v>1</v>
      </c>
      <c r="F461" s="23">
        <v>0</v>
      </c>
      <c r="G461" s="23" t="s">
        <v>725</v>
      </c>
      <c r="H461" s="23" t="s">
        <v>668</v>
      </c>
      <c r="I461" s="23" t="s">
        <v>669</v>
      </c>
      <c r="J461" s="23" t="s">
        <v>670</v>
      </c>
      <c r="K461" s="23" t="s">
        <v>671</v>
      </c>
      <c r="L461" s="23" t="s">
        <v>669</v>
      </c>
      <c r="M461" s="23" t="s">
        <v>672</v>
      </c>
      <c r="N461" s="23">
        <v>8.8000000000000007</v>
      </c>
      <c r="O461" s="23">
        <v>8.8000000000000007</v>
      </c>
      <c r="P461" s="23" t="s">
        <v>1150</v>
      </c>
      <c r="Q461" s="31">
        <v>4553</v>
      </c>
      <c r="R461" s="23" t="s">
        <v>1151</v>
      </c>
      <c r="S461" s="23" t="s">
        <v>675</v>
      </c>
      <c r="T461" s="23"/>
      <c r="U461" s="23" t="s">
        <v>1152</v>
      </c>
      <c r="V461" s="23"/>
      <c r="W461" s="23"/>
      <c r="X461" s="23"/>
      <c r="Y461" s="23"/>
      <c r="Z461" s="23"/>
      <c r="AA461" s="23"/>
      <c r="AB461" s="23" t="s">
        <v>1153</v>
      </c>
      <c r="AC461" s="23"/>
      <c r="AD461" s="23"/>
      <c r="AH461" s="33" t="s">
        <v>1261</v>
      </c>
      <c r="AI461" s="23" t="s">
        <v>1264</v>
      </c>
      <c r="AJ461" s="33" t="str">
        <f t="shared" si="7"/>
        <v>PD5D_MTG_VisiumST/samples/ILB_BN1910_MTG_VisiumST_batch14_rep1.h5</v>
      </c>
      <c r="AK461" t="s">
        <v>1290</v>
      </c>
    </row>
    <row r="462" spans="1:37">
      <c r="A462" s="23" t="s">
        <v>1185</v>
      </c>
      <c r="B462" s="23" t="s">
        <v>229</v>
      </c>
      <c r="C462" s="23" t="s">
        <v>229</v>
      </c>
      <c r="D462" s="23" t="s">
        <v>666</v>
      </c>
      <c r="E462" s="23">
        <v>1</v>
      </c>
      <c r="F462" s="23">
        <v>0</v>
      </c>
      <c r="G462" s="23" t="s">
        <v>775</v>
      </c>
      <c r="H462" s="23" t="s">
        <v>668</v>
      </c>
      <c r="I462" s="23" t="s">
        <v>669</v>
      </c>
      <c r="J462" s="23" t="s">
        <v>670</v>
      </c>
      <c r="K462" s="23" t="s">
        <v>671</v>
      </c>
      <c r="L462" s="23" t="s">
        <v>669</v>
      </c>
      <c r="M462" s="23" t="s">
        <v>672</v>
      </c>
      <c r="N462" s="23">
        <v>9.5</v>
      </c>
      <c r="O462" s="23">
        <v>9.5</v>
      </c>
      <c r="P462" s="23" t="s">
        <v>1150</v>
      </c>
      <c r="Q462" s="31">
        <v>3588</v>
      </c>
      <c r="R462" s="23" t="s">
        <v>1151</v>
      </c>
      <c r="S462" s="23" t="s">
        <v>675</v>
      </c>
      <c r="T462" s="23"/>
      <c r="U462" s="23" t="s">
        <v>1152</v>
      </c>
      <c r="V462" s="23"/>
      <c r="W462" s="23"/>
      <c r="X462" s="23"/>
      <c r="Y462" s="23"/>
      <c r="Z462" s="23"/>
      <c r="AA462" s="23"/>
      <c r="AB462" s="23" t="s">
        <v>1153</v>
      </c>
      <c r="AC462" s="23"/>
      <c r="AD462" s="23"/>
      <c r="AH462" s="33" t="s">
        <v>1261</v>
      </c>
      <c r="AI462" s="23" t="s">
        <v>1264</v>
      </c>
      <c r="AJ462" s="33" t="str">
        <f t="shared" si="7"/>
        <v>PD5D_MTG_VisiumST/samples/HC_BN1934_MTG_VisiumST_batch23_rep1.h5</v>
      </c>
      <c r="AK462" t="s">
        <v>1290</v>
      </c>
    </row>
    <row r="463" spans="1:37">
      <c r="A463" s="23" t="s">
        <v>1186</v>
      </c>
      <c r="B463" s="23" t="s">
        <v>102</v>
      </c>
      <c r="C463" s="23" t="s">
        <v>102</v>
      </c>
      <c r="D463" s="23" t="s">
        <v>666</v>
      </c>
      <c r="E463" s="23">
        <v>1</v>
      </c>
      <c r="F463" s="23">
        <v>0</v>
      </c>
      <c r="G463" s="23" t="s">
        <v>733</v>
      </c>
      <c r="H463" s="23" t="s">
        <v>668</v>
      </c>
      <c r="I463" s="23" t="s">
        <v>669</v>
      </c>
      <c r="J463" s="23" t="s">
        <v>670</v>
      </c>
      <c r="K463" s="23" t="s">
        <v>671</v>
      </c>
      <c r="L463" s="23" t="s">
        <v>669</v>
      </c>
      <c r="M463" s="23" t="s">
        <v>672</v>
      </c>
      <c r="N463" s="23">
        <v>9.1999999999999993</v>
      </c>
      <c r="O463" s="23">
        <v>9.1999999999999993</v>
      </c>
      <c r="P463" s="23" t="s">
        <v>1150</v>
      </c>
      <c r="Q463" s="31">
        <v>3593</v>
      </c>
      <c r="R463" s="23" t="s">
        <v>1151</v>
      </c>
      <c r="S463" s="23" t="s">
        <v>675</v>
      </c>
      <c r="T463" s="23"/>
      <c r="U463" s="23" t="s">
        <v>1152</v>
      </c>
      <c r="V463" s="23"/>
      <c r="W463" s="23"/>
      <c r="X463" s="23"/>
      <c r="Y463" s="23"/>
      <c r="Z463" s="23"/>
      <c r="AA463" s="23"/>
      <c r="AB463" s="23" t="s">
        <v>1153</v>
      </c>
      <c r="AC463" s="23"/>
      <c r="AD463" s="23"/>
      <c r="AH463" s="33" t="s">
        <v>1261</v>
      </c>
      <c r="AI463" s="23" t="s">
        <v>1264</v>
      </c>
      <c r="AJ463" s="33" t="str">
        <f t="shared" si="7"/>
        <v>PD5D_MTG_VisiumST/samples/HC_BN0737_MTG_VisiumST_batch15_rep1.h5</v>
      </c>
      <c r="AK463" t="s">
        <v>1290</v>
      </c>
    </row>
    <row r="464" spans="1:37">
      <c r="A464" s="23" t="s">
        <v>1187</v>
      </c>
      <c r="B464" s="23" t="s">
        <v>125</v>
      </c>
      <c r="C464" s="23" t="s">
        <v>125</v>
      </c>
      <c r="D464" s="23" t="s">
        <v>666</v>
      </c>
      <c r="E464" s="23">
        <v>1</v>
      </c>
      <c r="F464" s="23">
        <v>0</v>
      </c>
      <c r="G464" s="23" t="s">
        <v>804</v>
      </c>
      <c r="H464" s="23" t="s">
        <v>668</v>
      </c>
      <c r="I464" s="23" t="s">
        <v>669</v>
      </c>
      <c r="J464" s="23" t="s">
        <v>670</v>
      </c>
      <c r="K464" s="23" t="s">
        <v>671</v>
      </c>
      <c r="L464" s="23" t="s">
        <v>669</v>
      </c>
      <c r="M464" s="23" t="s">
        <v>672</v>
      </c>
      <c r="N464" s="23">
        <v>8</v>
      </c>
      <c r="O464" s="23">
        <v>8</v>
      </c>
      <c r="P464" s="23" t="s">
        <v>1150</v>
      </c>
      <c r="Q464" s="31">
        <v>2150</v>
      </c>
      <c r="R464" s="23" t="s">
        <v>1151</v>
      </c>
      <c r="S464" s="23" t="s">
        <v>675</v>
      </c>
      <c r="T464" s="23"/>
      <c r="U464" s="23" t="s">
        <v>1152</v>
      </c>
      <c r="V464" s="23"/>
      <c r="W464" s="23"/>
      <c r="X464" s="23"/>
      <c r="Y464" s="23"/>
      <c r="Z464" s="23"/>
      <c r="AA464" s="23"/>
      <c r="AB464" s="23" t="s">
        <v>1153</v>
      </c>
      <c r="AC464" s="23"/>
      <c r="AD464" s="23"/>
      <c r="AH464" s="33" t="s">
        <v>1261</v>
      </c>
      <c r="AI464" s="23" t="s">
        <v>1264</v>
      </c>
      <c r="AJ464" s="33" t="str">
        <f t="shared" si="7"/>
        <v>PD5D_MTG_VisiumST/samples/PD_BN1266_MTG_VisiumST_batch25_rep1.h5</v>
      </c>
      <c r="AK464" t="s">
        <v>1290</v>
      </c>
    </row>
    <row r="465" spans="1:37">
      <c r="A465" s="23" t="s">
        <v>1188</v>
      </c>
      <c r="B465" s="23" t="s">
        <v>193</v>
      </c>
      <c r="C465" s="23" t="s">
        <v>193</v>
      </c>
      <c r="D465" s="23" t="s">
        <v>666</v>
      </c>
      <c r="E465" s="23">
        <v>1</v>
      </c>
      <c r="F465" s="23">
        <v>0</v>
      </c>
      <c r="G465" s="23" t="s">
        <v>708</v>
      </c>
      <c r="H465" s="23" t="s">
        <v>668</v>
      </c>
      <c r="I465" s="23" t="s">
        <v>669</v>
      </c>
      <c r="J465" s="23" t="s">
        <v>670</v>
      </c>
      <c r="K465" s="23" t="s">
        <v>671</v>
      </c>
      <c r="L465" s="23" t="s">
        <v>669</v>
      </c>
      <c r="M465" s="23" t="s">
        <v>672</v>
      </c>
      <c r="N465" s="23">
        <v>8.6</v>
      </c>
      <c r="O465" s="23">
        <v>8.6</v>
      </c>
      <c r="P465" s="23" t="s">
        <v>1150</v>
      </c>
      <c r="Q465" s="31">
        <v>3424</v>
      </c>
      <c r="R465" s="23" t="s">
        <v>1151</v>
      </c>
      <c r="S465" s="23" t="s">
        <v>675</v>
      </c>
      <c r="T465" s="23"/>
      <c r="U465" s="23" t="s">
        <v>1152</v>
      </c>
      <c r="V465" s="23"/>
      <c r="W465" s="23"/>
      <c r="X465" s="23"/>
      <c r="Y465" s="23"/>
      <c r="Z465" s="23"/>
      <c r="AA465" s="23"/>
      <c r="AB465" s="23" t="s">
        <v>1153</v>
      </c>
      <c r="AC465" s="23"/>
      <c r="AD465" s="23"/>
      <c r="AH465" s="33" t="s">
        <v>1261</v>
      </c>
      <c r="AI465" s="23" t="s">
        <v>1264</v>
      </c>
      <c r="AJ465" s="33" t="str">
        <f t="shared" si="7"/>
        <v>PD5D_MTG_VisiumST/samples/PD_BN1812_MTG_VisiumST_batch27_rep1.h5</v>
      </c>
      <c r="AK465" t="s">
        <v>1290</v>
      </c>
    </row>
    <row r="466" spans="1:37">
      <c r="A466" s="23" t="s">
        <v>1189</v>
      </c>
      <c r="B466" s="23" t="s">
        <v>203</v>
      </c>
      <c r="C466" s="23" t="s">
        <v>203</v>
      </c>
      <c r="D466" s="23" t="s">
        <v>666</v>
      </c>
      <c r="E466" s="23">
        <v>1</v>
      </c>
      <c r="F466" s="23">
        <v>0</v>
      </c>
      <c r="G466" s="23" t="s">
        <v>735</v>
      </c>
      <c r="H466" s="23" t="s">
        <v>668</v>
      </c>
      <c r="I466" s="23" t="s">
        <v>669</v>
      </c>
      <c r="J466" s="23" t="s">
        <v>670</v>
      </c>
      <c r="K466" s="23" t="s">
        <v>671</v>
      </c>
      <c r="L466" s="23" t="s">
        <v>669</v>
      </c>
      <c r="M466" s="23" t="s">
        <v>672</v>
      </c>
      <c r="N466" s="23">
        <v>8.8000000000000007</v>
      </c>
      <c r="O466" s="23">
        <v>8.8000000000000007</v>
      </c>
      <c r="P466" s="23" t="s">
        <v>1150</v>
      </c>
      <c r="Q466" s="31">
        <v>4056</v>
      </c>
      <c r="R466" s="23" t="s">
        <v>1151</v>
      </c>
      <c r="S466" s="23" t="s">
        <v>675</v>
      </c>
      <c r="T466" s="23"/>
      <c r="U466" s="23" t="s">
        <v>1152</v>
      </c>
      <c r="V466" s="23"/>
      <c r="W466" s="23"/>
      <c r="X466" s="23"/>
      <c r="Y466" s="23"/>
      <c r="Z466" s="23"/>
      <c r="AA466" s="23"/>
      <c r="AB466" s="23" t="s">
        <v>1153</v>
      </c>
      <c r="AC466" s="23"/>
      <c r="AD466" s="23"/>
      <c r="AH466" s="33" t="s">
        <v>1261</v>
      </c>
      <c r="AI466" s="23" t="s">
        <v>1264</v>
      </c>
      <c r="AJ466" s="33" t="str">
        <f t="shared" si="7"/>
        <v>PD5D_MTG_VisiumST/samples/PD_BN1827_MTG_VisiumST_batch12_rep1.h5</v>
      </c>
      <c r="AK466" t="s">
        <v>1290</v>
      </c>
    </row>
    <row r="467" spans="1:37">
      <c r="A467" s="23" t="s">
        <v>1190</v>
      </c>
      <c r="B467" s="23" t="s">
        <v>201</v>
      </c>
      <c r="C467" s="23" t="s">
        <v>201</v>
      </c>
      <c r="D467" s="23" t="s">
        <v>666</v>
      </c>
      <c r="E467" s="23">
        <v>1</v>
      </c>
      <c r="F467" s="23">
        <v>0</v>
      </c>
      <c r="G467" s="23" t="s">
        <v>755</v>
      </c>
      <c r="H467" s="23" t="s">
        <v>668</v>
      </c>
      <c r="I467" s="23" t="s">
        <v>669</v>
      </c>
      <c r="J467" s="23" t="s">
        <v>670</v>
      </c>
      <c r="K467" s="23" t="s">
        <v>671</v>
      </c>
      <c r="L467" s="23" t="s">
        <v>669</v>
      </c>
      <c r="M467" s="23" t="s">
        <v>672</v>
      </c>
      <c r="N467" s="23">
        <v>8.8000000000000007</v>
      </c>
      <c r="O467" s="23">
        <v>8.8000000000000007</v>
      </c>
      <c r="P467" s="23" t="s">
        <v>1150</v>
      </c>
      <c r="Q467" s="31">
        <v>4555</v>
      </c>
      <c r="R467" s="23" t="s">
        <v>1151</v>
      </c>
      <c r="S467" s="23" t="s">
        <v>675</v>
      </c>
      <c r="T467" s="23"/>
      <c r="U467" s="23" t="s">
        <v>1152</v>
      </c>
      <c r="V467" s="23"/>
      <c r="W467" s="23"/>
      <c r="X467" s="23"/>
      <c r="Y467" s="23"/>
      <c r="Z467" s="23"/>
      <c r="AA467" s="23"/>
      <c r="AB467" s="23" t="s">
        <v>1153</v>
      </c>
      <c r="AC467" s="23"/>
      <c r="AD467" s="23"/>
      <c r="AH467" s="33" t="s">
        <v>1261</v>
      </c>
      <c r="AI467" s="23" t="s">
        <v>1264</v>
      </c>
      <c r="AJ467" s="33" t="str">
        <f t="shared" si="7"/>
        <v>PD5D_MTG_VisiumST/samples/HC_BN1822_MTG_VisiumST_batch21_rep1.h5</v>
      </c>
      <c r="AK467" t="s">
        <v>1290</v>
      </c>
    </row>
    <row r="468" spans="1:37">
      <c r="A468" s="23" t="s">
        <v>1191</v>
      </c>
      <c r="B468" s="23" t="s">
        <v>223</v>
      </c>
      <c r="C468" s="23" t="s">
        <v>223</v>
      </c>
      <c r="D468" s="23" t="s">
        <v>666</v>
      </c>
      <c r="E468" s="23">
        <v>1</v>
      </c>
      <c r="F468" s="23">
        <v>0</v>
      </c>
      <c r="G468" s="23" t="s">
        <v>771</v>
      </c>
      <c r="H468" s="23" t="s">
        <v>668</v>
      </c>
      <c r="I468" s="23" t="s">
        <v>669</v>
      </c>
      <c r="J468" s="23" t="s">
        <v>670</v>
      </c>
      <c r="K468" s="23" t="s">
        <v>671</v>
      </c>
      <c r="L468" s="23" t="s">
        <v>669</v>
      </c>
      <c r="M468" s="23" t="s">
        <v>672</v>
      </c>
      <c r="N468" s="23">
        <v>9.5</v>
      </c>
      <c r="O468" s="23">
        <v>9.5</v>
      </c>
      <c r="P468" s="23" t="s">
        <v>1150</v>
      </c>
      <c r="Q468" s="31">
        <v>4515</v>
      </c>
      <c r="R468" s="23" t="s">
        <v>1151</v>
      </c>
      <c r="S468" s="23" t="s">
        <v>675</v>
      </c>
      <c r="T468" s="23"/>
      <c r="U468" s="23" t="s">
        <v>1152</v>
      </c>
      <c r="V468" s="23"/>
      <c r="W468" s="23"/>
      <c r="X468" s="23"/>
      <c r="Y468" s="23"/>
      <c r="Z468" s="23"/>
      <c r="AA468" s="23"/>
      <c r="AB468" s="23" t="s">
        <v>1153</v>
      </c>
      <c r="AC468" s="23"/>
      <c r="AD468" s="23"/>
      <c r="AH468" s="33" t="s">
        <v>1261</v>
      </c>
      <c r="AI468" s="23" t="s">
        <v>1264</v>
      </c>
      <c r="AJ468" s="33" t="str">
        <f t="shared" si="7"/>
        <v>PD5D_MTG_VisiumST/samples/HC_BN1878_MTG_VisiumST_batch22_rep1.h5</v>
      </c>
      <c r="AK468" t="s">
        <v>1290</v>
      </c>
    </row>
    <row r="469" spans="1:37">
      <c r="A469" s="23" t="s">
        <v>1192</v>
      </c>
      <c r="B469" s="23" t="s">
        <v>119</v>
      </c>
      <c r="C469" s="23" t="s">
        <v>119</v>
      </c>
      <c r="D469" s="23" t="s">
        <v>666</v>
      </c>
      <c r="E469" s="23">
        <v>1</v>
      </c>
      <c r="F469" s="23">
        <v>0</v>
      </c>
      <c r="G469" s="23" t="s">
        <v>746</v>
      </c>
      <c r="H469" s="23" t="s">
        <v>668</v>
      </c>
      <c r="I469" s="23" t="s">
        <v>669</v>
      </c>
      <c r="J469" s="23" t="s">
        <v>670</v>
      </c>
      <c r="K469" s="23" t="s">
        <v>671</v>
      </c>
      <c r="L469" s="23" t="s">
        <v>669</v>
      </c>
      <c r="M469" s="23" t="s">
        <v>672</v>
      </c>
      <c r="N469" s="23">
        <v>9.6999999999999993</v>
      </c>
      <c r="O469" s="23">
        <v>9.6999999999999993</v>
      </c>
      <c r="P469" s="23" t="s">
        <v>1150</v>
      </c>
      <c r="Q469" s="31">
        <v>3552</v>
      </c>
      <c r="R469" s="23" t="s">
        <v>1151</v>
      </c>
      <c r="S469" s="23" t="s">
        <v>675</v>
      </c>
      <c r="T469" s="23"/>
      <c r="U469" s="23" t="s">
        <v>1152</v>
      </c>
      <c r="V469" s="23"/>
      <c r="W469" s="23"/>
      <c r="X469" s="23"/>
      <c r="Y469" s="23"/>
      <c r="Z469" s="23"/>
      <c r="AA469" s="23"/>
      <c r="AB469" s="23" t="s">
        <v>1153</v>
      </c>
      <c r="AC469" s="23"/>
      <c r="AD469" s="23"/>
      <c r="AH469" s="33" t="s">
        <v>1261</v>
      </c>
      <c r="AI469" s="23" t="s">
        <v>1264</v>
      </c>
      <c r="AJ469" s="33" t="str">
        <f t="shared" si="7"/>
        <v>PD5D_MTG_VisiumST/samples/ILB_BN1160_MTG_VisiumST_batch18_rep1.h5</v>
      </c>
      <c r="AK469" t="s">
        <v>1290</v>
      </c>
    </row>
    <row r="470" spans="1:37">
      <c r="A470" s="23" t="s">
        <v>1193</v>
      </c>
      <c r="B470" s="23" t="s">
        <v>129</v>
      </c>
      <c r="C470" s="23" t="s">
        <v>129</v>
      </c>
      <c r="D470" s="23" t="s">
        <v>666</v>
      </c>
      <c r="E470" s="23">
        <v>1</v>
      </c>
      <c r="F470" s="23">
        <v>0</v>
      </c>
      <c r="G470" s="23" t="s">
        <v>746</v>
      </c>
      <c r="H470" s="23" t="s">
        <v>668</v>
      </c>
      <c r="I470" s="23" t="s">
        <v>669</v>
      </c>
      <c r="J470" s="23" t="s">
        <v>670</v>
      </c>
      <c r="K470" s="23" t="s">
        <v>671</v>
      </c>
      <c r="L470" s="23" t="s">
        <v>669</v>
      </c>
      <c r="M470" s="23" t="s">
        <v>672</v>
      </c>
      <c r="N470" s="23">
        <v>9.6999999999999993</v>
      </c>
      <c r="O470" s="23">
        <v>9.6999999999999993</v>
      </c>
      <c r="P470" s="23" t="s">
        <v>1150</v>
      </c>
      <c r="Q470" s="31">
        <v>3643</v>
      </c>
      <c r="R470" s="23" t="s">
        <v>1151</v>
      </c>
      <c r="S470" s="23" t="s">
        <v>675</v>
      </c>
      <c r="T470" s="23"/>
      <c r="U470" s="23" t="s">
        <v>1152</v>
      </c>
      <c r="V470" s="23"/>
      <c r="W470" s="23"/>
      <c r="X470" s="23"/>
      <c r="Y470" s="23"/>
      <c r="Z470" s="23"/>
      <c r="AA470" s="23"/>
      <c r="AB470" s="23" t="s">
        <v>1153</v>
      </c>
      <c r="AC470" s="23"/>
      <c r="AD470" s="23"/>
      <c r="AH470" s="33" t="s">
        <v>1261</v>
      </c>
      <c r="AI470" s="23" t="s">
        <v>1264</v>
      </c>
      <c r="AJ470" s="33" t="str">
        <f t="shared" si="7"/>
        <v>PD5D_MTG_VisiumST/samples/ILB_BN1308_MTG_VisiumST_batch18_rep1.h5</v>
      </c>
      <c r="AK470" t="s">
        <v>1290</v>
      </c>
    </row>
    <row r="471" spans="1:37">
      <c r="A471" s="23" t="s">
        <v>1194</v>
      </c>
      <c r="B471" s="23" t="s">
        <v>243</v>
      </c>
      <c r="C471" s="23" t="s">
        <v>243</v>
      </c>
      <c r="D471" s="23" t="s">
        <v>666</v>
      </c>
      <c r="E471" s="23">
        <v>1</v>
      </c>
      <c r="F471" s="23">
        <v>0</v>
      </c>
      <c r="G471" s="23" t="s">
        <v>750</v>
      </c>
      <c r="H471" s="23" t="s">
        <v>668</v>
      </c>
      <c r="I471" s="23" t="s">
        <v>669</v>
      </c>
      <c r="J471" s="23" t="s">
        <v>670</v>
      </c>
      <c r="K471" s="23" t="s">
        <v>671</v>
      </c>
      <c r="L471" s="23" t="s">
        <v>669</v>
      </c>
      <c r="M471" s="23" t="s">
        <v>672</v>
      </c>
      <c r="N471" s="23">
        <v>7.3</v>
      </c>
      <c r="O471" s="23">
        <v>7.3</v>
      </c>
      <c r="P471" s="23" t="s">
        <v>1150</v>
      </c>
      <c r="Q471" s="31">
        <v>4277</v>
      </c>
      <c r="R471" s="23" t="s">
        <v>1151</v>
      </c>
      <c r="S471" s="23" t="s">
        <v>675</v>
      </c>
      <c r="T471" s="23"/>
      <c r="U471" s="23" t="s">
        <v>1152</v>
      </c>
      <c r="V471" s="23"/>
      <c r="W471" s="23"/>
      <c r="X471" s="23"/>
      <c r="Y471" s="23"/>
      <c r="Z471" s="23"/>
      <c r="AA471" s="23"/>
      <c r="AB471" s="23" t="s">
        <v>1153</v>
      </c>
      <c r="AC471" s="23"/>
      <c r="AD471" s="23"/>
      <c r="AH471" s="33" t="s">
        <v>1261</v>
      </c>
      <c r="AI471" s="23" t="s">
        <v>1264</v>
      </c>
      <c r="AJ471" s="33" t="str">
        <f t="shared" si="7"/>
        <v>PD5D_MTG_VisiumST/samples/ILB_BN2015_MTG_VisiumST_batch19_rep1.h5</v>
      </c>
      <c r="AK471" t="s">
        <v>1290</v>
      </c>
    </row>
    <row r="472" spans="1:37">
      <c r="A472" s="23" t="s">
        <v>1195</v>
      </c>
      <c r="B472" s="23" t="s">
        <v>183</v>
      </c>
      <c r="C472" s="23" t="s">
        <v>183</v>
      </c>
      <c r="D472" s="23" t="s">
        <v>689</v>
      </c>
      <c r="E472" s="23">
        <v>2</v>
      </c>
      <c r="F472" s="23">
        <v>1</v>
      </c>
      <c r="G472" s="23" t="s">
        <v>708</v>
      </c>
      <c r="H472" s="23" t="s">
        <v>668</v>
      </c>
      <c r="I472" s="23" t="s">
        <v>669</v>
      </c>
      <c r="J472" s="23" t="s">
        <v>670</v>
      </c>
      <c r="K472" s="23" t="s">
        <v>671</v>
      </c>
      <c r="L472" s="23" t="s">
        <v>669</v>
      </c>
      <c r="M472" s="23" t="s">
        <v>672</v>
      </c>
      <c r="N472" s="23">
        <v>9.4</v>
      </c>
      <c r="O472" s="23">
        <v>9.4</v>
      </c>
      <c r="P472" s="23" t="s">
        <v>1150</v>
      </c>
      <c r="Q472" s="31">
        <v>3207</v>
      </c>
      <c r="R472" s="23" t="s">
        <v>1151</v>
      </c>
      <c r="S472" s="23" t="s">
        <v>675</v>
      </c>
      <c r="T472" s="23"/>
      <c r="U472" s="23" t="s">
        <v>1152</v>
      </c>
      <c r="V472" s="23"/>
      <c r="W472" s="23"/>
      <c r="X472" s="23"/>
      <c r="Y472" s="23"/>
      <c r="Z472" s="23"/>
      <c r="AA472" s="23"/>
      <c r="AB472" s="23" t="s">
        <v>1153</v>
      </c>
      <c r="AC472" s="23"/>
      <c r="AD472" s="23"/>
      <c r="AH472" s="33" t="s">
        <v>1261</v>
      </c>
      <c r="AI472" s="23" t="s">
        <v>1264</v>
      </c>
      <c r="AJ472" s="33" t="str">
        <f t="shared" si="7"/>
        <v>PD5D_MTG_VisiumST/samples/PD_BN1749_MTG_VisiumST_batch27_rep2.h5</v>
      </c>
      <c r="AK472" t="s">
        <v>1290</v>
      </c>
    </row>
    <row r="473" spans="1:37">
      <c r="A473" s="23" t="s">
        <v>1196</v>
      </c>
      <c r="B473" s="23" t="s">
        <v>241</v>
      </c>
      <c r="C473" s="23" t="s">
        <v>241</v>
      </c>
      <c r="D473" s="23" t="s">
        <v>666</v>
      </c>
      <c r="E473" s="23">
        <v>1</v>
      </c>
      <c r="F473" s="23">
        <v>0</v>
      </c>
      <c r="G473" s="23" t="s">
        <v>775</v>
      </c>
      <c r="H473" s="23" t="s">
        <v>668</v>
      </c>
      <c r="I473" s="23" t="s">
        <v>669</v>
      </c>
      <c r="J473" s="23" t="s">
        <v>670</v>
      </c>
      <c r="K473" s="23" t="s">
        <v>671</v>
      </c>
      <c r="L473" s="23" t="s">
        <v>669</v>
      </c>
      <c r="M473" s="23" t="s">
        <v>672</v>
      </c>
      <c r="N473" s="23">
        <v>9.1999999999999993</v>
      </c>
      <c r="O473" s="23">
        <v>9.1999999999999993</v>
      </c>
      <c r="P473" s="23" t="s">
        <v>1150</v>
      </c>
      <c r="Q473" s="31">
        <v>4311</v>
      </c>
      <c r="R473" s="23" t="s">
        <v>1151</v>
      </c>
      <c r="S473" s="23" t="s">
        <v>675</v>
      </c>
      <c r="T473" s="23"/>
      <c r="U473" s="23" t="s">
        <v>1152</v>
      </c>
      <c r="V473" s="23"/>
      <c r="W473" s="23"/>
      <c r="X473" s="23"/>
      <c r="Y473" s="23"/>
      <c r="Z473" s="23"/>
      <c r="AA473" s="23"/>
      <c r="AB473" s="23" t="s">
        <v>1153</v>
      </c>
      <c r="AC473" s="23"/>
      <c r="AD473" s="23"/>
      <c r="AH473" s="33" t="s">
        <v>1261</v>
      </c>
      <c r="AI473" s="23" t="s">
        <v>1264</v>
      </c>
      <c r="AJ473" s="33" t="str">
        <f t="shared" si="7"/>
        <v>PD5D_MTG_VisiumST/samples/PD_BN2003_MTG_VisiumST_batch23_rep1.h5</v>
      </c>
      <c r="AK473" t="s">
        <v>1290</v>
      </c>
    </row>
    <row r="474" spans="1:37">
      <c r="A474" s="23" t="s">
        <v>1197</v>
      </c>
      <c r="B474" s="23" t="s">
        <v>157</v>
      </c>
      <c r="C474" s="23" t="s">
        <v>157</v>
      </c>
      <c r="D474" s="23" t="s">
        <v>689</v>
      </c>
      <c r="E474" s="23">
        <v>2</v>
      </c>
      <c r="F474" s="23">
        <v>1</v>
      </c>
      <c r="G474" s="23" t="s">
        <v>1149</v>
      </c>
      <c r="H474" s="23" t="s">
        <v>668</v>
      </c>
      <c r="I474" s="23" t="s">
        <v>669</v>
      </c>
      <c r="J474" s="23" t="s">
        <v>670</v>
      </c>
      <c r="K474" s="23" t="s">
        <v>671</v>
      </c>
      <c r="L474" s="23" t="s">
        <v>669</v>
      </c>
      <c r="M474" s="23" t="s">
        <v>672</v>
      </c>
      <c r="N474" s="23">
        <v>9.4</v>
      </c>
      <c r="O474" s="23">
        <v>9.4</v>
      </c>
      <c r="P474" s="23" t="s">
        <v>1150</v>
      </c>
      <c r="Q474" s="31">
        <v>4181</v>
      </c>
      <c r="R474" s="23" t="s">
        <v>1151</v>
      </c>
      <c r="S474" s="23" t="s">
        <v>675</v>
      </c>
      <c r="T474" s="23"/>
      <c r="U474" s="23" t="s">
        <v>1152</v>
      </c>
      <c r="V474" s="23"/>
      <c r="W474" s="23"/>
      <c r="X474" s="23"/>
      <c r="Y474" s="23"/>
      <c r="Z474" s="23"/>
      <c r="AA474" s="23"/>
      <c r="AB474" s="23" t="s">
        <v>1153</v>
      </c>
      <c r="AC474" s="23"/>
      <c r="AD474" s="23"/>
      <c r="AH474" s="33" t="s">
        <v>1261</v>
      </c>
      <c r="AI474" s="23" t="s">
        <v>1264</v>
      </c>
      <c r="AJ474" s="33" t="str">
        <f t="shared" si="7"/>
        <v>PD5D_MTG_VisiumST/samples/PD_BN1554_MTG_VisiumST_batch81_rep2.h5</v>
      </c>
      <c r="AK474" t="s">
        <v>1290</v>
      </c>
    </row>
    <row r="475" spans="1:37">
      <c r="A475" s="23" t="s">
        <v>1198</v>
      </c>
      <c r="B475" s="23" t="s">
        <v>104</v>
      </c>
      <c r="C475" s="23" t="s">
        <v>104</v>
      </c>
      <c r="D475" s="23" t="s">
        <v>666</v>
      </c>
      <c r="E475" s="23">
        <v>1</v>
      </c>
      <c r="F475" s="23">
        <v>0</v>
      </c>
      <c r="G475" s="23" t="s">
        <v>723</v>
      </c>
      <c r="H475" s="23" t="s">
        <v>668</v>
      </c>
      <c r="I475" s="23" t="s">
        <v>669</v>
      </c>
      <c r="J475" s="23" t="s">
        <v>670</v>
      </c>
      <c r="K475" s="23" t="s">
        <v>671</v>
      </c>
      <c r="L475" s="23" t="s">
        <v>669</v>
      </c>
      <c r="M475" s="23" t="s">
        <v>672</v>
      </c>
      <c r="N475" s="23">
        <v>9.5</v>
      </c>
      <c r="O475" s="23">
        <v>9.5</v>
      </c>
      <c r="P475" s="23" t="s">
        <v>1150</v>
      </c>
      <c r="Q475" s="31">
        <v>3520</v>
      </c>
      <c r="R475" s="23" t="s">
        <v>1151</v>
      </c>
      <c r="S475" s="23" t="s">
        <v>675</v>
      </c>
      <c r="T475" s="23"/>
      <c r="U475" s="23" t="s">
        <v>1152</v>
      </c>
      <c r="V475" s="23"/>
      <c r="W475" s="23"/>
      <c r="X475" s="23"/>
      <c r="Y475" s="23"/>
      <c r="Z475" s="23"/>
      <c r="AA475" s="23"/>
      <c r="AB475" s="23" t="s">
        <v>1153</v>
      </c>
      <c r="AC475" s="23"/>
      <c r="AD475" s="23"/>
      <c r="AH475" s="33" t="s">
        <v>1261</v>
      </c>
      <c r="AI475" s="23" t="s">
        <v>1264</v>
      </c>
      <c r="AJ475" s="33" t="str">
        <f t="shared" si="7"/>
        <v>PD5D_MTG_VisiumST/samples/HC_BN0746_MTG_VisiumST_batch16_rep1.h5</v>
      </c>
      <c r="AK475" t="s">
        <v>1290</v>
      </c>
    </row>
    <row r="476" spans="1:37">
      <c r="A476" s="23" t="s">
        <v>1199</v>
      </c>
      <c r="B476" s="23" t="s">
        <v>205</v>
      </c>
      <c r="C476" s="23" t="s">
        <v>205</v>
      </c>
      <c r="D476" s="23" t="s">
        <v>666</v>
      </c>
      <c r="E476" s="23">
        <v>1</v>
      </c>
      <c r="F476" s="23">
        <v>0</v>
      </c>
      <c r="G476" s="23" t="s">
        <v>718</v>
      </c>
      <c r="H476" s="23" t="s">
        <v>668</v>
      </c>
      <c r="I476" s="23" t="s">
        <v>669</v>
      </c>
      <c r="J476" s="23" t="s">
        <v>670</v>
      </c>
      <c r="K476" s="23" t="s">
        <v>671</v>
      </c>
      <c r="L476" s="23" t="s">
        <v>669</v>
      </c>
      <c r="M476" s="23" t="s">
        <v>672</v>
      </c>
      <c r="N476" s="23">
        <v>8</v>
      </c>
      <c r="O476" s="23">
        <v>8</v>
      </c>
      <c r="P476" s="23" t="s">
        <v>1150</v>
      </c>
      <c r="Q476" s="31">
        <v>3317</v>
      </c>
      <c r="R476" s="23" t="s">
        <v>1151</v>
      </c>
      <c r="S476" s="23" t="s">
        <v>675</v>
      </c>
      <c r="T476" s="23"/>
      <c r="U476" s="23" t="s">
        <v>1152</v>
      </c>
      <c r="V476" s="23"/>
      <c r="W476" s="23"/>
      <c r="X476" s="23"/>
      <c r="Y476" s="23"/>
      <c r="Z476" s="23"/>
      <c r="AA476" s="23"/>
      <c r="AB476" s="23" t="s">
        <v>1153</v>
      </c>
      <c r="AC476" s="23"/>
      <c r="AD476" s="23"/>
      <c r="AH476" s="33" t="s">
        <v>1261</v>
      </c>
      <c r="AI476" s="23" t="s">
        <v>1264</v>
      </c>
      <c r="AJ476" s="33" t="str">
        <f t="shared" si="7"/>
        <v>PD5D_MTG_VisiumST/samples/ILB_BN1836_MTG_VisiumST_batch13_rep1.h5</v>
      </c>
      <c r="AK476" t="s">
        <v>1290</v>
      </c>
    </row>
    <row r="477" spans="1:37">
      <c r="A477" s="23" t="s">
        <v>1200</v>
      </c>
      <c r="B477" s="23" t="s">
        <v>233</v>
      </c>
      <c r="C477" s="23" t="s">
        <v>233</v>
      </c>
      <c r="D477" s="23" t="s">
        <v>666</v>
      </c>
      <c r="E477" s="23">
        <v>2</v>
      </c>
      <c r="F477" s="23">
        <v>1</v>
      </c>
      <c r="G477" s="23" t="s">
        <v>764</v>
      </c>
      <c r="H477" s="23" t="s">
        <v>668</v>
      </c>
      <c r="I477" s="23" t="s">
        <v>669</v>
      </c>
      <c r="J477" s="23" t="s">
        <v>670</v>
      </c>
      <c r="K477" s="23" t="s">
        <v>671</v>
      </c>
      <c r="L477" s="23" t="s">
        <v>669</v>
      </c>
      <c r="M477" s="23" t="s">
        <v>672</v>
      </c>
      <c r="N477" s="23">
        <v>10</v>
      </c>
      <c r="O477" s="23">
        <v>10</v>
      </c>
      <c r="P477" s="23" t="s">
        <v>1150</v>
      </c>
      <c r="Q477" s="31">
        <v>3621</v>
      </c>
      <c r="R477" s="23" t="s">
        <v>1151</v>
      </c>
      <c r="S477" s="23" t="s">
        <v>675</v>
      </c>
      <c r="T477" s="23"/>
      <c r="U477" s="23" t="s">
        <v>1152</v>
      </c>
      <c r="V477" s="23"/>
      <c r="W477" s="23"/>
      <c r="X477" s="23"/>
      <c r="Y477" s="23"/>
      <c r="Z477" s="23"/>
      <c r="AA477" s="23"/>
      <c r="AB477" s="23" t="s">
        <v>1153</v>
      </c>
      <c r="AC477" s="23"/>
      <c r="AD477" s="23"/>
      <c r="AH477" s="33" t="s">
        <v>1261</v>
      </c>
      <c r="AI477" s="23" t="s">
        <v>1264</v>
      </c>
      <c r="AJ477" s="33" t="str">
        <f t="shared" si="7"/>
        <v>PD5D_MTG_VisiumST/samples/PD_BN1957_MTG_VisiumST_batch20_rep1.h5</v>
      </c>
      <c r="AK477" t="s">
        <v>1290</v>
      </c>
    </row>
    <row r="478" spans="1:37">
      <c r="A478" s="23" t="s">
        <v>1201</v>
      </c>
      <c r="B478" s="23" t="s">
        <v>151</v>
      </c>
      <c r="C478" s="23" t="s">
        <v>151</v>
      </c>
      <c r="D478" s="23" t="s">
        <v>666</v>
      </c>
      <c r="E478" s="23">
        <v>1</v>
      </c>
      <c r="F478" s="23">
        <v>0</v>
      </c>
      <c r="G478" s="23" t="s">
        <v>764</v>
      </c>
      <c r="H478" s="23" t="s">
        <v>668</v>
      </c>
      <c r="I478" s="23" t="s">
        <v>669</v>
      </c>
      <c r="J478" s="23" t="s">
        <v>670</v>
      </c>
      <c r="K478" s="23" t="s">
        <v>671</v>
      </c>
      <c r="L478" s="23" t="s">
        <v>669</v>
      </c>
      <c r="M478" s="23" t="s">
        <v>672</v>
      </c>
      <c r="N478" s="23">
        <v>10</v>
      </c>
      <c r="O478" s="23">
        <v>10</v>
      </c>
      <c r="P478" s="23" t="s">
        <v>1150</v>
      </c>
      <c r="Q478" s="31">
        <v>3344</v>
      </c>
      <c r="R478" s="23" t="s">
        <v>1151</v>
      </c>
      <c r="S478" s="23" t="s">
        <v>675</v>
      </c>
      <c r="T478" s="23"/>
      <c r="U478" s="23" t="s">
        <v>1152</v>
      </c>
      <c r="V478" s="23"/>
      <c r="W478" s="23"/>
      <c r="X478" s="23"/>
      <c r="Y478" s="23"/>
      <c r="Z478" s="23"/>
      <c r="AA478" s="23"/>
      <c r="AB478" s="23" t="s">
        <v>1153</v>
      </c>
      <c r="AC478" s="23"/>
      <c r="AD478" s="23"/>
      <c r="AH478" s="33" t="s">
        <v>1261</v>
      </c>
      <c r="AI478" s="23" t="s">
        <v>1264</v>
      </c>
      <c r="AJ478" s="33" t="str">
        <f t="shared" si="7"/>
        <v>PD5D_MTG_VisiumST/samples/ILB_BN1518_MTG_VisiumST_batch20_rep1.h5</v>
      </c>
      <c r="AK478" t="s">
        <v>1290</v>
      </c>
    </row>
    <row r="479" spans="1:37">
      <c r="A479" s="23" t="s">
        <v>1202</v>
      </c>
      <c r="B479" s="23" t="s">
        <v>233</v>
      </c>
      <c r="C479" s="23" t="s">
        <v>233</v>
      </c>
      <c r="D479" s="23" t="s">
        <v>689</v>
      </c>
      <c r="E479" s="23">
        <v>2</v>
      </c>
      <c r="F479" s="23">
        <v>1</v>
      </c>
      <c r="G479" s="23" t="s">
        <v>708</v>
      </c>
      <c r="H479" s="23" t="s">
        <v>668</v>
      </c>
      <c r="I479" s="23" t="s">
        <v>669</v>
      </c>
      <c r="J479" s="23" t="s">
        <v>670</v>
      </c>
      <c r="K479" s="23" t="s">
        <v>671</v>
      </c>
      <c r="L479" s="23" t="s">
        <v>669</v>
      </c>
      <c r="M479" s="23" t="s">
        <v>672</v>
      </c>
      <c r="N479" s="23">
        <v>10</v>
      </c>
      <c r="O479" s="23">
        <v>10</v>
      </c>
      <c r="P479" s="23" t="s">
        <v>1150</v>
      </c>
      <c r="Q479" s="31">
        <v>4121</v>
      </c>
      <c r="R479" s="23" t="s">
        <v>1151</v>
      </c>
      <c r="S479" s="23" t="s">
        <v>675</v>
      </c>
      <c r="T479" s="23"/>
      <c r="U479" s="23" t="s">
        <v>1152</v>
      </c>
      <c r="V479" s="23"/>
      <c r="W479" s="23"/>
      <c r="X479" s="23"/>
      <c r="Y479" s="23"/>
      <c r="Z479" s="23"/>
      <c r="AA479" s="23"/>
      <c r="AB479" s="23" t="s">
        <v>1153</v>
      </c>
      <c r="AC479" s="23"/>
      <c r="AD479" s="23"/>
      <c r="AH479" s="33" t="s">
        <v>1261</v>
      </c>
      <c r="AI479" s="23" t="s">
        <v>1264</v>
      </c>
      <c r="AJ479" s="33" t="str">
        <f t="shared" si="7"/>
        <v>PD5D_MTG_VisiumST/samples/PD_BN1957_MTG_VisiumST_batch27_rep2.h5</v>
      </c>
      <c r="AK479" t="s">
        <v>1290</v>
      </c>
    </row>
    <row r="480" spans="1:37">
      <c r="A480" s="23" t="s">
        <v>1203</v>
      </c>
      <c r="B480" s="23" t="s">
        <v>249</v>
      </c>
      <c r="C480" s="23" t="s">
        <v>249</v>
      </c>
      <c r="D480" s="23" t="s">
        <v>666</v>
      </c>
      <c r="E480" s="23">
        <v>1</v>
      </c>
      <c r="F480" s="23">
        <v>0</v>
      </c>
      <c r="G480" s="23" t="s">
        <v>771</v>
      </c>
      <c r="H480" s="23" t="s">
        <v>668</v>
      </c>
      <c r="I480" s="23" t="s">
        <v>669</v>
      </c>
      <c r="J480" s="23" t="s">
        <v>670</v>
      </c>
      <c r="K480" s="23" t="s">
        <v>671</v>
      </c>
      <c r="L480" s="23" t="s">
        <v>669</v>
      </c>
      <c r="M480" s="23" t="s">
        <v>672</v>
      </c>
      <c r="N480" s="23">
        <v>9.5</v>
      </c>
      <c r="O480" s="23">
        <v>9.5</v>
      </c>
      <c r="P480" s="23" t="s">
        <v>1150</v>
      </c>
      <c r="Q480" s="31">
        <v>3787</v>
      </c>
      <c r="R480" s="23" t="s">
        <v>1151</v>
      </c>
      <c r="S480" s="23" t="s">
        <v>675</v>
      </c>
      <c r="T480" s="23"/>
      <c r="U480" s="23" t="s">
        <v>1152</v>
      </c>
      <c r="V480" s="23"/>
      <c r="W480" s="23"/>
      <c r="X480" s="23"/>
      <c r="Y480" s="23"/>
      <c r="Z480" s="23"/>
      <c r="AA480" s="23"/>
      <c r="AB480" s="23" t="s">
        <v>1153</v>
      </c>
      <c r="AC480" s="23"/>
      <c r="AD480" s="23"/>
      <c r="AH480" s="33" t="s">
        <v>1261</v>
      </c>
      <c r="AI480" s="23" t="s">
        <v>1264</v>
      </c>
      <c r="AJ480" s="33" t="str">
        <f t="shared" si="7"/>
        <v>PD5D_MTG_VisiumST/samples/ILB_BN9966_MTG_VisiumST_batch22_rep1.h5</v>
      </c>
      <c r="AK480" t="s">
        <v>1290</v>
      </c>
    </row>
    <row r="481" spans="1:37">
      <c r="A481" s="23" t="s">
        <v>1204</v>
      </c>
      <c r="B481" s="23" t="s">
        <v>165</v>
      </c>
      <c r="C481" s="23" t="s">
        <v>165</v>
      </c>
      <c r="D481" s="23" t="s">
        <v>666</v>
      </c>
      <c r="E481" s="23">
        <v>1</v>
      </c>
      <c r="F481" s="23">
        <v>0</v>
      </c>
      <c r="G481" s="23" t="s">
        <v>718</v>
      </c>
      <c r="H481" s="23" t="s">
        <v>668</v>
      </c>
      <c r="I481" s="23" t="s">
        <v>669</v>
      </c>
      <c r="J481" s="23" t="s">
        <v>670</v>
      </c>
      <c r="K481" s="23" t="s">
        <v>671</v>
      </c>
      <c r="L481" s="23" t="s">
        <v>669</v>
      </c>
      <c r="M481" s="23" t="s">
        <v>672</v>
      </c>
      <c r="N481" s="23">
        <v>8.6</v>
      </c>
      <c r="O481" s="23">
        <v>8.6</v>
      </c>
      <c r="P481" s="23" t="s">
        <v>1150</v>
      </c>
      <c r="Q481" s="31">
        <v>4076</v>
      </c>
      <c r="R481" s="23" t="s">
        <v>1151</v>
      </c>
      <c r="S481" s="23" t="s">
        <v>675</v>
      </c>
      <c r="T481" s="23"/>
      <c r="U481" s="23" t="s">
        <v>1152</v>
      </c>
      <c r="V481" s="23"/>
      <c r="W481" s="23"/>
      <c r="X481" s="23"/>
      <c r="Y481" s="23"/>
      <c r="Z481" s="23"/>
      <c r="AA481" s="23"/>
      <c r="AB481" s="23" t="s">
        <v>1153</v>
      </c>
      <c r="AC481" s="23"/>
      <c r="AD481" s="23"/>
      <c r="AH481" s="33" t="s">
        <v>1261</v>
      </c>
      <c r="AI481" s="23" t="s">
        <v>1264</v>
      </c>
      <c r="AJ481" s="33" t="str">
        <f t="shared" si="7"/>
        <v>PD5D_MTG_VisiumST/samples/PD_BN1614_MTG_VisiumST_batch13_rep1.h5</v>
      </c>
      <c r="AK481" t="s">
        <v>1290</v>
      </c>
    </row>
    <row r="482" spans="1:37">
      <c r="A482" s="23" t="s">
        <v>1205</v>
      </c>
      <c r="B482" s="23" t="s">
        <v>237</v>
      </c>
      <c r="C482" s="23" t="s">
        <v>237</v>
      </c>
      <c r="D482" s="23" t="s">
        <v>666</v>
      </c>
      <c r="E482" s="23">
        <v>1</v>
      </c>
      <c r="F482" s="23">
        <v>0</v>
      </c>
      <c r="G482" s="23" t="s">
        <v>775</v>
      </c>
      <c r="H482" s="23" t="s">
        <v>668</v>
      </c>
      <c r="I482" s="23" t="s">
        <v>669</v>
      </c>
      <c r="J482" s="23" t="s">
        <v>670</v>
      </c>
      <c r="K482" s="23" t="s">
        <v>671</v>
      </c>
      <c r="L482" s="23" t="s">
        <v>669</v>
      </c>
      <c r="M482" s="23" t="s">
        <v>672</v>
      </c>
      <c r="N482" s="23">
        <v>9.5</v>
      </c>
      <c r="O482" s="23">
        <v>9.5</v>
      </c>
      <c r="P482" s="23" t="s">
        <v>1150</v>
      </c>
      <c r="Q482" s="31">
        <v>2678</v>
      </c>
      <c r="R482" s="23" t="s">
        <v>1151</v>
      </c>
      <c r="S482" s="23" t="s">
        <v>675</v>
      </c>
      <c r="T482" s="23"/>
      <c r="U482" s="23" t="s">
        <v>1152</v>
      </c>
      <c r="V482" s="23"/>
      <c r="W482" s="23"/>
      <c r="X482" s="23"/>
      <c r="Y482" s="23"/>
      <c r="Z482" s="23"/>
      <c r="AA482" s="23"/>
      <c r="AB482" s="23" t="s">
        <v>1153</v>
      </c>
      <c r="AC482" s="23"/>
      <c r="AD482" s="23"/>
      <c r="AH482" s="33" t="s">
        <v>1261</v>
      </c>
      <c r="AI482" s="23" t="s">
        <v>1264</v>
      </c>
      <c r="AJ482" s="33" t="str">
        <f t="shared" si="7"/>
        <v>PD5D_MTG_VisiumST/samples/PD_BN1960_MTG_VisiumST_batch23_rep1.h5</v>
      </c>
      <c r="AK482" t="s">
        <v>1290</v>
      </c>
    </row>
    <row r="483" spans="1:37">
      <c r="A483" s="23" t="s">
        <v>1206</v>
      </c>
      <c r="B483" s="23" t="s">
        <v>90</v>
      </c>
      <c r="C483" s="23" t="s">
        <v>90</v>
      </c>
      <c r="D483" s="23" t="s">
        <v>666</v>
      </c>
      <c r="E483" s="23">
        <v>1</v>
      </c>
      <c r="F483" s="23">
        <v>0</v>
      </c>
      <c r="G483" s="23" t="s">
        <v>750</v>
      </c>
      <c r="H483" s="23" t="s">
        <v>668</v>
      </c>
      <c r="I483" s="23" t="s">
        <v>669</v>
      </c>
      <c r="J483" s="23" t="s">
        <v>670</v>
      </c>
      <c r="K483" s="23" t="s">
        <v>671</v>
      </c>
      <c r="L483" s="23" t="s">
        <v>669</v>
      </c>
      <c r="M483" s="23" t="s">
        <v>672</v>
      </c>
      <c r="N483" s="23">
        <v>9.5</v>
      </c>
      <c r="O483" s="23">
        <v>9.5</v>
      </c>
      <c r="P483" s="23" t="s">
        <v>1150</v>
      </c>
      <c r="Q483" s="31">
        <v>4053</v>
      </c>
      <c r="R483" s="23" t="s">
        <v>1151</v>
      </c>
      <c r="S483" s="23" t="s">
        <v>675</v>
      </c>
      <c r="T483" s="23"/>
      <c r="U483" s="23" t="s">
        <v>1152</v>
      </c>
      <c r="V483" s="23"/>
      <c r="W483" s="23"/>
      <c r="X483" s="23"/>
      <c r="Y483" s="23"/>
      <c r="Z483" s="23"/>
      <c r="AA483" s="23"/>
      <c r="AB483" s="23" t="s">
        <v>1153</v>
      </c>
      <c r="AC483" s="23"/>
      <c r="AD483" s="23"/>
      <c r="AH483" s="33" t="s">
        <v>1261</v>
      </c>
      <c r="AI483" s="23" t="s">
        <v>1264</v>
      </c>
      <c r="AJ483" s="33" t="str">
        <f t="shared" si="7"/>
        <v>PD5D_MTG_VisiumST/samples/HC_BN0615_MTG_VisiumST_batch19_rep1.h5</v>
      </c>
      <c r="AK483" t="s">
        <v>1290</v>
      </c>
    </row>
    <row r="484" spans="1:37">
      <c r="A484" s="23" t="s">
        <v>1207</v>
      </c>
      <c r="B484" s="23" t="s">
        <v>106</v>
      </c>
      <c r="C484" s="23" t="s">
        <v>106</v>
      </c>
      <c r="D484" s="23" t="s">
        <v>666</v>
      </c>
      <c r="E484" s="23">
        <v>1</v>
      </c>
      <c r="F484" s="23">
        <v>0</v>
      </c>
      <c r="G484" s="23" t="s">
        <v>690</v>
      </c>
      <c r="H484" s="23" t="s">
        <v>668</v>
      </c>
      <c r="I484" s="23" t="s">
        <v>669</v>
      </c>
      <c r="J484" s="23" t="s">
        <v>670</v>
      </c>
      <c r="K484" s="23" t="s">
        <v>671</v>
      </c>
      <c r="L484" s="23" t="s">
        <v>669</v>
      </c>
      <c r="M484" s="23" t="s">
        <v>672</v>
      </c>
      <c r="N484" s="23">
        <v>9.4</v>
      </c>
      <c r="O484" s="23">
        <v>9.4</v>
      </c>
      <c r="P484" s="23" t="s">
        <v>1150</v>
      </c>
      <c r="Q484" s="31">
        <v>3600</v>
      </c>
      <c r="R484" s="23" t="s">
        <v>1151</v>
      </c>
      <c r="S484" s="23" t="s">
        <v>675</v>
      </c>
      <c r="T484" s="23"/>
      <c r="U484" s="23" t="s">
        <v>1152</v>
      </c>
      <c r="V484" s="23"/>
      <c r="W484" s="23"/>
      <c r="X484" s="23"/>
      <c r="Y484" s="23"/>
      <c r="Z484" s="23"/>
      <c r="AA484" s="23"/>
      <c r="AB484" s="23" t="s">
        <v>1153</v>
      </c>
      <c r="AC484" s="23"/>
      <c r="AD484" s="23"/>
      <c r="AH484" s="33" t="s">
        <v>1261</v>
      </c>
      <c r="AI484" s="23" t="s">
        <v>1264</v>
      </c>
      <c r="AJ484" s="33" t="str">
        <f t="shared" si="7"/>
        <v>PD5D_MTG_VisiumST/samples/HC_BN0855_MTG_VisiumST_batch26_rep1.h5</v>
      </c>
      <c r="AK484" t="s">
        <v>1290</v>
      </c>
    </row>
    <row r="485" spans="1:37">
      <c r="A485" s="23" t="s">
        <v>1208</v>
      </c>
      <c r="B485" s="23" t="s">
        <v>52</v>
      </c>
      <c r="C485" s="23" t="s">
        <v>52</v>
      </c>
      <c r="D485" s="23" t="s">
        <v>666</v>
      </c>
      <c r="E485" s="23">
        <v>1</v>
      </c>
      <c r="F485" s="23">
        <v>0</v>
      </c>
      <c r="G485" s="23" t="s">
        <v>696</v>
      </c>
      <c r="H485" s="23" t="s">
        <v>668</v>
      </c>
      <c r="I485" s="23" t="s">
        <v>669</v>
      </c>
      <c r="J485" s="23" t="s">
        <v>670</v>
      </c>
      <c r="K485" s="23" t="s">
        <v>671</v>
      </c>
      <c r="L485" s="23" t="s">
        <v>669</v>
      </c>
      <c r="M485" s="23" t="s">
        <v>672</v>
      </c>
      <c r="N485" s="23">
        <v>8.9</v>
      </c>
      <c r="O485" s="23">
        <v>8.9</v>
      </c>
      <c r="P485" s="23" t="s">
        <v>1150</v>
      </c>
      <c r="Q485" s="31">
        <v>3840</v>
      </c>
      <c r="R485" s="23" t="s">
        <v>1151</v>
      </c>
      <c r="S485" s="23" t="s">
        <v>675</v>
      </c>
      <c r="T485" s="23"/>
      <c r="U485" s="23" t="s">
        <v>1152</v>
      </c>
      <c r="V485" s="23"/>
      <c r="W485" s="23"/>
      <c r="X485" s="23"/>
      <c r="Y485" s="23"/>
      <c r="Z485" s="23"/>
      <c r="AA485" s="23"/>
      <c r="AB485" s="23" t="s">
        <v>1153</v>
      </c>
      <c r="AC485" s="23"/>
      <c r="AD485" s="23"/>
      <c r="AH485" s="33" t="s">
        <v>1261</v>
      </c>
      <c r="AI485" s="23" t="s">
        <v>1264</v>
      </c>
      <c r="AJ485" s="33" t="str">
        <f t="shared" si="7"/>
        <v>PD5D_MTG_VisiumST/samples/PD_BN0009_MTG_VisiumST_batch5_rep1.h5</v>
      </c>
      <c r="AK485" t="s">
        <v>1290</v>
      </c>
    </row>
    <row r="486" spans="1:37">
      <c r="A486" s="23" t="s">
        <v>1209</v>
      </c>
      <c r="B486" s="23" t="s">
        <v>122</v>
      </c>
      <c r="C486" s="23" t="s">
        <v>122</v>
      </c>
      <c r="D486" s="23" t="s">
        <v>666</v>
      </c>
      <c r="E486" s="23">
        <v>1</v>
      </c>
      <c r="F486" s="23">
        <v>0</v>
      </c>
      <c r="G486" s="23" t="s">
        <v>698</v>
      </c>
      <c r="H486" s="23" t="s">
        <v>668</v>
      </c>
      <c r="I486" s="23" t="s">
        <v>669</v>
      </c>
      <c r="J486" s="23" t="s">
        <v>670</v>
      </c>
      <c r="K486" s="23" t="s">
        <v>671</v>
      </c>
      <c r="L486" s="23" t="s">
        <v>669</v>
      </c>
      <c r="M486" s="23" t="s">
        <v>672</v>
      </c>
      <c r="N486" s="23">
        <v>9.6</v>
      </c>
      <c r="O486" s="23">
        <v>9.6</v>
      </c>
      <c r="P486" s="23" t="s">
        <v>1150</v>
      </c>
      <c r="Q486" s="31">
        <v>3928</v>
      </c>
      <c r="R486" s="23" t="s">
        <v>1151</v>
      </c>
      <c r="S486" s="23" t="s">
        <v>675</v>
      </c>
      <c r="T486" s="23"/>
      <c r="U486" s="23" t="s">
        <v>1152</v>
      </c>
      <c r="V486" s="23"/>
      <c r="W486" s="23"/>
      <c r="X486" s="23"/>
      <c r="Y486" s="23"/>
      <c r="Z486" s="23"/>
      <c r="AA486" s="23"/>
      <c r="AB486" s="23" t="s">
        <v>1153</v>
      </c>
      <c r="AC486" s="23"/>
      <c r="AD486" s="23"/>
      <c r="AH486" s="33" t="s">
        <v>1261</v>
      </c>
      <c r="AI486" s="23" t="s">
        <v>1264</v>
      </c>
      <c r="AJ486" s="33" t="str">
        <f t="shared" si="7"/>
        <v>PD5D_MTG_VisiumST/samples/HC_BN1206_MTG_VisiumST_batch6_rep1.h5</v>
      </c>
      <c r="AK486" t="s">
        <v>1290</v>
      </c>
    </row>
    <row r="487" spans="1:37">
      <c r="A487" s="23" t="s">
        <v>1210</v>
      </c>
      <c r="B487" s="23" t="s">
        <v>245</v>
      </c>
      <c r="C487" s="23" t="s">
        <v>245</v>
      </c>
      <c r="D487" s="23" t="s">
        <v>666</v>
      </c>
      <c r="E487" s="23">
        <v>1</v>
      </c>
      <c r="F487" s="23">
        <v>0</v>
      </c>
      <c r="G487" s="23" t="s">
        <v>781</v>
      </c>
      <c r="H487" s="23" t="s">
        <v>668</v>
      </c>
      <c r="I487" s="23" t="s">
        <v>669</v>
      </c>
      <c r="J487" s="23" t="s">
        <v>670</v>
      </c>
      <c r="K487" s="23" t="s">
        <v>671</v>
      </c>
      <c r="L487" s="23" t="s">
        <v>669</v>
      </c>
      <c r="M487" s="23" t="s">
        <v>672</v>
      </c>
      <c r="N487" s="23">
        <v>9.4</v>
      </c>
      <c r="O487" s="23">
        <v>9.4</v>
      </c>
      <c r="P487" s="23" t="s">
        <v>1150</v>
      </c>
      <c r="Q487" s="31">
        <v>4836</v>
      </c>
      <c r="R487" s="23" t="s">
        <v>1151</v>
      </c>
      <c r="S487" s="23" t="s">
        <v>675</v>
      </c>
      <c r="T487" s="23"/>
      <c r="U487" s="23" t="s">
        <v>1152</v>
      </c>
      <c r="V487" s="23"/>
      <c r="W487" s="23"/>
      <c r="X487" s="23"/>
      <c r="Y487" s="23"/>
      <c r="Z487" s="23"/>
      <c r="AA487" s="23"/>
      <c r="AB487" s="23" t="s">
        <v>1153</v>
      </c>
      <c r="AC487" s="23"/>
      <c r="AD487" s="23"/>
      <c r="AH487" s="33" t="s">
        <v>1261</v>
      </c>
      <c r="AI487" s="23" t="s">
        <v>1264</v>
      </c>
      <c r="AJ487" s="33" t="str">
        <f t="shared" si="7"/>
        <v>PD5D_MTG_VisiumST/samples/HC_BN9944_MTG_VisiumST_batch24_rep1.h5</v>
      </c>
      <c r="AK487" t="s">
        <v>1290</v>
      </c>
    </row>
    <row r="488" spans="1:37">
      <c r="A488" s="23" t="s">
        <v>1211</v>
      </c>
      <c r="B488" s="23" t="s">
        <v>247</v>
      </c>
      <c r="C488" s="23" t="s">
        <v>247</v>
      </c>
      <c r="D488" s="23" t="s">
        <v>666</v>
      </c>
      <c r="E488" s="23">
        <v>1</v>
      </c>
      <c r="F488" s="23">
        <v>0</v>
      </c>
      <c r="G488" s="23" t="s">
        <v>775</v>
      </c>
      <c r="H488" s="23" t="s">
        <v>668</v>
      </c>
      <c r="I488" s="23" t="s">
        <v>669</v>
      </c>
      <c r="J488" s="23" t="s">
        <v>670</v>
      </c>
      <c r="K488" s="23" t="s">
        <v>671</v>
      </c>
      <c r="L488" s="23" t="s">
        <v>669</v>
      </c>
      <c r="M488" s="23" t="s">
        <v>672</v>
      </c>
      <c r="N488" s="23">
        <v>9.8000000000000007</v>
      </c>
      <c r="O488" s="23">
        <v>9.8000000000000007</v>
      </c>
      <c r="P488" s="23" t="s">
        <v>1150</v>
      </c>
      <c r="Q488" s="31">
        <v>4260</v>
      </c>
      <c r="R488" s="23" t="s">
        <v>1151</v>
      </c>
      <c r="S488" s="23" t="s">
        <v>675</v>
      </c>
      <c r="T488" s="23"/>
      <c r="U488" s="23" t="s">
        <v>1152</v>
      </c>
      <c r="V488" s="23"/>
      <c r="W488" s="23"/>
      <c r="X488" s="23"/>
      <c r="Y488" s="23"/>
      <c r="Z488" s="23"/>
      <c r="AA488" s="23"/>
      <c r="AB488" s="23" t="s">
        <v>1153</v>
      </c>
      <c r="AC488" s="23"/>
      <c r="AD488" s="23"/>
      <c r="AH488" s="33" t="s">
        <v>1261</v>
      </c>
      <c r="AI488" s="23" t="s">
        <v>1264</v>
      </c>
      <c r="AJ488" s="33" t="str">
        <f t="shared" si="7"/>
        <v>PD5D_MTG_VisiumST/samples/ILB_BN9947_MTG_VisiumST_batch23_rep1.h5</v>
      </c>
      <c r="AK488" t="s">
        <v>1290</v>
      </c>
    </row>
    <row r="489" spans="1:37">
      <c r="A489" s="23" t="s">
        <v>1212</v>
      </c>
      <c r="B489" s="23" t="s">
        <v>74</v>
      </c>
      <c r="C489" s="23" t="s">
        <v>74</v>
      </c>
      <c r="D489" s="23" t="s">
        <v>689</v>
      </c>
      <c r="E489" s="23">
        <v>5</v>
      </c>
      <c r="F489" s="23">
        <v>1</v>
      </c>
      <c r="G489" s="23" t="s">
        <v>679</v>
      </c>
      <c r="H489" s="23" t="s">
        <v>668</v>
      </c>
      <c r="I489" s="23" t="s">
        <v>669</v>
      </c>
      <c r="J489" s="23" t="s">
        <v>670</v>
      </c>
      <c r="K489" s="23" t="s">
        <v>671</v>
      </c>
      <c r="L489" s="23" t="s">
        <v>669</v>
      </c>
      <c r="M489" s="23" t="s">
        <v>672</v>
      </c>
      <c r="N489" s="23">
        <v>8.9</v>
      </c>
      <c r="O489" s="23">
        <v>8.9</v>
      </c>
      <c r="P489" s="23" t="s">
        <v>1150</v>
      </c>
      <c r="Q489" s="31">
        <v>3934</v>
      </c>
      <c r="R489" s="23" t="s">
        <v>1151</v>
      </c>
      <c r="S489" s="23" t="s">
        <v>675</v>
      </c>
      <c r="T489" s="23"/>
      <c r="U489" s="23" t="s">
        <v>1152</v>
      </c>
      <c r="V489" s="23"/>
      <c r="W489" s="23"/>
      <c r="X489" s="23"/>
      <c r="Y489" s="23"/>
      <c r="Z489" s="23"/>
      <c r="AA489" s="23"/>
      <c r="AB489" s="23" t="s">
        <v>1153</v>
      </c>
      <c r="AC489" s="23"/>
      <c r="AD489" s="23"/>
      <c r="AH489" s="33" t="s">
        <v>1261</v>
      </c>
      <c r="AI489" s="23" t="s">
        <v>1264</v>
      </c>
      <c r="AJ489" s="33" t="str">
        <f t="shared" si="7"/>
        <v>PD5D_MTG_VisiumST/samples/HC_BN0347_MTG_VisiumST_batch2_rep2.h5</v>
      </c>
      <c r="AK489" t="s">
        <v>1290</v>
      </c>
    </row>
    <row r="490" spans="1:37">
      <c r="A490" s="23" t="s">
        <v>1213</v>
      </c>
      <c r="B490" s="23" t="s">
        <v>183</v>
      </c>
      <c r="C490" s="23" t="s">
        <v>183</v>
      </c>
      <c r="D490" s="23" t="s">
        <v>666</v>
      </c>
      <c r="E490" s="23">
        <v>2</v>
      </c>
      <c r="F490" s="23">
        <v>1</v>
      </c>
      <c r="G490" s="23" t="s">
        <v>718</v>
      </c>
      <c r="H490" s="23" t="s">
        <v>668</v>
      </c>
      <c r="I490" s="23" t="s">
        <v>669</v>
      </c>
      <c r="J490" s="23" t="s">
        <v>670</v>
      </c>
      <c r="K490" s="23" t="s">
        <v>671</v>
      </c>
      <c r="L490" s="23" t="s">
        <v>669</v>
      </c>
      <c r="M490" s="23" t="s">
        <v>672</v>
      </c>
      <c r="N490" s="23">
        <v>9.4</v>
      </c>
      <c r="O490" s="23">
        <v>9.4</v>
      </c>
      <c r="P490" s="23" t="s">
        <v>1150</v>
      </c>
      <c r="Q490" s="31">
        <v>4160</v>
      </c>
      <c r="R490" s="23" t="s">
        <v>1151</v>
      </c>
      <c r="S490" s="23" t="s">
        <v>675</v>
      </c>
      <c r="T490" s="23"/>
      <c r="U490" s="23" t="s">
        <v>1152</v>
      </c>
      <c r="V490" s="23"/>
      <c r="W490" s="23"/>
      <c r="X490" s="23"/>
      <c r="Y490" s="23"/>
      <c r="Z490" s="23"/>
      <c r="AA490" s="23"/>
      <c r="AB490" s="23" t="s">
        <v>1153</v>
      </c>
      <c r="AC490" s="23"/>
      <c r="AD490" s="23"/>
      <c r="AH490" s="33" t="s">
        <v>1261</v>
      </c>
      <c r="AI490" s="23" t="s">
        <v>1264</v>
      </c>
      <c r="AJ490" s="33" t="str">
        <f t="shared" si="7"/>
        <v>PD5D_MTG_VisiumST/samples/PD_BN1749_MTG_VisiumST_batch13_rep1.h5</v>
      </c>
      <c r="AK490" t="s">
        <v>1290</v>
      </c>
    </row>
    <row r="491" spans="1:37">
      <c r="A491" s="23" t="s">
        <v>1214</v>
      </c>
      <c r="B491" s="23" t="s">
        <v>135</v>
      </c>
      <c r="C491" s="23" t="s">
        <v>135</v>
      </c>
      <c r="D491" s="23" t="s">
        <v>666</v>
      </c>
      <c r="E491" s="23">
        <v>1</v>
      </c>
      <c r="F491" s="23">
        <v>0</v>
      </c>
      <c r="G491" s="23" t="s">
        <v>735</v>
      </c>
      <c r="H491" s="23" t="s">
        <v>668</v>
      </c>
      <c r="I491" s="23" t="s">
        <v>669</v>
      </c>
      <c r="J491" s="23" t="s">
        <v>670</v>
      </c>
      <c r="K491" s="23" t="s">
        <v>671</v>
      </c>
      <c r="L491" s="23" t="s">
        <v>669</v>
      </c>
      <c r="M491" s="23" t="s">
        <v>672</v>
      </c>
      <c r="N491" s="23">
        <v>9.6999999999999993</v>
      </c>
      <c r="O491" s="23">
        <v>9.6999999999999993</v>
      </c>
      <c r="P491" s="23" t="s">
        <v>1150</v>
      </c>
      <c r="Q491" s="31">
        <v>4479</v>
      </c>
      <c r="R491" s="23" t="s">
        <v>1151</v>
      </c>
      <c r="S491" s="23" t="s">
        <v>675</v>
      </c>
      <c r="T491" s="23"/>
      <c r="U491" s="23" t="s">
        <v>1152</v>
      </c>
      <c r="V491" s="23"/>
      <c r="W491" s="23"/>
      <c r="X491" s="23"/>
      <c r="Y491" s="23"/>
      <c r="Z491" s="23"/>
      <c r="AA491" s="23"/>
      <c r="AB491" s="23" t="s">
        <v>1153</v>
      </c>
      <c r="AC491" s="23"/>
      <c r="AD491" s="23"/>
      <c r="AH491" s="33" t="s">
        <v>1261</v>
      </c>
      <c r="AI491" s="23" t="s">
        <v>1264</v>
      </c>
      <c r="AJ491" s="33" t="str">
        <f t="shared" si="7"/>
        <v>PD5D_MTG_VisiumST/samples/HC_BN1340_MTG_VisiumST_batch12_rep1.h5</v>
      </c>
      <c r="AK491" t="s">
        <v>1290</v>
      </c>
    </row>
    <row r="492" spans="1:37">
      <c r="A492" s="23" t="s">
        <v>1215</v>
      </c>
      <c r="B492" s="23" t="s">
        <v>161</v>
      </c>
      <c r="C492" s="23" t="s">
        <v>161</v>
      </c>
      <c r="D492" s="23" t="s">
        <v>666</v>
      </c>
      <c r="E492" s="23">
        <v>1</v>
      </c>
      <c r="F492" s="23">
        <v>0</v>
      </c>
      <c r="G492" s="23" t="s">
        <v>718</v>
      </c>
      <c r="H492" s="23" t="s">
        <v>668</v>
      </c>
      <c r="I492" s="23" t="s">
        <v>669</v>
      </c>
      <c r="J492" s="23" t="s">
        <v>670</v>
      </c>
      <c r="K492" s="23" t="s">
        <v>671</v>
      </c>
      <c r="L492" s="23" t="s">
        <v>669</v>
      </c>
      <c r="M492" s="23" t="s">
        <v>672</v>
      </c>
      <c r="N492" s="23">
        <v>9.4</v>
      </c>
      <c r="O492" s="23">
        <v>9.4</v>
      </c>
      <c r="P492" s="23" t="s">
        <v>1150</v>
      </c>
      <c r="Q492" s="31">
        <v>3044</v>
      </c>
      <c r="R492" s="23" t="s">
        <v>1151</v>
      </c>
      <c r="S492" s="23" t="s">
        <v>675</v>
      </c>
      <c r="T492" s="23"/>
      <c r="U492" s="23" t="s">
        <v>1152</v>
      </c>
      <c r="V492" s="23"/>
      <c r="W492" s="23"/>
      <c r="X492" s="23"/>
      <c r="Y492" s="23"/>
      <c r="Z492" s="23"/>
      <c r="AA492" s="23"/>
      <c r="AB492" s="23" t="s">
        <v>1153</v>
      </c>
      <c r="AC492" s="23"/>
      <c r="AD492" s="23"/>
      <c r="AH492" s="33" t="s">
        <v>1261</v>
      </c>
      <c r="AI492" s="23" t="s">
        <v>1264</v>
      </c>
      <c r="AJ492" s="33" t="str">
        <f t="shared" si="7"/>
        <v>PD5D_MTG_VisiumST/samples/HC_BN1578_MTG_VisiumST_batch13_rep1.h5</v>
      </c>
      <c r="AK492" t="s">
        <v>1290</v>
      </c>
    </row>
    <row r="493" spans="1:37">
      <c r="A493" s="23" t="s">
        <v>1216</v>
      </c>
      <c r="B493" s="23" t="s">
        <v>71</v>
      </c>
      <c r="C493" s="23" t="s">
        <v>71</v>
      </c>
      <c r="D493" s="23" t="s">
        <v>666</v>
      </c>
      <c r="E493" s="23">
        <v>1</v>
      </c>
      <c r="F493" s="23">
        <v>0</v>
      </c>
      <c r="G493" s="23" t="s">
        <v>686</v>
      </c>
      <c r="H493" s="23" t="s">
        <v>668</v>
      </c>
      <c r="I493" s="23" t="s">
        <v>669</v>
      </c>
      <c r="J493" s="23" t="s">
        <v>670</v>
      </c>
      <c r="K493" s="23" t="s">
        <v>671</v>
      </c>
      <c r="L493" s="23" t="s">
        <v>669</v>
      </c>
      <c r="M493" s="23" t="s">
        <v>672</v>
      </c>
      <c r="N493" s="23">
        <v>8.8000000000000007</v>
      </c>
      <c r="O493" s="23">
        <v>8.8000000000000007</v>
      </c>
      <c r="P493" s="23" t="s">
        <v>1150</v>
      </c>
      <c r="Q493" s="31">
        <v>3138</v>
      </c>
      <c r="R493" s="23" t="s">
        <v>1151</v>
      </c>
      <c r="S493" s="23" t="s">
        <v>675</v>
      </c>
      <c r="T493" s="23"/>
      <c r="U493" s="23" t="s">
        <v>1152</v>
      </c>
      <c r="V493" s="23"/>
      <c r="W493" s="23"/>
      <c r="X493" s="23"/>
      <c r="Y493" s="23"/>
      <c r="Z493" s="23"/>
      <c r="AA493" s="23"/>
      <c r="AB493" s="23" t="s">
        <v>1153</v>
      </c>
      <c r="AC493" s="23"/>
      <c r="AD493" s="23"/>
      <c r="AH493" s="33" t="s">
        <v>1261</v>
      </c>
      <c r="AI493" s="23" t="s">
        <v>1264</v>
      </c>
      <c r="AJ493" s="33" t="str">
        <f t="shared" si="7"/>
        <v>PD5D_MTG_VisiumST/samples/HC_BN0341_MTG_VisiumST_batch7_rep1.h5</v>
      </c>
      <c r="AK493" t="s">
        <v>1290</v>
      </c>
    </row>
    <row r="494" spans="1:37">
      <c r="A494" s="23" t="s">
        <v>1217</v>
      </c>
      <c r="B494" s="23" t="s">
        <v>199</v>
      </c>
      <c r="C494" s="23" t="s">
        <v>199</v>
      </c>
      <c r="D494" s="23" t="s">
        <v>666</v>
      </c>
      <c r="E494" s="23">
        <v>1</v>
      </c>
      <c r="F494" s="23">
        <v>0</v>
      </c>
      <c r="G494" s="23" t="s">
        <v>725</v>
      </c>
      <c r="H494" s="23" t="s">
        <v>668</v>
      </c>
      <c r="I494" s="23" t="s">
        <v>669</v>
      </c>
      <c r="J494" s="23" t="s">
        <v>670</v>
      </c>
      <c r="K494" s="23" t="s">
        <v>671</v>
      </c>
      <c r="L494" s="23" t="s">
        <v>669</v>
      </c>
      <c r="M494" s="23" t="s">
        <v>672</v>
      </c>
      <c r="N494" s="23">
        <v>8.8000000000000007</v>
      </c>
      <c r="O494" s="23">
        <v>8.8000000000000007</v>
      </c>
      <c r="P494" s="23" t="s">
        <v>1150</v>
      </c>
      <c r="Q494" s="31">
        <v>4325</v>
      </c>
      <c r="R494" s="23" t="s">
        <v>1151</v>
      </c>
      <c r="S494" s="23" t="s">
        <v>675</v>
      </c>
      <c r="T494" s="23"/>
      <c r="U494" s="23" t="s">
        <v>1152</v>
      </c>
      <c r="V494" s="23"/>
      <c r="W494" s="23"/>
      <c r="X494" s="23"/>
      <c r="Y494" s="23"/>
      <c r="Z494" s="23"/>
      <c r="AA494" s="23"/>
      <c r="AB494" s="23" t="s">
        <v>1153</v>
      </c>
      <c r="AC494" s="23"/>
      <c r="AD494" s="23"/>
      <c r="AH494" s="33" t="s">
        <v>1261</v>
      </c>
      <c r="AI494" s="23" t="s">
        <v>1264</v>
      </c>
      <c r="AJ494" s="33" t="str">
        <f t="shared" si="7"/>
        <v>PD5D_MTG_VisiumST/samples/HC_BN1817_MTG_VisiumST_batch14_rep1.h5</v>
      </c>
      <c r="AK494" t="s">
        <v>1290</v>
      </c>
    </row>
    <row r="495" spans="1:37">
      <c r="A495" s="23" t="s">
        <v>1218</v>
      </c>
      <c r="B495" s="23" t="s">
        <v>231</v>
      </c>
      <c r="C495" s="23" t="s">
        <v>231</v>
      </c>
      <c r="D495" s="23" t="s">
        <v>666</v>
      </c>
      <c r="E495" s="23">
        <v>1</v>
      </c>
      <c r="F495" s="23">
        <v>0</v>
      </c>
      <c r="G495" s="23" t="s">
        <v>764</v>
      </c>
      <c r="H495" s="23" t="s">
        <v>668</v>
      </c>
      <c r="I495" s="23" t="s">
        <v>669</v>
      </c>
      <c r="J495" s="23" t="s">
        <v>670</v>
      </c>
      <c r="K495" s="23" t="s">
        <v>671</v>
      </c>
      <c r="L495" s="23" t="s">
        <v>669</v>
      </c>
      <c r="M495" s="23" t="s">
        <v>672</v>
      </c>
      <c r="N495" s="23">
        <v>9.4</v>
      </c>
      <c r="O495" s="23">
        <v>9.4</v>
      </c>
      <c r="P495" s="23" t="s">
        <v>1150</v>
      </c>
      <c r="Q495" s="31">
        <v>4400</v>
      </c>
      <c r="R495" s="23" t="s">
        <v>1151</v>
      </c>
      <c r="S495" s="23" t="s">
        <v>675</v>
      </c>
      <c r="T495" s="23"/>
      <c r="U495" s="23" t="s">
        <v>1152</v>
      </c>
      <c r="V495" s="23"/>
      <c r="W495" s="23"/>
      <c r="X495" s="23"/>
      <c r="Y495" s="23"/>
      <c r="Z495" s="23"/>
      <c r="AA495" s="23"/>
      <c r="AB495" s="23" t="s">
        <v>1153</v>
      </c>
      <c r="AC495" s="23"/>
      <c r="AD495" s="23"/>
      <c r="AH495" s="33" t="s">
        <v>1261</v>
      </c>
      <c r="AI495" s="23" t="s">
        <v>1264</v>
      </c>
      <c r="AJ495" s="33" t="str">
        <f t="shared" si="7"/>
        <v>PD5D_MTG_VisiumST/samples/ILB_BN1939_MTG_VisiumST_batch20_rep1.h5</v>
      </c>
      <c r="AK495" t="s">
        <v>1290</v>
      </c>
    </row>
    <row r="496" spans="1:37">
      <c r="A496" s="23" t="s">
        <v>1219</v>
      </c>
      <c r="B496" s="23" t="s">
        <v>207</v>
      </c>
      <c r="C496" s="23" t="s">
        <v>207</v>
      </c>
      <c r="D496" s="23" t="s">
        <v>666</v>
      </c>
      <c r="E496" s="23">
        <v>1</v>
      </c>
      <c r="F496" s="23">
        <v>0</v>
      </c>
      <c r="G496" s="23" t="s">
        <v>735</v>
      </c>
      <c r="H496" s="23" t="s">
        <v>668</v>
      </c>
      <c r="I496" s="23" t="s">
        <v>669</v>
      </c>
      <c r="J496" s="23" t="s">
        <v>670</v>
      </c>
      <c r="K496" s="23" t="s">
        <v>671</v>
      </c>
      <c r="L496" s="23" t="s">
        <v>669</v>
      </c>
      <c r="M496" s="23" t="s">
        <v>672</v>
      </c>
      <c r="N496" s="23">
        <v>8.1999999999999993</v>
      </c>
      <c r="O496" s="23">
        <v>8.1999999999999993</v>
      </c>
      <c r="P496" s="23" t="s">
        <v>1150</v>
      </c>
      <c r="Q496" s="31">
        <v>3801</v>
      </c>
      <c r="R496" s="23" t="s">
        <v>1151</v>
      </c>
      <c r="S496" s="23" t="s">
        <v>675</v>
      </c>
      <c r="T496" s="23"/>
      <c r="U496" s="23" t="s">
        <v>1152</v>
      </c>
      <c r="V496" s="23"/>
      <c r="W496" s="23"/>
      <c r="X496" s="23"/>
      <c r="Y496" s="23"/>
      <c r="Z496" s="23"/>
      <c r="AA496" s="23"/>
      <c r="AB496" s="23" t="s">
        <v>1153</v>
      </c>
      <c r="AC496" s="23"/>
      <c r="AD496" s="23"/>
      <c r="AH496" s="33" t="s">
        <v>1261</v>
      </c>
      <c r="AI496" s="23" t="s">
        <v>1264</v>
      </c>
      <c r="AJ496" s="33" t="str">
        <f t="shared" si="7"/>
        <v>PD5D_MTG_VisiumST/samples/PD_BN1839_MTG_VisiumST_batch12_rep1.h5</v>
      </c>
      <c r="AK496" t="s">
        <v>1290</v>
      </c>
    </row>
    <row r="497" spans="1:37">
      <c r="A497" s="23" t="s">
        <v>1220</v>
      </c>
      <c r="B497" s="23" t="s">
        <v>173</v>
      </c>
      <c r="C497" s="23" t="s">
        <v>173</v>
      </c>
      <c r="D497" s="23" t="s">
        <v>666</v>
      </c>
      <c r="E497" s="23">
        <v>1</v>
      </c>
      <c r="F497" s="23">
        <v>0</v>
      </c>
      <c r="G497" s="23" t="s">
        <v>713</v>
      </c>
      <c r="H497" s="23" t="s">
        <v>668</v>
      </c>
      <c r="I497" s="23" t="s">
        <v>669</v>
      </c>
      <c r="J497" s="23" t="s">
        <v>670</v>
      </c>
      <c r="K497" s="23" t="s">
        <v>671</v>
      </c>
      <c r="L497" s="23" t="s">
        <v>669</v>
      </c>
      <c r="M497" s="23" t="s">
        <v>672</v>
      </c>
      <c r="N497" s="23">
        <v>9.6999999999999993</v>
      </c>
      <c r="O497" s="23">
        <v>9.6999999999999993</v>
      </c>
      <c r="P497" s="23" t="s">
        <v>1150</v>
      </c>
      <c r="Q497" s="31">
        <v>4225</v>
      </c>
      <c r="R497" s="23" t="s">
        <v>1151</v>
      </c>
      <c r="S497" s="23" t="s">
        <v>675</v>
      </c>
      <c r="T497" s="23"/>
      <c r="U497" s="23" t="s">
        <v>1152</v>
      </c>
      <c r="V497" s="23"/>
      <c r="W497" s="23"/>
      <c r="X497" s="23"/>
      <c r="Y497" s="23"/>
      <c r="Z497" s="23"/>
      <c r="AA497" s="23"/>
      <c r="AB497" s="23" t="s">
        <v>1153</v>
      </c>
      <c r="AC497" s="23"/>
      <c r="AD497" s="23"/>
      <c r="AH497" s="33" t="s">
        <v>1261</v>
      </c>
      <c r="AI497" s="23" t="s">
        <v>1264</v>
      </c>
      <c r="AJ497" s="33" t="str">
        <f t="shared" si="7"/>
        <v>PD5D_MTG_VisiumST/samples/ILB_BN1726_MTG_VisiumST_batch11_rep1.h5</v>
      </c>
      <c r="AK497" t="s">
        <v>1290</v>
      </c>
    </row>
    <row r="498" spans="1:37">
      <c r="A498" s="23" t="s">
        <v>1221</v>
      </c>
      <c r="B498" s="23" t="s">
        <v>213</v>
      </c>
      <c r="C498" s="23" t="s">
        <v>213</v>
      </c>
      <c r="D498" s="23" t="s">
        <v>666</v>
      </c>
      <c r="E498" s="23">
        <v>1</v>
      </c>
      <c r="F498" s="23">
        <v>0</v>
      </c>
      <c r="G498" s="23" t="s">
        <v>723</v>
      </c>
      <c r="H498" s="23" t="s">
        <v>668</v>
      </c>
      <c r="I498" s="23" t="s">
        <v>669</v>
      </c>
      <c r="J498" s="23" t="s">
        <v>670</v>
      </c>
      <c r="K498" s="23" t="s">
        <v>671</v>
      </c>
      <c r="L498" s="23" t="s">
        <v>669</v>
      </c>
      <c r="M498" s="23" t="s">
        <v>672</v>
      </c>
      <c r="N498" s="23">
        <v>8.9</v>
      </c>
      <c r="O498" s="23">
        <v>8.9</v>
      </c>
      <c r="P498" s="23" t="s">
        <v>1150</v>
      </c>
      <c r="Q498" s="31">
        <v>4964</v>
      </c>
      <c r="R498" s="23" t="s">
        <v>1151</v>
      </c>
      <c r="S498" s="23" t="s">
        <v>675</v>
      </c>
      <c r="T498" s="23"/>
      <c r="U498" s="23" t="s">
        <v>1152</v>
      </c>
      <c r="V498" s="23"/>
      <c r="W498" s="23"/>
      <c r="X498" s="23"/>
      <c r="Y498" s="23"/>
      <c r="Z498" s="23"/>
      <c r="AA498" s="23"/>
      <c r="AB498" s="23" t="s">
        <v>1153</v>
      </c>
      <c r="AC498" s="23"/>
      <c r="AD498" s="23"/>
      <c r="AH498" s="33" t="s">
        <v>1261</v>
      </c>
      <c r="AI498" s="23" t="s">
        <v>1264</v>
      </c>
      <c r="AJ498" s="33" t="str">
        <f t="shared" si="7"/>
        <v>PD5D_MTG_VisiumST/samples/ILB_BN1849_MTG_VisiumST_batch16_rep1.h5</v>
      </c>
      <c r="AK498" t="s">
        <v>1290</v>
      </c>
    </row>
    <row r="499" spans="1:37">
      <c r="A499" s="23" t="s">
        <v>1222</v>
      </c>
      <c r="B499" s="23" t="s">
        <v>159</v>
      </c>
      <c r="C499" s="23" t="s">
        <v>159</v>
      </c>
      <c r="D499" s="23" t="s">
        <v>666</v>
      </c>
      <c r="E499" s="23">
        <v>1</v>
      </c>
      <c r="F499" s="23">
        <v>0</v>
      </c>
      <c r="G499" s="23" t="s">
        <v>773</v>
      </c>
      <c r="H499" s="23" t="s">
        <v>668</v>
      </c>
      <c r="I499" s="23" t="s">
        <v>669</v>
      </c>
      <c r="J499" s="23" t="s">
        <v>670</v>
      </c>
      <c r="K499" s="23" t="s">
        <v>671</v>
      </c>
      <c r="L499" s="23" t="s">
        <v>669</v>
      </c>
      <c r="M499" s="23" t="s">
        <v>672</v>
      </c>
      <c r="N499" s="23">
        <v>8.8000000000000007</v>
      </c>
      <c r="O499" s="23">
        <v>8.8000000000000007</v>
      </c>
      <c r="P499" s="23" t="s">
        <v>1150</v>
      </c>
      <c r="Q499" s="31">
        <v>3554</v>
      </c>
      <c r="R499" s="23" t="s">
        <v>1151</v>
      </c>
      <c r="S499" s="23" t="s">
        <v>675</v>
      </c>
      <c r="T499" s="23"/>
      <c r="U499" s="23" t="s">
        <v>1152</v>
      </c>
      <c r="V499" s="23"/>
      <c r="W499" s="23"/>
      <c r="X499" s="23"/>
      <c r="Y499" s="23"/>
      <c r="Z499" s="23"/>
      <c r="AA499" s="23"/>
      <c r="AB499" s="23" t="s">
        <v>1153</v>
      </c>
      <c r="AC499" s="23"/>
      <c r="AD499" s="23"/>
      <c r="AH499" s="33" t="s">
        <v>1261</v>
      </c>
      <c r="AI499" s="23" t="s">
        <v>1264</v>
      </c>
      <c r="AJ499" s="33" t="str">
        <f t="shared" si="7"/>
        <v>PD5D_MTG_VisiumST/samples/ILB_BN1567_MTG_VisiumST_batch9_rep1.h5</v>
      </c>
      <c r="AK499" t="s">
        <v>1290</v>
      </c>
    </row>
    <row r="500" spans="1:37">
      <c r="A500" s="23" t="s">
        <v>1223</v>
      </c>
      <c r="B500" s="23" t="s">
        <v>74</v>
      </c>
      <c r="C500" s="23" t="s">
        <v>74</v>
      </c>
      <c r="D500" s="23" t="s">
        <v>814</v>
      </c>
      <c r="E500" s="23">
        <v>5</v>
      </c>
      <c r="F500" s="23">
        <v>1</v>
      </c>
      <c r="G500" s="23" t="s">
        <v>679</v>
      </c>
      <c r="H500" s="23" t="s">
        <v>668</v>
      </c>
      <c r="I500" s="23" t="s">
        <v>669</v>
      </c>
      <c r="J500" s="23" t="s">
        <v>670</v>
      </c>
      <c r="K500" s="23" t="s">
        <v>671</v>
      </c>
      <c r="L500" s="23" t="s">
        <v>669</v>
      </c>
      <c r="M500" s="23" t="s">
        <v>672</v>
      </c>
      <c r="N500" s="23">
        <v>8.9</v>
      </c>
      <c r="O500" s="23">
        <v>8.9</v>
      </c>
      <c r="P500" s="23" t="s">
        <v>1150</v>
      </c>
      <c r="Q500" s="31">
        <v>3922</v>
      </c>
      <c r="R500" s="23" t="s">
        <v>1151</v>
      </c>
      <c r="S500" s="23" t="s">
        <v>675</v>
      </c>
      <c r="T500" s="23"/>
      <c r="U500" s="23" t="s">
        <v>1152</v>
      </c>
      <c r="V500" s="23"/>
      <c r="W500" s="23"/>
      <c r="X500" s="23"/>
      <c r="Y500" s="23"/>
      <c r="Z500" s="23"/>
      <c r="AA500" s="23"/>
      <c r="AB500" s="23" t="s">
        <v>1153</v>
      </c>
      <c r="AC500" s="23"/>
      <c r="AD500" s="23"/>
      <c r="AH500" s="33" t="s">
        <v>1261</v>
      </c>
      <c r="AI500" s="23" t="s">
        <v>1264</v>
      </c>
      <c r="AJ500" s="33" t="str">
        <f t="shared" si="7"/>
        <v>PD5D_MTG_VisiumST/samples/HC_BN0347_MTG_VisiumST_batch2_rep3.h5</v>
      </c>
      <c r="AK500" t="s">
        <v>1290</v>
      </c>
    </row>
    <row r="501" spans="1:37">
      <c r="A501" s="23" t="s">
        <v>1224</v>
      </c>
      <c r="B501" s="23" t="s">
        <v>167</v>
      </c>
      <c r="C501" s="23" t="s">
        <v>167</v>
      </c>
      <c r="D501" s="23" t="s">
        <v>666</v>
      </c>
      <c r="E501" s="23">
        <v>1</v>
      </c>
      <c r="F501" s="23">
        <v>0</v>
      </c>
      <c r="G501" s="23" t="s">
        <v>713</v>
      </c>
      <c r="H501" s="23" t="s">
        <v>668</v>
      </c>
      <c r="I501" s="23" t="s">
        <v>669</v>
      </c>
      <c r="J501" s="23" t="s">
        <v>670</v>
      </c>
      <c r="K501" s="23" t="s">
        <v>671</v>
      </c>
      <c r="L501" s="23" t="s">
        <v>669</v>
      </c>
      <c r="M501" s="23" t="s">
        <v>672</v>
      </c>
      <c r="N501" s="23">
        <v>9</v>
      </c>
      <c r="O501" s="23">
        <v>9</v>
      </c>
      <c r="P501" s="23" t="s">
        <v>1150</v>
      </c>
      <c r="Q501" s="31">
        <v>4021</v>
      </c>
      <c r="R501" s="23" t="s">
        <v>1151</v>
      </c>
      <c r="S501" s="23" t="s">
        <v>675</v>
      </c>
      <c r="T501" s="23"/>
      <c r="U501" s="23" t="s">
        <v>1152</v>
      </c>
      <c r="V501" s="23"/>
      <c r="W501" s="23"/>
      <c r="X501" s="23"/>
      <c r="Y501" s="23"/>
      <c r="Z501" s="23"/>
      <c r="AA501" s="23"/>
      <c r="AB501" s="23" t="s">
        <v>1153</v>
      </c>
      <c r="AC501" s="23"/>
      <c r="AD501" s="23"/>
      <c r="AH501" s="33" t="s">
        <v>1261</v>
      </c>
      <c r="AI501" s="23" t="s">
        <v>1264</v>
      </c>
      <c r="AJ501" s="33" t="str">
        <f t="shared" si="7"/>
        <v>PD5D_MTG_VisiumST/samples/PD_BN1644_MTG_VisiumST_batch11_rep1.h5</v>
      </c>
      <c r="AK501" t="s">
        <v>1290</v>
      </c>
    </row>
    <row r="502" spans="1:37">
      <c r="A502" s="23" t="s">
        <v>1225</v>
      </c>
      <c r="B502" s="23" t="s">
        <v>108</v>
      </c>
      <c r="C502" s="23" t="s">
        <v>108</v>
      </c>
      <c r="D502" s="23" t="s">
        <v>666</v>
      </c>
      <c r="E502" s="23">
        <v>1</v>
      </c>
      <c r="F502" s="23">
        <v>0</v>
      </c>
      <c r="G502" s="23" t="s">
        <v>686</v>
      </c>
      <c r="H502" s="23" t="s">
        <v>668</v>
      </c>
      <c r="I502" s="23" t="s">
        <v>669</v>
      </c>
      <c r="J502" s="23" t="s">
        <v>670</v>
      </c>
      <c r="K502" s="23" t="s">
        <v>671</v>
      </c>
      <c r="L502" s="23" t="s">
        <v>669</v>
      </c>
      <c r="M502" s="23" t="s">
        <v>672</v>
      </c>
      <c r="N502" s="23">
        <v>9.6999999999999993</v>
      </c>
      <c r="O502" s="23">
        <v>9.6999999999999993</v>
      </c>
      <c r="P502" s="23" t="s">
        <v>1150</v>
      </c>
      <c r="Q502" s="31">
        <v>3424</v>
      </c>
      <c r="R502" s="23" t="s">
        <v>1151</v>
      </c>
      <c r="S502" s="23" t="s">
        <v>675</v>
      </c>
      <c r="T502" s="23"/>
      <c r="U502" s="23" t="s">
        <v>1152</v>
      </c>
      <c r="V502" s="23"/>
      <c r="W502" s="23"/>
      <c r="X502" s="23"/>
      <c r="Y502" s="23"/>
      <c r="Z502" s="23"/>
      <c r="AA502" s="23"/>
      <c r="AB502" s="23" t="s">
        <v>1153</v>
      </c>
      <c r="AC502" s="23"/>
      <c r="AD502" s="23"/>
      <c r="AH502" s="33" t="s">
        <v>1261</v>
      </c>
      <c r="AI502" s="23" t="s">
        <v>1264</v>
      </c>
      <c r="AJ502" s="33" t="str">
        <f t="shared" si="7"/>
        <v>PD5D_MTG_VisiumST/samples/ILB_BN0934_MTG_VisiumST_batch7_rep1.h5</v>
      </c>
      <c r="AK502" t="s">
        <v>1290</v>
      </c>
    </row>
    <row r="503" spans="1:37">
      <c r="A503" s="23" t="s">
        <v>1226</v>
      </c>
      <c r="B503" s="23" t="s">
        <v>74</v>
      </c>
      <c r="C503" s="23" t="s">
        <v>74</v>
      </c>
      <c r="D503" s="23" t="s">
        <v>821</v>
      </c>
      <c r="E503" s="23">
        <v>5</v>
      </c>
      <c r="F503" s="23">
        <v>1</v>
      </c>
      <c r="G503" s="23" t="s">
        <v>679</v>
      </c>
      <c r="H503" s="23" t="s">
        <v>668</v>
      </c>
      <c r="I503" s="23" t="s">
        <v>669</v>
      </c>
      <c r="J503" s="23" t="s">
        <v>670</v>
      </c>
      <c r="K503" s="23" t="s">
        <v>671</v>
      </c>
      <c r="L503" s="23" t="s">
        <v>669</v>
      </c>
      <c r="M503" s="23" t="s">
        <v>672</v>
      </c>
      <c r="N503" s="23">
        <v>8.9</v>
      </c>
      <c r="O503" s="23">
        <v>8.9</v>
      </c>
      <c r="P503" s="23" t="s">
        <v>1150</v>
      </c>
      <c r="Q503" s="31">
        <v>4058</v>
      </c>
      <c r="R503" s="23" t="s">
        <v>1151</v>
      </c>
      <c r="S503" s="23" t="s">
        <v>675</v>
      </c>
      <c r="T503" s="23"/>
      <c r="U503" s="23" t="s">
        <v>1152</v>
      </c>
      <c r="V503" s="23"/>
      <c r="W503" s="23"/>
      <c r="X503" s="23"/>
      <c r="Y503" s="23"/>
      <c r="Z503" s="23"/>
      <c r="AA503" s="23"/>
      <c r="AB503" s="23" t="s">
        <v>1153</v>
      </c>
      <c r="AC503" s="23"/>
      <c r="AD503" s="23"/>
      <c r="AH503" s="33" t="s">
        <v>1261</v>
      </c>
      <c r="AI503" s="23" t="s">
        <v>1264</v>
      </c>
      <c r="AJ503" s="33" t="str">
        <f t="shared" si="7"/>
        <v>PD5D_MTG_VisiumST/samples/HC_BN0347_MTG_VisiumST_batch2_rep5.h5</v>
      </c>
      <c r="AK503" t="s">
        <v>1290</v>
      </c>
    </row>
    <row r="504" spans="1:37">
      <c r="A504" s="23" t="s">
        <v>1227</v>
      </c>
      <c r="B504" s="23" t="s">
        <v>177</v>
      </c>
      <c r="C504" s="23" t="s">
        <v>177</v>
      </c>
      <c r="D504" s="23" t="s">
        <v>666</v>
      </c>
      <c r="E504" s="23">
        <v>1</v>
      </c>
      <c r="F504" s="23">
        <v>0</v>
      </c>
      <c r="G504" s="23" t="s">
        <v>773</v>
      </c>
      <c r="H504" s="23" t="s">
        <v>668</v>
      </c>
      <c r="I504" s="23" t="s">
        <v>669</v>
      </c>
      <c r="J504" s="23" t="s">
        <v>670</v>
      </c>
      <c r="K504" s="23" t="s">
        <v>671</v>
      </c>
      <c r="L504" s="23" t="s">
        <v>669</v>
      </c>
      <c r="M504" s="23" t="s">
        <v>672</v>
      </c>
      <c r="N504" s="23">
        <v>8.6</v>
      </c>
      <c r="O504" s="23">
        <v>8.6</v>
      </c>
      <c r="P504" s="23" t="s">
        <v>1150</v>
      </c>
      <c r="Q504" s="31">
        <v>3340</v>
      </c>
      <c r="R504" s="23" t="s">
        <v>1151</v>
      </c>
      <c r="S504" s="23" t="s">
        <v>675</v>
      </c>
      <c r="T504" s="23"/>
      <c r="U504" s="23" t="s">
        <v>1152</v>
      </c>
      <c r="V504" s="23"/>
      <c r="W504" s="23"/>
      <c r="X504" s="23"/>
      <c r="Y504" s="23"/>
      <c r="Z504" s="23"/>
      <c r="AA504" s="23"/>
      <c r="AB504" s="23" t="s">
        <v>1153</v>
      </c>
      <c r="AC504" s="23"/>
      <c r="AD504" s="23"/>
      <c r="AH504" s="33" t="s">
        <v>1261</v>
      </c>
      <c r="AI504" s="23" t="s">
        <v>1264</v>
      </c>
      <c r="AJ504" s="33" t="str">
        <f t="shared" si="7"/>
        <v>PD5D_MTG_VisiumST/samples/HC_BN1737_MTG_VisiumST_batch9_rep1.h5</v>
      </c>
      <c r="AK504" t="s">
        <v>1290</v>
      </c>
    </row>
    <row r="505" spans="1:37">
      <c r="A505" s="23" t="s">
        <v>1228</v>
      </c>
      <c r="B505" s="23" t="s">
        <v>139</v>
      </c>
      <c r="C505" s="23" t="s">
        <v>139</v>
      </c>
      <c r="D505" s="23" t="s">
        <v>666</v>
      </c>
      <c r="E505" s="23">
        <v>1</v>
      </c>
      <c r="F505" s="23">
        <v>0</v>
      </c>
      <c r="G505" s="23" t="s">
        <v>706</v>
      </c>
      <c r="H505" s="23" t="s">
        <v>668</v>
      </c>
      <c r="I505" s="23" t="s">
        <v>669</v>
      </c>
      <c r="J505" s="23" t="s">
        <v>670</v>
      </c>
      <c r="K505" s="23" t="s">
        <v>671</v>
      </c>
      <c r="L505" s="23" t="s">
        <v>669</v>
      </c>
      <c r="M505" s="23" t="s">
        <v>672</v>
      </c>
      <c r="N505" s="23">
        <v>10</v>
      </c>
      <c r="O505" s="23">
        <v>10</v>
      </c>
      <c r="P505" s="23" t="s">
        <v>1150</v>
      </c>
      <c r="Q505" s="31">
        <v>3677</v>
      </c>
      <c r="R505" s="23" t="s">
        <v>1151</v>
      </c>
      <c r="S505" s="23" t="s">
        <v>675</v>
      </c>
      <c r="T505" s="23"/>
      <c r="U505" s="23" t="s">
        <v>1152</v>
      </c>
      <c r="V505" s="23"/>
      <c r="W505" s="23"/>
      <c r="X505" s="23"/>
      <c r="Y505" s="23"/>
      <c r="Z505" s="23"/>
      <c r="AA505" s="23"/>
      <c r="AB505" s="23" t="s">
        <v>1153</v>
      </c>
      <c r="AC505" s="23"/>
      <c r="AD505" s="23"/>
      <c r="AH505" s="33" t="s">
        <v>1261</v>
      </c>
      <c r="AI505" s="23" t="s">
        <v>1264</v>
      </c>
      <c r="AJ505" s="33" t="str">
        <f t="shared" si="7"/>
        <v>PD5D_MTG_VisiumST/samples/ILB_BN1361_MTG_VisiumST_batch8_rep1.h5</v>
      </c>
      <c r="AK505" t="s">
        <v>1290</v>
      </c>
    </row>
    <row r="506" spans="1:37">
      <c r="A506" s="23" t="s">
        <v>1229</v>
      </c>
      <c r="B506" s="23" t="s">
        <v>74</v>
      </c>
      <c r="C506" s="23" t="s">
        <v>74</v>
      </c>
      <c r="D506" s="23" t="s">
        <v>819</v>
      </c>
      <c r="E506" s="23">
        <v>5</v>
      </c>
      <c r="F506" s="23">
        <v>1</v>
      </c>
      <c r="G506" s="23" t="s">
        <v>679</v>
      </c>
      <c r="H506" s="23" t="s">
        <v>668</v>
      </c>
      <c r="I506" s="23" t="s">
        <v>669</v>
      </c>
      <c r="J506" s="23" t="s">
        <v>670</v>
      </c>
      <c r="K506" s="23" t="s">
        <v>671</v>
      </c>
      <c r="L506" s="23" t="s">
        <v>669</v>
      </c>
      <c r="M506" s="23" t="s">
        <v>672</v>
      </c>
      <c r="N506" s="23">
        <v>8.9</v>
      </c>
      <c r="O506" s="23">
        <v>8.9</v>
      </c>
      <c r="P506" s="23" t="s">
        <v>1150</v>
      </c>
      <c r="Q506" s="31">
        <v>3861</v>
      </c>
      <c r="R506" s="23" t="s">
        <v>1151</v>
      </c>
      <c r="S506" s="23" t="s">
        <v>675</v>
      </c>
      <c r="T506" s="23"/>
      <c r="U506" s="23" t="s">
        <v>1152</v>
      </c>
      <c r="V506" s="23"/>
      <c r="W506" s="23"/>
      <c r="X506" s="23"/>
      <c r="Y506" s="23"/>
      <c r="Z506" s="23"/>
      <c r="AA506" s="23"/>
      <c r="AB506" s="23" t="s">
        <v>1153</v>
      </c>
      <c r="AC506" s="23"/>
      <c r="AD506" s="23"/>
      <c r="AH506" s="33" t="s">
        <v>1261</v>
      </c>
      <c r="AI506" s="23" t="s">
        <v>1264</v>
      </c>
      <c r="AJ506" s="33" t="str">
        <f t="shared" si="7"/>
        <v>PD5D_MTG_VisiumST/samples/HC_BN0347_MTG_VisiumST_batch2_rep4.h5</v>
      </c>
      <c r="AK506" t="s">
        <v>1290</v>
      </c>
    </row>
    <row r="507" spans="1:37">
      <c r="A507" s="23" t="s">
        <v>1230</v>
      </c>
      <c r="B507" s="23" t="s">
        <v>153</v>
      </c>
      <c r="C507" s="23" t="s">
        <v>153</v>
      </c>
      <c r="D507" s="23" t="s">
        <v>666</v>
      </c>
      <c r="E507" s="23">
        <v>1</v>
      </c>
      <c r="F507" s="23">
        <v>0</v>
      </c>
      <c r="G507" s="23" t="s">
        <v>690</v>
      </c>
      <c r="H507" s="23" t="s">
        <v>668</v>
      </c>
      <c r="I507" s="23" t="s">
        <v>669</v>
      </c>
      <c r="J507" s="23" t="s">
        <v>670</v>
      </c>
      <c r="K507" s="23" t="s">
        <v>671</v>
      </c>
      <c r="L507" s="23" t="s">
        <v>669</v>
      </c>
      <c r="M507" s="23" t="s">
        <v>672</v>
      </c>
      <c r="N507" s="23">
        <v>9.4</v>
      </c>
      <c r="O507" s="23">
        <v>9.4</v>
      </c>
      <c r="P507" s="23" t="s">
        <v>1150</v>
      </c>
      <c r="Q507" s="31">
        <v>4200</v>
      </c>
      <c r="R507" s="23" t="s">
        <v>1151</v>
      </c>
      <c r="S507" s="23" t="s">
        <v>675</v>
      </c>
      <c r="T507" s="23"/>
      <c r="U507" s="23" t="s">
        <v>1152</v>
      </c>
      <c r="V507" s="23"/>
      <c r="W507" s="23"/>
      <c r="X507" s="23"/>
      <c r="Y507" s="23"/>
      <c r="Z507" s="23"/>
      <c r="AA507" s="23"/>
      <c r="AB507" s="23" t="s">
        <v>1153</v>
      </c>
      <c r="AC507" s="23"/>
      <c r="AD507" s="23"/>
      <c r="AH507" s="33" t="s">
        <v>1261</v>
      </c>
      <c r="AI507" s="23" t="s">
        <v>1264</v>
      </c>
      <c r="AJ507" s="33" t="str">
        <f t="shared" si="7"/>
        <v>PD5D_MTG_VisiumST/samples/ILB_BN1535_MTG_VisiumST_batch26_rep1.h5</v>
      </c>
      <c r="AK507" t="s">
        <v>1290</v>
      </c>
    </row>
    <row r="508" spans="1:37">
      <c r="A508" s="23" t="s">
        <v>1231</v>
      </c>
      <c r="B508" s="23" t="s">
        <v>209</v>
      </c>
      <c r="C508" s="23" t="s">
        <v>209</v>
      </c>
      <c r="D508" s="23" t="s">
        <v>666</v>
      </c>
      <c r="E508" s="23">
        <v>1</v>
      </c>
      <c r="F508" s="23">
        <v>0</v>
      </c>
      <c r="G508" s="23" t="s">
        <v>781</v>
      </c>
      <c r="H508" s="23" t="s">
        <v>668</v>
      </c>
      <c r="I508" s="23" t="s">
        <v>669</v>
      </c>
      <c r="J508" s="23" t="s">
        <v>670</v>
      </c>
      <c r="K508" s="23" t="s">
        <v>671</v>
      </c>
      <c r="L508" s="23" t="s">
        <v>669</v>
      </c>
      <c r="M508" s="23" t="s">
        <v>672</v>
      </c>
      <c r="N508" s="23">
        <v>9.1</v>
      </c>
      <c r="O508" s="23">
        <v>9.1</v>
      </c>
      <c r="P508" s="23" t="s">
        <v>1150</v>
      </c>
      <c r="Q508" s="31">
        <v>3925</v>
      </c>
      <c r="R508" s="23" t="s">
        <v>1151</v>
      </c>
      <c r="S508" s="23" t="s">
        <v>675</v>
      </c>
      <c r="T508" s="23"/>
      <c r="U508" s="23" t="s">
        <v>1152</v>
      </c>
      <c r="V508" s="23"/>
      <c r="W508" s="23"/>
      <c r="X508" s="23"/>
      <c r="Y508" s="23"/>
      <c r="Z508" s="23"/>
      <c r="AA508" s="23"/>
      <c r="AB508" s="23" t="s">
        <v>1153</v>
      </c>
      <c r="AC508" s="23"/>
      <c r="AD508" s="23"/>
      <c r="AH508" s="33" t="s">
        <v>1261</v>
      </c>
      <c r="AI508" s="23" t="s">
        <v>1264</v>
      </c>
      <c r="AJ508" s="33" t="str">
        <f t="shared" si="7"/>
        <v>PD5D_MTG_VisiumST/samples/HC_BN1842_MTG_VisiumST_batch24_rep1.h5</v>
      </c>
      <c r="AK508" t="s">
        <v>1290</v>
      </c>
    </row>
    <row r="509" spans="1:37">
      <c r="A509" s="23" t="s">
        <v>1232</v>
      </c>
      <c r="B509" s="23" t="s">
        <v>175</v>
      </c>
      <c r="C509" s="23" t="s">
        <v>175</v>
      </c>
      <c r="D509" s="23" t="s">
        <v>666</v>
      </c>
      <c r="E509" s="23">
        <v>1</v>
      </c>
      <c r="F509" s="23">
        <v>0</v>
      </c>
      <c r="G509" s="23" t="s">
        <v>804</v>
      </c>
      <c r="H509" s="23" t="s">
        <v>668</v>
      </c>
      <c r="I509" s="23" t="s">
        <v>669</v>
      </c>
      <c r="J509" s="23" t="s">
        <v>670</v>
      </c>
      <c r="K509" s="23" t="s">
        <v>671</v>
      </c>
      <c r="L509" s="23" t="s">
        <v>669</v>
      </c>
      <c r="M509" s="23" t="s">
        <v>672</v>
      </c>
      <c r="N509" s="23">
        <v>7.5</v>
      </c>
      <c r="O509" s="23">
        <v>7.5</v>
      </c>
      <c r="P509" s="23" t="s">
        <v>1150</v>
      </c>
      <c r="Q509" s="31">
        <v>4363</v>
      </c>
      <c r="R509" s="23" t="s">
        <v>1151</v>
      </c>
      <c r="S509" s="23" t="s">
        <v>675</v>
      </c>
      <c r="T509" s="23"/>
      <c r="U509" s="23" t="s">
        <v>1152</v>
      </c>
      <c r="V509" s="23"/>
      <c r="W509" s="23"/>
      <c r="X509" s="23"/>
      <c r="Y509" s="23"/>
      <c r="Z509" s="23"/>
      <c r="AA509" s="23"/>
      <c r="AB509" s="23" t="s">
        <v>1153</v>
      </c>
      <c r="AC509" s="23"/>
      <c r="AD509" s="23"/>
      <c r="AH509" s="33" t="s">
        <v>1261</v>
      </c>
      <c r="AI509" s="23" t="s">
        <v>1264</v>
      </c>
      <c r="AJ509" s="33" t="str">
        <f t="shared" si="7"/>
        <v>PD5D_MTG_VisiumST/samples/HC_BN1730_MTG_VisiumST_batch25_rep1.h5</v>
      </c>
      <c r="AK509" t="s">
        <v>1290</v>
      </c>
    </row>
    <row r="510" spans="1:37">
      <c r="A510" s="23" t="s">
        <v>1233</v>
      </c>
      <c r="B510" s="23" t="s">
        <v>143</v>
      </c>
      <c r="C510" s="23" t="s">
        <v>143</v>
      </c>
      <c r="D510" s="23" t="s">
        <v>666</v>
      </c>
      <c r="E510" s="23">
        <v>1</v>
      </c>
      <c r="F510" s="23">
        <v>0</v>
      </c>
      <c r="G510" s="23" t="s">
        <v>698</v>
      </c>
      <c r="H510" s="23" t="s">
        <v>668</v>
      </c>
      <c r="I510" s="23" t="s">
        <v>669</v>
      </c>
      <c r="J510" s="23" t="s">
        <v>670</v>
      </c>
      <c r="K510" s="23" t="s">
        <v>671</v>
      </c>
      <c r="L510" s="23" t="s">
        <v>669</v>
      </c>
      <c r="M510" s="23" t="s">
        <v>672</v>
      </c>
      <c r="N510" s="23">
        <v>9.9</v>
      </c>
      <c r="O510" s="23">
        <v>9.9</v>
      </c>
      <c r="P510" s="23" t="s">
        <v>1150</v>
      </c>
      <c r="Q510" s="31">
        <v>3898</v>
      </c>
      <c r="R510" s="23" t="s">
        <v>1151</v>
      </c>
      <c r="S510" s="23" t="s">
        <v>675</v>
      </c>
      <c r="T510" s="23"/>
      <c r="U510" s="23" t="s">
        <v>1152</v>
      </c>
      <c r="V510" s="23"/>
      <c r="W510" s="23"/>
      <c r="X510" s="23"/>
      <c r="Y510" s="23"/>
      <c r="Z510" s="23"/>
      <c r="AA510" s="23"/>
      <c r="AB510" s="23" t="s">
        <v>1153</v>
      </c>
      <c r="AC510" s="23"/>
      <c r="AD510" s="23"/>
      <c r="AH510" s="33" t="s">
        <v>1261</v>
      </c>
      <c r="AI510" s="23" t="s">
        <v>1264</v>
      </c>
      <c r="AJ510" s="33" t="str">
        <f t="shared" si="7"/>
        <v>PD5D_MTG_VisiumST/samples/ILB_BN1424_MTG_VisiumST_batch6_rep1.h5</v>
      </c>
      <c r="AK510" t="s">
        <v>1290</v>
      </c>
    </row>
    <row r="511" spans="1:37">
      <c r="A511" s="23" t="s">
        <v>1234</v>
      </c>
      <c r="B511" s="23" t="s">
        <v>211</v>
      </c>
      <c r="C511" s="23" t="s">
        <v>211</v>
      </c>
      <c r="D511" s="23" t="s">
        <v>666</v>
      </c>
      <c r="E511" s="23">
        <v>1</v>
      </c>
      <c r="F511" s="23">
        <v>0</v>
      </c>
      <c r="G511" s="23" t="s">
        <v>735</v>
      </c>
      <c r="H511" s="23" t="s">
        <v>668</v>
      </c>
      <c r="I511" s="23" t="s">
        <v>669</v>
      </c>
      <c r="J511" s="23" t="s">
        <v>670</v>
      </c>
      <c r="K511" s="23" t="s">
        <v>671</v>
      </c>
      <c r="L511" s="23" t="s">
        <v>669</v>
      </c>
      <c r="M511" s="23" t="s">
        <v>672</v>
      </c>
      <c r="N511" s="23">
        <v>9.6</v>
      </c>
      <c r="O511" s="23">
        <v>9.6</v>
      </c>
      <c r="P511" s="23" t="s">
        <v>1150</v>
      </c>
      <c r="Q511" s="31">
        <v>3825</v>
      </c>
      <c r="R511" s="23" t="s">
        <v>1151</v>
      </c>
      <c r="S511" s="23" t="s">
        <v>675</v>
      </c>
      <c r="T511" s="23"/>
      <c r="U511" s="23" t="s">
        <v>1152</v>
      </c>
      <c r="V511" s="23"/>
      <c r="W511" s="23"/>
      <c r="X511" s="23"/>
      <c r="Y511" s="23"/>
      <c r="Z511" s="23"/>
      <c r="AA511" s="23"/>
      <c r="AB511" s="23" t="s">
        <v>1153</v>
      </c>
      <c r="AC511" s="23"/>
      <c r="AD511" s="23"/>
      <c r="AH511" s="33" t="s">
        <v>1261</v>
      </c>
      <c r="AI511" s="23" t="s">
        <v>1264</v>
      </c>
      <c r="AJ511" s="33" t="str">
        <f t="shared" si="7"/>
        <v>PD5D_MTG_VisiumST/samples/ILB_BN1848_MTG_VisiumST_batch12_rep1.h5</v>
      </c>
      <c r="AK511" t="s">
        <v>1290</v>
      </c>
    </row>
    <row r="512" spans="1:37">
      <c r="A512" s="23" t="s">
        <v>1235</v>
      </c>
      <c r="B512" s="23" t="s">
        <v>133</v>
      </c>
      <c r="C512" s="23" t="s">
        <v>133</v>
      </c>
      <c r="D512" s="23" t="s">
        <v>666</v>
      </c>
      <c r="E512" s="23">
        <v>1</v>
      </c>
      <c r="F512" s="23">
        <v>0</v>
      </c>
      <c r="G512" s="23" t="s">
        <v>750</v>
      </c>
      <c r="H512" s="23" t="s">
        <v>668</v>
      </c>
      <c r="I512" s="23" t="s">
        <v>669</v>
      </c>
      <c r="J512" s="23" t="s">
        <v>670</v>
      </c>
      <c r="K512" s="23" t="s">
        <v>671</v>
      </c>
      <c r="L512" s="23" t="s">
        <v>669</v>
      </c>
      <c r="M512" s="23" t="s">
        <v>672</v>
      </c>
      <c r="N512" s="23">
        <v>9.6</v>
      </c>
      <c r="O512" s="23">
        <v>9.6</v>
      </c>
      <c r="P512" s="23" t="s">
        <v>1150</v>
      </c>
      <c r="Q512" s="31">
        <v>2936</v>
      </c>
      <c r="R512" s="23" t="s">
        <v>1151</v>
      </c>
      <c r="S512" s="23" t="s">
        <v>675</v>
      </c>
      <c r="T512" s="23"/>
      <c r="U512" s="23" t="s">
        <v>1152</v>
      </c>
      <c r="V512" s="23"/>
      <c r="W512" s="23"/>
      <c r="X512" s="23"/>
      <c r="Y512" s="23"/>
      <c r="Z512" s="23"/>
      <c r="AA512" s="23"/>
      <c r="AB512" s="23" t="s">
        <v>1153</v>
      </c>
      <c r="AC512" s="23"/>
      <c r="AD512" s="23"/>
      <c r="AH512" s="33" t="s">
        <v>1261</v>
      </c>
      <c r="AI512" s="23" t="s">
        <v>1264</v>
      </c>
      <c r="AJ512" s="33" t="str">
        <f t="shared" si="7"/>
        <v>PD5D_MTG_VisiumST/samples/ILB_BN1339_MTG_VisiumST_batch19_rep1.h5</v>
      </c>
      <c r="AK512" t="s">
        <v>1290</v>
      </c>
    </row>
    <row r="513" spans="1:37">
      <c r="A513" s="23" t="s">
        <v>1236</v>
      </c>
      <c r="B513" s="23" t="s">
        <v>95</v>
      </c>
      <c r="C513" s="23" t="s">
        <v>95</v>
      </c>
      <c r="D513" s="23" t="s">
        <v>666</v>
      </c>
      <c r="E513" s="23">
        <v>1</v>
      </c>
      <c r="F513" s="23">
        <v>0</v>
      </c>
      <c r="G513" s="23" t="s">
        <v>679</v>
      </c>
      <c r="H513" s="23" t="s">
        <v>668</v>
      </c>
      <c r="I513" s="23" t="s">
        <v>669</v>
      </c>
      <c r="J513" s="23" t="s">
        <v>670</v>
      </c>
      <c r="K513" s="23" t="s">
        <v>671</v>
      </c>
      <c r="L513" s="23" t="s">
        <v>669</v>
      </c>
      <c r="M513" s="23" t="s">
        <v>672</v>
      </c>
      <c r="N513" s="23">
        <v>9.3000000000000007</v>
      </c>
      <c r="O513" s="23">
        <v>9.3000000000000007</v>
      </c>
      <c r="P513" s="23" t="s">
        <v>1150</v>
      </c>
      <c r="Q513" s="31">
        <v>2998</v>
      </c>
      <c r="R513" s="23" t="s">
        <v>1151</v>
      </c>
      <c r="S513" s="23" t="s">
        <v>675</v>
      </c>
      <c r="T513" s="23"/>
      <c r="U513" s="23" t="s">
        <v>1152</v>
      </c>
      <c r="V513" s="23"/>
      <c r="W513" s="23"/>
      <c r="X513" s="23"/>
      <c r="Y513" s="23"/>
      <c r="Z513" s="23"/>
      <c r="AA513" s="23"/>
      <c r="AB513" s="23" t="s">
        <v>1153</v>
      </c>
      <c r="AC513" s="23"/>
      <c r="AD513" s="23"/>
      <c r="AH513" s="33" t="s">
        <v>1261</v>
      </c>
      <c r="AI513" s="23" t="s">
        <v>1264</v>
      </c>
      <c r="AJ513" s="33" t="str">
        <f t="shared" ref="AJ513:AJ536" si="8">_xlfn.CONCAT(AH513,"/samples/",A513,".h5")</f>
        <v>PD5D_MTG_VisiumST/samples/PD_BN0651_MTG_VisiumST_batch2_rep1.h5</v>
      </c>
      <c r="AK513" t="s">
        <v>1290</v>
      </c>
    </row>
    <row r="514" spans="1:37">
      <c r="A514" s="23" t="s">
        <v>1237</v>
      </c>
      <c r="B514" s="23" t="s">
        <v>187</v>
      </c>
      <c r="C514" s="23" t="s">
        <v>187</v>
      </c>
      <c r="D514" s="23" t="s">
        <v>666</v>
      </c>
      <c r="E514" s="23">
        <v>1</v>
      </c>
      <c r="F514" s="23">
        <v>0</v>
      </c>
      <c r="G514" s="23" t="s">
        <v>713</v>
      </c>
      <c r="H514" s="23" t="s">
        <v>668</v>
      </c>
      <c r="I514" s="23" t="s">
        <v>669</v>
      </c>
      <c r="J514" s="23" t="s">
        <v>670</v>
      </c>
      <c r="K514" s="23" t="s">
        <v>671</v>
      </c>
      <c r="L514" s="23" t="s">
        <v>669</v>
      </c>
      <c r="M514" s="23" t="s">
        <v>672</v>
      </c>
      <c r="N514" s="23">
        <v>8.6</v>
      </c>
      <c r="O514" s="23">
        <v>8.6</v>
      </c>
      <c r="P514" s="23" t="s">
        <v>1150</v>
      </c>
      <c r="Q514" s="31">
        <v>4218</v>
      </c>
      <c r="R514" s="23" t="s">
        <v>1151</v>
      </c>
      <c r="S514" s="23" t="s">
        <v>675</v>
      </c>
      <c r="T514" s="23"/>
      <c r="U514" s="23" t="s">
        <v>1152</v>
      </c>
      <c r="V514" s="23"/>
      <c r="W514" s="23"/>
      <c r="X514" s="23"/>
      <c r="Y514" s="23"/>
      <c r="Z514" s="23"/>
      <c r="AA514" s="23"/>
      <c r="AB514" s="23" t="s">
        <v>1153</v>
      </c>
      <c r="AC514" s="23"/>
      <c r="AD514" s="23"/>
      <c r="AH514" s="33" t="s">
        <v>1261</v>
      </c>
      <c r="AI514" s="23" t="s">
        <v>1264</v>
      </c>
      <c r="AJ514" s="33" t="str">
        <f t="shared" si="8"/>
        <v>PD5D_MTG_VisiumST/samples/PD_BN1756_MTG_VisiumST_batch11_rep1.h5</v>
      </c>
      <c r="AK514" t="s">
        <v>1290</v>
      </c>
    </row>
    <row r="515" spans="1:37">
      <c r="A515" s="23" t="s">
        <v>1238</v>
      </c>
      <c r="B515" s="23" t="s">
        <v>181</v>
      </c>
      <c r="C515" s="23" t="s">
        <v>181</v>
      </c>
      <c r="D515" s="23" t="s">
        <v>666</v>
      </c>
      <c r="E515" s="23">
        <v>1</v>
      </c>
      <c r="F515" s="23">
        <v>0</v>
      </c>
      <c r="G515" s="23" t="s">
        <v>773</v>
      </c>
      <c r="H515" s="23" t="s">
        <v>668</v>
      </c>
      <c r="I515" s="23" t="s">
        <v>669</v>
      </c>
      <c r="J515" s="23" t="s">
        <v>670</v>
      </c>
      <c r="K515" s="23" t="s">
        <v>671</v>
      </c>
      <c r="L515" s="23" t="s">
        <v>669</v>
      </c>
      <c r="M515" s="23" t="s">
        <v>672</v>
      </c>
      <c r="N515" s="23">
        <v>9.9</v>
      </c>
      <c r="O515" s="23">
        <v>9.9</v>
      </c>
      <c r="P515" s="23" t="s">
        <v>1150</v>
      </c>
      <c r="Q515" s="31">
        <v>4375</v>
      </c>
      <c r="R515" s="23" t="s">
        <v>1151</v>
      </c>
      <c r="S515" s="23" t="s">
        <v>675</v>
      </c>
      <c r="T515" s="23"/>
      <c r="U515" s="23" t="s">
        <v>1152</v>
      </c>
      <c r="V515" s="23"/>
      <c r="W515" s="23"/>
      <c r="X515" s="23"/>
      <c r="Y515" s="23"/>
      <c r="Z515" s="23"/>
      <c r="AA515" s="23"/>
      <c r="AB515" s="23" t="s">
        <v>1153</v>
      </c>
      <c r="AC515" s="23"/>
      <c r="AD515" s="23"/>
      <c r="AH515" s="33" t="s">
        <v>1261</v>
      </c>
      <c r="AI515" s="23" t="s">
        <v>1264</v>
      </c>
      <c r="AJ515" s="33" t="str">
        <f t="shared" si="8"/>
        <v>PD5D_MTG_VisiumST/samples/PD_BN1747_MTG_VisiumST_batch9_rep1.h5</v>
      </c>
      <c r="AK515" t="s">
        <v>1290</v>
      </c>
    </row>
    <row r="516" spans="1:37">
      <c r="A516" s="23" t="s">
        <v>1239</v>
      </c>
      <c r="B516" s="23" t="s">
        <v>116</v>
      </c>
      <c r="C516" s="23" t="s">
        <v>116</v>
      </c>
      <c r="D516" s="23" t="s">
        <v>666</v>
      </c>
      <c r="E516" s="23">
        <v>1</v>
      </c>
      <c r="F516" s="23">
        <v>0</v>
      </c>
      <c r="G516" s="23" t="s">
        <v>713</v>
      </c>
      <c r="H516" s="23" t="s">
        <v>668</v>
      </c>
      <c r="I516" s="23" t="s">
        <v>669</v>
      </c>
      <c r="J516" s="23" t="s">
        <v>670</v>
      </c>
      <c r="K516" s="23" t="s">
        <v>671</v>
      </c>
      <c r="L516" s="23" t="s">
        <v>669</v>
      </c>
      <c r="M516" s="23" t="s">
        <v>672</v>
      </c>
      <c r="N516" s="23">
        <v>9.6</v>
      </c>
      <c r="O516" s="23">
        <v>9.6</v>
      </c>
      <c r="P516" s="23" t="s">
        <v>1150</v>
      </c>
      <c r="Q516" s="31">
        <v>1938</v>
      </c>
      <c r="R516" s="23" t="s">
        <v>1151</v>
      </c>
      <c r="S516" s="23" t="s">
        <v>675</v>
      </c>
      <c r="T516" s="23"/>
      <c r="U516" s="23" t="s">
        <v>1152</v>
      </c>
      <c r="V516" s="23"/>
      <c r="W516" s="23"/>
      <c r="X516" s="23"/>
      <c r="Y516" s="23"/>
      <c r="Z516" s="23"/>
      <c r="AA516" s="23"/>
      <c r="AB516" s="23" t="s">
        <v>1153</v>
      </c>
      <c r="AC516" s="23"/>
      <c r="AD516" s="23"/>
      <c r="AH516" s="33" t="s">
        <v>1261</v>
      </c>
      <c r="AI516" s="23" t="s">
        <v>1264</v>
      </c>
      <c r="AJ516" s="33" t="str">
        <f t="shared" si="8"/>
        <v>PD5D_MTG_VisiumST/samples/HC_BN1144_MTG_VisiumST_batch11_rep1.h5</v>
      </c>
      <c r="AK516" t="s">
        <v>1290</v>
      </c>
    </row>
    <row r="517" spans="1:37">
      <c r="A517" s="23" t="s">
        <v>1240</v>
      </c>
      <c r="B517" s="23" t="s">
        <v>80</v>
      </c>
      <c r="C517" s="23" t="s">
        <v>80</v>
      </c>
      <c r="D517" s="23" t="s">
        <v>666</v>
      </c>
      <c r="E517" s="23">
        <v>1</v>
      </c>
      <c r="F517" s="23">
        <v>0</v>
      </c>
      <c r="G517" s="23" t="s">
        <v>696</v>
      </c>
      <c r="H517" s="23" t="s">
        <v>668</v>
      </c>
      <c r="I517" s="23" t="s">
        <v>669</v>
      </c>
      <c r="J517" s="23" t="s">
        <v>670</v>
      </c>
      <c r="K517" s="23" t="s">
        <v>671</v>
      </c>
      <c r="L517" s="23" t="s">
        <v>669</v>
      </c>
      <c r="M517" s="23" t="s">
        <v>672</v>
      </c>
      <c r="N517" s="23">
        <v>7.4</v>
      </c>
      <c r="O517" s="23">
        <v>7.4</v>
      </c>
      <c r="P517" s="23" t="s">
        <v>1150</v>
      </c>
      <c r="Q517" s="31">
        <v>4702</v>
      </c>
      <c r="R517" s="23" t="s">
        <v>1151</v>
      </c>
      <c r="S517" s="23" t="s">
        <v>675</v>
      </c>
      <c r="T517" s="23"/>
      <c r="U517" s="23" t="s">
        <v>1152</v>
      </c>
      <c r="V517" s="23"/>
      <c r="W517" s="23"/>
      <c r="X517" s="23"/>
      <c r="Y517" s="23"/>
      <c r="Z517" s="23"/>
      <c r="AA517" s="23"/>
      <c r="AB517" s="23" t="s">
        <v>1153</v>
      </c>
      <c r="AC517" s="23"/>
      <c r="AD517" s="23"/>
      <c r="AH517" s="33" t="s">
        <v>1261</v>
      </c>
      <c r="AI517" s="23" t="s">
        <v>1264</v>
      </c>
      <c r="AJ517" s="33" t="str">
        <f t="shared" si="8"/>
        <v>PD5D_MTG_VisiumST/samples/ILB_BN0415_MTG_VisiumST_batch5_rep1.h5</v>
      </c>
      <c r="AK517" t="s">
        <v>1290</v>
      </c>
    </row>
    <row r="518" spans="1:37">
      <c r="A518" s="23" t="s">
        <v>1241</v>
      </c>
      <c r="B518" s="23" t="s">
        <v>83</v>
      </c>
      <c r="C518" s="23" t="s">
        <v>83</v>
      </c>
      <c r="D518" s="23" t="s">
        <v>666</v>
      </c>
      <c r="E518" s="23">
        <v>1</v>
      </c>
      <c r="F518" s="23">
        <v>0</v>
      </c>
      <c r="G518" s="23" t="s">
        <v>706</v>
      </c>
      <c r="H518" s="23" t="s">
        <v>668</v>
      </c>
      <c r="I518" s="23" t="s">
        <v>669</v>
      </c>
      <c r="J518" s="23" t="s">
        <v>670</v>
      </c>
      <c r="K518" s="23" t="s">
        <v>671</v>
      </c>
      <c r="L518" s="23" t="s">
        <v>669</v>
      </c>
      <c r="M518" s="23" t="s">
        <v>672</v>
      </c>
      <c r="N518" s="23">
        <v>7.7</v>
      </c>
      <c r="O518" s="23">
        <v>7.7</v>
      </c>
      <c r="P518" s="23" t="s">
        <v>1150</v>
      </c>
      <c r="Q518" s="31">
        <v>3278</v>
      </c>
      <c r="R518" s="23" t="s">
        <v>1151</v>
      </c>
      <c r="S518" s="23" t="s">
        <v>675</v>
      </c>
      <c r="T518" s="23"/>
      <c r="U518" s="23" t="s">
        <v>1152</v>
      </c>
      <c r="V518" s="23"/>
      <c r="W518" s="23"/>
      <c r="X518" s="23"/>
      <c r="Y518" s="23"/>
      <c r="Z518" s="23"/>
      <c r="AA518" s="23"/>
      <c r="AB518" s="23" t="s">
        <v>1153</v>
      </c>
      <c r="AC518" s="23"/>
      <c r="AD518" s="23"/>
      <c r="AH518" s="33" t="s">
        <v>1261</v>
      </c>
      <c r="AI518" s="23" t="s">
        <v>1264</v>
      </c>
      <c r="AJ518" s="33" t="str">
        <f t="shared" si="8"/>
        <v>PD5D_MTG_VisiumST/samples/HC_BN0452_MTG_VisiumST_batch8_rep1.h5</v>
      </c>
      <c r="AK518" t="s">
        <v>1290</v>
      </c>
    </row>
    <row r="519" spans="1:37">
      <c r="A519" s="23" t="s">
        <v>1242</v>
      </c>
      <c r="B519" s="23" t="s">
        <v>197</v>
      </c>
      <c r="C519" s="23" t="s">
        <v>197</v>
      </c>
      <c r="D519" s="23" t="s">
        <v>666</v>
      </c>
      <c r="E519" s="23">
        <v>1</v>
      </c>
      <c r="F519" s="23">
        <v>0</v>
      </c>
      <c r="G519" s="23" t="s">
        <v>773</v>
      </c>
      <c r="H519" s="23" t="s">
        <v>668</v>
      </c>
      <c r="I519" s="23" t="s">
        <v>669</v>
      </c>
      <c r="J519" s="23" t="s">
        <v>670</v>
      </c>
      <c r="K519" s="23" t="s">
        <v>671</v>
      </c>
      <c r="L519" s="23" t="s">
        <v>669</v>
      </c>
      <c r="M519" s="23" t="s">
        <v>672</v>
      </c>
      <c r="N519" s="23">
        <v>9.9</v>
      </c>
      <c r="O519" s="23">
        <v>9.9</v>
      </c>
      <c r="P519" s="23" t="s">
        <v>1150</v>
      </c>
      <c r="Q519" s="31">
        <v>3238</v>
      </c>
      <c r="R519" s="23" t="s">
        <v>1151</v>
      </c>
      <c r="S519" s="23" t="s">
        <v>675</v>
      </c>
      <c r="T519" s="23"/>
      <c r="U519" s="23" t="s">
        <v>1152</v>
      </c>
      <c r="V519" s="23"/>
      <c r="W519" s="23"/>
      <c r="X519" s="23"/>
      <c r="Y519" s="23"/>
      <c r="Z519" s="23"/>
      <c r="AA519" s="23"/>
      <c r="AB519" s="23" t="s">
        <v>1153</v>
      </c>
      <c r="AC519" s="23"/>
      <c r="AD519" s="23"/>
      <c r="AH519" s="33" t="s">
        <v>1261</v>
      </c>
      <c r="AI519" s="23" t="s">
        <v>1264</v>
      </c>
      <c r="AJ519" s="33" t="str">
        <f t="shared" si="8"/>
        <v>PD5D_MTG_VisiumST/samples/PD_BN1805_MTG_VisiumST_batch9_rep1.h5</v>
      </c>
      <c r="AK519" t="s">
        <v>1290</v>
      </c>
    </row>
    <row r="520" spans="1:37">
      <c r="A520" s="23" t="s">
        <v>1243</v>
      </c>
      <c r="B520" s="23" t="s">
        <v>145</v>
      </c>
      <c r="C520" s="23" t="s">
        <v>145</v>
      </c>
      <c r="D520" s="23" t="s">
        <v>666</v>
      </c>
      <c r="E520" s="23">
        <v>1</v>
      </c>
      <c r="F520" s="23">
        <v>0</v>
      </c>
      <c r="G520" s="23" t="s">
        <v>698</v>
      </c>
      <c r="H520" s="23" t="s">
        <v>668</v>
      </c>
      <c r="I520" s="23" t="s">
        <v>669</v>
      </c>
      <c r="J520" s="23" t="s">
        <v>670</v>
      </c>
      <c r="K520" s="23" t="s">
        <v>671</v>
      </c>
      <c r="L520" s="23" t="s">
        <v>669</v>
      </c>
      <c r="M520" s="23" t="s">
        <v>672</v>
      </c>
      <c r="N520" s="23">
        <v>9.6</v>
      </c>
      <c r="O520" s="23">
        <v>9.6</v>
      </c>
      <c r="P520" s="23" t="s">
        <v>1150</v>
      </c>
      <c r="Q520" s="31">
        <v>4728</v>
      </c>
      <c r="R520" s="23" t="s">
        <v>1151</v>
      </c>
      <c r="S520" s="23" t="s">
        <v>675</v>
      </c>
      <c r="T520" s="23"/>
      <c r="U520" s="23" t="s">
        <v>1152</v>
      </c>
      <c r="V520" s="23"/>
      <c r="W520" s="23"/>
      <c r="X520" s="23"/>
      <c r="Y520" s="23"/>
      <c r="Z520" s="23"/>
      <c r="AA520" s="23"/>
      <c r="AB520" s="23" t="s">
        <v>1153</v>
      </c>
      <c r="AC520" s="23"/>
      <c r="AD520" s="23"/>
      <c r="AH520" s="33" t="s">
        <v>1261</v>
      </c>
      <c r="AI520" s="23" t="s">
        <v>1264</v>
      </c>
      <c r="AJ520" s="33" t="str">
        <f t="shared" si="8"/>
        <v>PD5D_MTG_VisiumST/samples/HC_BN1430_MTG_VisiumST_batch6_rep1.h5</v>
      </c>
      <c r="AK520" t="s">
        <v>1290</v>
      </c>
    </row>
    <row r="521" spans="1:37">
      <c r="A521" s="23" t="s">
        <v>1244</v>
      </c>
      <c r="B521" s="23" t="s">
        <v>155</v>
      </c>
      <c r="C521" s="23" t="s">
        <v>155</v>
      </c>
      <c r="D521" s="23" t="s">
        <v>666</v>
      </c>
      <c r="E521" s="23">
        <v>1</v>
      </c>
      <c r="F521" s="23">
        <v>0</v>
      </c>
      <c r="G521" s="23" t="s">
        <v>777</v>
      </c>
      <c r="H521" s="23" t="s">
        <v>668</v>
      </c>
      <c r="I521" s="23" t="s">
        <v>669</v>
      </c>
      <c r="J521" s="23" t="s">
        <v>670</v>
      </c>
      <c r="K521" s="23" t="s">
        <v>671</v>
      </c>
      <c r="L521" s="23" t="s">
        <v>669</v>
      </c>
      <c r="M521" s="23" t="s">
        <v>672</v>
      </c>
      <c r="N521" s="23">
        <v>9.5</v>
      </c>
      <c r="O521" s="23">
        <v>9.5</v>
      </c>
      <c r="P521" s="23" t="s">
        <v>1150</v>
      </c>
      <c r="Q521" s="31">
        <v>3345</v>
      </c>
      <c r="R521" s="23" t="s">
        <v>1151</v>
      </c>
      <c r="S521" s="23" t="s">
        <v>675</v>
      </c>
      <c r="T521" s="23"/>
      <c r="U521" s="23" t="s">
        <v>1152</v>
      </c>
      <c r="V521" s="23"/>
      <c r="W521" s="23"/>
      <c r="X521" s="23"/>
      <c r="Y521" s="23"/>
      <c r="Z521" s="23"/>
      <c r="AA521" s="23"/>
      <c r="AB521" s="23" t="s">
        <v>1153</v>
      </c>
      <c r="AC521" s="23"/>
      <c r="AD521" s="23"/>
      <c r="AH521" s="33" t="s">
        <v>1261</v>
      </c>
      <c r="AI521" s="23" t="s">
        <v>1264</v>
      </c>
      <c r="AJ521" s="33" t="str">
        <f t="shared" si="8"/>
        <v>PD5D_MTG_VisiumST/samples/HC_BN1546_MTG_VisiumST_batch10_rep1.h5</v>
      </c>
      <c r="AK521" t="s">
        <v>1290</v>
      </c>
    </row>
    <row r="522" spans="1:37">
      <c r="A522" s="23" t="s">
        <v>1245</v>
      </c>
      <c r="B522" s="23" t="s">
        <v>124</v>
      </c>
      <c r="C522" s="23" t="s">
        <v>124</v>
      </c>
      <c r="D522" s="23" t="s">
        <v>689</v>
      </c>
      <c r="E522" s="23">
        <v>2</v>
      </c>
      <c r="F522" s="23">
        <v>1</v>
      </c>
      <c r="G522" s="23" t="s">
        <v>667</v>
      </c>
      <c r="H522" s="23" t="s">
        <v>668</v>
      </c>
      <c r="I522" s="23" t="s">
        <v>669</v>
      </c>
      <c r="J522" s="23" t="s">
        <v>670</v>
      </c>
      <c r="K522" s="23" t="s">
        <v>671</v>
      </c>
      <c r="L522" s="23" t="s">
        <v>669</v>
      </c>
      <c r="M522" s="23" t="s">
        <v>672</v>
      </c>
      <c r="N522" s="23">
        <v>8.1999999999999993</v>
      </c>
      <c r="O522" s="23">
        <v>8.1999999999999993</v>
      </c>
      <c r="P522" s="23" t="s">
        <v>1150</v>
      </c>
      <c r="Q522" s="31">
        <v>3394</v>
      </c>
      <c r="R522" s="23" t="s">
        <v>1151</v>
      </c>
      <c r="S522" s="23" t="s">
        <v>675</v>
      </c>
      <c r="T522" s="23"/>
      <c r="U522" s="23" t="s">
        <v>1152</v>
      </c>
      <c r="V522" s="23"/>
      <c r="W522" s="23"/>
      <c r="X522" s="23"/>
      <c r="Y522" s="23"/>
      <c r="Z522" s="23"/>
      <c r="AA522" s="23"/>
      <c r="AB522" s="23" t="s">
        <v>1153</v>
      </c>
      <c r="AC522" s="23"/>
      <c r="AD522" s="23"/>
      <c r="AH522" s="33" t="s">
        <v>1261</v>
      </c>
      <c r="AI522" s="23" t="s">
        <v>1264</v>
      </c>
      <c r="AJ522" s="33" t="str">
        <f t="shared" si="8"/>
        <v>PD5D_MTG_VisiumST/samples/HC_BN1221_MTG_VisiumST_batch1_rep2.h5</v>
      </c>
      <c r="AK522" t="s">
        <v>1290</v>
      </c>
    </row>
    <row r="523" spans="1:37">
      <c r="A523" s="23" t="s">
        <v>1246</v>
      </c>
      <c r="B523" s="23" t="s">
        <v>66</v>
      </c>
      <c r="C523" s="23" t="s">
        <v>66</v>
      </c>
      <c r="D523" s="23" t="s">
        <v>666</v>
      </c>
      <c r="E523" s="23">
        <v>1</v>
      </c>
      <c r="F523" s="23">
        <v>0</v>
      </c>
      <c r="G523" s="23" t="s">
        <v>696</v>
      </c>
      <c r="H523" s="23" t="s">
        <v>668</v>
      </c>
      <c r="I523" s="23" t="s">
        <v>669</v>
      </c>
      <c r="J523" s="23" t="s">
        <v>670</v>
      </c>
      <c r="K523" s="23" t="s">
        <v>671</v>
      </c>
      <c r="L523" s="23" t="s">
        <v>669</v>
      </c>
      <c r="M523" s="23" t="s">
        <v>672</v>
      </c>
      <c r="N523" s="23">
        <v>8.6999999999999993</v>
      </c>
      <c r="O523" s="23">
        <v>8.6999999999999993</v>
      </c>
      <c r="P523" s="23" t="s">
        <v>1150</v>
      </c>
      <c r="Q523" s="31">
        <v>3935</v>
      </c>
      <c r="R523" s="23" t="s">
        <v>1151</v>
      </c>
      <c r="S523" s="23" t="s">
        <v>675</v>
      </c>
      <c r="T523" s="23"/>
      <c r="U523" s="23" t="s">
        <v>1152</v>
      </c>
      <c r="V523" s="23"/>
      <c r="W523" s="23"/>
      <c r="X523" s="23"/>
      <c r="Y523" s="23"/>
      <c r="Z523" s="23"/>
      <c r="AA523" s="23"/>
      <c r="AB523" s="23" t="s">
        <v>1153</v>
      </c>
      <c r="AC523" s="23"/>
      <c r="AD523" s="23"/>
      <c r="AH523" s="33" t="s">
        <v>1261</v>
      </c>
      <c r="AI523" s="23" t="s">
        <v>1264</v>
      </c>
      <c r="AJ523" s="33" t="str">
        <f t="shared" si="8"/>
        <v>PD5D_MTG_VisiumST/samples/HC_BN0339_MTG_VisiumST_batch5_rep1.h5</v>
      </c>
      <c r="AK523" t="s">
        <v>1290</v>
      </c>
    </row>
    <row r="524" spans="1:37">
      <c r="A524" s="23" t="s">
        <v>1247</v>
      </c>
      <c r="B524" s="23" t="s">
        <v>85</v>
      </c>
      <c r="C524" s="23" t="s">
        <v>85</v>
      </c>
      <c r="D524" s="23" t="s">
        <v>666</v>
      </c>
      <c r="E524" s="23">
        <v>1</v>
      </c>
      <c r="F524" s="23">
        <v>0</v>
      </c>
      <c r="G524" s="23" t="s">
        <v>696</v>
      </c>
      <c r="H524" s="23" t="s">
        <v>668</v>
      </c>
      <c r="I524" s="23" t="s">
        <v>669</v>
      </c>
      <c r="J524" s="23" t="s">
        <v>670</v>
      </c>
      <c r="K524" s="23" t="s">
        <v>671</v>
      </c>
      <c r="L524" s="23" t="s">
        <v>669</v>
      </c>
      <c r="M524" s="23" t="s">
        <v>672</v>
      </c>
      <c r="N524" s="23">
        <v>8.3000000000000007</v>
      </c>
      <c r="O524" s="23">
        <v>8.3000000000000007</v>
      </c>
      <c r="P524" s="23" t="s">
        <v>1150</v>
      </c>
      <c r="Q524" s="31">
        <v>3569</v>
      </c>
      <c r="R524" s="23" t="s">
        <v>1151</v>
      </c>
      <c r="S524" s="23" t="s">
        <v>675</v>
      </c>
      <c r="T524" s="23"/>
      <c r="U524" s="23" t="s">
        <v>1152</v>
      </c>
      <c r="V524" s="23"/>
      <c r="W524" s="23"/>
      <c r="X524" s="23"/>
      <c r="Y524" s="23"/>
      <c r="Z524" s="23"/>
      <c r="AA524" s="23"/>
      <c r="AB524" s="23" t="s">
        <v>1153</v>
      </c>
      <c r="AC524" s="23"/>
      <c r="AD524" s="23"/>
      <c r="AH524" s="33" t="s">
        <v>1261</v>
      </c>
      <c r="AI524" s="23" t="s">
        <v>1264</v>
      </c>
      <c r="AJ524" s="33" t="str">
        <f t="shared" si="8"/>
        <v>PD5D_MTG_VisiumST/samples/ILB_BN0464_MTG_VisiumST_batch5_rep1.h5</v>
      </c>
      <c r="AK524" t="s">
        <v>1290</v>
      </c>
    </row>
    <row r="525" spans="1:37">
      <c r="A525" s="23" t="s">
        <v>1248</v>
      </c>
      <c r="B525" s="23" t="s">
        <v>99</v>
      </c>
      <c r="C525" s="23" t="s">
        <v>99</v>
      </c>
      <c r="D525" s="23" t="s">
        <v>666</v>
      </c>
      <c r="E525" s="23">
        <v>1</v>
      </c>
      <c r="F525" s="23">
        <v>0</v>
      </c>
      <c r="G525" s="23" t="s">
        <v>706</v>
      </c>
      <c r="H525" s="23" t="s">
        <v>668</v>
      </c>
      <c r="I525" s="23" t="s">
        <v>669</v>
      </c>
      <c r="J525" s="23" t="s">
        <v>670</v>
      </c>
      <c r="K525" s="23" t="s">
        <v>671</v>
      </c>
      <c r="L525" s="23" t="s">
        <v>669</v>
      </c>
      <c r="M525" s="23" t="s">
        <v>672</v>
      </c>
      <c r="N525" s="23">
        <v>9.4</v>
      </c>
      <c r="O525" s="23">
        <v>9.4</v>
      </c>
      <c r="P525" s="23" t="s">
        <v>1150</v>
      </c>
      <c r="Q525" s="31">
        <v>3885</v>
      </c>
      <c r="R525" s="23" t="s">
        <v>1151</v>
      </c>
      <c r="S525" s="23" t="s">
        <v>675</v>
      </c>
      <c r="T525" s="23"/>
      <c r="U525" s="23" t="s">
        <v>1152</v>
      </c>
      <c r="V525" s="23"/>
      <c r="W525" s="23"/>
      <c r="X525" s="23"/>
      <c r="Y525" s="23"/>
      <c r="Z525" s="23"/>
      <c r="AA525" s="23"/>
      <c r="AB525" s="23" t="s">
        <v>1153</v>
      </c>
      <c r="AC525" s="23"/>
      <c r="AD525" s="23"/>
      <c r="AH525" s="33" t="s">
        <v>1261</v>
      </c>
      <c r="AI525" s="23" t="s">
        <v>1264</v>
      </c>
      <c r="AJ525" s="33" t="str">
        <f t="shared" si="8"/>
        <v>PD5D_MTG_VisiumST/samples/PD_BN0662_MTG_VisiumST_batch8_rep1.h5</v>
      </c>
      <c r="AK525" t="s">
        <v>1290</v>
      </c>
    </row>
    <row r="526" spans="1:37">
      <c r="A526" s="23" t="s">
        <v>1249</v>
      </c>
      <c r="B526" s="23" t="s">
        <v>124</v>
      </c>
      <c r="C526" s="23" t="s">
        <v>124</v>
      </c>
      <c r="D526" s="23" t="s">
        <v>666</v>
      </c>
      <c r="E526" s="23">
        <v>2</v>
      </c>
      <c r="F526" s="23">
        <v>1</v>
      </c>
      <c r="G526" s="23" t="s">
        <v>667</v>
      </c>
      <c r="H526" s="23" t="s">
        <v>668</v>
      </c>
      <c r="I526" s="23" t="s">
        <v>669</v>
      </c>
      <c r="J526" s="23" t="s">
        <v>670</v>
      </c>
      <c r="K526" s="23" t="s">
        <v>671</v>
      </c>
      <c r="L526" s="23" t="s">
        <v>669</v>
      </c>
      <c r="M526" s="23" t="s">
        <v>672</v>
      </c>
      <c r="N526" s="23">
        <v>8.1999999999999993</v>
      </c>
      <c r="O526" s="23">
        <v>8.1999999999999993</v>
      </c>
      <c r="P526" s="23" t="s">
        <v>1150</v>
      </c>
      <c r="Q526" s="31">
        <v>3322</v>
      </c>
      <c r="R526" s="23" t="s">
        <v>1151</v>
      </c>
      <c r="S526" s="23" t="s">
        <v>675</v>
      </c>
      <c r="T526" s="23"/>
      <c r="U526" s="23" t="s">
        <v>1152</v>
      </c>
      <c r="V526" s="23"/>
      <c r="W526" s="23"/>
      <c r="X526" s="23"/>
      <c r="Y526" s="23"/>
      <c r="Z526" s="23"/>
      <c r="AA526" s="23"/>
      <c r="AB526" s="23" t="s">
        <v>1153</v>
      </c>
      <c r="AC526" s="23"/>
      <c r="AD526" s="23"/>
      <c r="AH526" s="33" t="s">
        <v>1261</v>
      </c>
      <c r="AI526" s="23" t="s">
        <v>1264</v>
      </c>
      <c r="AJ526" s="33" t="str">
        <f t="shared" si="8"/>
        <v>PD5D_MTG_VisiumST/samples/HC_BN1221_MTG_VisiumST_batch1_rep1.h5</v>
      </c>
      <c r="AK526" t="s">
        <v>1290</v>
      </c>
    </row>
    <row r="527" spans="1:37">
      <c r="A527" s="23" t="s">
        <v>1250</v>
      </c>
      <c r="B527" s="23" t="s">
        <v>239</v>
      </c>
      <c r="C527" s="23" t="s">
        <v>239</v>
      </c>
      <c r="D527" s="23" t="s">
        <v>666</v>
      </c>
      <c r="E527" s="23">
        <v>1</v>
      </c>
      <c r="F527" s="23">
        <v>0</v>
      </c>
      <c r="G527" s="23" t="s">
        <v>777</v>
      </c>
      <c r="H527" s="23" t="s">
        <v>668</v>
      </c>
      <c r="I527" s="23" t="s">
        <v>669</v>
      </c>
      <c r="J527" s="23" t="s">
        <v>670</v>
      </c>
      <c r="K527" s="23" t="s">
        <v>671</v>
      </c>
      <c r="L527" s="23" t="s">
        <v>669</v>
      </c>
      <c r="M527" s="23" t="s">
        <v>672</v>
      </c>
      <c r="N527" s="23">
        <v>9</v>
      </c>
      <c r="O527" s="23">
        <v>9</v>
      </c>
      <c r="P527" s="23" t="s">
        <v>1150</v>
      </c>
      <c r="Q527" s="31">
        <v>4652</v>
      </c>
      <c r="R527" s="23" t="s">
        <v>1151</v>
      </c>
      <c r="S527" s="23" t="s">
        <v>675</v>
      </c>
      <c r="T527" s="23"/>
      <c r="U527" s="23" t="s">
        <v>1152</v>
      </c>
      <c r="V527" s="23"/>
      <c r="W527" s="23"/>
      <c r="X527" s="23"/>
      <c r="Y527" s="23"/>
      <c r="Z527" s="23"/>
      <c r="AA527" s="23"/>
      <c r="AB527" s="23" t="s">
        <v>1153</v>
      </c>
      <c r="AC527" s="23"/>
      <c r="AD527" s="23"/>
      <c r="AH527" s="33" t="s">
        <v>1261</v>
      </c>
      <c r="AI527" s="23" t="s">
        <v>1264</v>
      </c>
      <c r="AJ527" s="33" t="str">
        <f t="shared" si="8"/>
        <v>PD5D_MTG_VisiumST/samples/ILB_BN1974_MTG_VisiumST_batch10_rep1.h5</v>
      </c>
      <c r="AK527" t="s">
        <v>1290</v>
      </c>
    </row>
    <row r="528" spans="1:37">
      <c r="A528" s="23" t="s">
        <v>1251</v>
      </c>
      <c r="B528" s="23" t="s">
        <v>97</v>
      </c>
      <c r="C528" s="23" t="s">
        <v>97</v>
      </c>
      <c r="D528" s="23" t="s">
        <v>666</v>
      </c>
      <c r="E528" s="23">
        <v>1</v>
      </c>
      <c r="F528" s="23">
        <v>0</v>
      </c>
      <c r="G528" s="23" t="s">
        <v>777</v>
      </c>
      <c r="H528" s="23" t="s">
        <v>668</v>
      </c>
      <c r="I528" s="23" t="s">
        <v>669</v>
      </c>
      <c r="J528" s="23" t="s">
        <v>670</v>
      </c>
      <c r="K528" s="23" t="s">
        <v>671</v>
      </c>
      <c r="L528" s="23" t="s">
        <v>669</v>
      </c>
      <c r="M528" s="23" t="s">
        <v>672</v>
      </c>
      <c r="N528" s="23">
        <v>8.9</v>
      </c>
      <c r="O528" s="23">
        <v>8.9</v>
      </c>
      <c r="P528" s="23" t="s">
        <v>1150</v>
      </c>
      <c r="Q528" s="31">
        <v>2490</v>
      </c>
      <c r="R528" s="23" t="s">
        <v>1151</v>
      </c>
      <c r="S528" s="23" t="s">
        <v>675</v>
      </c>
      <c r="T528" s="23"/>
      <c r="U528" s="23" t="s">
        <v>1152</v>
      </c>
      <c r="V528" s="23"/>
      <c r="W528" s="23"/>
      <c r="X528" s="23"/>
      <c r="Y528" s="23"/>
      <c r="Z528" s="23"/>
      <c r="AA528" s="23"/>
      <c r="AB528" s="23" t="s">
        <v>1153</v>
      </c>
      <c r="AC528" s="23"/>
      <c r="AD528" s="23"/>
      <c r="AH528" s="33" t="s">
        <v>1261</v>
      </c>
      <c r="AI528" s="23" t="s">
        <v>1264</v>
      </c>
      <c r="AJ528" s="33" t="str">
        <f t="shared" si="8"/>
        <v>PD5D_MTG_VisiumST/samples/PD_BN0655_MTG_VisiumST_batch10_rep1.h5</v>
      </c>
      <c r="AK528" t="s">
        <v>1290</v>
      </c>
    </row>
    <row r="529" spans="1:37">
      <c r="A529" s="23" t="s">
        <v>1252</v>
      </c>
      <c r="B529" s="23" t="s">
        <v>217</v>
      </c>
      <c r="C529" s="23" t="s">
        <v>217</v>
      </c>
      <c r="D529" s="23" t="s">
        <v>666</v>
      </c>
      <c r="E529" s="23">
        <v>1</v>
      </c>
      <c r="F529" s="23">
        <v>0</v>
      </c>
      <c r="G529" s="23" t="s">
        <v>694</v>
      </c>
      <c r="H529" s="23" t="s">
        <v>668</v>
      </c>
      <c r="I529" s="23" t="s">
        <v>669</v>
      </c>
      <c r="J529" s="23" t="s">
        <v>670</v>
      </c>
      <c r="K529" s="23" t="s">
        <v>671</v>
      </c>
      <c r="L529" s="23" t="s">
        <v>669</v>
      </c>
      <c r="M529" s="23" t="s">
        <v>672</v>
      </c>
      <c r="N529" s="23">
        <v>9</v>
      </c>
      <c r="O529" s="23">
        <v>9</v>
      </c>
      <c r="P529" s="23" t="s">
        <v>1150</v>
      </c>
      <c r="Q529" s="31">
        <v>3421</v>
      </c>
      <c r="R529" s="23" t="s">
        <v>1151</v>
      </c>
      <c r="S529" s="23" t="s">
        <v>675</v>
      </c>
      <c r="T529" s="23"/>
      <c r="U529" s="23" t="s">
        <v>1152</v>
      </c>
      <c r="V529" s="23"/>
      <c r="W529" s="23"/>
      <c r="X529" s="23"/>
      <c r="Y529" s="23"/>
      <c r="Z529" s="23"/>
      <c r="AA529" s="23"/>
      <c r="AB529" s="23" t="s">
        <v>1153</v>
      </c>
      <c r="AC529" s="23"/>
      <c r="AD529" s="23"/>
      <c r="AH529" s="33" t="s">
        <v>1261</v>
      </c>
      <c r="AI529" s="23" t="s">
        <v>1264</v>
      </c>
      <c r="AJ529" s="33" t="str">
        <f t="shared" si="8"/>
        <v>PD5D_MTG_VisiumST/samples/ILB_BN1862_MTG_VisiumST_batch3_rep1.h5</v>
      </c>
      <c r="AK529" t="s">
        <v>1290</v>
      </c>
    </row>
    <row r="530" spans="1:37">
      <c r="A530" s="23" t="s">
        <v>1253</v>
      </c>
      <c r="B530" s="23" t="s">
        <v>215</v>
      </c>
      <c r="C530" s="23" t="s">
        <v>215</v>
      </c>
      <c r="D530" s="23" t="s">
        <v>666</v>
      </c>
      <c r="E530" s="23">
        <v>1</v>
      </c>
      <c r="F530" s="23">
        <v>0</v>
      </c>
      <c r="G530" s="23" t="s">
        <v>679</v>
      </c>
      <c r="H530" s="23" t="s">
        <v>668</v>
      </c>
      <c r="I530" s="23" t="s">
        <v>669</v>
      </c>
      <c r="J530" s="23" t="s">
        <v>670</v>
      </c>
      <c r="K530" s="23" t="s">
        <v>671</v>
      </c>
      <c r="L530" s="23" t="s">
        <v>669</v>
      </c>
      <c r="M530" s="23" t="s">
        <v>672</v>
      </c>
      <c r="N530" s="23">
        <v>9</v>
      </c>
      <c r="O530" s="23">
        <v>9</v>
      </c>
      <c r="P530" s="23" t="s">
        <v>1150</v>
      </c>
      <c r="Q530" s="31">
        <v>3636</v>
      </c>
      <c r="R530" s="23" t="s">
        <v>1151</v>
      </c>
      <c r="S530" s="23" t="s">
        <v>675</v>
      </c>
      <c r="T530" s="23"/>
      <c r="U530" s="23" t="s">
        <v>1152</v>
      </c>
      <c r="V530" s="23"/>
      <c r="W530" s="23"/>
      <c r="X530" s="23"/>
      <c r="Y530" s="23"/>
      <c r="Z530" s="23"/>
      <c r="AA530" s="23"/>
      <c r="AB530" s="23" t="s">
        <v>1153</v>
      </c>
      <c r="AC530" s="23"/>
      <c r="AD530" s="23"/>
      <c r="AH530" s="33" t="s">
        <v>1261</v>
      </c>
      <c r="AI530" s="23" t="s">
        <v>1264</v>
      </c>
      <c r="AJ530" s="33" t="str">
        <f t="shared" si="8"/>
        <v>PD5D_MTG_VisiumST/samples/HC_BN1855_MTG_VisiumST_batch2_rep1.h5</v>
      </c>
      <c r="AK530" t="s">
        <v>1290</v>
      </c>
    </row>
    <row r="531" spans="1:37">
      <c r="A531" s="23" t="s">
        <v>1254</v>
      </c>
      <c r="B531" s="23" t="s">
        <v>149</v>
      </c>
      <c r="C531" s="23" t="s">
        <v>149</v>
      </c>
      <c r="D531" s="23" t="s">
        <v>666</v>
      </c>
      <c r="E531" s="23">
        <v>1</v>
      </c>
      <c r="F531" s="23">
        <v>0</v>
      </c>
      <c r="G531" s="23" t="s">
        <v>698</v>
      </c>
      <c r="H531" s="23" t="s">
        <v>668</v>
      </c>
      <c r="I531" s="23" t="s">
        <v>669</v>
      </c>
      <c r="J531" s="23" t="s">
        <v>670</v>
      </c>
      <c r="K531" s="23" t="s">
        <v>671</v>
      </c>
      <c r="L531" s="23" t="s">
        <v>669</v>
      </c>
      <c r="M531" s="23" t="s">
        <v>672</v>
      </c>
      <c r="N531" s="23">
        <v>8.9</v>
      </c>
      <c r="O531" s="23">
        <v>8.9</v>
      </c>
      <c r="P531" s="23" t="s">
        <v>1150</v>
      </c>
      <c r="Q531" s="31">
        <v>3079</v>
      </c>
      <c r="R531" s="23" t="s">
        <v>1151</v>
      </c>
      <c r="S531" s="23" t="s">
        <v>675</v>
      </c>
      <c r="T531" s="23"/>
      <c r="U531" s="23" t="s">
        <v>1152</v>
      </c>
      <c r="V531" s="23"/>
      <c r="W531" s="23"/>
      <c r="X531" s="23"/>
      <c r="Y531" s="23"/>
      <c r="Z531" s="23"/>
      <c r="AA531" s="23"/>
      <c r="AB531" s="23" t="s">
        <v>1153</v>
      </c>
      <c r="AC531" s="23"/>
      <c r="AD531" s="23"/>
      <c r="AH531" s="33" t="s">
        <v>1261</v>
      </c>
      <c r="AI531" s="23" t="s">
        <v>1264</v>
      </c>
      <c r="AJ531" s="33" t="str">
        <f t="shared" si="8"/>
        <v>PD5D_MTG_VisiumST/samples/PD_BN1506_MTG_VisiumST_batch6_rep1.h5</v>
      </c>
      <c r="AK531" t="s">
        <v>1290</v>
      </c>
    </row>
    <row r="532" spans="1:37">
      <c r="A532" s="23" t="s">
        <v>1255</v>
      </c>
      <c r="B532" s="23" t="s">
        <v>93</v>
      </c>
      <c r="C532" s="23" t="s">
        <v>93</v>
      </c>
      <c r="D532" s="23" t="s">
        <v>666</v>
      </c>
      <c r="E532" s="23">
        <v>1</v>
      </c>
      <c r="F532" s="23">
        <v>0</v>
      </c>
      <c r="G532" s="23" t="s">
        <v>686</v>
      </c>
      <c r="H532" s="23" t="s">
        <v>668</v>
      </c>
      <c r="I532" s="23" t="s">
        <v>669</v>
      </c>
      <c r="J532" s="23" t="s">
        <v>670</v>
      </c>
      <c r="K532" s="23" t="s">
        <v>671</v>
      </c>
      <c r="L532" s="23" t="s">
        <v>669</v>
      </c>
      <c r="M532" s="23" t="s">
        <v>672</v>
      </c>
      <c r="N532" s="23">
        <v>9.8000000000000007</v>
      </c>
      <c r="O532" s="23">
        <v>9.8000000000000007</v>
      </c>
      <c r="P532" s="23" t="s">
        <v>1150</v>
      </c>
      <c r="Q532" s="31">
        <v>2740</v>
      </c>
      <c r="R532" s="23" t="s">
        <v>1151</v>
      </c>
      <c r="S532" s="23" t="s">
        <v>675</v>
      </c>
      <c r="T532" s="23"/>
      <c r="U532" s="23" t="s">
        <v>1152</v>
      </c>
      <c r="V532" s="23"/>
      <c r="W532" s="23"/>
      <c r="X532" s="23"/>
      <c r="Y532" s="23"/>
      <c r="Z532" s="23"/>
      <c r="AA532" s="23"/>
      <c r="AB532" s="23" t="s">
        <v>1153</v>
      </c>
      <c r="AC532" s="23"/>
      <c r="AD532" s="23"/>
      <c r="AH532" s="33" t="s">
        <v>1261</v>
      </c>
      <c r="AI532" s="23" t="s">
        <v>1264</v>
      </c>
      <c r="AJ532" s="33" t="str">
        <f t="shared" si="8"/>
        <v>PD5D_MTG_VisiumST/samples/PD_BN0644_MTG_VisiumST_batch7_rep1.h5</v>
      </c>
      <c r="AK532" t="s">
        <v>1290</v>
      </c>
    </row>
    <row r="533" spans="1:37">
      <c r="A533" s="23" t="s">
        <v>1256</v>
      </c>
      <c r="B533" s="23" t="s">
        <v>78</v>
      </c>
      <c r="C533" s="23" t="s">
        <v>78</v>
      </c>
      <c r="D533" s="23" t="s">
        <v>666</v>
      </c>
      <c r="E533" s="23">
        <v>1</v>
      </c>
      <c r="F533" s="23">
        <v>0</v>
      </c>
      <c r="G533" s="23" t="s">
        <v>679</v>
      </c>
      <c r="H533" s="23" t="s">
        <v>668</v>
      </c>
      <c r="I533" s="23" t="s">
        <v>669</v>
      </c>
      <c r="J533" s="23" t="s">
        <v>670</v>
      </c>
      <c r="K533" s="23" t="s">
        <v>671</v>
      </c>
      <c r="L533" s="23" t="s">
        <v>669</v>
      </c>
      <c r="M533" s="23" t="s">
        <v>672</v>
      </c>
      <c r="N533" s="23">
        <v>9.1</v>
      </c>
      <c r="O533" s="23">
        <v>9.1</v>
      </c>
      <c r="P533" s="23" t="s">
        <v>1150</v>
      </c>
      <c r="Q533" s="31">
        <v>3418</v>
      </c>
      <c r="R533" s="23" t="s">
        <v>1151</v>
      </c>
      <c r="S533" s="23" t="s">
        <v>675</v>
      </c>
      <c r="T533" s="23"/>
      <c r="U533" s="23" t="s">
        <v>1152</v>
      </c>
      <c r="V533" s="23"/>
      <c r="W533" s="23"/>
      <c r="X533" s="23"/>
      <c r="Y533" s="23"/>
      <c r="Z533" s="23"/>
      <c r="AA533" s="23"/>
      <c r="AB533" s="23" t="s">
        <v>1153</v>
      </c>
      <c r="AC533" s="23"/>
      <c r="AD533" s="23"/>
      <c r="AH533" s="33" t="s">
        <v>1261</v>
      </c>
      <c r="AI533" s="23" t="s">
        <v>1264</v>
      </c>
      <c r="AJ533" s="33" t="str">
        <f t="shared" si="8"/>
        <v>PD5D_MTG_VisiumST/samples/PD_BN0348_MTG_VisiumST_batch2_rep1.h5</v>
      </c>
      <c r="AK533" t="s">
        <v>1290</v>
      </c>
    </row>
    <row r="534" spans="1:37">
      <c r="A534" s="23" t="s">
        <v>1257</v>
      </c>
      <c r="B534" s="23" t="s">
        <v>195</v>
      </c>
      <c r="C534" s="23" t="s">
        <v>195</v>
      </c>
      <c r="D534" s="23" t="s">
        <v>666</v>
      </c>
      <c r="E534" s="23">
        <v>1</v>
      </c>
      <c r="F534" s="23">
        <v>0</v>
      </c>
      <c r="G534" s="23" t="s">
        <v>694</v>
      </c>
      <c r="H534" s="23" t="s">
        <v>668</v>
      </c>
      <c r="I534" s="23" t="s">
        <v>669</v>
      </c>
      <c r="J534" s="23" t="s">
        <v>670</v>
      </c>
      <c r="K534" s="23" t="s">
        <v>671</v>
      </c>
      <c r="L534" s="23" t="s">
        <v>669</v>
      </c>
      <c r="M534" s="23" t="s">
        <v>672</v>
      </c>
      <c r="N534" s="23">
        <v>9.3000000000000007</v>
      </c>
      <c r="O534" s="23">
        <v>9.3000000000000007</v>
      </c>
      <c r="P534" s="23" t="s">
        <v>1150</v>
      </c>
      <c r="Q534" s="31">
        <v>2917</v>
      </c>
      <c r="R534" s="23" t="s">
        <v>1151</v>
      </c>
      <c r="S534" s="23" t="s">
        <v>675</v>
      </c>
      <c r="T534" s="23"/>
      <c r="U534" s="23" t="s">
        <v>1152</v>
      </c>
      <c r="V534" s="23"/>
      <c r="W534" s="23"/>
      <c r="X534" s="23"/>
      <c r="Y534" s="23"/>
      <c r="Z534" s="23"/>
      <c r="AA534" s="23"/>
      <c r="AB534" s="23" t="s">
        <v>1153</v>
      </c>
      <c r="AC534" s="23"/>
      <c r="AD534" s="23"/>
      <c r="AH534" s="33" t="s">
        <v>1261</v>
      </c>
      <c r="AI534" s="23" t="s">
        <v>1264</v>
      </c>
      <c r="AJ534" s="33" t="str">
        <f t="shared" si="8"/>
        <v>PD5D_MTG_VisiumST/samples/PD_BN1814_MTG_VisiumST_batch3_rep1.h5</v>
      </c>
      <c r="AK534" t="s">
        <v>1290</v>
      </c>
    </row>
    <row r="535" spans="1:37">
      <c r="A535" s="23" t="s">
        <v>1258</v>
      </c>
      <c r="B535" s="23" t="s">
        <v>74</v>
      </c>
      <c r="C535" s="23" t="s">
        <v>74</v>
      </c>
      <c r="D535" s="23" t="s">
        <v>666</v>
      </c>
      <c r="E535" s="23">
        <v>5</v>
      </c>
      <c r="F535" s="23">
        <v>1</v>
      </c>
      <c r="G535" s="23" t="s">
        <v>679</v>
      </c>
      <c r="H535" s="23" t="s">
        <v>668</v>
      </c>
      <c r="I535" s="23" t="s">
        <v>669</v>
      </c>
      <c r="J535" s="23" t="s">
        <v>670</v>
      </c>
      <c r="K535" s="23" t="s">
        <v>671</v>
      </c>
      <c r="L535" s="23" t="s">
        <v>669</v>
      </c>
      <c r="M535" s="23" t="s">
        <v>672</v>
      </c>
      <c r="N535" s="23">
        <v>8.9</v>
      </c>
      <c r="O535" s="23">
        <v>8.9</v>
      </c>
      <c r="P535" s="23" t="s">
        <v>1150</v>
      </c>
      <c r="Q535" s="31">
        <v>2866</v>
      </c>
      <c r="R535" s="23" t="s">
        <v>1151</v>
      </c>
      <c r="S535" s="23" t="s">
        <v>675</v>
      </c>
      <c r="T535" s="23"/>
      <c r="U535" s="23" t="s">
        <v>1152</v>
      </c>
      <c r="V535" s="23"/>
      <c r="W535" s="23"/>
      <c r="X535" s="23"/>
      <c r="Y535" s="23"/>
      <c r="Z535" s="23"/>
      <c r="AA535" s="23"/>
      <c r="AB535" s="23" t="s">
        <v>1153</v>
      </c>
      <c r="AC535" s="23"/>
      <c r="AD535" s="23"/>
      <c r="AH535" s="33" t="s">
        <v>1261</v>
      </c>
      <c r="AI535" s="23" t="s">
        <v>1264</v>
      </c>
      <c r="AJ535" s="33" t="str">
        <f t="shared" si="8"/>
        <v>PD5D_MTG_VisiumST/samples/HC_BN0347_MTG_VisiumST_batch2_rep1.h5</v>
      </c>
      <c r="AK535" t="s">
        <v>1290</v>
      </c>
    </row>
    <row r="536" spans="1:37">
      <c r="A536" s="23" t="s">
        <v>1259</v>
      </c>
      <c r="B536" s="23" t="s">
        <v>115</v>
      </c>
      <c r="C536" s="23" t="s">
        <v>115</v>
      </c>
      <c r="D536" s="23" t="s">
        <v>666</v>
      </c>
      <c r="E536" s="23">
        <v>1</v>
      </c>
      <c r="F536" s="23">
        <v>0</v>
      </c>
      <c r="G536" s="23" t="s">
        <v>706</v>
      </c>
      <c r="H536" s="23" t="s">
        <v>668</v>
      </c>
      <c r="I536" s="23" t="s">
        <v>669</v>
      </c>
      <c r="J536" s="23" t="s">
        <v>670</v>
      </c>
      <c r="K536" s="23" t="s">
        <v>671</v>
      </c>
      <c r="L536" s="23" t="s">
        <v>669</v>
      </c>
      <c r="M536" s="23" t="s">
        <v>672</v>
      </c>
      <c r="N536" s="23">
        <v>8.6</v>
      </c>
      <c r="O536" s="23">
        <v>8.6</v>
      </c>
      <c r="P536" s="23" t="s">
        <v>1150</v>
      </c>
      <c r="Q536" s="31">
        <v>4310</v>
      </c>
      <c r="R536" s="23" t="s">
        <v>1151</v>
      </c>
      <c r="S536" s="23" t="s">
        <v>675</v>
      </c>
      <c r="T536" s="23"/>
      <c r="U536" s="23" t="s">
        <v>1152</v>
      </c>
      <c r="V536" s="23"/>
      <c r="W536" s="23"/>
      <c r="X536" s="23"/>
      <c r="Y536" s="23"/>
      <c r="Z536" s="23"/>
      <c r="AA536" s="23"/>
      <c r="AB536" s="23" t="s">
        <v>1153</v>
      </c>
      <c r="AC536" s="23"/>
      <c r="AD536" s="23"/>
      <c r="AH536" s="33" t="s">
        <v>1261</v>
      </c>
      <c r="AI536" s="23" t="s">
        <v>1264</v>
      </c>
      <c r="AJ536" s="33" t="str">
        <f t="shared" si="8"/>
        <v>PD5D_MTG_VisiumST/samples/ILB_BN1128_MTG_VisiumST_batch8_rep1.h5</v>
      </c>
      <c r="AK536" t="s">
        <v>1290</v>
      </c>
    </row>
  </sheetData>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37181-C98A-EB4F-AC82-1A0CF9D0957A}">
  <dimension ref="A1:U2401"/>
  <sheetViews>
    <sheetView topLeftCell="A2364" workbookViewId="0">
      <selection activeCell="J2406" sqref="J2406"/>
    </sheetView>
  </sheetViews>
  <sheetFormatPr baseColWidth="10" defaultRowHeight="16"/>
  <cols>
    <col min="1" max="1" width="51.33203125" customWidth="1"/>
  </cols>
  <sheetData>
    <row r="1" spans="1:21">
      <c r="A1" s="41" t="s">
        <v>634</v>
      </c>
      <c r="B1" s="41" t="s">
        <v>635</v>
      </c>
      <c r="C1" s="42" t="s">
        <v>636</v>
      </c>
      <c r="D1" s="42" t="s">
        <v>637</v>
      </c>
      <c r="E1" s="43" t="s">
        <v>638</v>
      </c>
      <c r="F1" s="43" t="s">
        <v>639</v>
      </c>
      <c r="G1" s="43" t="s">
        <v>1291</v>
      </c>
      <c r="H1" s="43" t="s">
        <v>1292</v>
      </c>
      <c r="I1" s="44" t="s">
        <v>1293</v>
      </c>
      <c r="J1" s="44" t="s">
        <v>1294</v>
      </c>
      <c r="K1" s="43" t="s">
        <v>1295</v>
      </c>
      <c r="L1" s="43" t="s">
        <v>1296</v>
      </c>
      <c r="M1" s="43" t="s">
        <v>1297</v>
      </c>
      <c r="N1" s="43" t="s">
        <v>1298</v>
      </c>
      <c r="O1" s="43" t="s">
        <v>1299</v>
      </c>
      <c r="P1" s="43" t="s">
        <v>1300</v>
      </c>
      <c r="Q1" s="43" t="s">
        <v>1301</v>
      </c>
      <c r="R1" s="45" t="s">
        <v>1302</v>
      </c>
      <c r="S1" s="45" t="s">
        <v>1303</v>
      </c>
      <c r="T1" s="45" t="s">
        <v>1304</v>
      </c>
      <c r="U1" s="45" t="s">
        <v>1270</v>
      </c>
    </row>
    <row r="2" spans="1:21">
      <c r="A2" s="46" t="s">
        <v>665</v>
      </c>
      <c r="B2" s="46" t="s">
        <v>52</v>
      </c>
      <c r="C2" s="46" t="s">
        <v>666</v>
      </c>
      <c r="D2" s="46">
        <v>1</v>
      </c>
      <c r="E2" s="46">
        <v>0</v>
      </c>
      <c r="F2" s="46" t="s">
        <v>667</v>
      </c>
      <c r="G2" s="46" t="s">
        <v>1305</v>
      </c>
      <c r="H2" s="46" t="s">
        <v>1306</v>
      </c>
      <c r="I2" s="46" t="str">
        <f ca="1">IFERROR(__xludf.DUMMYFUNCTION("CONCAT(A2,REGEXREPLACE(H2,"".*_L0"",""_L0""))"),"PD_BN0009_MTG_snRNAseq_rep1_L001_I1_001.fastq.gz")</f>
        <v>PD_BN0009_MTG_snRNAseq_rep1_L001_I1_001.fastq.gz</v>
      </c>
      <c r="J2" s="46" t="str">
        <f t="shared" ref="J2:J256" si="0">CONCATENATE("/data/neurogen/ASAP/scRNAseq/data/",F2,"_ASAP_snRNA-seq_*/Raw_Data_and_Processing/cellranger_processing/cellranger_fastqs/outs/fastq_path/H*/",H2)</f>
        <v>/data/neurogen/ASAP/scRNAseq/data/batch1_ASAP_snRNA-seq_*/Raw_Data_and_Processing/cellranger_processing/cellranger_fastqs/outs/fastq_path/H*/BN0009_S2_L001_I1_001.fastq.gz</v>
      </c>
      <c r="K2" s="46" t="s">
        <v>1307</v>
      </c>
      <c r="L2" s="46" t="s">
        <v>1308</v>
      </c>
      <c r="M2" s="46" t="s">
        <v>1309</v>
      </c>
      <c r="N2" s="46" t="s">
        <v>1310</v>
      </c>
      <c r="O2" s="46" t="s">
        <v>1311</v>
      </c>
      <c r="P2" s="46" t="s">
        <v>1312</v>
      </c>
      <c r="Q2" s="46" t="s">
        <v>31</v>
      </c>
      <c r="R2" s="46" t="s">
        <v>31</v>
      </c>
      <c r="S2" s="46" t="s">
        <v>31</v>
      </c>
      <c r="T2" s="46" t="s">
        <v>31</v>
      </c>
      <c r="U2" s="46" t="s">
        <v>49</v>
      </c>
    </row>
    <row r="3" spans="1:21">
      <c r="A3" s="46" t="s">
        <v>665</v>
      </c>
      <c r="B3" s="46" t="s">
        <v>52</v>
      </c>
      <c r="C3" s="46" t="s">
        <v>666</v>
      </c>
      <c r="D3" s="46">
        <v>1</v>
      </c>
      <c r="E3" s="46">
        <v>0</v>
      </c>
      <c r="F3" s="46" t="s">
        <v>667</v>
      </c>
      <c r="G3" s="46" t="s">
        <v>1305</v>
      </c>
      <c r="H3" s="46" t="s">
        <v>1313</v>
      </c>
      <c r="I3" s="46" t="str">
        <f ca="1">IFERROR(__xludf.DUMMYFUNCTION("CONCAT(A3,REGEXREPLACE(H3,"".*_L0"",""_L0""))"),"PD_BN0009_MTG_snRNAseq_rep1_L001_I2_001.fastq.gz")</f>
        <v>PD_BN0009_MTG_snRNAseq_rep1_L001_I2_001.fastq.gz</v>
      </c>
      <c r="J3" s="46" t="str">
        <f t="shared" si="0"/>
        <v>/data/neurogen/ASAP/scRNAseq/data/batch1_ASAP_snRNA-seq_*/Raw_Data_and_Processing/cellranger_processing/cellranger_fastqs/outs/fastq_path/H*/BN0009_S2_L001_I2_001.fastq.gz</v>
      </c>
      <c r="K3" s="46" t="s">
        <v>1314</v>
      </c>
      <c r="L3" s="46" t="s">
        <v>1315</v>
      </c>
      <c r="M3" s="46" t="s">
        <v>1309</v>
      </c>
      <c r="N3" s="46" t="s">
        <v>1310</v>
      </c>
      <c r="O3" s="46" t="s">
        <v>1311</v>
      </c>
      <c r="P3" s="46" t="s">
        <v>1312</v>
      </c>
      <c r="Q3" s="46" t="s">
        <v>31</v>
      </c>
      <c r="R3" s="46" t="s">
        <v>31</v>
      </c>
      <c r="S3" s="46" t="s">
        <v>31</v>
      </c>
      <c r="T3" s="46" t="s">
        <v>31</v>
      </c>
      <c r="U3" s="46" t="s">
        <v>49</v>
      </c>
    </row>
    <row r="4" spans="1:21">
      <c r="A4" s="46" t="s">
        <v>665</v>
      </c>
      <c r="B4" s="46" t="s">
        <v>52</v>
      </c>
      <c r="C4" s="46" t="s">
        <v>666</v>
      </c>
      <c r="D4" s="46">
        <v>1</v>
      </c>
      <c r="E4" s="46">
        <v>0</v>
      </c>
      <c r="F4" s="46" t="s">
        <v>667</v>
      </c>
      <c r="G4" s="46" t="s">
        <v>1305</v>
      </c>
      <c r="H4" s="46" t="s">
        <v>1316</v>
      </c>
      <c r="I4" s="46" t="str">
        <f ca="1">IFERROR(__xludf.DUMMYFUNCTION("CONCAT(A4,REGEXREPLACE(H4,"".*_L0"",""_L0""))"),"PD_BN0009_MTG_snRNAseq_rep1_L001_R1_001.fastq.gz")</f>
        <v>PD_BN0009_MTG_snRNAseq_rep1_L001_R1_001.fastq.gz</v>
      </c>
      <c r="J4" s="46" t="str">
        <f t="shared" si="0"/>
        <v>/data/neurogen/ASAP/scRNAseq/data/batch1_ASAP_snRNA-seq_*/Raw_Data_and_Processing/cellranger_processing/cellranger_fastqs/outs/fastq_path/H*/BN0009_S2_L001_R1_001.fastq.gz</v>
      </c>
      <c r="K4" s="46" t="s">
        <v>1317</v>
      </c>
      <c r="L4" s="46" t="s">
        <v>1318</v>
      </c>
      <c r="M4" s="46" t="s">
        <v>1309</v>
      </c>
      <c r="N4" s="46" t="s">
        <v>1310</v>
      </c>
      <c r="O4" s="46" t="s">
        <v>1311</v>
      </c>
      <c r="P4" s="46" t="s">
        <v>1312</v>
      </c>
      <c r="Q4" s="46" t="s">
        <v>31</v>
      </c>
      <c r="R4" s="46" t="s">
        <v>31</v>
      </c>
      <c r="S4" s="46" t="s">
        <v>31</v>
      </c>
      <c r="T4" s="46" t="s">
        <v>31</v>
      </c>
      <c r="U4" s="46" t="s">
        <v>49</v>
      </c>
    </row>
    <row r="5" spans="1:21">
      <c r="A5" s="46" t="s">
        <v>665</v>
      </c>
      <c r="B5" s="46" t="s">
        <v>52</v>
      </c>
      <c r="C5" s="46" t="s">
        <v>666</v>
      </c>
      <c r="D5" s="46">
        <v>1</v>
      </c>
      <c r="E5" s="46">
        <v>0</v>
      </c>
      <c r="F5" s="46" t="s">
        <v>667</v>
      </c>
      <c r="G5" s="46" t="s">
        <v>1305</v>
      </c>
      <c r="H5" s="46" t="s">
        <v>1319</v>
      </c>
      <c r="I5" s="46" t="str">
        <f ca="1">IFERROR(__xludf.DUMMYFUNCTION("CONCAT(A5,REGEXREPLACE(H5,"".*_L0"",""_L0""))"),"PD_BN0009_MTG_snRNAseq_rep1_L001_R2_001.fastq.gz")</f>
        <v>PD_BN0009_MTG_snRNAseq_rep1_L001_R2_001.fastq.gz</v>
      </c>
      <c r="J5" s="46" t="str">
        <f t="shared" si="0"/>
        <v>/data/neurogen/ASAP/scRNAseq/data/batch1_ASAP_snRNA-seq_*/Raw_Data_and_Processing/cellranger_processing/cellranger_fastqs/outs/fastq_path/H*/BN0009_S2_L001_R2_001.fastq.gz</v>
      </c>
      <c r="K5" s="46" t="s">
        <v>1320</v>
      </c>
      <c r="L5" s="46" t="s">
        <v>1321</v>
      </c>
      <c r="M5" s="46" t="s">
        <v>1309</v>
      </c>
      <c r="N5" s="46" t="s">
        <v>1310</v>
      </c>
      <c r="O5" s="46" t="s">
        <v>1311</v>
      </c>
      <c r="P5" s="46" t="s">
        <v>1312</v>
      </c>
      <c r="Q5" s="46" t="s">
        <v>31</v>
      </c>
      <c r="R5" s="46" t="s">
        <v>31</v>
      </c>
      <c r="S5" s="46" t="s">
        <v>31</v>
      </c>
      <c r="T5" s="46" t="s">
        <v>31</v>
      </c>
      <c r="U5" s="46" t="s">
        <v>49</v>
      </c>
    </row>
    <row r="6" spans="1:21">
      <c r="A6" s="46" t="s">
        <v>665</v>
      </c>
      <c r="B6" s="46" t="s">
        <v>52</v>
      </c>
      <c r="C6" s="46" t="s">
        <v>666</v>
      </c>
      <c r="D6" s="46">
        <v>1</v>
      </c>
      <c r="E6" s="46">
        <v>0</v>
      </c>
      <c r="F6" s="46" t="s">
        <v>667</v>
      </c>
      <c r="G6" s="46" t="s">
        <v>1305</v>
      </c>
      <c r="H6" s="46" t="s">
        <v>1322</v>
      </c>
      <c r="I6" s="46" t="str">
        <f ca="1">IFERROR(__xludf.DUMMYFUNCTION("CONCAT(A6,REGEXREPLACE(H6,"".*_L0"",""_L0""))"),"PD_BN0009_MTG_snRNAseq_rep1_L002_I1_001.fastq.gz")</f>
        <v>PD_BN0009_MTG_snRNAseq_rep1_L002_I1_001.fastq.gz</v>
      </c>
      <c r="J6" s="46" t="str">
        <f t="shared" si="0"/>
        <v>/data/neurogen/ASAP/scRNAseq/data/batch1_ASAP_snRNA-seq_*/Raw_Data_and_Processing/cellranger_processing/cellranger_fastqs/outs/fastq_path/H*/BN0009_S2_L002_I1_001.fastq.gz</v>
      </c>
      <c r="K6" s="46" t="s">
        <v>1323</v>
      </c>
      <c r="L6" s="46" t="s">
        <v>1324</v>
      </c>
      <c r="M6" s="46" t="s">
        <v>1309</v>
      </c>
      <c r="N6" s="46" t="s">
        <v>1310</v>
      </c>
      <c r="O6" s="46" t="s">
        <v>1311</v>
      </c>
      <c r="P6" s="46" t="s">
        <v>1312</v>
      </c>
      <c r="Q6" s="46" t="s">
        <v>31</v>
      </c>
      <c r="R6" s="46" t="s">
        <v>31</v>
      </c>
      <c r="S6" s="46" t="s">
        <v>31</v>
      </c>
      <c r="T6" s="46" t="s">
        <v>31</v>
      </c>
      <c r="U6" s="46" t="s">
        <v>49</v>
      </c>
    </row>
    <row r="7" spans="1:21">
      <c r="A7" s="46" t="s">
        <v>665</v>
      </c>
      <c r="B7" s="46" t="s">
        <v>52</v>
      </c>
      <c r="C7" s="46" t="s">
        <v>666</v>
      </c>
      <c r="D7" s="46">
        <v>1</v>
      </c>
      <c r="E7" s="46">
        <v>0</v>
      </c>
      <c r="F7" s="46" t="s">
        <v>667</v>
      </c>
      <c r="G7" s="46" t="s">
        <v>1305</v>
      </c>
      <c r="H7" s="46" t="s">
        <v>1325</v>
      </c>
      <c r="I7" s="46" t="str">
        <f ca="1">IFERROR(__xludf.DUMMYFUNCTION("CONCAT(A7,REGEXREPLACE(H7,"".*_L0"",""_L0""))"),"PD_BN0009_MTG_snRNAseq_rep1_L002_I2_001.fastq.gz")</f>
        <v>PD_BN0009_MTG_snRNAseq_rep1_L002_I2_001.fastq.gz</v>
      </c>
      <c r="J7" s="46" t="str">
        <f t="shared" si="0"/>
        <v>/data/neurogen/ASAP/scRNAseq/data/batch1_ASAP_snRNA-seq_*/Raw_Data_and_Processing/cellranger_processing/cellranger_fastqs/outs/fastq_path/H*/BN0009_S2_L002_I2_001.fastq.gz</v>
      </c>
      <c r="K7" s="46" t="s">
        <v>1326</v>
      </c>
      <c r="L7" s="46" t="s">
        <v>1327</v>
      </c>
      <c r="M7" s="46" t="s">
        <v>1309</v>
      </c>
      <c r="N7" s="46" t="s">
        <v>1310</v>
      </c>
      <c r="O7" s="46" t="s">
        <v>1311</v>
      </c>
      <c r="P7" s="46" t="s">
        <v>1312</v>
      </c>
      <c r="Q7" s="46" t="s">
        <v>31</v>
      </c>
      <c r="R7" s="46" t="s">
        <v>31</v>
      </c>
      <c r="S7" s="46" t="s">
        <v>31</v>
      </c>
      <c r="T7" s="46" t="s">
        <v>31</v>
      </c>
      <c r="U7" s="46" t="s">
        <v>49</v>
      </c>
    </row>
    <row r="8" spans="1:21">
      <c r="A8" s="46" t="s">
        <v>665</v>
      </c>
      <c r="B8" s="46" t="s">
        <v>52</v>
      </c>
      <c r="C8" s="46" t="s">
        <v>666</v>
      </c>
      <c r="D8" s="46">
        <v>1</v>
      </c>
      <c r="E8" s="46">
        <v>0</v>
      </c>
      <c r="F8" s="46" t="s">
        <v>667</v>
      </c>
      <c r="G8" s="46" t="s">
        <v>1305</v>
      </c>
      <c r="H8" s="46" t="s">
        <v>1328</v>
      </c>
      <c r="I8" s="46" t="str">
        <f ca="1">IFERROR(__xludf.DUMMYFUNCTION("CONCAT(A8,REGEXREPLACE(H8,"".*_L0"",""_L0""))"),"PD_BN0009_MTG_snRNAseq_rep1_L002_R1_001.fastq.gz")</f>
        <v>PD_BN0009_MTG_snRNAseq_rep1_L002_R1_001.fastq.gz</v>
      </c>
      <c r="J8" s="46" t="str">
        <f t="shared" si="0"/>
        <v>/data/neurogen/ASAP/scRNAseq/data/batch1_ASAP_snRNA-seq_*/Raw_Data_and_Processing/cellranger_processing/cellranger_fastqs/outs/fastq_path/H*/BN0009_S2_L002_R1_001.fastq.gz</v>
      </c>
      <c r="K8" s="46" t="s">
        <v>1329</v>
      </c>
      <c r="L8" s="46" t="s">
        <v>1330</v>
      </c>
      <c r="M8" s="46" t="s">
        <v>1309</v>
      </c>
      <c r="N8" s="46" t="s">
        <v>1310</v>
      </c>
      <c r="O8" s="46" t="s">
        <v>1311</v>
      </c>
      <c r="P8" s="46" t="s">
        <v>1312</v>
      </c>
      <c r="Q8" s="46" t="s">
        <v>31</v>
      </c>
      <c r="R8" s="46" t="s">
        <v>31</v>
      </c>
      <c r="S8" s="46" t="s">
        <v>31</v>
      </c>
      <c r="T8" s="46" t="s">
        <v>31</v>
      </c>
      <c r="U8" s="46" t="s">
        <v>49</v>
      </c>
    </row>
    <row r="9" spans="1:21">
      <c r="A9" s="46" t="s">
        <v>665</v>
      </c>
      <c r="B9" s="46" t="s">
        <v>52</v>
      </c>
      <c r="C9" s="46" t="s">
        <v>666</v>
      </c>
      <c r="D9" s="46">
        <v>1</v>
      </c>
      <c r="E9" s="46">
        <v>0</v>
      </c>
      <c r="F9" s="46" t="s">
        <v>667</v>
      </c>
      <c r="G9" s="46" t="s">
        <v>1305</v>
      </c>
      <c r="H9" s="46" t="s">
        <v>1331</v>
      </c>
      <c r="I9" s="46" t="str">
        <f ca="1">IFERROR(__xludf.DUMMYFUNCTION("CONCAT(A9,REGEXREPLACE(H9,"".*_L0"",""_L0""))"),"PD_BN0009_MTG_snRNAseq_rep1_L002_R2_001.fastq.gz")</f>
        <v>PD_BN0009_MTG_snRNAseq_rep1_L002_R2_001.fastq.gz</v>
      </c>
      <c r="J9" s="46" t="str">
        <f t="shared" si="0"/>
        <v>/data/neurogen/ASAP/scRNAseq/data/batch1_ASAP_snRNA-seq_*/Raw_Data_and_Processing/cellranger_processing/cellranger_fastqs/outs/fastq_path/H*/BN0009_S2_L002_R2_001.fastq.gz</v>
      </c>
      <c r="K9" s="46" t="s">
        <v>1332</v>
      </c>
      <c r="L9" s="46" t="s">
        <v>1333</v>
      </c>
      <c r="M9" s="46" t="s">
        <v>1309</v>
      </c>
      <c r="N9" s="46" t="s">
        <v>1310</v>
      </c>
      <c r="O9" s="46" t="s">
        <v>1311</v>
      </c>
      <c r="P9" s="46" t="s">
        <v>1312</v>
      </c>
      <c r="Q9" s="46" t="s">
        <v>31</v>
      </c>
      <c r="R9" s="46" t="s">
        <v>31</v>
      </c>
      <c r="S9" s="46" t="s">
        <v>31</v>
      </c>
      <c r="T9" s="46" t="s">
        <v>31</v>
      </c>
      <c r="U9" s="46" t="s">
        <v>49</v>
      </c>
    </row>
    <row r="10" spans="1:21">
      <c r="A10" s="46" t="s">
        <v>665</v>
      </c>
      <c r="B10" s="46" t="s">
        <v>52</v>
      </c>
      <c r="C10" s="46" t="s">
        <v>666</v>
      </c>
      <c r="D10" s="46">
        <v>1</v>
      </c>
      <c r="E10" s="46">
        <v>0</v>
      </c>
      <c r="F10" s="46" t="s">
        <v>667</v>
      </c>
      <c r="G10" s="46" t="s">
        <v>1305</v>
      </c>
      <c r="H10" s="46" t="s">
        <v>1334</v>
      </c>
      <c r="I10" s="46" t="str">
        <f ca="1">IFERROR(__xludf.DUMMYFUNCTION("CONCAT(A10,REGEXREPLACE(H10,"".*_L0"",""_L0""))"),"PD_BN0009_MTG_snRNAseq_rep1_L003_I1_001.fastq.gz")</f>
        <v>PD_BN0009_MTG_snRNAseq_rep1_L003_I1_001.fastq.gz</v>
      </c>
      <c r="J10" s="46" t="str">
        <f t="shared" si="0"/>
        <v>/data/neurogen/ASAP/scRNAseq/data/batch1_ASAP_snRNA-seq_*/Raw_Data_and_Processing/cellranger_processing/cellranger_fastqs/outs/fastq_path/H*/BN0009_S2_L003_I1_001.fastq.gz</v>
      </c>
      <c r="K10" s="46" t="s">
        <v>1335</v>
      </c>
      <c r="L10" s="46" t="s">
        <v>1336</v>
      </c>
      <c r="M10" s="46" t="s">
        <v>1309</v>
      </c>
      <c r="N10" s="46" t="s">
        <v>1310</v>
      </c>
      <c r="O10" s="46" t="s">
        <v>1311</v>
      </c>
      <c r="P10" s="46" t="s">
        <v>1312</v>
      </c>
      <c r="Q10" s="46" t="s">
        <v>31</v>
      </c>
      <c r="R10" s="46" t="s">
        <v>31</v>
      </c>
      <c r="S10" s="46" t="s">
        <v>31</v>
      </c>
      <c r="T10" s="46" t="s">
        <v>31</v>
      </c>
      <c r="U10" s="46" t="s">
        <v>49</v>
      </c>
    </row>
    <row r="11" spans="1:21">
      <c r="A11" s="46" t="s">
        <v>665</v>
      </c>
      <c r="B11" s="46" t="s">
        <v>52</v>
      </c>
      <c r="C11" s="46" t="s">
        <v>666</v>
      </c>
      <c r="D11" s="46">
        <v>1</v>
      </c>
      <c r="E11" s="46">
        <v>0</v>
      </c>
      <c r="F11" s="46" t="s">
        <v>667</v>
      </c>
      <c r="G11" s="46" t="s">
        <v>1305</v>
      </c>
      <c r="H11" s="46" t="s">
        <v>1337</v>
      </c>
      <c r="I11" s="46" t="str">
        <f ca="1">IFERROR(__xludf.DUMMYFUNCTION("CONCAT(A11,REGEXREPLACE(H11,"".*_L0"",""_L0""))"),"PD_BN0009_MTG_snRNAseq_rep1_L003_I2_001.fastq.gz")</f>
        <v>PD_BN0009_MTG_snRNAseq_rep1_L003_I2_001.fastq.gz</v>
      </c>
      <c r="J11" s="46" t="str">
        <f t="shared" si="0"/>
        <v>/data/neurogen/ASAP/scRNAseq/data/batch1_ASAP_snRNA-seq_*/Raw_Data_and_Processing/cellranger_processing/cellranger_fastqs/outs/fastq_path/H*/BN0009_S2_L003_I2_001.fastq.gz</v>
      </c>
      <c r="K11" s="46" t="s">
        <v>1338</v>
      </c>
      <c r="L11" s="46" t="s">
        <v>1339</v>
      </c>
      <c r="M11" s="46" t="s">
        <v>1309</v>
      </c>
      <c r="N11" s="46" t="s">
        <v>1310</v>
      </c>
      <c r="O11" s="46" t="s">
        <v>1311</v>
      </c>
      <c r="P11" s="46" t="s">
        <v>1312</v>
      </c>
      <c r="Q11" s="46" t="s">
        <v>31</v>
      </c>
      <c r="R11" s="46" t="s">
        <v>31</v>
      </c>
      <c r="S11" s="46" t="s">
        <v>31</v>
      </c>
      <c r="T11" s="46" t="s">
        <v>31</v>
      </c>
      <c r="U11" s="46" t="s">
        <v>49</v>
      </c>
    </row>
    <row r="12" spans="1:21">
      <c r="A12" s="46" t="s">
        <v>665</v>
      </c>
      <c r="B12" s="46" t="s">
        <v>52</v>
      </c>
      <c r="C12" s="46" t="s">
        <v>666</v>
      </c>
      <c r="D12" s="46">
        <v>1</v>
      </c>
      <c r="E12" s="46">
        <v>0</v>
      </c>
      <c r="F12" s="46" t="s">
        <v>667</v>
      </c>
      <c r="G12" s="46" t="s">
        <v>1305</v>
      </c>
      <c r="H12" s="46" t="s">
        <v>1340</v>
      </c>
      <c r="I12" s="46" t="str">
        <f ca="1">IFERROR(__xludf.DUMMYFUNCTION("CONCAT(A12,REGEXREPLACE(H12,"".*_L0"",""_L0""))"),"PD_BN0009_MTG_snRNAseq_rep1_L003_R1_001.fastq.gz")</f>
        <v>PD_BN0009_MTG_snRNAseq_rep1_L003_R1_001.fastq.gz</v>
      </c>
      <c r="J12" s="46" t="str">
        <f t="shared" si="0"/>
        <v>/data/neurogen/ASAP/scRNAseq/data/batch1_ASAP_snRNA-seq_*/Raw_Data_and_Processing/cellranger_processing/cellranger_fastqs/outs/fastq_path/H*/BN0009_S2_L003_R1_001.fastq.gz</v>
      </c>
      <c r="K12" s="46" t="s">
        <v>1341</v>
      </c>
      <c r="L12" s="46" t="s">
        <v>1342</v>
      </c>
      <c r="M12" s="46" t="s">
        <v>1309</v>
      </c>
      <c r="N12" s="46" t="s">
        <v>1310</v>
      </c>
      <c r="O12" s="46" t="s">
        <v>1311</v>
      </c>
      <c r="P12" s="46" t="s">
        <v>1312</v>
      </c>
      <c r="Q12" s="46" t="s">
        <v>31</v>
      </c>
      <c r="R12" s="46" t="s">
        <v>31</v>
      </c>
      <c r="S12" s="46" t="s">
        <v>31</v>
      </c>
      <c r="T12" s="46" t="s">
        <v>31</v>
      </c>
      <c r="U12" s="46" t="s">
        <v>49</v>
      </c>
    </row>
    <row r="13" spans="1:21">
      <c r="A13" s="46" t="s">
        <v>665</v>
      </c>
      <c r="B13" s="46" t="s">
        <v>52</v>
      </c>
      <c r="C13" s="46" t="s">
        <v>666</v>
      </c>
      <c r="D13" s="46">
        <v>1</v>
      </c>
      <c r="E13" s="46">
        <v>0</v>
      </c>
      <c r="F13" s="46" t="s">
        <v>667</v>
      </c>
      <c r="G13" s="46" t="s">
        <v>1305</v>
      </c>
      <c r="H13" s="46" t="s">
        <v>1343</v>
      </c>
      <c r="I13" s="46" t="str">
        <f ca="1">IFERROR(__xludf.DUMMYFUNCTION("CONCAT(A13,REGEXREPLACE(H13,"".*_L0"",""_L0""))"),"PD_BN0009_MTG_snRNAseq_rep1_L003_R2_001.fastq.gz")</f>
        <v>PD_BN0009_MTG_snRNAseq_rep1_L003_R2_001.fastq.gz</v>
      </c>
      <c r="J13" s="46" t="str">
        <f t="shared" si="0"/>
        <v>/data/neurogen/ASAP/scRNAseq/data/batch1_ASAP_snRNA-seq_*/Raw_Data_and_Processing/cellranger_processing/cellranger_fastqs/outs/fastq_path/H*/BN0009_S2_L003_R2_001.fastq.gz</v>
      </c>
      <c r="K13" s="46" t="s">
        <v>1344</v>
      </c>
      <c r="L13" s="46" t="s">
        <v>1345</v>
      </c>
      <c r="M13" s="46" t="s">
        <v>1309</v>
      </c>
      <c r="N13" s="46" t="s">
        <v>1310</v>
      </c>
      <c r="O13" s="46" t="s">
        <v>1311</v>
      </c>
      <c r="P13" s="46" t="s">
        <v>1312</v>
      </c>
      <c r="Q13" s="46" t="s">
        <v>31</v>
      </c>
      <c r="R13" s="46" t="s">
        <v>31</v>
      </c>
      <c r="S13" s="46" t="s">
        <v>31</v>
      </c>
      <c r="T13" s="46" t="s">
        <v>31</v>
      </c>
      <c r="U13" s="46" t="s">
        <v>49</v>
      </c>
    </row>
    <row r="14" spans="1:21">
      <c r="A14" s="46" t="s">
        <v>665</v>
      </c>
      <c r="B14" s="46" t="s">
        <v>52</v>
      </c>
      <c r="C14" s="46" t="s">
        <v>666</v>
      </c>
      <c r="D14" s="46">
        <v>1</v>
      </c>
      <c r="E14" s="46">
        <v>0</v>
      </c>
      <c r="F14" s="46" t="s">
        <v>667</v>
      </c>
      <c r="G14" s="46" t="s">
        <v>1305</v>
      </c>
      <c r="H14" s="46" t="s">
        <v>1346</v>
      </c>
      <c r="I14" s="46" t="str">
        <f ca="1">IFERROR(__xludf.DUMMYFUNCTION("CONCAT(A14,REGEXREPLACE(H14,"".*_L0"",""_L0""))"),"PD_BN0009_MTG_snRNAseq_rep1_L004_I1_001.fastq.gz")</f>
        <v>PD_BN0009_MTG_snRNAseq_rep1_L004_I1_001.fastq.gz</v>
      </c>
      <c r="J14" s="46" t="str">
        <f t="shared" si="0"/>
        <v>/data/neurogen/ASAP/scRNAseq/data/batch1_ASAP_snRNA-seq_*/Raw_Data_and_Processing/cellranger_processing/cellranger_fastqs/outs/fastq_path/H*/BN0009_S2_L004_I1_001.fastq.gz</v>
      </c>
      <c r="K14" s="46" t="s">
        <v>1347</v>
      </c>
      <c r="L14" s="46" t="s">
        <v>1348</v>
      </c>
      <c r="M14" s="46" t="s">
        <v>1309</v>
      </c>
      <c r="N14" s="46" t="s">
        <v>1310</v>
      </c>
      <c r="O14" s="46" t="s">
        <v>1311</v>
      </c>
      <c r="P14" s="46" t="s">
        <v>1312</v>
      </c>
      <c r="Q14" s="46" t="s">
        <v>31</v>
      </c>
      <c r="R14" s="46" t="s">
        <v>31</v>
      </c>
      <c r="S14" s="46" t="s">
        <v>31</v>
      </c>
      <c r="T14" s="46" t="s">
        <v>31</v>
      </c>
      <c r="U14" s="46" t="s">
        <v>49</v>
      </c>
    </row>
    <row r="15" spans="1:21">
      <c r="A15" s="46" t="s">
        <v>665</v>
      </c>
      <c r="B15" s="46" t="s">
        <v>52</v>
      </c>
      <c r="C15" s="46" t="s">
        <v>666</v>
      </c>
      <c r="D15" s="46">
        <v>1</v>
      </c>
      <c r="E15" s="46">
        <v>0</v>
      </c>
      <c r="F15" s="46" t="s">
        <v>667</v>
      </c>
      <c r="G15" s="46" t="s">
        <v>1305</v>
      </c>
      <c r="H15" s="46" t="s">
        <v>1349</v>
      </c>
      <c r="I15" s="46" t="str">
        <f ca="1">IFERROR(__xludf.DUMMYFUNCTION("CONCAT(A15,REGEXREPLACE(H15,"".*_L0"",""_L0""))"),"PD_BN0009_MTG_snRNAseq_rep1_L004_I2_001.fastq.gz")</f>
        <v>PD_BN0009_MTG_snRNAseq_rep1_L004_I2_001.fastq.gz</v>
      </c>
      <c r="J15" s="46" t="str">
        <f t="shared" si="0"/>
        <v>/data/neurogen/ASAP/scRNAseq/data/batch1_ASAP_snRNA-seq_*/Raw_Data_and_Processing/cellranger_processing/cellranger_fastqs/outs/fastq_path/H*/BN0009_S2_L004_I2_001.fastq.gz</v>
      </c>
      <c r="K15" s="46" t="s">
        <v>1350</v>
      </c>
      <c r="L15" s="46" t="s">
        <v>1351</v>
      </c>
      <c r="M15" s="46" t="s">
        <v>1309</v>
      </c>
      <c r="N15" s="46" t="s">
        <v>1310</v>
      </c>
      <c r="O15" s="46" t="s">
        <v>1311</v>
      </c>
      <c r="P15" s="46" t="s">
        <v>1312</v>
      </c>
      <c r="Q15" s="46" t="s">
        <v>31</v>
      </c>
      <c r="R15" s="46" t="s">
        <v>31</v>
      </c>
      <c r="S15" s="46" t="s">
        <v>31</v>
      </c>
      <c r="T15" s="46" t="s">
        <v>31</v>
      </c>
      <c r="U15" s="46" t="s">
        <v>49</v>
      </c>
    </row>
    <row r="16" spans="1:21">
      <c r="A16" s="46" t="s">
        <v>665</v>
      </c>
      <c r="B16" s="46" t="s">
        <v>52</v>
      </c>
      <c r="C16" s="46" t="s">
        <v>666</v>
      </c>
      <c r="D16" s="46">
        <v>1</v>
      </c>
      <c r="E16" s="46">
        <v>0</v>
      </c>
      <c r="F16" s="46" t="s">
        <v>667</v>
      </c>
      <c r="G16" s="46" t="s">
        <v>1305</v>
      </c>
      <c r="H16" s="46" t="s">
        <v>1352</v>
      </c>
      <c r="I16" s="46" t="str">
        <f ca="1">IFERROR(__xludf.DUMMYFUNCTION("CONCAT(A16,REGEXREPLACE(H16,"".*_L0"",""_L0""))"),"PD_BN0009_MTG_snRNAseq_rep1_L004_R1_001.fastq.gz")</f>
        <v>PD_BN0009_MTG_snRNAseq_rep1_L004_R1_001.fastq.gz</v>
      </c>
      <c r="J16" s="46" t="str">
        <f t="shared" si="0"/>
        <v>/data/neurogen/ASAP/scRNAseq/data/batch1_ASAP_snRNA-seq_*/Raw_Data_and_Processing/cellranger_processing/cellranger_fastqs/outs/fastq_path/H*/BN0009_S2_L004_R1_001.fastq.gz</v>
      </c>
      <c r="K16" s="46" t="s">
        <v>1353</v>
      </c>
      <c r="L16" s="46" t="s">
        <v>1354</v>
      </c>
      <c r="M16" s="46" t="s">
        <v>1309</v>
      </c>
      <c r="N16" s="46" t="s">
        <v>1310</v>
      </c>
      <c r="O16" s="46" t="s">
        <v>1311</v>
      </c>
      <c r="P16" s="46" t="s">
        <v>1312</v>
      </c>
      <c r="Q16" s="46" t="s">
        <v>31</v>
      </c>
      <c r="R16" s="46" t="s">
        <v>31</v>
      </c>
      <c r="S16" s="46" t="s">
        <v>31</v>
      </c>
      <c r="T16" s="46" t="s">
        <v>31</v>
      </c>
      <c r="U16" s="46" t="s">
        <v>49</v>
      </c>
    </row>
    <row r="17" spans="1:21">
      <c r="A17" s="46" t="s">
        <v>665</v>
      </c>
      <c r="B17" s="46" t="s">
        <v>52</v>
      </c>
      <c r="C17" s="46" t="s">
        <v>666</v>
      </c>
      <c r="D17" s="46">
        <v>1</v>
      </c>
      <c r="E17" s="46">
        <v>0</v>
      </c>
      <c r="F17" s="46" t="s">
        <v>667</v>
      </c>
      <c r="G17" s="46" t="s">
        <v>1305</v>
      </c>
      <c r="H17" s="46" t="s">
        <v>1355</v>
      </c>
      <c r="I17" s="46" t="str">
        <f ca="1">IFERROR(__xludf.DUMMYFUNCTION("CONCAT(A17,REGEXREPLACE(H17,"".*_L0"",""_L0""))"),"PD_BN0009_MTG_snRNAseq_rep1_L004_R2_001.fastq.gz")</f>
        <v>PD_BN0009_MTG_snRNAseq_rep1_L004_R2_001.fastq.gz</v>
      </c>
      <c r="J17" s="46" t="str">
        <f t="shared" si="0"/>
        <v>/data/neurogen/ASAP/scRNAseq/data/batch1_ASAP_snRNA-seq_*/Raw_Data_and_Processing/cellranger_processing/cellranger_fastqs/outs/fastq_path/H*/BN0009_S2_L004_R2_001.fastq.gz</v>
      </c>
      <c r="K17" s="46" t="s">
        <v>1356</v>
      </c>
      <c r="L17" s="46" t="s">
        <v>1357</v>
      </c>
      <c r="M17" s="46" t="s">
        <v>1309</v>
      </c>
      <c r="N17" s="46" t="s">
        <v>1310</v>
      </c>
      <c r="O17" s="46" t="s">
        <v>1311</v>
      </c>
      <c r="P17" s="46" t="s">
        <v>1312</v>
      </c>
      <c r="Q17" s="46" t="s">
        <v>31</v>
      </c>
      <c r="R17" s="46" t="s">
        <v>31</v>
      </c>
      <c r="S17" s="46" t="s">
        <v>31</v>
      </c>
      <c r="T17" s="46" t="s">
        <v>31</v>
      </c>
      <c r="U17" s="46" t="s">
        <v>49</v>
      </c>
    </row>
    <row r="18" spans="1:21">
      <c r="A18" s="46" t="s">
        <v>680</v>
      </c>
      <c r="B18" s="46" t="s">
        <v>66</v>
      </c>
      <c r="C18" s="46" t="s">
        <v>666</v>
      </c>
      <c r="D18" s="46">
        <v>1</v>
      </c>
      <c r="E18" s="46">
        <v>0</v>
      </c>
      <c r="F18" s="46" t="s">
        <v>667</v>
      </c>
      <c r="G18" s="46" t="s">
        <v>1305</v>
      </c>
      <c r="H18" s="46" t="s">
        <v>1358</v>
      </c>
      <c r="I18" s="46" t="str">
        <f ca="1">IFERROR(__xludf.DUMMYFUNCTION("CONCAT(A18,REGEXREPLACE(H18,"".*_L0"",""_L0""))"),"HC_BN0339_MTG_snRNAseq_rep1_L001_I1_001.fastq.gz")</f>
        <v>HC_BN0339_MTG_snRNAseq_rep1_L001_I1_001.fastq.gz</v>
      </c>
      <c r="J18" s="46" t="str">
        <f t="shared" si="0"/>
        <v>/data/neurogen/ASAP/scRNAseq/data/batch1_ASAP_snRNA-seq_*/Raw_Data_and_Processing/cellranger_processing/cellranger_fastqs/outs/fastq_path/H*/BN0339_S1_L001_I1_001.fastq.gz</v>
      </c>
      <c r="K18" s="46" t="s">
        <v>1307</v>
      </c>
      <c r="L18" s="46" t="s">
        <v>1359</v>
      </c>
      <c r="M18" s="46" t="s">
        <v>1309</v>
      </c>
      <c r="N18" s="46" t="s">
        <v>1310</v>
      </c>
      <c r="O18" s="46" t="s">
        <v>1311</v>
      </c>
      <c r="P18" s="46" t="s">
        <v>1312</v>
      </c>
      <c r="Q18" s="46" t="s">
        <v>31</v>
      </c>
      <c r="R18" s="46" t="s">
        <v>31</v>
      </c>
      <c r="S18" s="46" t="s">
        <v>31</v>
      </c>
      <c r="T18" s="46" t="s">
        <v>31</v>
      </c>
      <c r="U18" s="46" t="s">
        <v>49</v>
      </c>
    </row>
    <row r="19" spans="1:21">
      <c r="A19" s="46" t="s">
        <v>680</v>
      </c>
      <c r="B19" s="46" t="s">
        <v>66</v>
      </c>
      <c r="C19" s="46" t="s">
        <v>666</v>
      </c>
      <c r="D19" s="46">
        <v>1</v>
      </c>
      <c r="E19" s="46">
        <v>0</v>
      </c>
      <c r="F19" s="46" t="s">
        <v>667</v>
      </c>
      <c r="G19" s="46" t="s">
        <v>1305</v>
      </c>
      <c r="H19" s="46" t="s">
        <v>1360</v>
      </c>
      <c r="I19" s="46" t="str">
        <f ca="1">IFERROR(__xludf.DUMMYFUNCTION("CONCAT(A19,REGEXREPLACE(H19,"".*_L0"",""_L0""))"),"HC_BN0339_MTG_snRNAseq_rep1_L001_I2_001.fastq.gz")</f>
        <v>HC_BN0339_MTG_snRNAseq_rep1_L001_I2_001.fastq.gz</v>
      </c>
      <c r="J19" s="46" t="str">
        <f t="shared" si="0"/>
        <v>/data/neurogen/ASAP/scRNAseq/data/batch1_ASAP_snRNA-seq_*/Raw_Data_and_Processing/cellranger_processing/cellranger_fastqs/outs/fastq_path/H*/BN0339_S1_L001_I2_001.fastq.gz</v>
      </c>
      <c r="K19" s="46" t="s">
        <v>1314</v>
      </c>
      <c r="L19" s="46" t="s">
        <v>1361</v>
      </c>
      <c r="M19" s="46" t="s">
        <v>1309</v>
      </c>
      <c r="N19" s="46" t="s">
        <v>1310</v>
      </c>
      <c r="O19" s="46" t="s">
        <v>1311</v>
      </c>
      <c r="P19" s="46" t="s">
        <v>1312</v>
      </c>
      <c r="Q19" s="46" t="s">
        <v>31</v>
      </c>
      <c r="R19" s="46" t="s">
        <v>31</v>
      </c>
      <c r="S19" s="46" t="s">
        <v>31</v>
      </c>
      <c r="T19" s="46" t="s">
        <v>31</v>
      </c>
      <c r="U19" s="46" t="s">
        <v>49</v>
      </c>
    </row>
    <row r="20" spans="1:21">
      <c r="A20" s="46" t="s">
        <v>680</v>
      </c>
      <c r="B20" s="46" t="s">
        <v>66</v>
      </c>
      <c r="C20" s="46" t="s">
        <v>666</v>
      </c>
      <c r="D20" s="46">
        <v>1</v>
      </c>
      <c r="E20" s="46">
        <v>0</v>
      </c>
      <c r="F20" s="46" t="s">
        <v>667</v>
      </c>
      <c r="G20" s="46" t="s">
        <v>1305</v>
      </c>
      <c r="H20" s="46" t="s">
        <v>1362</v>
      </c>
      <c r="I20" s="46" t="str">
        <f ca="1">IFERROR(__xludf.DUMMYFUNCTION("CONCAT(A20,REGEXREPLACE(H20,"".*_L0"",""_L0""))"),"HC_BN0339_MTG_snRNAseq_rep1_L001_R1_001.fastq.gz")</f>
        <v>HC_BN0339_MTG_snRNAseq_rep1_L001_R1_001.fastq.gz</v>
      </c>
      <c r="J20" s="46" t="str">
        <f t="shared" si="0"/>
        <v>/data/neurogen/ASAP/scRNAseq/data/batch1_ASAP_snRNA-seq_*/Raw_Data_and_Processing/cellranger_processing/cellranger_fastqs/outs/fastq_path/H*/BN0339_S1_L001_R1_001.fastq.gz</v>
      </c>
      <c r="K20" s="46" t="s">
        <v>1317</v>
      </c>
      <c r="L20" s="46" t="s">
        <v>1363</v>
      </c>
      <c r="M20" s="46" t="s">
        <v>1309</v>
      </c>
      <c r="N20" s="46" t="s">
        <v>1310</v>
      </c>
      <c r="O20" s="46" t="s">
        <v>1311</v>
      </c>
      <c r="P20" s="46" t="s">
        <v>1312</v>
      </c>
      <c r="Q20" s="46" t="s">
        <v>31</v>
      </c>
      <c r="R20" s="46" t="s">
        <v>31</v>
      </c>
      <c r="S20" s="46" t="s">
        <v>31</v>
      </c>
      <c r="T20" s="46" t="s">
        <v>31</v>
      </c>
      <c r="U20" s="46" t="s">
        <v>49</v>
      </c>
    </row>
    <row r="21" spans="1:21">
      <c r="A21" s="46" t="s">
        <v>680</v>
      </c>
      <c r="B21" s="46" t="s">
        <v>66</v>
      </c>
      <c r="C21" s="46" t="s">
        <v>666</v>
      </c>
      <c r="D21" s="46">
        <v>1</v>
      </c>
      <c r="E21" s="46">
        <v>0</v>
      </c>
      <c r="F21" s="46" t="s">
        <v>667</v>
      </c>
      <c r="G21" s="46" t="s">
        <v>1305</v>
      </c>
      <c r="H21" s="46" t="s">
        <v>1364</v>
      </c>
      <c r="I21" s="46" t="str">
        <f ca="1">IFERROR(__xludf.DUMMYFUNCTION("CONCAT(A21,REGEXREPLACE(H21,"".*_L0"",""_L0""))"),"HC_BN0339_MTG_snRNAseq_rep1_L001_R2_001.fastq.gz")</f>
        <v>HC_BN0339_MTG_snRNAseq_rep1_L001_R2_001.fastq.gz</v>
      </c>
      <c r="J21" s="46" t="str">
        <f t="shared" si="0"/>
        <v>/data/neurogen/ASAP/scRNAseq/data/batch1_ASAP_snRNA-seq_*/Raw_Data_and_Processing/cellranger_processing/cellranger_fastqs/outs/fastq_path/H*/BN0339_S1_L001_R2_001.fastq.gz</v>
      </c>
      <c r="K21" s="46" t="s">
        <v>1320</v>
      </c>
      <c r="L21" s="46" t="s">
        <v>1365</v>
      </c>
      <c r="M21" s="46" t="s">
        <v>1309</v>
      </c>
      <c r="N21" s="46" t="s">
        <v>1310</v>
      </c>
      <c r="O21" s="46" t="s">
        <v>1311</v>
      </c>
      <c r="P21" s="46" t="s">
        <v>1312</v>
      </c>
      <c r="Q21" s="46" t="s">
        <v>31</v>
      </c>
      <c r="R21" s="46" t="s">
        <v>31</v>
      </c>
      <c r="S21" s="46" t="s">
        <v>31</v>
      </c>
      <c r="T21" s="46" t="s">
        <v>31</v>
      </c>
      <c r="U21" s="46" t="s">
        <v>49</v>
      </c>
    </row>
    <row r="22" spans="1:21">
      <c r="A22" s="46" t="s">
        <v>680</v>
      </c>
      <c r="B22" s="46" t="s">
        <v>66</v>
      </c>
      <c r="C22" s="46" t="s">
        <v>666</v>
      </c>
      <c r="D22" s="46">
        <v>1</v>
      </c>
      <c r="E22" s="46">
        <v>0</v>
      </c>
      <c r="F22" s="46" t="s">
        <v>667</v>
      </c>
      <c r="G22" s="46" t="s">
        <v>1305</v>
      </c>
      <c r="H22" s="46" t="s">
        <v>1366</v>
      </c>
      <c r="I22" s="46" t="str">
        <f ca="1">IFERROR(__xludf.DUMMYFUNCTION("CONCAT(A22,REGEXREPLACE(H22,"".*_L0"",""_L0""))"),"HC_BN0339_MTG_snRNAseq_rep1_L002_I1_001.fastq.gz")</f>
        <v>HC_BN0339_MTG_snRNAseq_rep1_L002_I1_001.fastq.gz</v>
      </c>
      <c r="J22" s="46" t="str">
        <f t="shared" si="0"/>
        <v>/data/neurogen/ASAP/scRNAseq/data/batch1_ASAP_snRNA-seq_*/Raw_Data_and_Processing/cellranger_processing/cellranger_fastqs/outs/fastq_path/H*/BN0339_S1_L002_I1_001.fastq.gz</v>
      </c>
      <c r="K22" s="46" t="s">
        <v>1323</v>
      </c>
      <c r="L22" s="46" t="s">
        <v>1367</v>
      </c>
      <c r="M22" s="46" t="s">
        <v>1309</v>
      </c>
      <c r="N22" s="46" t="s">
        <v>1310</v>
      </c>
      <c r="O22" s="46" t="s">
        <v>1311</v>
      </c>
      <c r="P22" s="46" t="s">
        <v>1312</v>
      </c>
      <c r="Q22" s="46" t="s">
        <v>31</v>
      </c>
      <c r="R22" s="46" t="s">
        <v>31</v>
      </c>
      <c r="S22" s="46" t="s">
        <v>31</v>
      </c>
      <c r="T22" s="46" t="s">
        <v>31</v>
      </c>
      <c r="U22" s="46" t="s">
        <v>49</v>
      </c>
    </row>
    <row r="23" spans="1:21">
      <c r="A23" s="46" t="s">
        <v>680</v>
      </c>
      <c r="B23" s="46" t="s">
        <v>66</v>
      </c>
      <c r="C23" s="46" t="s">
        <v>666</v>
      </c>
      <c r="D23" s="46">
        <v>1</v>
      </c>
      <c r="E23" s="46">
        <v>0</v>
      </c>
      <c r="F23" s="46" t="s">
        <v>667</v>
      </c>
      <c r="G23" s="46" t="s">
        <v>1305</v>
      </c>
      <c r="H23" s="46" t="s">
        <v>1368</v>
      </c>
      <c r="I23" s="46" t="str">
        <f ca="1">IFERROR(__xludf.DUMMYFUNCTION("CONCAT(A23,REGEXREPLACE(H23,"".*_L0"",""_L0""))"),"HC_BN0339_MTG_snRNAseq_rep1_L002_I2_001.fastq.gz")</f>
        <v>HC_BN0339_MTG_snRNAseq_rep1_L002_I2_001.fastq.gz</v>
      </c>
      <c r="J23" s="46" t="str">
        <f t="shared" si="0"/>
        <v>/data/neurogen/ASAP/scRNAseq/data/batch1_ASAP_snRNA-seq_*/Raw_Data_and_Processing/cellranger_processing/cellranger_fastqs/outs/fastq_path/H*/BN0339_S1_L002_I2_001.fastq.gz</v>
      </c>
      <c r="K23" s="46" t="s">
        <v>1326</v>
      </c>
      <c r="L23" s="46" t="s">
        <v>1369</v>
      </c>
      <c r="M23" s="46" t="s">
        <v>1309</v>
      </c>
      <c r="N23" s="46" t="s">
        <v>1310</v>
      </c>
      <c r="O23" s="46" t="s">
        <v>1311</v>
      </c>
      <c r="P23" s="46" t="s">
        <v>1312</v>
      </c>
      <c r="Q23" s="46" t="s">
        <v>31</v>
      </c>
      <c r="R23" s="46" t="s">
        <v>31</v>
      </c>
      <c r="S23" s="46" t="s">
        <v>31</v>
      </c>
      <c r="T23" s="46" t="s">
        <v>31</v>
      </c>
      <c r="U23" s="46" t="s">
        <v>49</v>
      </c>
    </row>
    <row r="24" spans="1:21">
      <c r="A24" s="46" t="s">
        <v>680</v>
      </c>
      <c r="B24" s="46" t="s">
        <v>66</v>
      </c>
      <c r="C24" s="46" t="s">
        <v>666</v>
      </c>
      <c r="D24" s="46">
        <v>1</v>
      </c>
      <c r="E24" s="46">
        <v>0</v>
      </c>
      <c r="F24" s="46" t="s">
        <v>667</v>
      </c>
      <c r="G24" s="46" t="s">
        <v>1305</v>
      </c>
      <c r="H24" s="46" t="s">
        <v>1370</v>
      </c>
      <c r="I24" s="46" t="str">
        <f ca="1">IFERROR(__xludf.DUMMYFUNCTION("CONCAT(A24,REGEXREPLACE(H24,"".*_L0"",""_L0""))"),"HC_BN0339_MTG_snRNAseq_rep1_L002_R1_001.fastq.gz")</f>
        <v>HC_BN0339_MTG_snRNAseq_rep1_L002_R1_001.fastq.gz</v>
      </c>
      <c r="J24" s="46" t="str">
        <f t="shared" si="0"/>
        <v>/data/neurogen/ASAP/scRNAseq/data/batch1_ASAP_snRNA-seq_*/Raw_Data_and_Processing/cellranger_processing/cellranger_fastqs/outs/fastq_path/H*/BN0339_S1_L002_R1_001.fastq.gz</v>
      </c>
      <c r="K24" s="46" t="s">
        <v>1329</v>
      </c>
      <c r="L24" s="46" t="s">
        <v>1371</v>
      </c>
      <c r="M24" s="46" t="s">
        <v>1309</v>
      </c>
      <c r="N24" s="46" t="s">
        <v>1310</v>
      </c>
      <c r="O24" s="46" t="s">
        <v>1311</v>
      </c>
      <c r="P24" s="46" t="s">
        <v>1312</v>
      </c>
      <c r="Q24" s="46" t="s">
        <v>31</v>
      </c>
      <c r="R24" s="46" t="s">
        <v>31</v>
      </c>
      <c r="S24" s="46" t="s">
        <v>31</v>
      </c>
      <c r="T24" s="46" t="s">
        <v>31</v>
      </c>
      <c r="U24" s="46" t="s">
        <v>49</v>
      </c>
    </row>
    <row r="25" spans="1:21">
      <c r="A25" s="46" t="s">
        <v>680</v>
      </c>
      <c r="B25" s="46" t="s">
        <v>66</v>
      </c>
      <c r="C25" s="46" t="s">
        <v>666</v>
      </c>
      <c r="D25" s="46">
        <v>1</v>
      </c>
      <c r="E25" s="46">
        <v>0</v>
      </c>
      <c r="F25" s="46" t="s">
        <v>667</v>
      </c>
      <c r="G25" s="46" t="s">
        <v>1305</v>
      </c>
      <c r="H25" s="46" t="s">
        <v>1372</v>
      </c>
      <c r="I25" s="46" t="str">
        <f ca="1">IFERROR(__xludf.DUMMYFUNCTION("CONCAT(A25,REGEXREPLACE(H25,"".*_L0"",""_L0""))"),"HC_BN0339_MTG_snRNAseq_rep1_L002_R2_001.fastq.gz")</f>
        <v>HC_BN0339_MTG_snRNAseq_rep1_L002_R2_001.fastq.gz</v>
      </c>
      <c r="J25" s="46" t="str">
        <f t="shared" si="0"/>
        <v>/data/neurogen/ASAP/scRNAseq/data/batch1_ASAP_snRNA-seq_*/Raw_Data_and_Processing/cellranger_processing/cellranger_fastqs/outs/fastq_path/H*/BN0339_S1_L002_R2_001.fastq.gz</v>
      </c>
      <c r="K25" s="46" t="s">
        <v>1332</v>
      </c>
      <c r="L25" s="46" t="s">
        <v>1373</v>
      </c>
      <c r="M25" s="46" t="s">
        <v>1309</v>
      </c>
      <c r="N25" s="46" t="s">
        <v>1310</v>
      </c>
      <c r="O25" s="46" t="s">
        <v>1311</v>
      </c>
      <c r="P25" s="46" t="s">
        <v>1312</v>
      </c>
      <c r="Q25" s="46" t="s">
        <v>31</v>
      </c>
      <c r="R25" s="46" t="s">
        <v>31</v>
      </c>
      <c r="S25" s="46" t="s">
        <v>31</v>
      </c>
      <c r="T25" s="46" t="s">
        <v>31</v>
      </c>
      <c r="U25" s="46" t="s">
        <v>49</v>
      </c>
    </row>
    <row r="26" spans="1:21">
      <c r="A26" s="46" t="s">
        <v>680</v>
      </c>
      <c r="B26" s="46" t="s">
        <v>66</v>
      </c>
      <c r="C26" s="46" t="s">
        <v>666</v>
      </c>
      <c r="D26" s="46">
        <v>1</v>
      </c>
      <c r="E26" s="46">
        <v>0</v>
      </c>
      <c r="F26" s="46" t="s">
        <v>667</v>
      </c>
      <c r="G26" s="46" t="s">
        <v>1305</v>
      </c>
      <c r="H26" s="46" t="s">
        <v>1374</v>
      </c>
      <c r="I26" s="46" t="str">
        <f ca="1">IFERROR(__xludf.DUMMYFUNCTION("CONCAT(A26,REGEXREPLACE(H26,"".*_L0"",""_L0""))"),"HC_BN0339_MTG_snRNAseq_rep1_L003_I1_001.fastq.gz")</f>
        <v>HC_BN0339_MTG_snRNAseq_rep1_L003_I1_001.fastq.gz</v>
      </c>
      <c r="J26" s="46" t="str">
        <f t="shared" si="0"/>
        <v>/data/neurogen/ASAP/scRNAseq/data/batch1_ASAP_snRNA-seq_*/Raw_Data_and_Processing/cellranger_processing/cellranger_fastqs/outs/fastq_path/H*/BN0339_S1_L003_I1_001.fastq.gz</v>
      </c>
      <c r="K26" s="46" t="s">
        <v>1335</v>
      </c>
      <c r="L26" s="46" t="s">
        <v>1375</v>
      </c>
      <c r="M26" s="46" t="s">
        <v>1309</v>
      </c>
      <c r="N26" s="46" t="s">
        <v>1310</v>
      </c>
      <c r="O26" s="46" t="s">
        <v>1311</v>
      </c>
      <c r="P26" s="46" t="s">
        <v>1312</v>
      </c>
      <c r="Q26" s="46" t="s">
        <v>31</v>
      </c>
      <c r="R26" s="46" t="s">
        <v>31</v>
      </c>
      <c r="S26" s="46" t="s">
        <v>31</v>
      </c>
      <c r="T26" s="46" t="s">
        <v>31</v>
      </c>
      <c r="U26" s="46" t="s">
        <v>49</v>
      </c>
    </row>
    <row r="27" spans="1:21">
      <c r="A27" s="46" t="s">
        <v>680</v>
      </c>
      <c r="B27" s="46" t="s">
        <v>66</v>
      </c>
      <c r="C27" s="46" t="s">
        <v>666</v>
      </c>
      <c r="D27" s="46">
        <v>1</v>
      </c>
      <c r="E27" s="46">
        <v>0</v>
      </c>
      <c r="F27" s="46" t="s">
        <v>667</v>
      </c>
      <c r="G27" s="46" t="s">
        <v>1305</v>
      </c>
      <c r="H27" s="46" t="s">
        <v>1376</v>
      </c>
      <c r="I27" s="46" t="str">
        <f ca="1">IFERROR(__xludf.DUMMYFUNCTION("CONCAT(A27,REGEXREPLACE(H27,"".*_L0"",""_L0""))"),"HC_BN0339_MTG_snRNAseq_rep1_L003_I2_001.fastq.gz")</f>
        <v>HC_BN0339_MTG_snRNAseq_rep1_L003_I2_001.fastq.gz</v>
      </c>
      <c r="J27" s="46" t="str">
        <f t="shared" si="0"/>
        <v>/data/neurogen/ASAP/scRNAseq/data/batch1_ASAP_snRNA-seq_*/Raw_Data_and_Processing/cellranger_processing/cellranger_fastqs/outs/fastq_path/H*/BN0339_S1_L003_I2_001.fastq.gz</v>
      </c>
      <c r="K27" s="46" t="s">
        <v>1338</v>
      </c>
      <c r="L27" s="46" t="s">
        <v>1377</v>
      </c>
      <c r="M27" s="46" t="s">
        <v>1309</v>
      </c>
      <c r="N27" s="46" t="s">
        <v>1310</v>
      </c>
      <c r="O27" s="46" t="s">
        <v>1311</v>
      </c>
      <c r="P27" s="46" t="s">
        <v>1312</v>
      </c>
      <c r="Q27" s="46" t="s">
        <v>31</v>
      </c>
      <c r="R27" s="46" t="s">
        <v>31</v>
      </c>
      <c r="S27" s="46" t="s">
        <v>31</v>
      </c>
      <c r="T27" s="46" t="s">
        <v>31</v>
      </c>
      <c r="U27" s="46" t="s">
        <v>49</v>
      </c>
    </row>
    <row r="28" spans="1:21">
      <c r="A28" s="46" t="s">
        <v>680</v>
      </c>
      <c r="B28" s="46" t="s">
        <v>66</v>
      </c>
      <c r="C28" s="46" t="s">
        <v>666</v>
      </c>
      <c r="D28" s="46">
        <v>1</v>
      </c>
      <c r="E28" s="46">
        <v>0</v>
      </c>
      <c r="F28" s="46" t="s">
        <v>667</v>
      </c>
      <c r="G28" s="46" t="s">
        <v>1305</v>
      </c>
      <c r="H28" s="46" t="s">
        <v>1378</v>
      </c>
      <c r="I28" s="46" t="str">
        <f ca="1">IFERROR(__xludf.DUMMYFUNCTION("CONCAT(A28,REGEXREPLACE(H28,"".*_L0"",""_L0""))"),"HC_BN0339_MTG_snRNAseq_rep1_L003_R1_001.fastq.gz")</f>
        <v>HC_BN0339_MTG_snRNAseq_rep1_L003_R1_001.fastq.gz</v>
      </c>
      <c r="J28" s="46" t="str">
        <f t="shared" si="0"/>
        <v>/data/neurogen/ASAP/scRNAseq/data/batch1_ASAP_snRNA-seq_*/Raw_Data_and_Processing/cellranger_processing/cellranger_fastqs/outs/fastq_path/H*/BN0339_S1_L003_R1_001.fastq.gz</v>
      </c>
      <c r="K28" s="46" t="s">
        <v>1341</v>
      </c>
      <c r="L28" s="46" t="s">
        <v>1379</v>
      </c>
      <c r="M28" s="46" t="s">
        <v>1309</v>
      </c>
      <c r="N28" s="46" t="s">
        <v>1310</v>
      </c>
      <c r="O28" s="46" t="s">
        <v>1311</v>
      </c>
      <c r="P28" s="46" t="s">
        <v>1312</v>
      </c>
      <c r="Q28" s="46" t="s">
        <v>31</v>
      </c>
      <c r="R28" s="46" t="s">
        <v>31</v>
      </c>
      <c r="S28" s="46" t="s">
        <v>31</v>
      </c>
      <c r="T28" s="46" t="s">
        <v>31</v>
      </c>
      <c r="U28" s="46" t="s">
        <v>49</v>
      </c>
    </row>
    <row r="29" spans="1:21">
      <c r="A29" s="46" t="s">
        <v>680</v>
      </c>
      <c r="B29" s="46" t="s">
        <v>66</v>
      </c>
      <c r="C29" s="46" t="s">
        <v>666</v>
      </c>
      <c r="D29" s="46">
        <v>1</v>
      </c>
      <c r="E29" s="46">
        <v>0</v>
      </c>
      <c r="F29" s="46" t="s">
        <v>667</v>
      </c>
      <c r="G29" s="46" t="s">
        <v>1305</v>
      </c>
      <c r="H29" s="46" t="s">
        <v>1380</v>
      </c>
      <c r="I29" s="46" t="str">
        <f ca="1">IFERROR(__xludf.DUMMYFUNCTION("CONCAT(A29,REGEXREPLACE(H29,"".*_L0"",""_L0""))"),"HC_BN0339_MTG_snRNAseq_rep1_L003_R2_001.fastq.gz")</f>
        <v>HC_BN0339_MTG_snRNAseq_rep1_L003_R2_001.fastq.gz</v>
      </c>
      <c r="J29" s="46" t="str">
        <f t="shared" si="0"/>
        <v>/data/neurogen/ASAP/scRNAseq/data/batch1_ASAP_snRNA-seq_*/Raw_Data_and_Processing/cellranger_processing/cellranger_fastqs/outs/fastq_path/H*/BN0339_S1_L003_R2_001.fastq.gz</v>
      </c>
      <c r="K29" s="46" t="s">
        <v>1344</v>
      </c>
      <c r="L29" s="46" t="s">
        <v>1381</v>
      </c>
      <c r="M29" s="46" t="s">
        <v>1309</v>
      </c>
      <c r="N29" s="46" t="s">
        <v>1310</v>
      </c>
      <c r="O29" s="46" t="s">
        <v>1311</v>
      </c>
      <c r="P29" s="46" t="s">
        <v>1312</v>
      </c>
      <c r="Q29" s="46" t="s">
        <v>31</v>
      </c>
      <c r="R29" s="46" t="s">
        <v>31</v>
      </c>
      <c r="S29" s="46" t="s">
        <v>31</v>
      </c>
      <c r="T29" s="46" t="s">
        <v>31</v>
      </c>
      <c r="U29" s="46" t="s">
        <v>49</v>
      </c>
    </row>
    <row r="30" spans="1:21">
      <c r="A30" s="46" t="s">
        <v>680</v>
      </c>
      <c r="B30" s="46" t="s">
        <v>66</v>
      </c>
      <c r="C30" s="46" t="s">
        <v>666</v>
      </c>
      <c r="D30" s="46">
        <v>1</v>
      </c>
      <c r="E30" s="46">
        <v>0</v>
      </c>
      <c r="F30" s="46" t="s">
        <v>667</v>
      </c>
      <c r="G30" s="46" t="s">
        <v>1305</v>
      </c>
      <c r="H30" s="46" t="s">
        <v>1382</v>
      </c>
      <c r="I30" s="46" t="str">
        <f ca="1">IFERROR(__xludf.DUMMYFUNCTION("CONCAT(A30,REGEXREPLACE(H30,"".*_L0"",""_L0""))"),"HC_BN0339_MTG_snRNAseq_rep1_L004_I1_001.fastq.gz")</f>
        <v>HC_BN0339_MTG_snRNAseq_rep1_L004_I1_001.fastq.gz</v>
      </c>
      <c r="J30" s="46" t="str">
        <f t="shared" si="0"/>
        <v>/data/neurogen/ASAP/scRNAseq/data/batch1_ASAP_snRNA-seq_*/Raw_Data_and_Processing/cellranger_processing/cellranger_fastqs/outs/fastq_path/H*/BN0339_S1_L004_I1_001.fastq.gz</v>
      </c>
      <c r="K30" s="46" t="s">
        <v>1347</v>
      </c>
      <c r="L30" s="46" t="s">
        <v>1383</v>
      </c>
      <c r="M30" s="46" t="s">
        <v>1309</v>
      </c>
      <c r="N30" s="46" t="s">
        <v>1310</v>
      </c>
      <c r="O30" s="46" t="s">
        <v>1311</v>
      </c>
      <c r="P30" s="46" t="s">
        <v>1312</v>
      </c>
      <c r="Q30" s="46" t="s">
        <v>31</v>
      </c>
      <c r="R30" s="46" t="s">
        <v>31</v>
      </c>
      <c r="S30" s="46" t="s">
        <v>31</v>
      </c>
      <c r="T30" s="46" t="s">
        <v>31</v>
      </c>
      <c r="U30" s="46" t="s">
        <v>49</v>
      </c>
    </row>
    <row r="31" spans="1:21">
      <c r="A31" s="46" t="s">
        <v>680</v>
      </c>
      <c r="B31" s="46" t="s">
        <v>66</v>
      </c>
      <c r="C31" s="46" t="s">
        <v>666</v>
      </c>
      <c r="D31" s="46">
        <v>1</v>
      </c>
      <c r="E31" s="46">
        <v>0</v>
      </c>
      <c r="F31" s="46" t="s">
        <v>667</v>
      </c>
      <c r="G31" s="46" t="s">
        <v>1305</v>
      </c>
      <c r="H31" s="46" t="s">
        <v>1384</v>
      </c>
      <c r="I31" s="46" t="str">
        <f ca="1">IFERROR(__xludf.DUMMYFUNCTION("CONCAT(A31,REGEXREPLACE(H31,"".*_L0"",""_L0""))"),"HC_BN0339_MTG_snRNAseq_rep1_L004_I2_001.fastq.gz")</f>
        <v>HC_BN0339_MTG_snRNAseq_rep1_L004_I2_001.fastq.gz</v>
      </c>
      <c r="J31" s="46" t="str">
        <f t="shared" si="0"/>
        <v>/data/neurogen/ASAP/scRNAseq/data/batch1_ASAP_snRNA-seq_*/Raw_Data_and_Processing/cellranger_processing/cellranger_fastqs/outs/fastq_path/H*/BN0339_S1_L004_I2_001.fastq.gz</v>
      </c>
      <c r="K31" s="46" t="s">
        <v>1350</v>
      </c>
      <c r="L31" s="46" t="s">
        <v>1385</v>
      </c>
      <c r="M31" s="46" t="s">
        <v>1309</v>
      </c>
      <c r="N31" s="46" t="s">
        <v>1310</v>
      </c>
      <c r="O31" s="46" t="s">
        <v>1311</v>
      </c>
      <c r="P31" s="46" t="s">
        <v>1312</v>
      </c>
      <c r="Q31" s="46" t="s">
        <v>31</v>
      </c>
      <c r="R31" s="46" t="s">
        <v>31</v>
      </c>
      <c r="S31" s="46" t="s">
        <v>31</v>
      </c>
      <c r="T31" s="46" t="s">
        <v>31</v>
      </c>
      <c r="U31" s="46" t="s">
        <v>49</v>
      </c>
    </row>
    <row r="32" spans="1:21">
      <c r="A32" s="46" t="s">
        <v>680</v>
      </c>
      <c r="B32" s="46" t="s">
        <v>66</v>
      </c>
      <c r="C32" s="46" t="s">
        <v>666</v>
      </c>
      <c r="D32" s="46">
        <v>1</v>
      </c>
      <c r="E32" s="46">
        <v>0</v>
      </c>
      <c r="F32" s="46" t="s">
        <v>667</v>
      </c>
      <c r="G32" s="46" t="s">
        <v>1305</v>
      </c>
      <c r="H32" s="46" t="s">
        <v>1386</v>
      </c>
      <c r="I32" s="46" t="str">
        <f ca="1">IFERROR(__xludf.DUMMYFUNCTION("CONCAT(A32,REGEXREPLACE(H32,"".*_L0"",""_L0""))"),"HC_BN0339_MTG_snRNAseq_rep1_L004_R1_001.fastq.gz")</f>
        <v>HC_BN0339_MTG_snRNAseq_rep1_L004_R1_001.fastq.gz</v>
      </c>
      <c r="J32" s="46" t="str">
        <f t="shared" si="0"/>
        <v>/data/neurogen/ASAP/scRNAseq/data/batch1_ASAP_snRNA-seq_*/Raw_Data_and_Processing/cellranger_processing/cellranger_fastqs/outs/fastq_path/H*/BN0339_S1_L004_R1_001.fastq.gz</v>
      </c>
      <c r="K32" s="46" t="s">
        <v>1353</v>
      </c>
      <c r="L32" s="46" t="s">
        <v>1387</v>
      </c>
      <c r="M32" s="46" t="s">
        <v>1309</v>
      </c>
      <c r="N32" s="46" t="s">
        <v>1310</v>
      </c>
      <c r="O32" s="46" t="s">
        <v>1311</v>
      </c>
      <c r="P32" s="46" t="s">
        <v>1312</v>
      </c>
      <c r="Q32" s="46" t="s">
        <v>31</v>
      </c>
      <c r="R32" s="46" t="s">
        <v>31</v>
      </c>
      <c r="S32" s="46" t="s">
        <v>31</v>
      </c>
      <c r="T32" s="46" t="s">
        <v>31</v>
      </c>
      <c r="U32" s="46" t="s">
        <v>49</v>
      </c>
    </row>
    <row r="33" spans="1:21">
      <c r="A33" s="46" t="s">
        <v>680</v>
      </c>
      <c r="B33" s="46" t="s">
        <v>66</v>
      </c>
      <c r="C33" s="46" t="s">
        <v>666</v>
      </c>
      <c r="D33" s="46">
        <v>1</v>
      </c>
      <c r="E33" s="46">
        <v>0</v>
      </c>
      <c r="F33" s="46" t="s">
        <v>667</v>
      </c>
      <c r="G33" s="46" t="s">
        <v>1305</v>
      </c>
      <c r="H33" s="46" t="s">
        <v>1388</v>
      </c>
      <c r="I33" s="46" t="str">
        <f ca="1">IFERROR(__xludf.DUMMYFUNCTION("CONCAT(A33,REGEXREPLACE(H33,"".*_L0"",""_L0""))"),"HC_BN0339_MTG_snRNAseq_rep1_L004_R2_001.fastq.gz")</f>
        <v>HC_BN0339_MTG_snRNAseq_rep1_L004_R2_001.fastq.gz</v>
      </c>
      <c r="J33" s="46" t="str">
        <f t="shared" si="0"/>
        <v>/data/neurogen/ASAP/scRNAseq/data/batch1_ASAP_snRNA-seq_*/Raw_Data_and_Processing/cellranger_processing/cellranger_fastqs/outs/fastq_path/H*/BN0339_S1_L004_R2_001.fastq.gz</v>
      </c>
      <c r="K33" s="46" t="s">
        <v>1356</v>
      </c>
      <c r="L33" s="46" t="s">
        <v>1389</v>
      </c>
      <c r="M33" s="46" t="s">
        <v>1309</v>
      </c>
      <c r="N33" s="46" t="s">
        <v>1310</v>
      </c>
      <c r="O33" s="46" t="s">
        <v>1311</v>
      </c>
      <c r="P33" s="46" t="s">
        <v>1312</v>
      </c>
      <c r="Q33" s="46" t="s">
        <v>31</v>
      </c>
      <c r="R33" s="46" t="s">
        <v>31</v>
      </c>
      <c r="S33" s="46" t="s">
        <v>31</v>
      </c>
      <c r="T33" s="46" t="s">
        <v>31</v>
      </c>
      <c r="U33" s="46" t="s">
        <v>49</v>
      </c>
    </row>
    <row r="34" spans="1:21">
      <c r="A34" s="46" t="s">
        <v>681</v>
      </c>
      <c r="B34" s="46" t="s">
        <v>71</v>
      </c>
      <c r="C34" s="46" t="s">
        <v>666</v>
      </c>
      <c r="D34" s="46">
        <v>1</v>
      </c>
      <c r="E34" s="46">
        <v>0</v>
      </c>
      <c r="F34" s="46" t="s">
        <v>667</v>
      </c>
      <c r="G34" s="46" t="s">
        <v>1305</v>
      </c>
      <c r="H34" s="46" t="s">
        <v>1390</v>
      </c>
      <c r="I34" s="46" t="str">
        <f ca="1">IFERROR(__xludf.DUMMYFUNCTION("CONCAT(A34,REGEXREPLACE(H34,"".*_L0"",""_L0""))"),"HC_BN0341_MTG_snRNAseq_rep1_L001_I1_001.fastq.gz")</f>
        <v>HC_BN0341_MTG_snRNAseq_rep1_L001_I1_001.fastq.gz</v>
      </c>
      <c r="J34" s="46" t="str">
        <f t="shared" si="0"/>
        <v>/data/neurogen/ASAP/scRNAseq/data/batch1_ASAP_snRNA-seq_*/Raw_Data_and_Processing/cellranger_processing/cellranger_fastqs/outs/fastq_path/H*/BN0341_S4_L001_I1_001.fastq.gz</v>
      </c>
      <c r="K34" s="46" t="s">
        <v>1307</v>
      </c>
      <c r="L34" s="46" t="s">
        <v>1391</v>
      </c>
      <c r="M34" s="46" t="s">
        <v>1309</v>
      </c>
      <c r="N34" s="46" t="s">
        <v>1310</v>
      </c>
      <c r="O34" s="46" t="s">
        <v>1311</v>
      </c>
      <c r="P34" s="46" t="s">
        <v>1312</v>
      </c>
      <c r="Q34" s="46" t="s">
        <v>31</v>
      </c>
      <c r="R34" s="46" t="s">
        <v>31</v>
      </c>
      <c r="S34" s="46" t="s">
        <v>31</v>
      </c>
      <c r="T34" s="46" t="s">
        <v>31</v>
      </c>
      <c r="U34" s="46" t="s">
        <v>49</v>
      </c>
    </row>
    <row r="35" spans="1:21">
      <c r="A35" s="46" t="s">
        <v>681</v>
      </c>
      <c r="B35" s="46" t="s">
        <v>71</v>
      </c>
      <c r="C35" s="46" t="s">
        <v>666</v>
      </c>
      <c r="D35" s="46">
        <v>1</v>
      </c>
      <c r="E35" s="46">
        <v>0</v>
      </c>
      <c r="F35" s="46" t="s">
        <v>667</v>
      </c>
      <c r="G35" s="46" t="s">
        <v>1305</v>
      </c>
      <c r="H35" s="46" t="s">
        <v>1392</v>
      </c>
      <c r="I35" s="46" t="str">
        <f ca="1">IFERROR(__xludf.DUMMYFUNCTION("CONCAT(A35,REGEXREPLACE(H35,"".*_L0"",""_L0""))"),"HC_BN0341_MTG_snRNAseq_rep1_L001_I2_001.fastq.gz")</f>
        <v>HC_BN0341_MTG_snRNAseq_rep1_L001_I2_001.fastq.gz</v>
      </c>
      <c r="J35" s="46" t="str">
        <f t="shared" si="0"/>
        <v>/data/neurogen/ASAP/scRNAseq/data/batch1_ASAP_snRNA-seq_*/Raw_Data_and_Processing/cellranger_processing/cellranger_fastqs/outs/fastq_path/H*/BN0341_S4_L001_I2_001.fastq.gz</v>
      </c>
      <c r="K35" s="46" t="s">
        <v>1314</v>
      </c>
      <c r="L35" s="46" t="s">
        <v>1393</v>
      </c>
      <c r="M35" s="46" t="s">
        <v>1309</v>
      </c>
      <c r="N35" s="46" t="s">
        <v>1310</v>
      </c>
      <c r="O35" s="46" t="s">
        <v>1311</v>
      </c>
      <c r="P35" s="46" t="s">
        <v>1312</v>
      </c>
      <c r="Q35" s="46" t="s">
        <v>31</v>
      </c>
      <c r="R35" s="46" t="s">
        <v>31</v>
      </c>
      <c r="S35" s="46" t="s">
        <v>31</v>
      </c>
      <c r="T35" s="46" t="s">
        <v>31</v>
      </c>
      <c r="U35" s="46" t="s">
        <v>49</v>
      </c>
    </row>
    <row r="36" spans="1:21">
      <c r="A36" s="46" t="s">
        <v>681</v>
      </c>
      <c r="B36" s="46" t="s">
        <v>71</v>
      </c>
      <c r="C36" s="46" t="s">
        <v>666</v>
      </c>
      <c r="D36" s="46">
        <v>1</v>
      </c>
      <c r="E36" s="46">
        <v>0</v>
      </c>
      <c r="F36" s="46" t="s">
        <v>667</v>
      </c>
      <c r="G36" s="46" t="s">
        <v>1305</v>
      </c>
      <c r="H36" s="46" t="s">
        <v>1394</v>
      </c>
      <c r="I36" s="46" t="str">
        <f ca="1">IFERROR(__xludf.DUMMYFUNCTION("CONCAT(A36,REGEXREPLACE(H36,"".*_L0"",""_L0""))"),"HC_BN0341_MTG_snRNAseq_rep1_L001_R1_001.fastq.gz")</f>
        <v>HC_BN0341_MTG_snRNAseq_rep1_L001_R1_001.fastq.gz</v>
      </c>
      <c r="J36" s="46" t="str">
        <f t="shared" si="0"/>
        <v>/data/neurogen/ASAP/scRNAseq/data/batch1_ASAP_snRNA-seq_*/Raw_Data_and_Processing/cellranger_processing/cellranger_fastqs/outs/fastq_path/H*/BN0341_S4_L001_R1_001.fastq.gz</v>
      </c>
      <c r="K36" s="46" t="s">
        <v>1317</v>
      </c>
      <c r="L36" s="46" t="s">
        <v>1395</v>
      </c>
      <c r="M36" s="46" t="s">
        <v>1309</v>
      </c>
      <c r="N36" s="46" t="s">
        <v>1310</v>
      </c>
      <c r="O36" s="46" t="s">
        <v>1311</v>
      </c>
      <c r="P36" s="46" t="s">
        <v>1312</v>
      </c>
      <c r="Q36" s="46" t="s">
        <v>31</v>
      </c>
      <c r="R36" s="46" t="s">
        <v>31</v>
      </c>
      <c r="S36" s="46" t="s">
        <v>31</v>
      </c>
      <c r="T36" s="46" t="s">
        <v>31</v>
      </c>
      <c r="U36" s="46" t="s">
        <v>49</v>
      </c>
    </row>
    <row r="37" spans="1:21">
      <c r="A37" s="46" t="s">
        <v>681</v>
      </c>
      <c r="B37" s="46" t="s">
        <v>71</v>
      </c>
      <c r="C37" s="46" t="s">
        <v>666</v>
      </c>
      <c r="D37" s="46">
        <v>1</v>
      </c>
      <c r="E37" s="46">
        <v>0</v>
      </c>
      <c r="F37" s="46" t="s">
        <v>667</v>
      </c>
      <c r="G37" s="46" t="s">
        <v>1305</v>
      </c>
      <c r="H37" s="46" t="s">
        <v>1396</v>
      </c>
      <c r="I37" s="46" t="str">
        <f ca="1">IFERROR(__xludf.DUMMYFUNCTION("CONCAT(A37,REGEXREPLACE(H37,"".*_L0"",""_L0""))"),"HC_BN0341_MTG_snRNAseq_rep1_L001_R2_001.fastq.gz")</f>
        <v>HC_BN0341_MTG_snRNAseq_rep1_L001_R2_001.fastq.gz</v>
      </c>
      <c r="J37" s="46" t="str">
        <f t="shared" si="0"/>
        <v>/data/neurogen/ASAP/scRNAseq/data/batch1_ASAP_snRNA-seq_*/Raw_Data_and_Processing/cellranger_processing/cellranger_fastqs/outs/fastq_path/H*/BN0341_S4_L001_R2_001.fastq.gz</v>
      </c>
      <c r="K37" s="46" t="s">
        <v>1320</v>
      </c>
      <c r="L37" s="47" t="s">
        <v>1397</v>
      </c>
      <c r="M37" s="46" t="s">
        <v>1309</v>
      </c>
      <c r="N37" s="46" t="s">
        <v>1310</v>
      </c>
      <c r="O37" s="46" t="s">
        <v>1311</v>
      </c>
      <c r="P37" s="46" t="s">
        <v>1312</v>
      </c>
      <c r="Q37" s="46" t="s">
        <v>31</v>
      </c>
      <c r="R37" s="46" t="s">
        <v>31</v>
      </c>
      <c r="S37" s="46" t="s">
        <v>31</v>
      </c>
      <c r="T37" s="46" t="s">
        <v>31</v>
      </c>
      <c r="U37" s="46" t="s">
        <v>49</v>
      </c>
    </row>
    <row r="38" spans="1:21">
      <c r="A38" s="46" t="s">
        <v>681</v>
      </c>
      <c r="B38" s="46" t="s">
        <v>71</v>
      </c>
      <c r="C38" s="46" t="s">
        <v>666</v>
      </c>
      <c r="D38" s="46">
        <v>1</v>
      </c>
      <c r="E38" s="46">
        <v>0</v>
      </c>
      <c r="F38" s="46" t="s">
        <v>667</v>
      </c>
      <c r="G38" s="46" t="s">
        <v>1305</v>
      </c>
      <c r="H38" s="46" t="s">
        <v>1398</v>
      </c>
      <c r="I38" s="46" t="str">
        <f ca="1">IFERROR(__xludf.DUMMYFUNCTION("CONCAT(A38,REGEXREPLACE(H38,"".*_L0"",""_L0""))"),"HC_BN0341_MTG_snRNAseq_rep1_L002_I1_001.fastq.gz")</f>
        <v>HC_BN0341_MTG_snRNAseq_rep1_L002_I1_001.fastq.gz</v>
      </c>
      <c r="J38" s="46" t="str">
        <f t="shared" si="0"/>
        <v>/data/neurogen/ASAP/scRNAseq/data/batch1_ASAP_snRNA-seq_*/Raw_Data_and_Processing/cellranger_processing/cellranger_fastqs/outs/fastq_path/H*/BN0341_S4_L002_I1_001.fastq.gz</v>
      </c>
      <c r="K38" s="46" t="s">
        <v>1323</v>
      </c>
      <c r="L38" s="46" t="s">
        <v>1399</v>
      </c>
      <c r="M38" s="46" t="s">
        <v>1309</v>
      </c>
      <c r="N38" s="46" t="s">
        <v>1310</v>
      </c>
      <c r="O38" s="46" t="s">
        <v>1311</v>
      </c>
      <c r="P38" s="46" t="s">
        <v>1312</v>
      </c>
      <c r="Q38" s="46" t="s">
        <v>31</v>
      </c>
      <c r="R38" s="46" t="s">
        <v>31</v>
      </c>
      <c r="S38" s="46" t="s">
        <v>31</v>
      </c>
      <c r="T38" s="46" t="s">
        <v>31</v>
      </c>
      <c r="U38" s="46" t="s">
        <v>49</v>
      </c>
    </row>
    <row r="39" spans="1:21">
      <c r="A39" s="46" t="s">
        <v>681</v>
      </c>
      <c r="B39" s="46" t="s">
        <v>71</v>
      </c>
      <c r="C39" s="46" t="s">
        <v>666</v>
      </c>
      <c r="D39" s="46">
        <v>1</v>
      </c>
      <c r="E39" s="46">
        <v>0</v>
      </c>
      <c r="F39" s="46" t="s">
        <v>667</v>
      </c>
      <c r="G39" s="46" t="s">
        <v>1305</v>
      </c>
      <c r="H39" s="46" t="s">
        <v>1400</v>
      </c>
      <c r="I39" s="46" t="str">
        <f ca="1">IFERROR(__xludf.DUMMYFUNCTION("CONCAT(A39,REGEXREPLACE(H39,"".*_L0"",""_L0""))"),"HC_BN0341_MTG_snRNAseq_rep1_L002_I2_001.fastq.gz")</f>
        <v>HC_BN0341_MTG_snRNAseq_rep1_L002_I2_001.fastq.gz</v>
      </c>
      <c r="J39" s="46" t="str">
        <f t="shared" si="0"/>
        <v>/data/neurogen/ASAP/scRNAseq/data/batch1_ASAP_snRNA-seq_*/Raw_Data_and_Processing/cellranger_processing/cellranger_fastqs/outs/fastq_path/H*/BN0341_S4_L002_I2_001.fastq.gz</v>
      </c>
      <c r="K39" s="46" t="s">
        <v>1326</v>
      </c>
      <c r="L39" s="46" t="s">
        <v>1401</v>
      </c>
      <c r="M39" s="46" t="s">
        <v>1309</v>
      </c>
      <c r="N39" s="46" t="s">
        <v>1310</v>
      </c>
      <c r="O39" s="46" t="s">
        <v>1311</v>
      </c>
      <c r="P39" s="46" t="s">
        <v>1312</v>
      </c>
      <c r="Q39" s="46" t="s">
        <v>31</v>
      </c>
      <c r="R39" s="46" t="s">
        <v>31</v>
      </c>
      <c r="S39" s="46" t="s">
        <v>31</v>
      </c>
      <c r="T39" s="46" t="s">
        <v>31</v>
      </c>
      <c r="U39" s="46" t="s">
        <v>49</v>
      </c>
    </row>
    <row r="40" spans="1:21">
      <c r="A40" s="46" t="s">
        <v>681</v>
      </c>
      <c r="B40" s="46" t="s">
        <v>71</v>
      </c>
      <c r="C40" s="46" t="s">
        <v>666</v>
      </c>
      <c r="D40" s="46">
        <v>1</v>
      </c>
      <c r="E40" s="46">
        <v>0</v>
      </c>
      <c r="F40" s="46" t="s">
        <v>667</v>
      </c>
      <c r="G40" s="46" t="s">
        <v>1305</v>
      </c>
      <c r="H40" s="46" t="s">
        <v>1402</v>
      </c>
      <c r="I40" s="46" t="str">
        <f ca="1">IFERROR(__xludf.DUMMYFUNCTION("CONCAT(A40,REGEXREPLACE(H40,"".*_L0"",""_L0""))"),"HC_BN0341_MTG_snRNAseq_rep1_L002_R1_001.fastq.gz")</f>
        <v>HC_BN0341_MTG_snRNAseq_rep1_L002_R1_001.fastq.gz</v>
      </c>
      <c r="J40" s="46" t="str">
        <f t="shared" si="0"/>
        <v>/data/neurogen/ASAP/scRNAseq/data/batch1_ASAP_snRNA-seq_*/Raw_Data_and_Processing/cellranger_processing/cellranger_fastqs/outs/fastq_path/H*/BN0341_S4_L002_R1_001.fastq.gz</v>
      </c>
      <c r="K40" s="46" t="s">
        <v>1329</v>
      </c>
      <c r="L40" s="46" t="s">
        <v>1403</v>
      </c>
      <c r="M40" s="46" t="s">
        <v>1309</v>
      </c>
      <c r="N40" s="46" t="s">
        <v>1310</v>
      </c>
      <c r="O40" s="46" t="s">
        <v>1311</v>
      </c>
      <c r="P40" s="46" t="s">
        <v>1312</v>
      </c>
      <c r="Q40" s="46" t="s">
        <v>31</v>
      </c>
      <c r="R40" s="46" t="s">
        <v>31</v>
      </c>
      <c r="S40" s="46" t="s">
        <v>31</v>
      </c>
      <c r="T40" s="46" t="s">
        <v>31</v>
      </c>
      <c r="U40" s="46" t="s">
        <v>49</v>
      </c>
    </row>
    <row r="41" spans="1:21">
      <c r="A41" s="46" t="s">
        <v>681</v>
      </c>
      <c r="B41" s="46" t="s">
        <v>71</v>
      </c>
      <c r="C41" s="46" t="s">
        <v>666</v>
      </c>
      <c r="D41" s="46">
        <v>1</v>
      </c>
      <c r="E41" s="46">
        <v>0</v>
      </c>
      <c r="F41" s="46" t="s">
        <v>667</v>
      </c>
      <c r="G41" s="46" t="s">
        <v>1305</v>
      </c>
      <c r="H41" s="46" t="s">
        <v>1404</v>
      </c>
      <c r="I41" s="46" t="str">
        <f ca="1">IFERROR(__xludf.DUMMYFUNCTION("CONCAT(A41,REGEXREPLACE(H41,"".*_L0"",""_L0""))"),"HC_BN0341_MTG_snRNAseq_rep1_L002_R2_001.fastq.gz")</f>
        <v>HC_BN0341_MTG_snRNAseq_rep1_L002_R2_001.fastq.gz</v>
      </c>
      <c r="J41" s="46" t="str">
        <f t="shared" si="0"/>
        <v>/data/neurogen/ASAP/scRNAseq/data/batch1_ASAP_snRNA-seq_*/Raw_Data_and_Processing/cellranger_processing/cellranger_fastqs/outs/fastq_path/H*/BN0341_S4_L002_R2_001.fastq.gz</v>
      </c>
      <c r="K41" s="46" t="s">
        <v>1332</v>
      </c>
      <c r="L41" s="46" t="s">
        <v>1405</v>
      </c>
      <c r="M41" s="46" t="s">
        <v>1309</v>
      </c>
      <c r="N41" s="46" t="s">
        <v>1310</v>
      </c>
      <c r="O41" s="46" t="s">
        <v>1311</v>
      </c>
      <c r="P41" s="46" t="s">
        <v>1312</v>
      </c>
      <c r="Q41" s="46" t="s">
        <v>31</v>
      </c>
      <c r="R41" s="46" t="s">
        <v>31</v>
      </c>
      <c r="S41" s="46" t="s">
        <v>31</v>
      </c>
      <c r="T41" s="46" t="s">
        <v>31</v>
      </c>
      <c r="U41" s="46" t="s">
        <v>49</v>
      </c>
    </row>
    <row r="42" spans="1:21">
      <c r="A42" s="46" t="s">
        <v>681</v>
      </c>
      <c r="B42" s="46" t="s">
        <v>71</v>
      </c>
      <c r="C42" s="46" t="s">
        <v>666</v>
      </c>
      <c r="D42" s="46">
        <v>1</v>
      </c>
      <c r="E42" s="46">
        <v>0</v>
      </c>
      <c r="F42" s="46" t="s">
        <v>667</v>
      </c>
      <c r="G42" s="46" t="s">
        <v>1305</v>
      </c>
      <c r="H42" s="46" t="s">
        <v>1406</v>
      </c>
      <c r="I42" s="46" t="str">
        <f ca="1">IFERROR(__xludf.DUMMYFUNCTION("CONCAT(A42,REGEXREPLACE(H42,"".*_L0"",""_L0""))"),"HC_BN0341_MTG_snRNAseq_rep1_L003_I1_001.fastq.gz")</f>
        <v>HC_BN0341_MTG_snRNAseq_rep1_L003_I1_001.fastq.gz</v>
      </c>
      <c r="J42" s="46" t="str">
        <f t="shared" si="0"/>
        <v>/data/neurogen/ASAP/scRNAseq/data/batch1_ASAP_snRNA-seq_*/Raw_Data_and_Processing/cellranger_processing/cellranger_fastqs/outs/fastq_path/H*/BN0341_S4_L003_I1_001.fastq.gz</v>
      </c>
      <c r="K42" s="46" t="s">
        <v>1335</v>
      </c>
      <c r="L42" s="46" t="s">
        <v>1407</v>
      </c>
      <c r="M42" s="46" t="s">
        <v>1309</v>
      </c>
      <c r="N42" s="46" t="s">
        <v>1310</v>
      </c>
      <c r="O42" s="46" t="s">
        <v>1311</v>
      </c>
      <c r="P42" s="46" t="s">
        <v>1312</v>
      </c>
      <c r="Q42" s="46" t="s">
        <v>31</v>
      </c>
      <c r="R42" s="46" t="s">
        <v>31</v>
      </c>
      <c r="S42" s="46" t="s">
        <v>31</v>
      </c>
      <c r="T42" s="46" t="s">
        <v>31</v>
      </c>
      <c r="U42" s="46" t="s">
        <v>49</v>
      </c>
    </row>
    <row r="43" spans="1:21">
      <c r="A43" s="46" t="s">
        <v>681</v>
      </c>
      <c r="B43" s="46" t="s">
        <v>71</v>
      </c>
      <c r="C43" s="46" t="s">
        <v>666</v>
      </c>
      <c r="D43" s="46">
        <v>1</v>
      </c>
      <c r="E43" s="46">
        <v>0</v>
      </c>
      <c r="F43" s="46" t="s">
        <v>667</v>
      </c>
      <c r="G43" s="46" t="s">
        <v>1305</v>
      </c>
      <c r="H43" s="46" t="s">
        <v>1408</v>
      </c>
      <c r="I43" s="46" t="str">
        <f ca="1">IFERROR(__xludf.DUMMYFUNCTION("CONCAT(A43,REGEXREPLACE(H43,"".*_L0"",""_L0""))"),"HC_BN0341_MTG_snRNAseq_rep1_L003_I2_001.fastq.gz")</f>
        <v>HC_BN0341_MTG_snRNAseq_rep1_L003_I2_001.fastq.gz</v>
      </c>
      <c r="J43" s="46" t="str">
        <f t="shared" si="0"/>
        <v>/data/neurogen/ASAP/scRNAseq/data/batch1_ASAP_snRNA-seq_*/Raw_Data_and_Processing/cellranger_processing/cellranger_fastqs/outs/fastq_path/H*/BN0341_S4_L003_I2_001.fastq.gz</v>
      </c>
      <c r="K43" s="46" t="s">
        <v>1338</v>
      </c>
      <c r="L43" s="46" t="s">
        <v>1409</v>
      </c>
      <c r="M43" s="46" t="s">
        <v>1309</v>
      </c>
      <c r="N43" s="46" t="s">
        <v>1310</v>
      </c>
      <c r="O43" s="46" t="s">
        <v>1311</v>
      </c>
      <c r="P43" s="46" t="s">
        <v>1312</v>
      </c>
      <c r="Q43" s="46" t="s">
        <v>31</v>
      </c>
      <c r="R43" s="46" t="s">
        <v>31</v>
      </c>
      <c r="S43" s="46" t="s">
        <v>31</v>
      </c>
      <c r="T43" s="46" t="s">
        <v>31</v>
      </c>
      <c r="U43" s="46" t="s">
        <v>49</v>
      </c>
    </row>
    <row r="44" spans="1:21">
      <c r="A44" s="46" t="s">
        <v>681</v>
      </c>
      <c r="B44" s="46" t="s">
        <v>71</v>
      </c>
      <c r="C44" s="46" t="s">
        <v>666</v>
      </c>
      <c r="D44" s="46">
        <v>1</v>
      </c>
      <c r="E44" s="46">
        <v>0</v>
      </c>
      <c r="F44" s="46" t="s">
        <v>667</v>
      </c>
      <c r="G44" s="46" t="s">
        <v>1305</v>
      </c>
      <c r="H44" s="46" t="s">
        <v>1410</v>
      </c>
      <c r="I44" s="46" t="str">
        <f ca="1">IFERROR(__xludf.DUMMYFUNCTION("CONCAT(A44,REGEXREPLACE(H44,"".*_L0"",""_L0""))"),"HC_BN0341_MTG_snRNAseq_rep1_L003_R1_001.fastq.gz")</f>
        <v>HC_BN0341_MTG_snRNAseq_rep1_L003_R1_001.fastq.gz</v>
      </c>
      <c r="J44" s="46" t="str">
        <f t="shared" si="0"/>
        <v>/data/neurogen/ASAP/scRNAseq/data/batch1_ASAP_snRNA-seq_*/Raw_Data_and_Processing/cellranger_processing/cellranger_fastqs/outs/fastq_path/H*/BN0341_S4_L003_R1_001.fastq.gz</v>
      </c>
      <c r="K44" s="46" t="s">
        <v>1341</v>
      </c>
      <c r="L44" s="46" t="s">
        <v>1411</v>
      </c>
      <c r="M44" s="46" t="s">
        <v>1309</v>
      </c>
      <c r="N44" s="46" t="s">
        <v>1310</v>
      </c>
      <c r="O44" s="46" t="s">
        <v>1311</v>
      </c>
      <c r="P44" s="46" t="s">
        <v>1312</v>
      </c>
      <c r="Q44" s="46" t="s">
        <v>31</v>
      </c>
      <c r="R44" s="46" t="s">
        <v>31</v>
      </c>
      <c r="S44" s="46" t="s">
        <v>31</v>
      </c>
      <c r="T44" s="46" t="s">
        <v>31</v>
      </c>
      <c r="U44" s="46" t="s">
        <v>49</v>
      </c>
    </row>
    <row r="45" spans="1:21">
      <c r="A45" s="46" t="s">
        <v>681</v>
      </c>
      <c r="B45" s="46" t="s">
        <v>71</v>
      </c>
      <c r="C45" s="46" t="s">
        <v>666</v>
      </c>
      <c r="D45" s="46">
        <v>1</v>
      </c>
      <c r="E45" s="46">
        <v>0</v>
      </c>
      <c r="F45" s="46" t="s">
        <v>667</v>
      </c>
      <c r="G45" s="46" t="s">
        <v>1305</v>
      </c>
      <c r="H45" s="46" t="s">
        <v>1412</v>
      </c>
      <c r="I45" s="46" t="str">
        <f ca="1">IFERROR(__xludf.DUMMYFUNCTION("CONCAT(A45,REGEXREPLACE(H45,"".*_L0"",""_L0""))"),"HC_BN0341_MTG_snRNAseq_rep1_L003_R2_001.fastq.gz")</f>
        <v>HC_BN0341_MTG_snRNAseq_rep1_L003_R2_001.fastq.gz</v>
      </c>
      <c r="J45" s="46" t="str">
        <f t="shared" si="0"/>
        <v>/data/neurogen/ASAP/scRNAseq/data/batch1_ASAP_snRNA-seq_*/Raw_Data_and_Processing/cellranger_processing/cellranger_fastqs/outs/fastq_path/H*/BN0341_S4_L003_R2_001.fastq.gz</v>
      </c>
      <c r="K45" s="46" t="s">
        <v>1344</v>
      </c>
      <c r="L45" s="46" t="s">
        <v>1413</v>
      </c>
      <c r="M45" s="46" t="s">
        <v>1309</v>
      </c>
      <c r="N45" s="46" t="s">
        <v>1310</v>
      </c>
      <c r="O45" s="46" t="s">
        <v>1311</v>
      </c>
      <c r="P45" s="46" t="s">
        <v>1312</v>
      </c>
      <c r="Q45" s="46" t="s">
        <v>31</v>
      </c>
      <c r="R45" s="46" t="s">
        <v>31</v>
      </c>
      <c r="S45" s="46" t="s">
        <v>31</v>
      </c>
      <c r="T45" s="46" t="s">
        <v>31</v>
      </c>
      <c r="U45" s="46" t="s">
        <v>49</v>
      </c>
    </row>
    <row r="46" spans="1:21">
      <c r="A46" s="46" t="s">
        <v>681</v>
      </c>
      <c r="B46" s="46" t="s">
        <v>71</v>
      </c>
      <c r="C46" s="46" t="s">
        <v>666</v>
      </c>
      <c r="D46" s="46">
        <v>1</v>
      </c>
      <c r="E46" s="46">
        <v>0</v>
      </c>
      <c r="F46" s="46" t="s">
        <v>667</v>
      </c>
      <c r="G46" s="46" t="s">
        <v>1305</v>
      </c>
      <c r="H46" s="46" t="s">
        <v>1414</v>
      </c>
      <c r="I46" s="46" t="str">
        <f ca="1">IFERROR(__xludf.DUMMYFUNCTION("CONCAT(A46,REGEXREPLACE(H46,"".*_L0"",""_L0""))"),"HC_BN0341_MTG_snRNAseq_rep1_L004_I1_001.fastq.gz")</f>
        <v>HC_BN0341_MTG_snRNAseq_rep1_L004_I1_001.fastq.gz</v>
      </c>
      <c r="J46" s="46" t="str">
        <f t="shared" si="0"/>
        <v>/data/neurogen/ASAP/scRNAseq/data/batch1_ASAP_snRNA-seq_*/Raw_Data_and_Processing/cellranger_processing/cellranger_fastqs/outs/fastq_path/H*/BN0341_S4_L004_I1_001.fastq.gz</v>
      </c>
      <c r="K46" s="46" t="s">
        <v>1347</v>
      </c>
      <c r="L46" s="46" t="s">
        <v>1415</v>
      </c>
      <c r="M46" s="46" t="s">
        <v>1309</v>
      </c>
      <c r="N46" s="46" t="s">
        <v>1310</v>
      </c>
      <c r="O46" s="46" t="s">
        <v>1311</v>
      </c>
      <c r="P46" s="46" t="s">
        <v>1312</v>
      </c>
      <c r="Q46" s="46" t="s">
        <v>31</v>
      </c>
      <c r="R46" s="46" t="s">
        <v>31</v>
      </c>
      <c r="S46" s="46" t="s">
        <v>31</v>
      </c>
      <c r="T46" s="46" t="s">
        <v>31</v>
      </c>
      <c r="U46" s="46" t="s">
        <v>49</v>
      </c>
    </row>
    <row r="47" spans="1:21">
      <c r="A47" s="46" t="s">
        <v>681</v>
      </c>
      <c r="B47" s="46" t="s">
        <v>71</v>
      </c>
      <c r="C47" s="46" t="s">
        <v>666</v>
      </c>
      <c r="D47" s="46">
        <v>1</v>
      </c>
      <c r="E47" s="46">
        <v>0</v>
      </c>
      <c r="F47" s="46" t="s">
        <v>667</v>
      </c>
      <c r="G47" s="46" t="s">
        <v>1305</v>
      </c>
      <c r="H47" s="46" t="s">
        <v>1416</v>
      </c>
      <c r="I47" s="46" t="str">
        <f ca="1">IFERROR(__xludf.DUMMYFUNCTION("CONCAT(A47,REGEXREPLACE(H47,"".*_L0"",""_L0""))"),"HC_BN0341_MTG_snRNAseq_rep1_L004_I2_001.fastq.gz")</f>
        <v>HC_BN0341_MTG_snRNAseq_rep1_L004_I2_001.fastq.gz</v>
      </c>
      <c r="J47" s="46" t="str">
        <f t="shared" si="0"/>
        <v>/data/neurogen/ASAP/scRNAseq/data/batch1_ASAP_snRNA-seq_*/Raw_Data_and_Processing/cellranger_processing/cellranger_fastqs/outs/fastq_path/H*/BN0341_S4_L004_I2_001.fastq.gz</v>
      </c>
      <c r="K47" s="46" t="s">
        <v>1350</v>
      </c>
      <c r="L47" s="46" t="s">
        <v>1417</v>
      </c>
      <c r="M47" s="46" t="s">
        <v>1309</v>
      </c>
      <c r="N47" s="46" t="s">
        <v>1310</v>
      </c>
      <c r="O47" s="46" t="s">
        <v>1311</v>
      </c>
      <c r="P47" s="46" t="s">
        <v>1312</v>
      </c>
      <c r="Q47" s="46" t="s">
        <v>31</v>
      </c>
      <c r="R47" s="46" t="s">
        <v>31</v>
      </c>
      <c r="S47" s="46" t="s">
        <v>31</v>
      </c>
      <c r="T47" s="46" t="s">
        <v>31</v>
      </c>
      <c r="U47" s="46" t="s">
        <v>49</v>
      </c>
    </row>
    <row r="48" spans="1:21">
      <c r="A48" s="46" t="s">
        <v>681</v>
      </c>
      <c r="B48" s="46" t="s">
        <v>71</v>
      </c>
      <c r="C48" s="46" t="s">
        <v>666</v>
      </c>
      <c r="D48" s="46">
        <v>1</v>
      </c>
      <c r="E48" s="46">
        <v>0</v>
      </c>
      <c r="F48" s="46" t="s">
        <v>667</v>
      </c>
      <c r="G48" s="46" t="s">
        <v>1305</v>
      </c>
      <c r="H48" s="46" t="s">
        <v>1418</v>
      </c>
      <c r="I48" s="46" t="str">
        <f ca="1">IFERROR(__xludf.DUMMYFUNCTION("CONCAT(A48,REGEXREPLACE(H48,"".*_L0"",""_L0""))"),"HC_BN0341_MTG_snRNAseq_rep1_L004_R1_001.fastq.gz")</f>
        <v>HC_BN0341_MTG_snRNAseq_rep1_L004_R1_001.fastq.gz</v>
      </c>
      <c r="J48" s="46" t="str">
        <f t="shared" si="0"/>
        <v>/data/neurogen/ASAP/scRNAseq/data/batch1_ASAP_snRNA-seq_*/Raw_Data_and_Processing/cellranger_processing/cellranger_fastqs/outs/fastq_path/H*/BN0341_S4_L004_R1_001.fastq.gz</v>
      </c>
      <c r="K48" s="46" t="s">
        <v>1353</v>
      </c>
      <c r="L48" s="46" t="s">
        <v>1419</v>
      </c>
      <c r="M48" s="46" t="s">
        <v>1309</v>
      </c>
      <c r="N48" s="46" t="s">
        <v>1310</v>
      </c>
      <c r="O48" s="46" t="s">
        <v>1311</v>
      </c>
      <c r="P48" s="46" t="s">
        <v>1312</v>
      </c>
      <c r="Q48" s="46" t="s">
        <v>31</v>
      </c>
      <c r="R48" s="46" t="s">
        <v>31</v>
      </c>
      <c r="S48" s="46" t="s">
        <v>31</v>
      </c>
      <c r="T48" s="46" t="s">
        <v>31</v>
      </c>
      <c r="U48" s="46" t="s">
        <v>49</v>
      </c>
    </row>
    <row r="49" spans="1:21">
      <c r="A49" s="46" t="s">
        <v>681</v>
      </c>
      <c r="B49" s="46" t="s">
        <v>71</v>
      </c>
      <c r="C49" s="46" t="s">
        <v>666</v>
      </c>
      <c r="D49" s="46">
        <v>1</v>
      </c>
      <c r="E49" s="46">
        <v>0</v>
      </c>
      <c r="F49" s="46" t="s">
        <v>667</v>
      </c>
      <c r="G49" s="46" t="s">
        <v>1305</v>
      </c>
      <c r="H49" s="46" t="s">
        <v>1420</v>
      </c>
      <c r="I49" s="46" t="str">
        <f ca="1">IFERROR(__xludf.DUMMYFUNCTION("CONCAT(A49,REGEXREPLACE(H49,"".*_L0"",""_L0""))"),"HC_BN0341_MTG_snRNAseq_rep1_L004_R2_001.fastq.gz")</f>
        <v>HC_BN0341_MTG_snRNAseq_rep1_L004_R2_001.fastq.gz</v>
      </c>
      <c r="J49" s="46" t="str">
        <f t="shared" si="0"/>
        <v>/data/neurogen/ASAP/scRNAseq/data/batch1_ASAP_snRNA-seq_*/Raw_Data_and_Processing/cellranger_processing/cellranger_fastqs/outs/fastq_path/H*/BN0341_S4_L004_R2_001.fastq.gz</v>
      </c>
      <c r="K49" s="46" t="s">
        <v>1356</v>
      </c>
      <c r="L49" s="46" t="s">
        <v>1421</v>
      </c>
      <c r="M49" s="46" t="s">
        <v>1309</v>
      </c>
      <c r="N49" s="46" t="s">
        <v>1310</v>
      </c>
      <c r="O49" s="46" t="s">
        <v>1311</v>
      </c>
      <c r="P49" s="46" t="s">
        <v>1312</v>
      </c>
      <c r="Q49" s="46" t="s">
        <v>31</v>
      </c>
      <c r="R49" s="46" t="s">
        <v>31</v>
      </c>
      <c r="S49" s="46" t="s">
        <v>31</v>
      </c>
      <c r="T49" s="46" t="s">
        <v>31</v>
      </c>
      <c r="U49" s="46" t="s">
        <v>49</v>
      </c>
    </row>
    <row r="50" spans="1:21">
      <c r="A50" s="46" t="s">
        <v>684</v>
      </c>
      <c r="B50" s="46" t="s">
        <v>80</v>
      </c>
      <c r="C50" s="46" t="s">
        <v>666</v>
      </c>
      <c r="D50" s="46">
        <v>1</v>
      </c>
      <c r="E50" s="46">
        <v>0</v>
      </c>
      <c r="F50" s="46" t="s">
        <v>667</v>
      </c>
      <c r="G50" s="46" t="s">
        <v>1305</v>
      </c>
      <c r="H50" s="46" t="s">
        <v>1422</v>
      </c>
      <c r="I50" s="46" t="str">
        <f ca="1">IFERROR(__xludf.DUMMYFUNCTION("CONCAT(A50,REGEXREPLACE(H50,"".*_L0"",""_L0""))"),"ILB_BN0415_MTG_snRNAseq_rep1_L001_I1_001.fastq.gz")</f>
        <v>ILB_BN0415_MTG_snRNAseq_rep1_L001_I1_001.fastq.gz</v>
      </c>
      <c r="J50" s="46" t="str">
        <f t="shared" si="0"/>
        <v>/data/neurogen/ASAP/scRNAseq/data/batch1_ASAP_snRNA-seq_*/Raw_Data_and_Processing/cellranger_processing/cellranger_fastqs/outs/fastq_path/H*/BN0415_S3_L001_I1_001.fastq.gz</v>
      </c>
      <c r="K50" s="46" t="s">
        <v>1307</v>
      </c>
      <c r="L50" s="46" t="s">
        <v>1423</v>
      </c>
      <c r="M50" s="46" t="s">
        <v>1309</v>
      </c>
      <c r="N50" s="46" t="s">
        <v>1310</v>
      </c>
      <c r="O50" s="46" t="s">
        <v>1311</v>
      </c>
      <c r="P50" s="46" t="s">
        <v>1312</v>
      </c>
      <c r="Q50" s="46" t="s">
        <v>31</v>
      </c>
      <c r="R50" s="46" t="s">
        <v>31</v>
      </c>
      <c r="S50" s="46" t="s">
        <v>31</v>
      </c>
      <c r="T50" s="46" t="s">
        <v>31</v>
      </c>
      <c r="U50" s="46" t="s">
        <v>49</v>
      </c>
    </row>
    <row r="51" spans="1:21">
      <c r="A51" s="46" t="s">
        <v>684</v>
      </c>
      <c r="B51" s="46" t="s">
        <v>80</v>
      </c>
      <c r="C51" s="46" t="s">
        <v>666</v>
      </c>
      <c r="D51" s="46">
        <v>1</v>
      </c>
      <c r="E51" s="46">
        <v>0</v>
      </c>
      <c r="F51" s="46" t="s">
        <v>667</v>
      </c>
      <c r="G51" s="46" t="s">
        <v>1305</v>
      </c>
      <c r="H51" s="46" t="s">
        <v>1424</v>
      </c>
      <c r="I51" s="46" t="str">
        <f ca="1">IFERROR(__xludf.DUMMYFUNCTION("CONCAT(A51,REGEXREPLACE(H51,"".*_L0"",""_L0""))"),"ILB_BN0415_MTG_snRNAseq_rep1_L001_I2_001.fastq.gz")</f>
        <v>ILB_BN0415_MTG_snRNAseq_rep1_L001_I2_001.fastq.gz</v>
      </c>
      <c r="J51" s="46" t="str">
        <f t="shared" si="0"/>
        <v>/data/neurogen/ASAP/scRNAseq/data/batch1_ASAP_snRNA-seq_*/Raw_Data_and_Processing/cellranger_processing/cellranger_fastqs/outs/fastq_path/H*/BN0415_S3_L001_I2_001.fastq.gz</v>
      </c>
      <c r="K51" s="46" t="s">
        <v>1314</v>
      </c>
      <c r="L51" s="46" t="s">
        <v>1425</v>
      </c>
      <c r="M51" s="46" t="s">
        <v>1309</v>
      </c>
      <c r="N51" s="46" t="s">
        <v>1310</v>
      </c>
      <c r="O51" s="46" t="s">
        <v>1311</v>
      </c>
      <c r="P51" s="46" t="s">
        <v>1312</v>
      </c>
      <c r="Q51" s="46" t="s">
        <v>31</v>
      </c>
      <c r="R51" s="46" t="s">
        <v>31</v>
      </c>
      <c r="S51" s="46" t="s">
        <v>31</v>
      </c>
      <c r="T51" s="46" t="s">
        <v>31</v>
      </c>
      <c r="U51" s="46" t="s">
        <v>49</v>
      </c>
    </row>
    <row r="52" spans="1:21">
      <c r="A52" s="46" t="s">
        <v>684</v>
      </c>
      <c r="B52" s="46" t="s">
        <v>80</v>
      </c>
      <c r="C52" s="46" t="s">
        <v>666</v>
      </c>
      <c r="D52" s="46">
        <v>1</v>
      </c>
      <c r="E52" s="46">
        <v>0</v>
      </c>
      <c r="F52" s="46" t="s">
        <v>667</v>
      </c>
      <c r="G52" s="46" t="s">
        <v>1305</v>
      </c>
      <c r="H52" s="46" t="s">
        <v>1426</v>
      </c>
      <c r="I52" s="46" t="str">
        <f ca="1">IFERROR(__xludf.DUMMYFUNCTION("CONCAT(A52,REGEXREPLACE(H52,"".*_L0"",""_L0""))"),"ILB_BN0415_MTG_snRNAseq_rep1_L001_R1_001.fastq.gz")</f>
        <v>ILB_BN0415_MTG_snRNAseq_rep1_L001_R1_001.fastq.gz</v>
      </c>
      <c r="J52" s="46" t="str">
        <f t="shared" si="0"/>
        <v>/data/neurogen/ASAP/scRNAseq/data/batch1_ASAP_snRNA-seq_*/Raw_Data_and_Processing/cellranger_processing/cellranger_fastqs/outs/fastq_path/H*/BN0415_S3_L001_R1_001.fastq.gz</v>
      </c>
      <c r="K52" s="46" t="s">
        <v>1317</v>
      </c>
      <c r="L52" s="46" t="s">
        <v>1427</v>
      </c>
      <c r="M52" s="46" t="s">
        <v>1309</v>
      </c>
      <c r="N52" s="46" t="s">
        <v>1310</v>
      </c>
      <c r="O52" s="46" t="s">
        <v>1311</v>
      </c>
      <c r="P52" s="46" t="s">
        <v>1312</v>
      </c>
      <c r="Q52" s="46" t="s">
        <v>31</v>
      </c>
      <c r="R52" s="46" t="s">
        <v>31</v>
      </c>
      <c r="S52" s="46" t="s">
        <v>31</v>
      </c>
      <c r="T52" s="46" t="s">
        <v>31</v>
      </c>
      <c r="U52" s="46" t="s">
        <v>49</v>
      </c>
    </row>
    <row r="53" spans="1:21">
      <c r="A53" s="46" t="s">
        <v>684</v>
      </c>
      <c r="B53" s="46" t="s">
        <v>80</v>
      </c>
      <c r="C53" s="46" t="s">
        <v>666</v>
      </c>
      <c r="D53" s="46">
        <v>1</v>
      </c>
      <c r="E53" s="46">
        <v>0</v>
      </c>
      <c r="F53" s="46" t="s">
        <v>667</v>
      </c>
      <c r="G53" s="46" t="s">
        <v>1305</v>
      </c>
      <c r="H53" s="46" t="s">
        <v>1428</v>
      </c>
      <c r="I53" s="46" t="str">
        <f ca="1">IFERROR(__xludf.DUMMYFUNCTION("CONCAT(A53,REGEXREPLACE(H53,"".*_L0"",""_L0""))"),"ILB_BN0415_MTG_snRNAseq_rep1_L001_R2_001.fastq.gz")</f>
        <v>ILB_BN0415_MTG_snRNAseq_rep1_L001_R2_001.fastq.gz</v>
      </c>
      <c r="J53" s="46" t="str">
        <f t="shared" si="0"/>
        <v>/data/neurogen/ASAP/scRNAseq/data/batch1_ASAP_snRNA-seq_*/Raw_Data_and_Processing/cellranger_processing/cellranger_fastqs/outs/fastq_path/H*/BN0415_S3_L001_R2_001.fastq.gz</v>
      </c>
      <c r="K53" s="46" t="s">
        <v>1320</v>
      </c>
      <c r="L53" s="46" t="s">
        <v>1429</v>
      </c>
      <c r="M53" s="46" t="s">
        <v>1309</v>
      </c>
      <c r="N53" s="46" t="s">
        <v>1310</v>
      </c>
      <c r="O53" s="46" t="s">
        <v>1311</v>
      </c>
      <c r="P53" s="46" t="s">
        <v>1312</v>
      </c>
      <c r="Q53" s="46" t="s">
        <v>31</v>
      </c>
      <c r="R53" s="46" t="s">
        <v>31</v>
      </c>
      <c r="S53" s="46" t="s">
        <v>31</v>
      </c>
      <c r="T53" s="46" t="s">
        <v>31</v>
      </c>
      <c r="U53" s="46" t="s">
        <v>49</v>
      </c>
    </row>
    <row r="54" spans="1:21">
      <c r="A54" s="46" t="s">
        <v>684</v>
      </c>
      <c r="B54" s="46" t="s">
        <v>80</v>
      </c>
      <c r="C54" s="46" t="s">
        <v>666</v>
      </c>
      <c r="D54" s="46">
        <v>1</v>
      </c>
      <c r="E54" s="46">
        <v>0</v>
      </c>
      <c r="F54" s="46" t="s">
        <v>667</v>
      </c>
      <c r="G54" s="46" t="s">
        <v>1305</v>
      </c>
      <c r="H54" s="46" t="s">
        <v>1430</v>
      </c>
      <c r="I54" s="46" t="str">
        <f ca="1">IFERROR(__xludf.DUMMYFUNCTION("CONCAT(A54,REGEXREPLACE(H54,"".*_L0"",""_L0""))"),"ILB_BN0415_MTG_snRNAseq_rep1_L002_I1_001.fastq.gz")</f>
        <v>ILB_BN0415_MTG_snRNAseq_rep1_L002_I1_001.fastq.gz</v>
      </c>
      <c r="J54" s="46" t="str">
        <f t="shared" si="0"/>
        <v>/data/neurogen/ASAP/scRNAseq/data/batch1_ASAP_snRNA-seq_*/Raw_Data_and_Processing/cellranger_processing/cellranger_fastqs/outs/fastq_path/H*/BN0415_S3_L002_I1_001.fastq.gz</v>
      </c>
      <c r="K54" s="46" t="s">
        <v>1323</v>
      </c>
      <c r="L54" s="46" t="s">
        <v>1431</v>
      </c>
      <c r="M54" s="46" t="s">
        <v>1309</v>
      </c>
      <c r="N54" s="46" t="s">
        <v>1310</v>
      </c>
      <c r="O54" s="46" t="s">
        <v>1311</v>
      </c>
      <c r="P54" s="46" t="s">
        <v>1312</v>
      </c>
      <c r="Q54" s="46" t="s">
        <v>31</v>
      </c>
      <c r="R54" s="46" t="s">
        <v>31</v>
      </c>
      <c r="S54" s="46" t="s">
        <v>31</v>
      </c>
      <c r="T54" s="46" t="s">
        <v>31</v>
      </c>
      <c r="U54" s="46" t="s">
        <v>49</v>
      </c>
    </row>
    <row r="55" spans="1:21">
      <c r="A55" s="46" t="s">
        <v>684</v>
      </c>
      <c r="B55" s="46" t="s">
        <v>80</v>
      </c>
      <c r="C55" s="46" t="s">
        <v>666</v>
      </c>
      <c r="D55" s="46">
        <v>1</v>
      </c>
      <c r="E55" s="46">
        <v>0</v>
      </c>
      <c r="F55" s="46" t="s">
        <v>667</v>
      </c>
      <c r="G55" s="46" t="s">
        <v>1305</v>
      </c>
      <c r="H55" s="46" t="s">
        <v>1432</v>
      </c>
      <c r="I55" s="46" t="str">
        <f ca="1">IFERROR(__xludf.DUMMYFUNCTION("CONCAT(A55,REGEXREPLACE(H55,"".*_L0"",""_L0""))"),"ILB_BN0415_MTG_snRNAseq_rep1_L002_I2_001.fastq.gz")</f>
        <v>ILB_BN0415_MTG_snRNAseq_rep1_L002_I2_001.fastq.gz</v>
      </c>
      <c r="J55" s="46" t="str">
        <f t="shared" si="0"/>
        <v>/data/neurogen/ASAP/scRNAseq/data/batch1_ASAP_snRNA-seq_*/Raw_Data_and_Processing/cellranger_processing/cellranger_fastqs/outs/fastq_path/H*/BN0415_S3_L002_I2_001.fastq.gz</v>
      </c>
      <c r="K55" s="46" t="s">
        <v>1326</v>
      </c>
      <c r="L55" s="46" t="s">
        <v>1433</v>
      </c>
      <c r="M55" s="46" t="s">
        <v>1309</v>
      </c>
      <c r="N55" s="46" t="s">
        <v>1310</v>
      </c>
      <c r="O55" s="46" t="s">
        <v>1311</v>
      </c>
      <c r="P55" s="46" t="s">
        <v>1312</v>
      </c>
      <c r="Q55" s="46" t="s">
        <v>31</v>
      </c>
      <c r="R55" s="46" t="s">
        <v>31</v>
      </c>
      <c r="S55" s="46" t="s">
        <v>31</v>
      </c>
      <c r="T55" s="46" t="s">
        <v>31</v>
      </c>
      <c r="U55" s="46" t="s">
        <v>49</v>
      </c>
    </row>
    <row r="56" spans="1:21">
      <c r="A56" s="46" t="s">
        <v>684</v>
      </c>
      <c r="B56" s="46" t="s">
        <v>80</v>
      </c>
      <c r="C56" s="46" t="s">
        <v>666</v>
      </c>
      <c r="D56" s="46">
        <v>1</v>
      </c>
      <c r="E56" s="46">
        <v>0</v>
      </c>
      <c r="F56" s="46" t="s">
        <v>667</v>
      </c>
      <c r="G56" s="46" t="s">
        <v>1305</v>
      </c>
      <c r="H56" s="46" t="s">
        <v>1434</v>
      </c>
      <c r="I56" s="46" t="str">
        <f ca="1">IFERROR(__xludf.DUMMYFUNCTION("CONCAT(A56,REGEXREPLACE(H56,"".*_L0"",""_L0""))"),"ILB_BN0415_MTG_snRNAseq_rep1_L002_R1_001.fastq.gz")</f>
        <v>ILB_BN0415_MTG_snRNAseq_rep1_L002_R1_001.fastq.gz</v>
      </c>
      <c r="J56" s="46" t="str">
        <f t="shared" si="0"/>
        <v>/data/neurogen/ASAP/scRNAseq/data/batch1_ASAP_snRNA-seq_*/Raw_Data_and_Processing/cellranger_processing/cellranger_fastqs/outs/fastq_path/H*/BN0415_S3_L002_R1_001.fastq.gz</v>
      </c>
      <c r="K56" s="46" t="s">
        <v>1329</v>
      </c>
      <c r="L56" s="46" t="s">
        <v>1435</v>
      </c>
      <c r="M56" s="46" t="s">
        <v>1309</v>
      </c>
      <c r="N56" s="46" t="s">
        <v>1310</v>
      </c>
      <c r="O56" s="46" t="s">
        <v>1311</v>
      </c>
      <c r="P56" s="46" t="s">
        <v>1312</v>
      </c>
      <c r="Q56" s="46" t="s">
        <v>31</v>
      </c>
      <c r="R56" s="46" t="s">
        <v>31</v>
      </c>
      <c r="S56" s="46" t="s">
        <v>31</v>
      </c>
      <c r="T56" s="46" t="s">
        <v>31</v>
      </c>
      <c r="U56" s="46" t="s">
        <v>49</v>
      </c>
    </row>
    <row r="57" spans="1:21">
      <c r="A57" s="46" t="s">
        <v>684</v>
      </c>
      <c r="B57" s="46" t="s">
        <v>80</v>
      </c>
      <c r="C57" s="46" t="s">
        <v>666</v>
      </c>
      <c r="D57" s="46">
        <v>1</v>
      </c>
      <c r="E57" s="46">
        <v>0</v>
      </c>
      <c r="F57" s="46" t="s">
        <v>667</v>
      </c>
      <c r="G57" s="46" t="s">
        <v>1305</v>
      </c>
      <c r="H57" s="46" t="s">
        <v>1436</v>
      </c>
      <c r="I57" s="46" t="str">
        <f ca="1">IFERROR(__xludf.DUMMYFUNCTION("CONCAT(A57,REGEXREPLACE(H57,"".*_L0"",""_L0""))"),"ILB_BN0415_MTG_snRNAseq_rep1_L002_R2_001.fastq.gz")</f>
        <v>ILB_BN0415_MTG_snRNAseq_rep1_L002_R2_001.fastq.gz</v>
      </c>
      <c r="J57" s="46" t="str">
        <f t="shared" si="0"/>
        <v>/data/neurogen/ASAP/scRNAseq/data/batch1_ASAP_snRNA-seq_*/Raw_Data_and_Processing/cellranger_processing/cellranger_fastqs/outs/fastq_path/H*/BN0415_S3_L002_R2_001.fastq.gz</v>
      </c>
      <c r="K57" s="46" t="s">
        <v>1332</v>
      </c>
      <c r="L57" s="46" t="s">
        <v>1437</v>
      </c>
      <c r="M57" s="46" t="s">
        <v>1309</v>
      </c>
      <c r="N57" s="46" t="s">
        <v>1310</v>
      </c>
      <c r="O57" s="46" t="s">
        <v>1311</v>
      </c>
      <c r="P57" s="46" t="s">
        <v>1312</v>
      </c>
      <c r="Q57" s="46" t="s">
        <v>31</v>
      </c>
      <c r="R57" s="46" t="s">
        <v>31</v>
      </c>
      <c r="S57" s="46" t="s">
        <v>31</v>
      </c>
      <c r="T57" s="46" t="s">
        <v>31</v>
      </c>
      <c r="U57" s="46" t="s">
        <v>49</v>
      </c>
    </row>
    <row r="58" spans="1:21">
      <c r="A58" s="46" t="s">
        <v>684</v>
      </c>
      <c r="B58" s="46" t="s">
        <v>80</v>
      </c>
      <c r="C58" s="46" t="s">
        <v>666</v>
      </c>
      <c r="D58" s="46">
        <v>1</v>
      </c>
      <c r="E58" s="46">
        <v>0</v>
      </c>
      <c r="F58" s="46" t="s">
        <v>667</v>
      </c>
      <c r="G58" s="46" t="s">
        <v>1305</v>
      </c>
      <c r="H58" s="46" t="s">
        <v>1438</v>
      </c>
      <c r="I58" s="46" t="str">
        <f ca="1">IFERROR(__xludf.DUMMYFUNCTION("CONCAT(A58,REGEXREPLACE(H58,"".*_L0"",""_L0""))"),"ILB_BN0415_MTG_snRNAseq_rep1_L003_I1_001.fastq.gz")</f>
        <v>ILB_BN0415_MTG_snRNAseq_rep1_L003_I1_001.fastq.gz</v>
      </c>
      <c r="J58" s="46" t="str">
        <f t="shared" si="0"/>
        <v>/data/neurogen/ASAP/scRNAseq/data/batch1_ASAP_snRNA-seq_*/Raw_Data_and_Processing/cellranger_processing/cellranger_fastqs/outs/fastq_path/H*/BN0415_S3_L003_I1_001.fastq.gz</v>
      </c>
      <c r="K58" s="46" t="s">
        <v>1335</v>
      </c>
      <c r="L58" s="46" t="s">
        <v>1439</v>
      </c>
      <c r="M58" s="46" t="s">
        <v>1309</v>
      </c>
      <c r="N58" s="46" t="s">
        <v>1310</v>
      </c>
      <c r="O58" s="46" t="s">
        <v>1311</v>
      </c>
      <c r="P58" s="46" t="s">
        <v>1312</v>
      </c>
      <c r="Q58" s="46" t="s">
        <v>31</v>
      </c>
      <c r="R58" s="46" t="s">
        <v>31</v>
      </c>
      <c r="S58" s="46" t="s">
        <v>31</v>
      </c>
      <c r="T58" s="46" t="s">
        <v>31</v>
      </c>
      <c r="U58" s="46" t="s">
        <v>49</v>
      </c>
    </row>
    <row r="59" spans="1:21">
      <c r="A59" s="46" t="s">
        <v>684</v>
      </c>
      <c r="B59" s="46" t="s">
        <v>80</v>
      </c>
      <c r="C59" s="46" t="s">
        <v>666</v>
      </c>
      <c r="D59" s="46">
        <v>1</v>
      </c>
      <c r="E59" s="46">
        <v>0</v>
      </c>
      <c r="F59" s="46" t="s">
        <v>667</v>
      </c>
      <c r="G59" s="46" t="s">
        <v>1305</v>
      </c>
      <c r="H59" s="46" t="s">
        <v>1440</v>
      </c>
      <c r="I59" s="46" t="str">
        <f ca="1">IFERROR(__xludf.DUMMYFUNCTION("CONCAT(A59,REGEXREPLACE(H59,"".*_L0"",""_L0""))"),"ILB_BN0415_MTG_snRNAseq_rep1_L003_I2_001.fastq.gz")</f>
        <v>ILB_BN0415_MTG_snRNAseq_rep1_L003_I2_001.fastq.gz</v>
      </c>
      <c r="J59" s="46" t="str">
        <f t="shared" si="0"/>
        <v>/data/neurogen/ASAP/scRNAseq/data/batch1_ASAP_snRNA-seq_*/Raw_Data_and_Processing/cellranger_processing/cellranger_fastqs/outs/fastq_path/H*/BN0415_S3_L003_I2_001.fastq.gz</v>
      </c>
      <c r="K59" s="46" t="s">
        <v>1338</v>
      </c>
      <c r="L59" s="46" t="s">
        <v>1441</v>
      </c>
      <c r="M59" s="46" t="s">
        <v>1309</v>
      </c>
      <c r="N59" s="46" t="s">
        <v>1310</v>
      </c>
      <c r="O59" s="46" t="s">
        <v>1311</v>
      </c>
      <c r="P59" s="46" t="s">
        <v>1312</v>
      </c>
      <c r="Q59" s="46" t="s">
        <v>31</v>
      </c>
      <c r="R59" s="46" t="s">
        <v>31</v>
      </c>
      <c r="S59" s="46" t="s">
        <v>31</v>
      </c>
      <c r="T59" s="46" t="s">
        <v>31</v>
      </c>
      <c r="U59" s="46" t="s">
        <v>49</v>
      </c>
    </row>
    <row r="60" spans="1:21">
      <c r="A60" s="46" t="s">
        <v>684</v>
      </c>
      <c r="B60" s="46" t="s">
        <v>80</v>
      </c>
      <c r="C60" s="46" t="s">
        <v>666</v>
      </c>
      <c r="D60" s="46">
        <v>1</v>
      </c>
      <c r="E60" s="46">
        <v>0</v>
      </c>
      <c r="F60" s="46" t="s">
        <v>667</v>
      </c>
      <c r="G60" s="46" t="s">
        <v>1305</v>
      </c>
      <c r="H60" s="46" t="s">
        <v>1442</v>
      </c>
      <c r="I60" s="46" t="str">
        <f ca="1">IFERROR(__xludf.DUMMYFUNCTION("CONCAT(A60,REGEXREPLACE(H60,"".*_L0"",""_L0""))"),"ILB_BN0415_MTG_snRNAseq_rep1_L003_R1_001.fastq.gz")</f>
        <v>ILB_BN0415_MTG_snRNAseq_rep1_L003_R1_001.fastq.gz</v>
      </c>
      <c r="J60" s="46" t="str">
        <f t="shared" si="0"/>
        <v>/data/neurogen/ASAP/scRNAseq/data/batch1_ASAP_snRNA-seq_*/Raw_Data_and_Processing/cellranger_processing/cellranger_fastqs/outs/fastq_path/H*/BN0415_S3_L003_R1_001.fastq.gz</v>
      </c>
      <c r="K60" s="46" t="s">
        <v>1341</v>
      </c>
      <c r="L60" s="46" t="s">
        <v>1443</v>
      </c>
      <c r="M60" s="46" t="s">
        <v>1309</v>
      </c>
      <c r="N60" s="46" t="s">
        <v>1310</v>
      </c>
      <c r="O60" s="46" t="s">
        <v>1311</v>
      </c>
      <c r="P60" s="46" t="s">
        <v>1312</v>
      </c>
      <c r="Q60" s="46" t="s">
        <v>31</v>
      </c>
      <c r="R60" s="46" t="s">
        <v>31</v>
      </c>
      <c r="S60" s="46" t="s">
        <v>31</v>
      </c>
      <c r="T60" s="46" t="s">
        <v>31</v>
      </c>
      <c r="U60" s="46" t="s">
        <v>49</v>
      </c>
    </row>
    <row r="61" spans="1:21">
      <c r="A61" s="46" t="s">
        <v>684</v>
      </c>
      <c r="B61" s="46" t="s">
        <v>80</v>
      </c>
      <c r="C61" s="46" t="s">
        <v>666</v>
      </c>
      <c r="D61" s="46">
        <v>1</v>
      </c>
      <c r="E61" s="46">
        <v>0</v>
      </c>
      <c r="F61" s="46" t="s">
        <v>667</v>
      </c>
      <c r="G61" s="46" t="s">
        <v>1305</v>
      </c>
      <c r="H61" s="46" t="s">
        <v>1444</v>
      </c>
      <c r="I61" s="46" t="str">
        <f ca="1">IFERROR(__xludf.DUMMYFUNCTION("CONCAT(A61,REGEXREPLACE(H61,"".*_L0"",""_L0""))"),"ILB_BN0415_MTG_snRNAseq_rep1_L003_R2_001.fastq.gz")</f>
        <v>ILB_BN0415_MTG_snRNAseq_rep1_L003_R2_001.fastq.gz</v>
      </c>
      <c r="J61" s="46" t="str">
        <f t="shared" si="0"/>
        <v>/data/neurogen/ASAP/scRNAseq/data/batch1_ASAP_snRNA-seq_*/Raw_Data_and_Processing/cellranger_processing/cellranger_fastqs/outs/fastq_path/H*/BN0415_S3_L003_R2_001.fastq.gz</v>
      </c>
      <c r="K61" s="46" t="s">
        <v>1344</v>
      </c>
      <c r="L61" s="46" t="s">
        <v>1445</v>
      </c>
      <c r="M61" s="46" t="s">
        <v>1309</v>
      </c>
      <c r="N61" s="46" t="s">
        <v>1310</v>
      </c>
      <c r="O61" s="46" t="s">
        <v>1311</v>
      </c>
      <c r="P61" s="46" t="s">
        <v>1312</v>
      </c>
      <c r="Q61" s="46" t="s">
        <v>31</v>
      </c>
      <c r="R61" s="46" t="s">
        <v>31</v>
      </c>
      <c r="S61" s="46" t="s">
        <v>31</v>
      </c>
      <c r="T61" s="46" t="s">
        <v>31</v>
      </c>
      <c r="U61" s="46" t="s">
        <v>49</v>
      </c>
    </row>
    <row r="62" spans="1:21">
      <c r="A62" s="46" t="s">
        <v>684</v>
      </c>
      <c r="B62" s="46" t="s">
        <v>80</v>
      </c>
      <c r="C62" s="46" t="s">
        <v>666</v>
      </c>
      <c r="D62" s="46">
        <v>1</v>
      </c>
      <c r="E62" s="46">
        <v>0</v>
      </c>
      <c r="F62" s="46" t="s">
        <v>667</v>
      </c>
      <c r="G62" s="46" t="s">
        <v>1305</v>
      </c>
      <c r="H62" s="46" t="s">
        <v>1446</v>
      </c>
      <c r="I62" s="46" t="str">
        <f ca="1">IFERROR(__xludf.DUMMYFUNCTION("CONCAT(A62,REGEXREPLACE(H62,"".*_L0"",""_L0""))"),"ILB_BN0415_MTG_snRNAseq_rep1_L004_I1_001.fastq.gz")</f>
        <v>ILB_BN0415_MTG_snRNAseq_rep1_L004_I1_001.fastq.gz</v>
      </c>
      <c r="J62" s="46" t="str">
        <f t="shared" si="0"/>
        <v>/data/neurogen/ASAP/scRNAseq/data/batch1_ASAP_snRNA-seq_*/Raw_Data_and_Processing/cellranger_processing/cellranger_fastqs/outs/fastq_path/H*/BN0415_S3_L004_I1_001.fastq.gz</v>
      </c>
      <c r="K62" s="46" t="s">
        <v>1347</v>
      </c>
      <c r="L62" s="46" t="s">
        <v>1447</v>
      </c>
      <c r="M62" s="46" t="s">
        <v>1309</v>
      </c>
      <c r="N62" s="46" t="s">
        <v>1310</v>
      </c>
      <c r="O62" s="46" t="s">
        <v>1311</v>
      </c>
      <c r="P62" s="46" t="s">
        <v>1312</v>
      </c>
      <c r="Q62" s="46" t="s">
        <v>31</v>
      </c>
      <c r="R62" s="46" t="s">
        <v>31</v>
      </c>
      <c r="S62" s="46" t="s">
        <v>31</v>
      </c>
      <c r="T62" s="46" t="s">
        <v>31</v>
      </c>
      <c r="U62" s="46" t="s">
        <v>49</v>
      </c>
    </row>
    <row r="63" spans="1:21">
      <c r="A63" s="46" t="s">
        <v>684</v>
      </c>
      <c r="B63" s="46" t="s">
        <v>80</v>
      </c>
      <c r="C63" s="46" t="s">
        <v>666</v>
      </c>
      <c r="D63" s="46">
        <v>1</v>
      </c>
      <c r="E63" s="46">
        <v>0</v>
      </c>
      <c r="F63" s="46" t="s">
        <v>667</v>
      </c>
      <c r="G63" s="46" t="s">
        <v>1305</v>
      </c>
      <c r="H63" s="46" t="s">
        <v>1448</v>
      </c>
      <c r="I63" s="46" t="str">
        <f ca="1">IFERROR(__xludf.DUMMYFUNCTION("CONCAT(A63,REGEXREPLACE(H63,"".*_L0"",""_L0""))"),"ILB_BN0415_MTG_snRNAseq_rep1_L004_I2_001.fastq.gz")</f>
        <v>ILB_BN0415_MTG_snRNAseq_rep1_L004_I2_001.fastq.gz</v>
      </c>
      <c r="J63" s="46" t="str">
        <f t="shared" si="0"/>
        <v>/data/neurogen/ASAP/scRNAseq/data/batch1_ASAP_snRNA-seq_*/Raw_Data_and_Processing/cellranger_processing/cellranger_fastqs/outs/fastq_path/H*/BN0415_S3_L004_I2_001.fastq.gz</v>
      </c>
      <c r="K63" s="46" t="s">
        <v>1350</v>
      </c>
      <c r="L63" s="46" t="s">
        <v>1449</v>
      </c>
      <c r="M63" s="46" t="s">
        <v>1309</v>
      </c>
      <c r="N63" s="46" t="s">
        <v>1310</v>
      </c>
      <c r="O63" s="46" t="s">
        <v>1311</v>
      </c>
      <c r="P63" s="46" t="s">
        <v>1312</v>
      </c>
      <c r="Q63" s="46" t="s">
        <v>31</v>
      </c>
      <c r="R63" s="46" t="s">
        <v>31</v>
      </c>
      <c r="S63" s="46" t="s">
        <v>31</v>
      </c>
      <c r="T63" s="46" t="s">
        <v>31</v>
      </c>
      <c r="U63" s="46" t="s">
        <v>49</v>
      </c>
    </row>
    <row r="64" spans="1:21">
      <c r="A64" s="46" t="s">
        <v>684</v>
      </c>
      <c r="B64" s="46" t="s">
        <v>80</v>
      </c>
      <c r="C64" s="46" t="s">
        <v>666</v>
      </c>
      <c r="D64" s="46">
        <v>1</v>
      </c>
      <c r="E64" s="46">
        <v>0</v>
      </c>
      <c r="F64" s="46" t="s">
        <v>667</v>
      </c>
      <c r="G64" s="46" t="s">
        <v>1305</v>
      </c>
      <c r="H64" s="46" t="s">
        <v>1450</v>
      </c>
      <c r="I64" s="46" t="str">
        <f ca="1">IFERROR(__xludf.DUMMYFUNCTION("CONCAT(A64,REGEXREPLACE(H64,"".*_L0"",""_L0""))"),"ILB_BN0415_MTG_snRNAseq_rep1_L004_R1_001.fastq.gz")</f>
        <v>ILB_BN0415_MTG_snRNAseq_rep1_L004_R1_001.fastq.gz</v>
      </c>
      <c r="J64" s="46" t="str">
        <f t="shared" si="0"/>
        <v>/data/neurogen/ASAP/scRNAseq/data/batch1_ASAP_snRNA-seq_*/Raw_Data_and_Processing/cellranger_processing/cellranger_fastqs/outs/fastq_path/H*/BN0415_S3_L004_R1_001.fastq.gz</v>
      </c>
      <c r="K64" s="46" t="s">
        <v>1353</v>
      </c>
      <c r="L64" s="46" t="s">
        <v>1451</v>
      </c>
      <c r="M64" s="46" t="s">
        <v>1309</v>
      </c>
      <c r="N64" s="46" t="s">
        <v>1310</v>
      </c>
      <c r="O64" s="46" t="s">
        <v>1311</v>
      </c>
      <c r="P64" s="46" t="s">
        <v>1312</v>
      </c>
      <c r="Q64" s="46" t="s">
        <v>31</v>
      </c>
      <c r="R64" s="46" t="s">
        <v>31</v>
      </c>
      <c r="S64" s="46" t="s">
        <v>31</v>
      </c>
      <c r="T64" s="46" t="s">
        <v>31</v>
      </c>
      <c r="U64" s="46" t="s">
        <v>49</v>
      </c>
    </row>
    <row r="65" spans="1:21">
      <c r="A65" s="46" t="s">
        <v>684</v>
      </c>
      <c r="B65" s="46" t="s">
        <v>80</v>
      </c>
      <c r="C65" s="46" t="s">
        <v>666</v>
      </c>
      <c r="D65" s="46">
        <v>1</v>
      </c>
      <c r="E65" s="46">
        <v>0</v>
      </c>
      <c r="F65" s="46" t="s">
        <v>667</v>
      </c>
      <c r="G65" s="46" t="s">
        <v>1305</v>
      </c>
      <c r="H65" s="46" t="s">
        <v>1452</v>
      </c>
      <c r="I65" s="46" t="str">
        <f ca="1">IFERROR(__xludf.DUMMYFUNCTION("CONCAT(A65,REGEXREPLACE(H65,"".*_L0"",""_L0""))"),"ILB_BN0415_MTG_snRNAseq_rep1_L004_R2_001.fastq.gz")</f>
        <v>ILB_BN0415_MTG_snRNAseq_rep1_L004_R2_001.fastq.gz</v>
      </c>
      <c r="J65" s="46" t="str">
        <f t="shared" si="0"/>
        <v>/data/neurogen/ASAP/scRNAseq/data/batch1_ASAP_snRNA-seq_*/Raw_Data_and_Processing/cellranger_processing/cellranger_fastqs/outs/fastq_path/H*/BN0415_S3_L004_R2_001.fastq.gz</v>
      </c>
      <c r="K65" s="46" t="s">
        <v>1356</v>
      </c>
      <c r="L65" s="46" t="s">
        <v>1453</v>
      </c>
      <c r="M65" s="46" t="s">
        <v>1309</v>
      </c>
      <c r="N65" s="46" t="s">
        <v>1310</v>
      </c>
      <c r="O65" s="46" t="s">
        <v>1311</v>
      </c>
      <c r="P65" s="46" t="s">
        <v>1312</v>
      </c>
      <c r="Q65" s="46" t="s">
        <v>31</v>
      </c>
      <c r="R65" s="46" t="s">
        <v>31</v>
      </c>
      <c r="S65" s="46" t="s">
        <v>31</v>
      </c>
      <c r="T65" s="46" t="s">
        <v>31</v>
      </c>
      <c r="U65" s="46" t="s">
        <v>49</v>
      </c>
    </row>
    <row r="66" spans="1:21">
      <c r="A66" s="46" t="s">
        <v>678</v>
      </c>
      <c r="B66" s="46" t="s">
        <v>65</v>
      </c>
      <c r="C66" s="46" t="s">
        <v>666</v>
      </c>
      <c r="D66" s="46">
        <v>1</v>
      </c>
      <c r="E66" s="46">
        <v>0</v>
      </c>
      <c r="F66" s="46" t="s">
        <v>679</v>
      </c>
      <c r="G66" s="46" t="s">
        <v>1305</v>
      </c>
      <c r="H66" s="46" t="s">
        <v>1454</v>
      </c>
      <c r="I66" s="46" t="str">
        <f ca="1">IFERROR(__xludf.DUMMYFUNCTION("CONCAT(A66,REGEXREPLACE(H66,"".*_L0"",""_L0""))"),"PD_BN0329_MTG_snRNAseq_rep1_L001_I1_001.fastq.gz")</f>
        <v>PD_BN0329_MTG_snRNAseq_rep1_L001_I1_001.fastq.gz</v>
      </c>
      <c r="J66" s="46" t="str">
        <f t="shared" si="0"/>
        <v>/data/neurogen/ASAP/scRNAseq/data/batch2_ASAP_snRNA-seq_*/Raw_Data_and_Processing/cellranger_processing/cellranger_fastqs/outs/fastq_path/H*/BN0329_S1_L001_I1_001.fastq.gz</v>
      </c>
      <c r="K66" s="46" t="s">
        <v>1307</v>
      </c>
      <c r="L66" s="46" t="s">
        <v>1455</v>
      </c>
      <c r="M66" s="46" t="s">
        <v>1309</v>
      </c>
      <c r="N66" s="46" t="s">
        <v>1310</v>
      </c>
      <c r="O66" s="46" t="s">
        <v>1311</v>
      </c>
      <c r="P66" s="46" t="s">
        <v>1312</v>
      </c>
      <c r="Q66" s="46" t="s">
        <v>31</v>
      </c>
      <c r="R66" s="46" t="s">
        <v>31</v>
      </c>
      <c r="S66" s="46" t="s">
        <v>31</v>
      </c>
      <c r="T66" s="46" t="s">
        <v>31</v>
      </c>
      <c r="U66" s="46" t="s">
        <v>49</v>
      </c>
    </row>
    <row r="67" spans="1:21">
      <c r="A67" s="46" t="s">
        <v>678</v>
      </c>
      <c r="B67" s="46" t="s">
        <v>65</v>
      </c>
      <c r="C67" s="46" t="s">
        <v>666</v>
      </c>
      <c r="D67" s="46">
        <v>1</v>
      </c>
      <c r="E67" s="46">
        <v>0</v>
      </c>
      <c r="F67" s="46" t="s">
        <v>679</v>
      </c>
      <c r="G67" s="46" t="s">
        <v>1305</v>
      </c>
      <c r="H67" s="46" t="s">
        <v>1456</v>
      </c>
      <c r="I67" s="46" t="str">
        <f ca="1">IFERROR(__xludf.DUMMYFUNCTION("CONCAT(A67,REGEXREPLACE(H67,"".*_L0"",""_L0""))"),"PD_BN0329_MTG_snRNAseq_rep1_L001_I2_001.fastq.gz")</f>
        <v>PD_BN0329_MTG_snRNAseq_rep1_L001_I2_001.fastq.gz</v>
      </c>
      <c r="J67" s="46" t="str">
        <f t="shared" si="0"/>
        <v>/data/neurogen/ASAP/scRNAseq/data/batch2_ASAP_snRNA-seq_*/Raw_Data_and_Processing/cellranger_processing/cellranger_fastqs/outs/fastq_path/H*/BN0329_S1_L001_I2_001.fastq.gz</v>
      </c>
      <c r="K67" s="46" t="s">
        <v>1314</v>
      </c>
      <c r="L67" s="46" t="s">
        <v>1457</v>
      </c>
      <c r="M67" s="46" t="s">
        <v>1309</v>
      </c>
      <c r="N67" s="46" t="s">
        <v>1310</v>
      </c>
      <c r="O67" s="46" t="s">
        <v>1311</v>
      </c>
      <c r="P67" s="46" t="s">
        <v>1312</v>
      </c>
      <c r="Q67" s="46" t="s">
        <v>31</v>
      </c>
      <c r="R67" s="46" t="s">
        <v>31</v>
      </c>
      <c r="S67" s="46" t="s">
        <v>31</v>
      </c>
      <c r="T67" s="46" t="s">
        <v>31</v>
      </c>
      <c r="U67" s="46" t="s">
        <v>49</v>
      </c>
    </row>
    <row r="68" spans="1:21">
      <c r="A68" s="46" t="s">
        <v>678</v>
      </c>
      <c r="B68" s="46" t="s">
        <v>65</v>
      </c>
      <c r="C68" s="46" t="s">
        <v>666</v>
      </c>
      <c r="D68" s="46">
        <v>1</v>
      </c>
      <c r="E68" s="46">
        <v>0</v>
      </c>
      <c r="F68" s="46" t="s">
        <v>679</v>
      </c>
      <c r="G68" s="46" t="s">
        <v>1305</v>
      </c>
      <c r="H68" s="46" t="s">
        <v>1458</v>
      </c>
      <c r="I68" s="46" t="str">
        <f ca="1">IFERROR(__xludf.DUMMYFUNCTION("CONCAT(A68,REGEXREPLACE(H68,"".*_L0"",""_L0""))"),"PD_BN0329_MTG_snRNAseq_rep1_L001_R1_001.fastq.gz")</f>
        <v>PD_BN0329_MTG_snRNAseq_rep1_L001_R1_001.fastq.gz</v>
      </c>
      <c r="J68" s="46" t="str">
        <f t="shared" si="0"/>
        <v>/data/neurogen/ASAP/scRNAseq/data/batch2_ASAP_snRNA-seq_*/Raw_Data_and_Processing/cellranger_processing/cellranger_fastqs/outs/fastq_path/H*/BN0329_S1_L001_R1_001.fastq.gz</v>
      </c>
      <c r="K68" s="46" t="s">
        <v>1317</v>
      </c>
      <c r="L68" s="46" t="s">
        <v>1459</v>
      </c>
      <c r="M68" s="46" t="s">
        <v>1309</v>
      </c>
      <c r="N68" s="46" t="s">
        <v>1310</v>
      </c>
      <c r="O68" s="46" t="s">
        <v>1311</v>
      </c>
      <c r="P68" s="46" t="s">
        <v>1312</v>
      </c>
      <c r="Q68" s="46" t="s">
        <v>31</v>
      </c>
      <c r="R68" s="46" t="s">
        <v>31</v>
      </c>
      <c r="S68" s="46" t="s">
        <v>31</v>
      </c>
      <c r="T68" s="46" t="s">
        <v>31</v>
      </c>
      <c r="U68" s="46" t="s">
        <v>49</v>
      </c>
    </row>
    <row r="69" spans="1:21">
      <c r="A69" s="46" t="s">
        <v>678</v>
      </c>
      <c r="B69" s="46" t="s">
        <v>65</v>
      </c>
      <c r="C69" s="46" t="s">
        <v>666</v>
      </c>
      <c r="D69" s="46">
        <v>1</v>
      </c>
      <c r="E69" s="46">
        <v>0</v>
      </c>
      <c r="F69" s="46" t="s">
        <v>679</v>
      </c>
      <c r="G69" s="46" t="s">
        <v>1305</v>
      </c>
      <c r="H69" s="46" t="s">
        <v>1460</v>
      </c>
      <c r="I69" s="46" t="str">
        <f ca="1">IFERROR(__xludf.DUMMYFUNCTION("CONCAT(A69,REGEXREPLACE(H69,"".*_L0"",""_L0""))"),"PD_BN0329_MTG_snRNAseq_rep1_L001_R2_001.fastq.gz")</f>
        <v>PD_BN0329_MTG_snRNAseq_rep1_L001_R2_001.fastq.gz</v>
      </c>
      <c r="J69" s="46" t="str">
        <f t="shared" si="0"/>
        <v>/data/neurogen/ASAP/scRNAseq/data/batch2_ASAP_snRNA-seq_*/Raw_Data_and_Processing/cellranger_processing/cellranger_fastqs/outs/fastq_path/H*/BN0329_S1_L001_R2_001.fastq.gz</v>
      </c>
      <c r="K69" s="46" t="s">
        <v>1320</v>
      </c>
      <c r="L69" s="46" t="s">
        <v>1461</v>
      </c>
      <c r="M69" s="46" t="s">
        <v>1309</v>
      </c>
      <c r="N69" s="46" t="s">
        <v>1310</v>
      </c>
      <c r="O69" s="46" t="s">
        <v>1311</v>
      </c>
      <c r="P69" s="46" t="s">
        <v>1312</v>
      </c>
      <c r="Q69" s="46" t="s">
        <v>31</v>
      </c>
      <c r="R69" s="46" t="s">
        <v>31</v>
      </c>
      <c r="S69" s="46" t="s">
        <v>31</v>
      </c>
      <c r="T69" s="46" t="s">
        <v>31</v>
      </c>
      <c r="U69" s="46" t="s">
        <v>49</v>
      </c>
    </row>
    <row r="70" spans="1:21">
      <c r="A70" s="46" t="s">
        <v>678</v>
      </c>
      <c r="B70" s="46" t="s">
        <v>65</v>
      </c>
      <c r="C70" s="46" t="s">
        <v>666</v>
      </c>
      <c r="D70" s="46">
        <v>1</v>
      </c>
      <c r="E70" s="46">
        <v>0</v>
      </c>
      <c r="F70" s="46" t="s">
        <v>679</v>
      </c>
      <c r="G70" s="46" t="s">
        <v>1305</v>
      </c>
      <c r="H70" s="46" t="s">
        <v>1462</v>
      </c>
      <c r="I70" s="46" t="str">
        <f ca="1">IFERROR(__xludf.DUMMYFUNCTION("CONCAT(A70,REGEXREPLACE(H70,"".*_L0"",""_L0""))"),"PD_BN0329_MTG_snRNAseq_rep1_L002_I1_001.fastq.gz")</f>
        <v>PD_BN0329_MTG_snRNAseq_rep1_L002_I1_001.fastq.gz</v>
      </c>
      <c r="J70" s="46" t="str">
        <f t="shared" si="0"/>
        <v>/data/neurogen/ASAP/scRNAseq/data/batch2_ASAP_snRNA-seq_*/Raw_Data_and_Processing/cellranger_processing/cellranger_fastqs/outs/fastq_path/H*/BN0329_S1_L002_I1_001.fastq.gz</v>
      </c>
      <c r="K70" s="46" t="s">
        <v>1323</v>
      </c>
      <c r="L70" s="46" t="s">
        <v>1463</v>
      </c>
      <c r="M70" s="46" t="s">
        <v>1309</v>
      </c>
      <c r="N70" s="46" t="s">
        <v>1310</v>
      </c>
      <c r="O70" s="46" t="s">
        <v>1311</v>
      </c>
      <c r="P70" s="46" t="s">
        <v>1312</v>
      </c>
      <c r="Q70" s="46" t="s">
        <v>31</v>
      </c>
      <c r="R70" s="46" t="s">
        <v>31</v>
      </c>
      <c r="S70" s="46" t="s">
        <v>31</v>
      </c>
      <c r="T70" s="46" t="s">
        <v>31</v>
      </c>
      <c r="U70" s="46" t="s">
        <v>49</v>
      </c>
    </row>
    <row r="71" spans="1:21">
      <c r="A71" s="46" t="s">
        <v>678</v>
      </c>
      <c r="B71" s="46" t="s">
        <v>65</v>
      </c>
      <c r="C71" s="46" t="s">
        <v>666</v>
      </c>
      <c r="D71" s="46">
        <v>1</v>
      </c>
      <c r="E71" s="46">
        <v>0</v>
      </c>
      <c r="F71" s="46" t="s">
        <v>679</v>
      </c>
      <c r="G71" s="46" t="s">
        <v>1305</v>
      </c>
      <c r="H71" s="46" t="s">
        <v>1464</v>
      </c>
      <c r="I71" s="46" t="str">
        <f ca="1">IFERROR(__xludf.DUMMYFUNCTION("CONCAT(A71,REGEXREPLACE(H71,"".*_L0"",""_L0""))"),"PD_BN0329_MTG_snRNAseq_rep1_L002_I2_001.fastq.gz")</f>
        <v>PD_BN0329_MTG_snRNAseq_rep1_L002_I2_001.fastq.gz</v>
      </c>
      <c r="J71" s="46" t="str">
        <f t="shared" si="0"/>
        <v>/data/neurogen/ASAP/scRNAseq/data/batch2_ASAP_snRNA-seq_*/Raw_Data_and_Processing/cellranger_processing/cellranger_fastqs/outs/fastq_path/H*/BN0329_S1_L002_I2_001.fastq.gz</v>
      </c>
      <c r="K71" s="46" t="s">
        <v>1326</v>
      </c>
      <c r="L71" s="46" t="s">
        <v>1465</v>
      </c>
      <c r="M71" s="46" t="s">
        <v>1309</v>
      </c>
      <c r="N71" s="46" t="s">
        <v>1310</v>
      </c>
      <c r="O71" s="46" t="s">
        <v>1311</v>
      </c>
      <c r="P71" s="46" t="s">
        <v>1312</v>
      </c>
      <c r="Q71" s="46" t="s">
        <v>31</v>
      </c>
      <c r="R71" s="46" t="s">
        <v>31</v>
      </c>
      <c r="S71" s="46" t="s">
        <v>31</v>
      </c>
      <c r="T71" s="46" t="s">
        <v>31</v>
      </c>
      <c r="U71" s="46" t="s">
        <v>49</v>
      </c>
    </row>
    <row r="72" spans="1:21">
      <c r="A72" s="46" t="s">
        <v>678</v>
      </c>
      <c r="B72" s="46" t="s">
        <v>65</v>
      </c>
      <c r="C72" s="46" t="s">
        <v>666</v>
      </c>
      <c r="D72" s="46">
        <v>1</v>
      </c>
      <c r="E72" s="46">
        <v>0</v>
      </c>
      <c r="F72" s="46" t="s">
        <v>679</v>
      </c>
      <c r="G72" s="46" t="s">
        <v>1305</v>
      </c>
      <c r="H72" s="46" t="s">
        <v>1466</v>
      </c>
      <c r="I72" s="46" t="str">
        <f ca="1">IFERROR(__xludf.DUMMYFUNCTION("CONCAT(A72,REGEXREPLACE(H72,"".*_L0"",""_L0""))"),"PD_BN0329_MTG_snRNAseq_rep1_L002_R1_001.fastq.gz")</f>
        <v>PD_BN0329_MTG_snRNAseq_rep1_L002_R1_001.fastq.gz</v>
      </c>
      <c r="J72" s="46" t="str">
        <f t="shared" si="0"/>
        <v>/data/neurogen/ASAP/scRNAseq/data/batch2_ASAP_snRNA-seq_*/Raw_Data_and_Processing/cellranger_processing/cellranger_fastqs/outs/fastq_path/H*/BN0329_S1_L002_R1_001.fastq.gz</v>
      </c>
      <c r="K72" s="46" t="s">
        <v>1329</v>
      </c>
      <c r="L72" s="46" t="s">
        <v>1467</v>
      </c>
      <c r="M72" s="46" t="s">
        <v>1309</v>
      </c>
      <c r="N72" s="46" t="s">
        <v>1310</v>
      </c>
      <c r="O72" s="46" t="s">
        <v>1311</v>
      </c>
      <c r="P72" s="46" t="s">
        <v>1312</v>
      </c>
      <c r="Q72" s="46" t="s">
        <v>31</v>
      </c>
      <c r="R72" s="46" t="s">
        <v>31</v>
      </c>
      <c r="S72" s="46" t="s">
        <v>31</v>
      </c>
      <c r="T72" s="46" t="s">
        <v>31</v>
      </c>
      <c r="U72" s="46" t="s">
        <v>49</v>
      </c>
    </row>
    <row r="73" spans="1:21">
      <c r="A73" s="46" t="s">
        <v>678</v>
      </c>
      <c r="B73" s="46" t="s">
        <v>65</v>
      </c>
      <c r="C73" s="46" t="s">
        <v>666</v>
      </c>
      <c r="D73" s="46">
        <v>1</v>
      </c>
      <c r="E73" s="46">
        <v>0</v>
      </c>
      <c r="F73" s="46" t="s">
        <v>679</v>
      </c>
      <c r="G73" s="46" t="s">
        <v>1305</v>
      </c>
      <c r="H73" s="46" t="s">
        <v>1468</v>
      </c>
      <c r="I73" s="46" t="str">
        <f ca="1">IFERROR(__xludf.DUMMYFUNCTION("CONCAT(A73,REGEXREPLACE(H73,"".*_L0"",""_L0""))"),"PD_BN0329_MTG_snRNAseq_rep1_L002_R2_001.fastq.gz")</f>
        <v>PD_BN0329_MTG_snRNAseq_rep1_L002_R2_001.fastq.gz</v>
      </c>
      <c r="J73" s="46" t="str">
        <f t="shared" si="0"/>
        <v>/data/neurogen/ASAP/scRNAseq/data/batch2_ASAP_snRNA-seq_*/Raw_Data_and_Processing/cellranger_processing/cellranger_fastqs/outs/fastq_path/H*/BN0329_S1_L002_R2_001.fastq.gz</v>
      </c>
      <c r="K73" s="46" t="s">
        <v>1332</v>
      </c>
      <c r="L73" s="46" t="s">
        <v>1469</v>
      </c>
      <c r="M73" s="46" t="s">
        <v>1309</v>
      </c>
      <c r="N73" s="46" t="s">
        <v>1310</v>
      </c>
      <c r="O73" s="46" t="s">
        <v>1311</v>
      </c>
      <c r="P73" s="46" t="s">
        <v>1312</v>
      </c>
      <c r="Q73" s="46" t="s">
        <v>31</v>
      </c>
      <c r="R73" s="46" t="s">
        <v>31</v>
      </c>
      <c r="S73" s="46" t="s">
        <v>31</v>
      </c>
      <c r="T73" s="46" t="s">
        <v>31</v>
      </c>
      <c r="U73" s="46" t="s">
        <v>49</v>
      </c>
    </row>
    <row r="74" spans="1:21">
      <c r="A74" s="46" t="s">
        <v>678</v>
      </c>
      <c r="B74" s="46" t="s">
        <v>65</v>
      </c>
      <c r="C74" s="46" t="s">
        <v>666</v>
      </c>
      <c r="D74" s="46">
        <v>1</v>
      </c>
      <c r="E74" s="46">
        <v>0</v>
      </c>
      <c r="F74" s="46" t="s">
        <v>679</v>
      </c>
      <c r="G74" s="46" t="s">
        <v>1305</v>
      </c>
      <c r="H74" s="46" t="s">
        <v>1470</v>
      </c>
      <c r="I74" s="46" t="str">
        <f ca="1">IFERROR(__xludf.DUMMYFUNCTION("CONCAT(A74,REGEXREPLACE(H74,"".*_L0"",""_L0""))"),"PD_BN0329_MTG_snRNAseq_rep1_L003_I1_001.fastq.gz")</f>
        <v>PD_BN0329_MTG_snRNAseq_rep1_L003_I1_001.fastq.gz</v>
      </c>
      <c r="J74" s="46" t="str">
        <f t="shared" si="0"/>
        <v>/data/neurogen/ASAP/scRNAseq/data/batch2_ASAP_snRNA-seq_*/Raw_Data_and_Processing/cellranger_processing/cellranger_fastqs/outs/fastq_path/H*/BN0329_S1_L003_I1_001.fastq.gz</v>
      </c>
      <c r="K74" s="46" t="s">
        <v>1335</v>
      </c>
      <c r="L74" s="46" t="s">
        <v>1471</v>
      </c>
      <c r="M74" s="46" t="s">
        <v>1309</v>
      </c>
      <c r="N74" s="46" t="s">
        <v>1310</v>
      </c>
      <c r="O74" s="46" t="s">
        <v>1311</v>
      </c>
      <c r="P74" s="46" t="s">
        <v>1312</v>
      </c>
      <c r="Q74" s="46" t="s">
        <v>31</v>
      </c>
      <c r="R74" s="46" t="s">
        <v>31</v>
      </c>
      <c r="S74" s="46" t="s">
        <v>31</v>
      </c>
      <c r="T74" s="46" t="s">
        <v>31</v>
      </c>
      <c r="U74" s="46" t="s">
        <v>49</v>
      </c>
    </row>
    <row r="75" spans="1:21">
      <c r="A75" s="46" t="s">
        <v>678</v>
      </c>
      <c r="B75" s="46" t="s">
        <v>65</v>
      </c>
      <c r="C75" s="46" t="s">
        <v>666</v>
      </c>
      <c r="D75" s="46">
        <v>1</v>
      </c>
      <c r="E75" s="46">
        <v>0</v>
      </c>
      <c r="F75" s="46" t="s">
        <v>679</v>
      </c>
      <c r="G75" s="46" t="s">
        <v>1305</v>
      </c>
      <c r="H75" s="46" t="s">
        <v>1472</v>
      </c>
      <c r="I75" s="46" t="str">
        <f ca="1">IFERROR(__xludf.DUMMYFUNCTION("CONCAT(A75,REGEXREPLACE(H75,"".*_L0"",""_L0""))"),"PD_BN0329_MTG_snRNAseq_rep1_L003_I2_001.fastq.gz")</f>
        <v>PD_BN0329_MTG_snRNAseq_rep1_L003_I2_001.fastq.gz</v>
      </c>
      <c r="J75" s="46" t="str">
        <f t="shared" si="0"/>
        <v>/data/neurogen/ASAP/scRNAseq/data/batch2_ASAP_snRNA-seq_*/Raw_Data_and_Processing/cellranger_processing/cellranger_fastqs/outs/fastq_path/H*/BN0329_S1_L003_I2_001.fastq.gz</v>
      </c>
      <c r="K75" s="46" t="s">
        <v>1338</v>
      </c>
      <c r="L75" s="46" t="s">
        <v>1473</v>
      </c>
      <c r="M75" s="46" t="s">
        <v>1309</v>
      </c>
      <c r="N75" s="46" t="s">
        <v>1310</v>
      </c>
      <c r="O75" s="46" t="s">
        <v>1311</v>
      </c>
      <c r="P75" s="46" t="s">
        <v>1312</v>
      </c>
      <c r="Q75" s="46" t="s">
        <v>31</v>
      </c>
      <c r="R75" s="46" t="s">
        <v>31</v>
      </c>
      <c r="S75" s="46" t="s">
        <v>31</v>
      </c>
      <c r="T75" s="46" t="s">
        <v>31</v>
      </c>
      <c r="U75" s="46" t="s">
        <v>49</v>
      </c>
    </row>
    <row r="76" spans="1:21">
      <c r="A76" s="46" t="s">
        <v>678</v>
      </c>
      <c r="B76" s="46" t="s">
        <v>65</v>
      </c>
      <c r="C76" s="46" t="s">
        <v>666</v>
      </c>
      <c r="D76" s="46">
        <v>1</v>
      </c>
      <c r="E76" s="46">
        <v>0</v>
      </c>
      <c r="F76" s="46" t="s">
        <v>679</v>
      </c>
      <c r="G76" s="46" t="s">
        <v>1305</v>
      </c>
      <c r="H76" s="46" t="s">
        <v>1474</v>
      </c>
      <c r="I76" s="46" t="str">
        <f ca="1">IFERROR(__xludf.DUMMYFUNCTION("CONCAT(A76,REGEXREPLACE(H76,"".*_L0"",""_L0""))"),"PD_BN0329_MTG_snRNAseq_rep1_L003_R1_001.fastq.gz")</f>
        <v>PD_BN0329_MTG_snRNAseq_rep1_L003_R1_001.fastq.gz</v>
      </c>
      <c r="J76" s="46" t="str">
        <f t="shared" si="0"/>
        <v>/data/neurogen/ASAP/scRNAseq/data/batch2_ASAP_snRNA-seq_*/Raw_Data_and_Processing/cellranger_processing/cellranger_fastqs/outs/fastq_path/H*/BN0329_S1_L003_R1_001.fastq.gz</v>
      </c>
      <c r="K76" s="46" t="s">
        <v>1341</v>
      </c>
      <c r="L76" s="46" t="s">
        <v>1475</v>
      </c>
      <c r="M76" s="46" t="s">
        <v>1309</v>
      </c>
      <c r="N76" s="46" t="s">
        <v>1310</v>
      </c>
      <c r="O76" s="46" t="s">
        <v>1311</v>
      </c>
      <c r="P76" s="46" t="s">
        <v>1312</v>
      </c>
      <c r="Q76" s="46" t="s">
        <v>31</v>
      </c>
      <c r="R76" s="46" t="s">
        <v>31</v>
      </c>
      <c r="S76" s="46" t="s">
        <v>31</v>
      </c>
      <c r="T76" s="46" t="s">
        <v>31</v>
      </c>
      <c r="U76" s="46" t="s">
        <v>49</v>
      </c>
    </row>
    <row r="77" spans="1:21">
      <c r="A77" s="46" t="s">
        <v>678</v>
      </c>
      <c r="B77" s="46" t="s">
        <v>65</v>
      </c>
      <c r="C77" s="46" t="s">
        <v>666</v>
      </c>
      <c r="D77" s="46">
        <v>1</v>
      </c>
      <c r="E77" s="46">
        <v>0</v>
      </c>
      <c r="F77" s="46" t="s">
        <v>679</v>
      </c>
      <c r="G77" s="46" t="s">
        <v>1305</v>
      </c>
      <c r="H77" s="46" t="s">
        <v>1476</v>
      </c>
      <c r="I77" s="46" t="str">
        <f ca="1">IFERROR(__xludf.DUMMYFUNCTION("CONCAT(A77,REGEXREPLACE(H77,"".*_L0"",""_L0""))"),"PD_BN0329_MTG_snRNAseq_rep1_L003_R2_001.fastq.gz")</f>
        <v>PD_BN0329_MTG_snRNAseq_rep1_L003_R2_001.fastq.gz</v>
      </c>
      <c r="J77" s="46" t="str">
        <f t="shared" si="0"/>
        <v>/data/neurogen/ASAP/scRNAseq/data/batch2_ASAP_snRNA-seq_*/Raw_Data_and_Processing/cellranger_processing/cellranger_fastqs/outs/fastq_path/H*/BN0329_S1_L003_R2_001.fastq.gz</v>
      </c>
      <c r="K77" s="46" t="s">
        <v>1344</v>
      </c>
      <c r="L77" s="46" t="s">
        <v>1477</v>
      </c>
      <c r="M77" s="46" t="s">
        <v>1309</v>
      </c>
      <c r="N77" s="46" t="s">
        <v>1310</v>
      </c>
      <c r="O77" s="46" t="s">
        <v>1311</v>
      </c>
      <c r="P77" s="46" t="s">
        <v>1312</v>
      </c>
      <c r="Q77" s="46" t="s">
        <v>31</v>
      </c>
      <c r="R77" s="46" t="s">
        <v>31</v>
      </c>
      <c r="S77" s="46" t="s">
        <v>31</v>
      </c>
      <c r="T77" s="46" t="s">
        <v>31</v>
      </c>
      <c r="U77" s="46" t="s">
        <v>49</v>
      </c>
    </row>
    <row r="78" spans="1:21">
      <c r="A78" s="46" t="s">
        <v>678</v>
      </c>
      <c r="B78" s="46" t="s">
        <v>65</v>
      </c>
      <c r="C78" s="46" t="s">
        <v>666</v>
      </c>
      <c r="D78" s="46">
        <v>1</v>
      </c>
      <c r="E78" s="46">
        <v>0</v>
      </c>
      <c r="F78" s="46" t="s">
        <v>679</v>
      </c>
      <c r="G78" s="46" t="s">
        <v>1305</v>
      </c>
      <c r="H78" s="46" t="s">
        <v>1478</v>
      </c>
      <c r="I78" s="46" t="str">
        <f ca="1">IFERROR(__xludf.DUMMYFUNCTION("CONCAT(A78,REGEXREPLACE(H78,"".*_L0"",""_L0""))"),"PD_BN0329_MTG_snRNAseq_rep1_L004_I1_001.fastq.gz")</f>
        <v>PD_BN0329_MTG_snRNAseq_rep1_L004_I1_001.fastq.gz</v>
      </c>
      <c r="J78" s="46" t="str">
        <f t="shared" si="0"/>
        <v>/data/neurogen/ASAP/scRNAseq/data/batch2_ASAP_snRNA-seq_*/Raw_Data_and_Processing/cellranger_processing/cellranger_fastqs/outs/fastq_path/H*/BN0329_S1_L004_I1_001.fastq.gz</v>
      </c>
      <c r="K78" s="46" t="s">
        <v>1347</v>
      </c>
      <c r="L78" s="46" t="s">
        <v>1479</v>
      </c>
      <c r="M78" s="46" t="s">
        <v>1309</v>
      </c>
      <c r="N78" s="46" t="s">
        <v>1310</v>
      </c>
      <c r="O78" s="46" t="s">
        <v>1311</v>
      </c>
      <c r="P78" s="46" t="s">
        <v>1312</v>
      </c>
      <c r="Q78" s="46" t="s">
        <v>31</v>
      </c>
      <c r="R78" s="46" t="s">
        <v>31</v>
      </c>
      <c r="S78" s="46" t="s">
        <v>31</v>
      </c>
      <c r="T78" s="46" t="s">
        <v>31</v>
      </c>
      <c r="U78" s="46" t="s">
        <v>49</v>
      </c>
    </row>
    <row r="79" spans="1:21">
      <c r="A79" s="46" t="s">
        <v>678</v>
      </c>
      <c r="B79" s="46" t="s">
        <v>65</v>
      </c>
      <c r="C79" s="46" t="s">
        <v>666</v>
      </c>
      <c r="D79" s="46">
        <v>1</v>
      </c>
      <c r="E79" s="46">
        <v>0</v>
      </c>
      <c r="F79" s="46" t="s">
        <v>679</v>
      </c>
      <c r="G79" s="46" t="s">
        <v>1305</v>
      </c>
      <c r="H79" s="46" t="s">
        <v>1480</v>
      </c>
      <c r="I79" s="46" t="str">
        <f ca="1">IFERROR(__xludf.DUMMYFUNCTION("CONCAT(A79,REGEXREPLACE(H79,"".*_L0"",""_L0""))"),"PD_BN0329_MTG_snRNAseq_rep1_L004_I2_001.fastq.gz")</f>
        <v>PD_BN0329_MTG_snRNAseq_rep1_L004_I2_001.fastq.gz</v>
      </c>
      <c r="J79" s="46" t="str">
        <f t="shared" si="0"/>
        <v>/data/neurogen/ASAP/scRNAseq/data/batch2_ASAP_snRNA-seq_*/Raw_Data_and_Processing/cellranger_processing/cellranger_fastqs/outs/fastq_path/H*/BN0329_S1_L004_I2_001.fastq.gz</v>
      </c>
      <c r="K79" s="46" t="s">
        <v>1350</v>
      </c>
      <c r="L79" s="46" t="s">
        <v>1481</v>
      </c>
      <c r="M79" s="46" t="s">
        <v>1309</v>
      </c>
      <c r="N79" s="46" t="s">
        <v>1310</v>
      </c>
      <c r="O79" s="46" t="s">
        <v>1311</v>
      </c>
      <c r="P79" s="46" t="s">
        <v>1312</v>
      </c>
      <c r="Q79" s="46" t="s">
        <v>31</v>
      </c>
      <c r="R79" s="46" t="s">
        <v>31</v>
      </c>
      <c r="S79" s="46" t="s">
        <v>31</v>
      </c>
      <c r="T79" s="46" t="s">
        <v>31</v>
      </c>
      <c r="U79" s="46" t="s">
        <v>49</v>
      </c>
    </row>
    <row r="80" spans="1:21">
      <c r="A80" s="46" t="s">
        <v>678</v>
      </c>
      <c r="B80" s="46" t="s">
        <v>65</v>
      </c>
      <c r="C80" s="46" t="s">
        <v>666</v>
      </c>
      <c r="D80" s="46">
        <v>1</v>
      </c>
      <c r="E80" s="46">
        <v>0</v>
      </c>
      <c r="F80" s="46" t="s">
        <v>679</v>
      </c>
      <c r="G80" s="46" t="s">
        <v>1305</v>
      </c>
      <c r="H80" s="46" t="s">
        <v>1482</v>
      </c>
      <c r="I80" s="46" t="str">
        <f ca="1">IFERROR(__xludf.DUMMYFUNCTION("CONCAT(A80,REGEXREPLACE(H80,"".*_L0"",""_L0""))"),"PD_BN0329_MTG_snRNAseq_rep1_L004_R1_001.fastq.gz")</f>
        <v>PD_BN0329_MTG_snRNAseq_rep1_L004_R1_001.fastq.gz</v>
      </c>
      <c r="J80" s="46" t="str">
        <f t="shared" si="0"/>
        <v>/data/neurogen/ASAP/scRNAseq/data/batch2_ASAP_snRNA-seq_*/Raw_Data_and_Processing/cellranger_processing/cellranger_fastqs/outs/fastq_path/H*/BN0329_S1_L004_R1_001.fastq.gz</v>
      </c>
      <c r="K80" s="46" t="s">
        <v>1353</v>
      </c>
      <c r="L80" s="46" t="s">
        <v>1483</v>
      </c>
      <c r="M80" s="46" t="s">
        <v>1309</v>
      </c>
      <c r="N80" s="46" t="s">
        <v>1310</v>
      </c>
      <c r="O80" s="46" t="s">
        <v>1311</v>
      </c>
      <c r="P80" s="46" t="s">
        <v>1312</v>
      </c>
      <c r="Q80" s="46" t="s">
        <v>31</v>
      </c>
      <c r="R80" s="46" t="s">
        <v>31</v>
      </c>
      <c r="S80" s="46" t="s">
        <v>31</v>
      </c>
      <c r="T80" s="46" t="s">
        <v>31</v>
      </c>
      <c r="U80" s="46" t="s">
        <v>49</v>
      </c>
    </row>
    <row r="81" spans="1:21">
      <c r="A81" s="46" t="s">
        <v>678</v>
      </c>
      <c r="B81" s="46" t="s">
        <v>65</v>
      </c>
      <c r="C81" s="46" t="s">
        <v>666</v>
      </c>
      <c r="D81" s="46">
        <v>1</v>
      </c>
      <c r="E81" s="46">
        <v>0</v>
      </c>
      <c r="F81" s="46" t="s">
        <v>679</v>
      </c>
      <c r="G81" s="46" t="s">
        <v>1305</v>
      </c>
      <c r="H81" s="46" t="s">
        <v>1484</v>
      </c>
      <c r="I81" s="46" t="str">
        <f ca="1">IFERROR(__xludf.DUMMYFUNCTION("CONCAT(A81,REGEXREPLACE(H81,"".*_L0"",""_L0""))"),"PD_BN0329_MTG_snRNAseq_rep1_L004_R2_001.fastq.gz")</f>
        <v>PD_BN0329_MTG_snRNAseq_rep1_L004_R2_001.fastq.gz</v>
      </c>
      <c r="J81" s="46" t="str">
        <f t="shared" si="0"/>
        <v>/data/neurogen/ASAP/scRNAseq/data/batch2_ASAP_snRNA-seq_*/Raw_Data_and_Processing/cellranger_processing/cellranger_fastqs/outs/fastq_path/H*/BN0329_S1_L004_R2_001.fastq.gz</v>
      </c>
      <c r="K81" s="46" t="s">
        <v>1356</v>
      </c>
      <c r="L81" s="46" t="s">
        <v>1485</v>
      </c>
      <c r="M81" s="46" t="s">
        <v>1309</v>
      </c>
      <c r="N81" s="46" t="s">
        <v>1310</v>
      </c>
      <c r="O81" s="46" t="s">
        <v>1311</v>
      </c>
      <c r="P81" s="46" t="s">
        <v>1312</v>
      </c>
      <c r="Q81" s="46" t="s">
        <v>31</v>
      </c>
      <c r="R81" s="46" t="s">
        <v>31</v>
      </c>
      <c r="S81" s="46" t="s">
        <v>31</v>
      </c>
      <c r="T81" s="46" t="s">
        <v>31</v>
      </c>
      <c r="U81" s="46" t="s">
        <v>49</v>
      </c>
    </row>
    <row r="82" spans="1:21">
      <c r="A82" s="46" t="s">
        <v>682</v>
      </c>
      <c r="B82" s="46" t="s">
        <v>74</v>
      </c>
      <c r="C82" s="46" t="s">
        <v>666</v>
      </c>
      <c r="D82" s="46">
        <v>1</v>
      </c>
      <c r="E82" s="46">
        <v>0</v>
      </c>
      <c r="F82" s="46" t="s">
        <v>679</v>
      </c>
      <c r="G82" s="46" t="s">
        <v>1305</v>
      </c>
      <c r="H82" s="46" t="s">
        <v>1486</v>
      </c>
      <c r="I82" s="46" t="str">
        <f ca="1">IFERROR(__xludf.DUMMYFUNCTION("CONCAT(A82,REGEXREPLACE(H82,"".*_L0"",""_L0""))"),"HC_BN0347_MTG_snRNAseq_rep1_L001_I1_001.fastq.gz")</f>
        <v>HC_BN0347_MTG_snRNAseq_rep1_L001_I1_001.fastq.gz</v>
      </c>
      <c r="J82" s="46" t="str">
        <f t="shared" si="0"/>
        <v>/data/neurogen/ASAP/scRNAseq/data/batch2_ASAP_snRNA-seq_*/Raw_Data_and_Processing/cellranger_processing/cellranger_fastqs/outs/fastq_path/H*/BN0347_S3_L001_I1_001.fastq.gz</v>
      </c>
      <c r="K82" s="46" t="s">
        <v>1307</v>
      </c>
      <c r="L82" s="46" t="s">
        <v>1487</v>
      </c>
      <c r="M82" s="46" t="s">
        <v>1309</v>
      </c>
      <c r="N82" s="46" t="s">
        <v>1310</v>
      </c>
      <c r="O82" s="46" t="s">
        <v>1311</v>
      </c>
      <c r="P82" s="46" t="s">
        <v>1312</v>
      </c>
      <c r="Q82" s="46" t="s">
        <v>31</v>
      </c>
      <c r="R82" s="46" t="s">
        <v>31</v>
      </c>
      <c r="S82" s="46" t="s">
        <v>31</v>
      </c>
      <c r="T82" s="46" t="s">
        <v>31</v>
      </c>
      <c r="U82" s="46" t="s">
        <v>49</v>
      </c>
    </row>
    <row r="83" spans="1:21">
      <c r="A83" s="46" t="s">
        <v>682</v>
      </c>
      <c r="B83" s="46" t="s">
        <v>74</v>
      </c>
      <c r="C83" s="46" t="s">
        <v>666</v>
      </c>
      <c r="D83" s="46">
        <v>1</v>
      </c>
      <c r="E83" s="46">
        <v>0</v>
      </c>
      <c r="F83" s="46" t="s">
        <v>679</v>
      </c>
      <c r="G83" s="46" t="s">
        <v>1305</v>
      </c>
      <c r="H83" s="46" t="s">
        <v>1488</v>
      </c>
      <c r="I83" s="46" t="str">
        <f ca="1">IFERROR(__xludf.DUMMYFUNCTION("CONCAT(A83,REGEXREPLACE(H83,"".*_L0"",""_L0""))"),"HC_BN0347_MTG_snRNAseq_rep1_L001_I2_001.fastq.gz")</f>
        <v>HC_BN0347_MTG_snRNAseq_rep1_L001_I2_001.fastq.gz</v>
      </c>
      <c r="J83" s="46" t="str">
        <f t="shared" si="0"/>
        <v>/data/neurogen/ASAP/scRNAseq/data/batch2_ASAP_snRNA-seq_*/Raw_Data_and_Processing/cellranger_processing/cellranger_fastqs/outs/fastq_path/H*/BN0347_S3_L001_I2_001.fastq.gz</v>
      </c>
      <c r="K83" s="46" t="s">
        <v>1314</v>
      </c>
      <c r="L83" s="46" t="s">
        <v>1489</v>
      </c>
      <c r="M83" s="46" t="s">
        <v>1309</v>
      </c>
      <c r="N83" s="46" t="s">
        <v>1310</v>
      </c>
      <c r="O83" s="46" t="s">
        <v>1311</v>
      </c>
      <c r="P83" s="46" t="s">
        <v>1312</v>
      </c>
      <c r="Q83" s="46" t="s">
        <v>31</v>
      </c>
      <c r="R83" s="46" t="s">
        <v>31</v>
      </c>
      <c r="S83" s="46" t="s">
        <v>31</v>
      </c>
      <c r="T83" s="46" t="s">
        <v>31</v>
      </c>
      <c r="U83" s="46" t="s">
        <v>49</v>
      </c>
    </row>
    <row r="84" spans="1:21">
      <c r="A84" s="46" t="s">
        <v>682</v>
      </c>
      <c r="B84" s="46" t="s">
        <v>74</v>
      </c>
      <c r="C84" s="46" t="s">
        <v>666</v>
      </c>
      <c r="D84" s="46">
        <v>1</v>
      </c>
      <c r="E84" s="46">
        <v>0</v>
      </c>
      <c r="F84" s="46" t="s">
        <v>679</v>
      </c>
      <c r="G84" s="46" t="s">
        <v>1305</v>
      </c>
      <c r="H84" s="46" t="s">
        <v>1490</v>
      </c>
      <c r="I84" s="46" t="str">
        <f ca="1">IFERROR(__xludf.DUMMYFUNCTION("CONCAT(A84,REGEXREPLACE(H84,"".*_L0"",""_L0""))"),"HC_BN0347_MTG_snRNAseq_rep1_L001_R1_001.fastq.gz")</f>
        <v>HC_BN0347_MTG_snRNAseq_rep1_L001_R1_001.fastq.gz</v>
      </c>
      <c r="J84" s="46" t="str">
        <f t="shared" si="0"/>
        <v>/data/neurogen/ASAP/scRNAseq/data/batch2_ASAP_snRNA-seq_*/Raw_Data_and_Processing/cellranger_processing/cellranger_fastqs/outs/fastq_path/H*/BN0347_S3_L001_R1_001.fastq.gz</v>
      </c>
      <c r="K84" s="46" t="s">
        <v>1317</v>
      </c>
      <c r="L84" s="46" t="s">
        <v>1491</v>
      </c>
      <c r="M84" s="46" t="s">
        <v>1309</v>
      </c>
      <c r="N84" s="46" t="s">
        <v>1310</v>
      </c>
      <c r="O84" s="46" t="s">
        <v>1311</v>
      </c>
      <c r="P84" s="46" t="s">
        <v>1312</v>
      </c>
      <c r="Q84" s="46" t="s">
        <v>31</v>
      </c>
      <c r="R84" s="46" t="s">
        <v>31</v>
      </c>
      <c r="S84" s="46" t="s">
        <v>31</v>
      </c>
      <c r="T84" s="46" t="s">
        <v>31</v>
      </c>
      <c r="U84" s="46" t="s">
        <v>49</v>
      </c>
    </row>
    <row r="85" spans="1:21">
      <c r="A85" s="46" t="s">
        <v>682</v>
      </c>
      <c r="B85" s="46" t="s">
        <v>74</v>
      </c>
      <c r="C85" s="46" t="s">
        <v>666</v>
      </c>
      <c r="D85" s="46">
        <v>1</v>
      </c>
      <c r="E85" s="46">
        <v>0</v>
      </c>
      <c r="F85" s="46" t="s">
        <v>679</v>
      </c>
      <c r="G85" s="46" t="s">
        <v>1305</v>
      </c>
      <c r="H85" s="46" t="s">
        <v>1492</v>
      </c>
      <c r="I85" s="46" t="str">
        <f ca="1">IFERROR(__xludf.DUMMYFUNCTION("CONCAT(A85,REGEXREPLACE(H85,"".*_L0"",""_L0""))"),"HC_BN0347_MTG_snRNAseq_rep1_L001_R2_001.fastq.gz")</f>
        <v>HC_BN0347_MTG_snRNAseq_rep1_L001_R2_001.fastq.gz</v>
      </c>
      <c r="J85" s="46" t="str">
        <f t="shared" si="0"/>
        <v>/data/neurogen/ASAP/scRNAseq/data/batch2_ASAP_snRNA-seq_*/Raw_Data_and_Processing/cellranger_processing/cellranger_fastqs/outs/fastq_path/H*/BN0347_S3_L001_R2_001.fastq.gz</v>
      </c>
      <c r="K85" s="46" t="s">
        <v>1320</v>
      </c>
      <c r="L85" s="46" t="s">
        <v>1493</v>
      </c>
      <c r="M85" s="46" t="s">
        <v>1309</v>
      </c>
      <c r="N85" s="46" t="s">
        <v>1310</v>
      </c>
      <c r="O85" s="46" t="s">
        <v>1311</v>
      </c>
      <c r="P85" s="46" t="s">
        <v>1312</v>
      </c>
      <c r="Q85" s="46" t="s">
        <v>31</v>
      </c>
      <c r="R85" s="46" t="s">
        <v>31</v>
      </c>
      <c r="S85" s="46" t="s">
        <v>31</v>
      </c>
      <c r="T85" s="46" t="s">
        <v>31</v>
      </c>
      <c r="U85" s="46" t="s">
        <v>49</v>
      </c>
    </row>
    <row r="86" spans="1:21">
      <c r="A86" s="46" t="s">
        <v>682</v>
      </c>
      <c r="B86" s="46" t="s">
        <v>74</v>
      </c>
      <c r="C86" s="46" t="s">
        <v>666</v>
      </c>
      <c r="D86" s="46">
        <v>1</v>
      </c>
      <c r="E86" s="46">
        <v>0</v>
      </c>
      <c r="F86" s="46" t="s">
        <v>679</v>
      </c>
      <c r="G86" s="46" t="s">
        <v>1305</v>
      </c>
      <c r="H86" s="46" t="s">
        <v>1494</v>
      </c>
      <c r="I86" s="46" t="str">
        <f ca="1">IFERROR(__xludf.DUMMYFUNCTION("CONCAT(A86,REGEXREPLACE(H86,"".*_L0"",""_L0""))"),"HC_BN0347_MTG_snRNAseq_rep1_L002_I1_001.fastq.gz")</f>
        <v>HC_BN0347_MTG_snRNAseq_rep1_L002_I1_001.fastq.gz</v>
      </c>
      <c r="J86" s="46" t="str">
        <f t="shared" si="0"/>
        <v>/data/neurogen/ASAP/scRNAseq/data/batch2_ASAP_snRNA-seq_*/Raw_Data_and_Processing/cellranger_processing/cellranger_fastqs/outs/fastq_path/H*/BN0347_S3_L002_I1_001.fastq.gz</v>
      </c>
      <c r="K86" s="46" t="s">
        <v>1323</v>
      </c>
      <c r="L86" s="46" t="s">
        <v>1495</v>
      </c>
      <c r="M86" s="46" t="s">
        <v>1309</v>
      </c>
      <c r="N86" s="46" t="s">
        <v>1310</v>
      </c>
      <c r="O86" s="46" t="s">
        <v>1311</v>
      </c>
      <c r="P86" s="46" t="s">
        <v>1312</v>
      </c>
      <c r="Q86" s="46" t="s">
        <v>31</v>
      </c>
      <c r="R86" s="46" t="s">
        <v>31</v>
      </c>
      <c r="S86" s="46" t="s">
        <v>31</v>
      </c>
      <c r="T86" s="46" t="s">
        <v>31</v>
      </c>
      <c r="U86" s="46" t="s">
        <v>49</v>
      </c>
    </row>
    <row r="87" spans="1:21">
      <c r="A87" s="46" t="s">
        <v>682</v>
      </c>
      <c r="B87" s="46" t="s">
        <v>74</v>
      </c>
      <c r="C87" s="46" t="s">
        <v>666</v>
      </c>
      <c r="D87" s="46">
        <v>1</v>
      </c>
      <c r="E87" s="46">
        <v>0</v>
      </c>
      <c r="F87" s="46" t="s">
        <v>679</v>
      </c>
      <c r="G87" s="46" t="s">
        <v>1305</v>
      </c>
      <c r="H87" s="46" t="s">
        <v>1496</v>
      </c>
      <c r="I87" s="46" t="str">
        <f ca="1">IFERROR(__xludf.DUMMYFUNCTION("CONCAT(A87,REGEXREPLACE(H87,"".*_L0"",""_L0""))"),"HC_BN0347_MTG_snRNAseq_rep1_L002_I2_001.fastq.gz")</f>
        <v>HC_BN0347_MTG_snRNAseq_rep1_L002_I2_001.fastq.gz</v>
      </c>
      <c r="J87" s="46" t="str">
        <f t="shared" si="0"/>
        <v>/data/neurogen/ASAP/scRNAseq/data/batch2_ASAP_snRNA-seq_*/Raw_Data_and_Processing/cellranger_processing/cellranger_fastqs/outs/fastq_path/H*/BN0347_S3_L002_I2_001.fastq.gz</v>
      </c>
      <c r="K87" s="46" t="s">
        <v>1326</v>
      </c>
      <c r="L87" s="46" t="s">
        <v>1497</v>
      </c>
      <c r="M87" s="46" t="s">
        <v>1309</v>
      </c>
      <c r="N87" s="46" t="s">
        <v>1310</v>
      </c>
      <c r="O87" s="46" t="s">
        <v>1311</v>
      </c>
      <c r="P87" s="46" t="s">
        <v>1312</v>
      </c>
      <c r="Q87" s="46" t="s">
        <v>31</v>
      </c>
      <c r="R87" s="46" t="s">
        <v>31</v>
      </c>
      <c r="S87" s="46" t="s">
        <v>31</v>
      </c>
      <c r="T87" s="46" t="s">
        <v>31</v>
      </c>
      <c r="U87" s="46" t="s">
        <v>49</v>
      </c>
    </row>
    <row r="88" spans="1:21">
      <c r="A88" s="46" t="s">
        <v>682</v>
      </c>
      <c r="B88" s="46" t="s">
        <v>74</v>
      </c>
      <c r="C88" s="46" t="s">
        <v>666</v>
      </c>
      <c r="D88" s="46">
        <v>1</v>
      </c>
      <c r="E88" s="46">
        <v>0</v>
      </c>
      <c r="F88" s="46" t="s">
        <v>679</v>
      </c>
      <c r="G88" s="46" t="s">
        <v>1305</v>
      </c>
      <c r="H88" s="46" t="s">
        <v>1498</v>
      </c>
      <c r="I88" s="46" t="str">
        <f ca="1">IFERROR(__xludf.DUMMYFUNCTION("CONCAT(A88,REGEXREPLACE(H88,"".*_L0"",""_L0""))"),"HC_BN0347_MTG_snRNAseq_rep1_L002_R1_001.fastq.gz")</f>
        <v>HC_BN0347_MTG_snRNAseq_rep1_L002_R1_001.fastq.gz</v>
      </c>
      <c r="J88" s="46" t="str">
        <f t="shared" si="0"/>
        <v>/data/neurogen/ASAP/scRNAseq/data/batch2_ASAP_snRNA-seq_*/Raw_Data_and_Processing/cellranger_processing/cellranger_fastqs/outs/fastq_path/H*/BN0347_S3_L002_R1_001.fastq.gz</v>
      </c>
      <c r="K88" s="46" t="s">
        <v>1329</v>
      </c>
      <c r="L88" s="46" t="s">
        <v>1499</v>
      </c>
      <c r="M88" s="46" t="s">
        <v>1309</v>
      </c>
      <c r="N88" s="46" t="s">
        <v>1310</v>
      </c>
      <c r="O88" s="46" t="s">
        <v>1311</v>
      </c>
      <c r="P88" s="46" t="s">
        <v>1312</v>
      </c>
      <c r="Q88" s="46" t="s">
        <v>31</v>
      </c>
      <c r="R88" s="46" t="s">
        <v>31</v>
      </c>
      <c r="S88" s="46" t="s">
        <v>31</v>
      </c>
      <c r="T88" s="46" t="s">
        <v>31</v>
      </c>
      <c r="U88" s="46" t="s">
        <v>49</v>
      </c>
    </row>
    <row r="89" spans="1:21">
      <c r="A89" s="46" t="s">
        <v>682</v>
      </c>
      <c r="B89" s="46" t="s">
        <v>74</v>
      </c>
      <c r="C89" s="46" t="s">
        <v>666</v>
      </c>
      <c r="D89" s="46">
        <v>1</v>
      </c>
      <c r="E89" s="46">
        <v>0</v>
      </c>
      <c r="F89" s="46" t="s">
        <v>679</v>
      </c>
      <c r="G89" s="46" t="s">
        <v>1305</v>
      </c>
      <c r="H89" s="46" t="s">
        <v>1500</v>
      </c>
      <c r="I89" s="46" t="str">
        <f ca="1">IFERROR(__xludf.DUMMYFUNCTION("CONCAT(A89,REGEXREPLACE(H89,"".*_L0"",""_L0""))"),"HC_BN0347_MTG_snRNAseq_rep1_L002_R2_001.fastq.gz")</f>
        <v>HC_BN0347_MTG_snRNAseq_rep1_L002_R2_001.fastq.gz</v>
      </c>
      <c r="J89" s="46" t="str">
        <f t="shared" si="0"/>
        <v>/data/neurogen/ASAP/scRNAseq/data/batch2_ASAP_snRNA-seq_*/Raw_Data_and_Processing/cellranger_processing/cellranger_fastqs/outs/fastq_path/H*/BN0347_S3_L002_R2_001.fastq.gz</v>
      </c>
      <c r="K89" s="46" t="s">
        <v>1332</v>
      </c>
      <c r="L89" s="46" t="s">
        <v>1501</v>
      </c>
      <c r="M89" s="46" t="s">
        <v>1309</v>
      </c>
      <c r="N89" s="46" t="s">
        <v>1310</v>
      </c>
      <c r="O89" s="46" t="s">
        <v>1311</v>
      </c>
      <c r="P89" s="46" t="s">
        <v>1312</v>
      </c>
      <c r="Q89" s="46" t="s">
        <v>31</v>
      </c>
      <c r="R89" s="46" t="s">
        <v>31</v>
      </c>
      <c r="S89" s="46" t="s">
        <v>31</v>
      </c>
      <c r="T89" s="46" t="s">
        <v>31</v>
      </c>
      <c r="U89" s="46" t="s">
        <v>49</v>
      </c>
    </row>
    <row r="90" spans="1:21">
      <c r="A90" s="46" t="s">
        <v>682</v>
      </c>
      <c r="B90" s="46" t="s">
        <v>74</v>
      </c>
      <c r="C90" s="46" t="s">
        <v>666</v>
      </c>
      <c r="D90" s="46">
        <v>1</v>
      </c>
      <c r="E90" s="46">
        <v>0</v>
      </c>
      <c r="F90" s="46" t="s">
        <v>679</v>
      </c>
      <c r="G90" s="46" t="s">
        <v>1305</v>
      </c>
      <c r="H90" s="46" t="s">
        <v>1502</v>
      </c>
      <c r="I90" s="46" t="str">
        <f ca="1">IFERROR(__xludf.DUMMYFUNCTION("CONCAT(A90,REGEXREPLACE(H90,"".*_L0"",""_L0""))"),"HC_BN0347_MTG_snRNAseq_rep1_L003_I1_001.fastq.gz")</f>
        <v>HC_BN0347_MTG_snRNAseq_rep1_L003_I1_001.fastq.gz</v>
      </c>
      <c r="J90" s="46" t="str">
        <f t="shared" si="0"/>
        <v>/data/neurogen/ASAP/scRNAseq/data/batch2_ASAP_snRNA-seq_*/Raw_Data_and_Processing/cellranger_processing/cellranger_fastqs/outs/fastq_path/H*/BN0347_S3_L003_I1_001.fastq.gz</v>
      </c>
      <c r="K90" s="46" t="s">
        <v>1335</v>
      </c>
      <c r="L90" s="46" t="s">
        <v>1503</v>
      </c>
      <c r="M90" s="46" t="s">
        <v>1309</v>
      </c>
      <c r="N90" s="46" t="s">
        <v>1310</v>
      </c>
      <c r="O90" s="46" t="s">
        <v>1311</v>
      </c>
      <c r="P90" s="46" t="s">
        <v>1312</v>
      </c>
      <c r="Q90" s="46" t="s">
        <v>31</v>
      </c>
      <c r="R90" s="46" t="s">
        <v>31</v>
      </c>
      <c r="S90" s="46" t="s">
        <v>31</v>
      </c>
      <c r="T90" s="46" t="s">
        <v>31</v>
      </c>
      <c r="U90" s="46" t="s">
        <v>49</v>
      </c>
    </row>
    <row r="91" spans="1:21">
      <c r="A91" s="46" t="s">
        <v>682</v>
      </c>
      <c r="B91" s="46" t="s">
        <v>74</v>
      </c>
      <c r="C91" s="46" t="s">
        <v>666</v>
      </c>
      <c r="D91" s="46">
        <v>1</v>
      </c>
      <c r="E91" s="46">
        <v>0</v>
      </c>
      <c r="F91" s="46" t="s">
        <v>679</v>
      </c>
      <c r="G91" s="46" t="s">
        <v>1305</v>
      </c>
      <c r="H91" s="46" t="s">
        <v>1504</v>
      </c>
      <c r="I91" s="46" t="str">
        <f ca="1">IFERROR(__xludf.DUMMYFUNCTION("CONCAT(A91,REGEXREPLACE(H91,"".*_L0"",""_L0""))"),"HC_BN0347_MTG_snRNAseq_rep1_L003_I2_001.fastq.gz")</f>
        <v>HC_BN0347_MTG_snRNAseq_rep1_L003_I2_001.fastq.gz</v>
      </c>
      <c r="J91" s="46" t="str">
        <f t="shared" si="0"/>
        <v>/data/neurogen/ASAP/scRNAseq/data/batch2_ASAP_snRNA-seq_*/Raw_Data_and_Processing/cellranger_processing/cellranger_fastqs/outs/fastq_path/H*/BN0347_S3_L003_I2_001.fastq.gz</v>
      </c>
      <c r="K91" s="46" t="s">
        <v>1338</v>
      </c>
      <c r="L91" s="46" t="s">
        <v>1505</v>
      </c>
      <c r="M91" s="46" t="s">
        <v>1309</v>
      </c>
      <c r="N91" s="46" t="s">
        <v>1310</v>
      </c>
      <c r="O91" s="46" t="s">
        <v>1311</v>
      </c>
      <c r="P91" s="46" t="s">
        <v>1312</v>
      </c>
      <c r="Q91" s="46" t="s">
        <v>31</v>
      </c>
      <c r="R91" s="46" t="s">
        <v>31</v>
      </c>
      <c r="S91" s="46" t="s">
        <v>31</v>
      </c>
      <c r="T91" s="46" t="s">
        <v>31</v>
      </c>
      <c r="U91" s="46" t="s">
        <v>49</v>
      </c>
    </row>
    <row r="92" spans="1:21">
      <c r="A92" s="46" t="s">
        <v>682</v>
      </c>
      <c r="B92" s="46" t="s">
        <v>74</v>
      </c>
      <c r="C92" s="46" t="s">
        <v>666</v>
      </c>
      <c r="D92" s="46">
        <v>1</v>
      </c>
      <c r="E92" s="46">
        <v>0</v>
      </c>
      <c r="F92" s="46" t="s">
        <v>679</v>
      </c>
      <c r="G92" s="46" t="s">
        <v>1305</v>
      </c>
      <c r="H92" s="46" t="s">
        <v>1506</v>
      </c>
      <c r="I92" s="46" t="str">
        <f ca="1">IFERROR(__xludf.DUMMYFUNCTION("CONCAT(A92,REGEXREPLACE(H92,"".*_L0"",""_L0""))"),"HC_BN0347_MTG_snRNAseq_rep1_L003_R1_001.fastq.gz")</f>
        <v>HC_BN0347_MTG_snRNAseq_rep1_L003_R1_001.fastq.gz</v>
      </c>
      <c r="J92" s="46" t="str">
        <f t="shared" si="0"/>
        <v>/data/neurogen/ASAP/scRNAseq/data/batch2_ASAP_snRNA-seq_*/Raw_Data_and_Processing/cellranger_processing/cellranger_fastqs/outs/fastq_path/H*/BN0347_S3_L003_R1_001.fastq.gz</v>
      </c>
      <c r="K92" s="46" t="s">
        <v>1341</v>
      </c>
      <c r="L92" s="46" t="s">
        <v>1507</v>
      </c>
      <c r="M92" s="46" t="s">
        <v>1309</v>
      </c>
      <c r="N92" s="46" t="s">
        <v>1310</v>
      </c>
      <c r="O92" s="46" t="s">
        <v>1311</v>
      </c>
      <c r="P92" s="46" t="s">
        <v>1312</v>
      </c>
      <c r="Q92" s="46" t="s">
        <v>31</v>
      </c>
      <c r="R92" s="46" t="s">
        <v>31</v>
      </c>
      <c r="S92" s="46" t="s">
        <v>31</v>
      </c>
      <c r="T92" s="46" t="s">
        <v>31</v>
      </c>
      <c r="U92" s="46" t="s">
        <v>49</v>
      </c>
    </row>
    <row r="93" spans="1:21">
      <c r="A93" s="46" t="s">
        <v>682</v>
      </c>
      <c r="B93" s="46" t="s">
        <v>74</v>
      </c>
      <c r="C93" s="46" t="s">
        <v>666</v>
      </c>
      <c r="D93" s="46">
        <v>1</v>
      </c>
      <c r="E93" s="46">
        <v>0</v>
      </c>
      <c r="F93" s="46" t="s">
        <v>679</v>
      </c>
      <c r="G93" s="46" t="s">
        <v>1305</v>
      </c>
      <c r="H93" s="46" t="s">
        <v>1508</v>
      </c>
      <c r="I93" s="46" t="str">
        <f ca="1">IFERROR(__xludf.DUMMYFUNCTION("CONCAT(A93,REGEXREPLACE(H93,"".*_L0"",""_L0""))"),"HC_BN0347_MTG_snRNAseq_rep1_L003_R2_001.fastq.gz")</f>
        <v>HC_BN0347_MTG_snRNAseq_rep1_L003_R2_001.fastq.gz</v>
      </c>
      <c r="J93" s="46" t="str">
        <f t="shared" si="0"/>
        <v>/data/neurogen/ASAP/scRNAseq/data/batch2_ASAP_snRNA-seq_*/Raw_Data_and_Processing/cellranger_processing/cellranger_fastqs/outs/fastq_path/H*/BN0347_S3_L003_R2_001.fastq.gz</v>
      </c>
      <c r="K93" s="46" t="s">
        <v>1344</v>
      </c>
      <c r="L93" s="46" t="s">
        <v>1509</v>
      </c>
      <c r="M93" s="46" t="s">
        <v>1309</v>
      </c>
      <c r="N93" s="46" t="s">
        <v>1310</v>
      </c>
      <c r="O93" s="46" t="s">
        <v>1311</v>
      </c>
      <c r="P93" s="46" t="s">
        <v>1312</v>
      </c>
      <c r="Q93" s="46" t="s">
        <v>31</v>
      </c>
      <c r="R93" s="46" t="s">
        <v>31</v>
      </c>
      <c r="S93" s="46" t="s">
        <v>31</v>
      </c>
      <c r="T93" s="46" t="s">
        <v>31</v>
      </c>
      <c r="U93" s="46" t="s">
        <v>49</v>
      </c>
    </row>
    <row r="94" spans="1:21">
      <c r="A94" s="46" t="s">
        <v>682</v>
      </c>
      <c r="B94" s="46" t="s">
        <v>74</v>
      </c>
      <c r="C94" s="46" t="s">
        <v>666</v>
      </c>
      <c r="D94" s="46">
        <v>1</v>
      </c>
      <c r="E94" s="46">
        <v>0</v>
      </c>
      <c r="F94" s="46" t="s">
        <v>679</v>
      </c>
      <c r="G94" s="46" t="s">
        <v>1305</v>
      </c>
      <c r="H94" s="46" t="s">
        <v>1510</v>
      </c>
      <c r="I94" s="46" t="str">
        <f ca="1">IFERROR(__xludf.DUMMYFUNCTION("CONCAT(A94,REGEXREPLACE(H94,"".*_L0"",""_L0""))"),"HC_BN0347_MTG_snRNAseq_rep1_L004_I1_001.fastq.gz")</f>
        <v>HC_BN0347_MTG_snRNAseq_rep1_L004_I1_001.fastq.gz</v>
      </c>
      <c r="J94" s="46" t="str">
        <f t="shared" si="0"/>
        <v>/data/neurogen/ASAP/scRNAseq/data/batch2_ASAP_snRNA-seq_*/Raw_Data_and_Processing/cellranger_processing/cellranger_fastqs/outs/fastq_path/H*/BN0347_S3_L004_I1_001.fastq.gz</v>
      </c>
      <c r="K94" s="46" t="s">
        <v>1347</v>
      </c>
      <c r="L94" s="46" t="s">
        <v>1511</v>
      </c>
      <c r="M94" s="46" t="s">
        <v>1309</v>
      </c>
      <c r="N94" s="46" t="s">
        <v>1310</v>
      </c>
      <c r="O94" s="46" t="s">
        <v>1311</v>
      </c>
      <c r="P94" s="46" t="s">
        <v>1312</v>
      </c>
      <c r="Q94" s="46" t="s">
        <v>31</v>
      </c>
      <c r="R94" s="46" t="s">
        <v>31</v>
      </c>
      <c r="S94" s="46" t="s">
        <v>31</v>
      </c>
      <c r="T94" s="46" t="s">
        <v>31</v>
      </c>
      <c r="U94" s="46" t="s">
        <v>49</v>
      </c>
    </row>
    <row r="95" spans="1:21">
      <c r="A95" s="46" t="s">
        <v>682</v>
      </c>
      <c r="B95" s="46" t="s">
        <v>74</v>
      </c>
      <c r="C95" s="46" t="s">
        <v>666</v>
      </c>
      <c r="D95" s="46">
        <v>1</v>
      </c>
      <c r="E95" s="46">
        <v>0</v>
      </c>
      <c r="F95" s="46" t="s">
        <v>679</v>
      </c>
      <c r="G95" s="46" t="s">
        <v>1305</v>
      </c>
      <c r="H95" s="46" t="s">
        <v>1512</v>
      </c>
      <c r="I95" s="46" t="str">
        <f ca="1">IFERROR(__xludf.DUMMYFUNCTION("CONCAT(A95,REGEXREPLACE(H95,"".*_L0"",""_L0""))"),"HC_BN0347_MTG_snRNAseq_rep1_L004_I2_001.fastq.gz")</f>
        <v>HC_BN0347_MTG_snRNAseq_rep1_L004_I2_001.fastq.gz</v>
      </c>
      <c r="J95" s="46" t="str">
        <f t="shared" si="0"/>
        <v>/data/neurogen/ASAP/scRNAseq/data/batch2_ASAP_snRNA-seq_*/Raw_Data_and_Processing/cellranger_processing/cellranger_fastqs/outs/fastq_path/H*/BN0347_S3_L004_I2_001.fastq.gz</v>
      </c>
      <c r="K95" s="46" t="s">
        <v>1350</v>
      </c>
      <c r="L95" s="46" t="s">
        <v>1513</v>
      </c>
      <c r="M95" s="46" t="s">
        <v>1309</v>
      </c>
      <c r="N95" s="46" t="s">
        <v>1310</v>
      </c>
      <c r="O95" s="46" t="s">
        <v>1311</v>
      </c>
      <c r="P95" s="46" t="s">
        <v>1312</v>
      </c>
      <c r="Q95" s="46" t="s">
        <v>31</v>
      </c>
      <c r="R95" s="46" t="s">
        <v>31</v>
      </c>
      <c r="S95" s="46" t="s">
        <v>31</v>
      </c>
      <c r="T95" s="46" t="s">
        <v>31</v>
      </c>
      <c r="U95" s="46" t="s">
        <v>49</v>
      </c>
    </row>
    <row r="96" spans="1:21">
      <c r="A96" s="46" t="s">
        <v>682</v>
      </c>
      <c r="B96" s="46" t="s">
        <v>74</v>
      </c>
      <c r="C96" s="46" t="s">
        <v>666</v>
      </c>
      <c r="D96" s="46">
        <v>1</v>
      </c>
      <c r="E96" s="46">
        <v>0</v>
      </c>
      <c r="F96" s="46" t="s">
        <v>679</v>
      </c>
      <c r="G96" s="46" t="s">
        <v>1305</v>
      </c>
      <c r="H96" s="46" t="s">
        <v>1514</v>
      </c>
      <c r="I96" s="46" t="str">
        <f ca="1">IFERROR(__xludf.DUMMYFUNCTION("CONCAT(A96,REGEXREPLACE(H96,"".*_L0"",""_L0""))"),"HC_BN0347_MTG_snRNAseq_rep1_L004_R1_001.fastq.gz")</f>
        <v>HC_BN0347_MTG_snRNAseq_rep1_L004_R1_001.fastq.gz</v>
      </c>
      <c r="J96" s="46" t="str">
        <f t="shared" si="0"/>
        <v>/data/neurogen/ASAP/scRNAseq/data/batch2_ASAP_snRNA-seq_*/Raw_Data_and_Processing/cellranger_processing/cellranger_fastqs/outs/fastq_path/H*/BN0347_S3_L004_R1_001.fastq.gz</v>
      </c>
      <c r="K96" s="46" t="s">
        <v>1353</v>
      </c>
      <c r="L96" s="46" t="s">
        <v>1515</v>
      </c>
      <c r="M96" s="46" t="s">
        <v>1309</v>
      </c>
      <c r="N96" s="46" t="s">
        <v>1310</v>
      </c>
      <c r="O96" s="46" t="s">
        <v>1311</v>
      </c>
      <c r="P96" s="46" t="s">
        <v>1312</v>
      </c>
      <c r="Q96" s="46" t="s">
        <v>31</v>
      </c>
      <c r="R96" s="46" t="s">
        <v>31</v>
      </c>
      <c r="S96" s="46" t="s">
        <v>31</v>
      </c>
      <c r="T96" s="46" t="s">
        <v>31</v>
      </c>
      <c r="U96" s="46" t="s">
        <v>49</v>
      </c>
    </row>
    <row r="97" spans="1:21">
      <c r="A97" s="46" t="s">
        <v>682</v>
      </c>
      <c r="B97" s="46" t="s">
        <v>74</v>
      </c>
      <c r="C97" s="46" t="s">
        <v>666</v>
      </c>
      <c r="D97" s="46">
        <v>1</v>
      </c>
      <c r="E97" s="46">
        <v>0</v>
      </c>
      <c r="F97" s="46" t="s">
        <v>679</v>
      </c>
      <c r="G97" s="46" t="s">
        <v>1305</v>
      </c>
      <c r="H97" s="46" t="s">
        <v>1516</v>
      </c>
      <c r="I97" s="46" t="str">
        <f ca="1">IFERROR(__xludf.DUMMYFUNCTION("CONCAT(A97,REGEXREPLACE(H97,"".*_L0"",""_L0""))"),"HC_BN0347_MTG_snRNAseq_rep1_L004_R2_001.fastq.gz")</f>
        <v>HC_BN0347_MTG_snRNAseq_rep1_L004_R2_001.fastq.gz</v>
      </c>
      <c r="J97" s="46" t="str">
        <f t="shared" si="0"/>
        <v>/data/neurogen/ASAP/scRNAseq/data/batch2_ASAP_snRNA-seq_*/Raw_Data_and_Processing/cellranger_processing/cellranger_fastqs/outs/fastq_path/H*/BN0347_S3_L004_R2_001.fastq.gz</v>
      </c>
      <c r="K97" s="46" t="s">
        <v>1356</v>
      </c>
      <c r="L97" s="46" t="s">
        <v>1517</v>
      </c>
      <c r="M97" s="46" t="s">
        <v>1309</v>
      </c>
      <c r="N97" s="46" t="s">
        <v>1310</v>
      </c>
      <c r="O97" s="46" t="s">
        <v>1311</v>
      </c>
      <c r="P97" s="46" t="s">
        <v>1312</v>
      </c>
      <c r="Q97" s="46" t="s">
        <v>31</v>
      </c>
      <c r="R97" s="46" t="s">
        <v>31</v>
      </c>
      <c r="S97" s="46" t="s">
        <v>31</v>
      </c>
      <c r="T97" s="46" t="s">
        <v>31</v>
      </c>
      <c r="U97" s="46" t="s">
        <v>49</v>
      </c>
    </row>
    <row r="98" spans="1:21">
      <c r="A98" s="46" t="s">
        <v>683</v>
      </c>
      <c r="B98" s="46" t="s">
        <v>78</v>
      </c>
      <c r="C98" s="46" t="s">
        <v>666</v>
      </c>
      <c r="D98" s="46">
        <v>1</v>
      </c>
      <c r="E98" s="46">
        <v>0</v>
      </c>
      <c r="F98" s="46" t="s">
        <v>679</v>
      </c>
      <c r="G98" s="46" t="s">
        <v>1305</v>
      </c>
      <c r="H98" s="46" t="s">
        <v>1518</v>
      </c>
      <c r="I98" s="46" t="str">
        <f ca="1">IFERROR(__xludf.DUMMYFUNCTION("CONCAT(A98,REGEXREPLACE(H98,"".*_L0"",""_L0""))"),"PD_BN0348_MTG_snRNAseq_rep1_L001_I1_001.fastq.gz")</f>
        <v>PD_BN0348_MTG_snRNAseq_rep1_L001_I1_001.fastq.gz</v>
      </c>
      <c r="J98" s="46" t="str">
        <f t="shared" si="0"/>
        <v>/data/neurogen/ASAP/scRNAseq/data/batch2_ASAP_snRNA-seq_*/Raw_Data_and_Processing/cellranger_processing/cellranger_fastqs/outs/fastq_path/H*/BN0348_S4_L001_I1_001.fastq.gz</v>
      </c>
      <c r="K98" s="46" t="s">
        <v>1307</v>
      </c>
      <c r="L98" s="46" t="s">
        <v>1519</v>
      </c>
      <c r="M98" s="46" t="s">
        <v>1309</v>
      </c>
      <c r="N98" s="46" t="s">
        <v>1310</v>
      </c>
      <c r="O98" s="46" t="s">
        <v>1311</v>
      </c>
      <c r="P98" s="46" t="s">
        <v>1312</v>
      </c>
      <c r="Q98" s="46" t="s">
        <v>31</v>
      </c>
      <c r="R98" s="46" t="s">
        <v>31</v>
      </c>
      <c r="S98" s="46" t="s">
        <v>31</v>
      </c>
      <c r="T98" s="46" t="s">
        <v>31</v>
      </c>
      <c r="U98" s="46" t="s">
        <v>49</v>
      </c>
    </row>
    <row r="99" spans="1:21">
      <c r="A99" s="46" t="s">
        <v>683</v>
      </c>
      <c r="B99" s="46" t="s">
        <v>78</v>
      </c>
      <c r="C99" s="46" t="s">
        <v>666</v>
      </c>
      <c r="D99" s="46">
        <v>1</v>
      </c>
      <c r="E99" s="46">
        <v>0</v>
      </c>
      <c r="F99" s="46" t="s">
        <v>679</v>
      </c>
      <c r="G99" s="46" t="s">
        <v>1305</v>
      </c>
      <c r="H99" s="46" t="s">
        <v>1520</v>
      </c>
      <c r="I99" s="46" t="str">
        <f ca="1">IFERROR(__xludf.DUMMYFUNCTION("CONCAT(A99,REGEXREPLACE(H99,"".*_L0"",""_L0""))"),"PD_BN0348_MTG_snRNAseq_rep1_L001_I2_001.fastq.gz")</f>
        <v>PD_BN0348_MTG_snRNAseq_rep1_L001_I2_001.fastq.gz</v>
      </c>
      <c r="J99" s="46" t="str">
        <f t="shared" si="0"/>
        <v>/data/neurogen/ASAP/scRNAseq/data/batch2_ASAP_snRNA-seq_*/Raw_Data_and_Processing/cellranger_processing/cellranger_fastqs/outs/fastq_path/H*/BN0348_S4_L001_I2_001.fastq.gz</v>
      </c>
      <c r="K99" s="46" t="s">
        <v>1314</v>
      </c>
      <c r="L99" s="46" t="s">
        <v>1521</v>
      </c>
      <c r="M99" s="46" t="s">
        <v>1309</v>
      </c>
      <c r="N99" s="46" t="s">
        <v>1310</v>
      </c>
      <c r="O99" s="46" t="s">
        <v>1311</v>
      </c>
      <c r="P99" s="46" t="s">
        <v>1312</v>
      </c>
      <c r="Q99" s="46" t="s">
        <v>31</v>
      </c>
      <c r="R99" s="46" t="s">
        <v>31</v>
      </c>
      <c r="S99" s="46" t="s">
        <v>31</v>
      </c>
      <c r="T99" s="46" t="s">
        <v>31</v>
      </c>
      <c r="U99" s="46" t="s">
        <v>49</v>
      </c>
    </row>
    <row r="100" spans="1:21">
      <c r="A100" s="46" t="s">
        <v>683</v>
      </c>
      <c r="B100" s="46" t="s">
        <v>78</v>
      </c>
      <c r="C100" s="46" t="s">
        <v>666</v>
      </c>
      <c r="D100" s="46">
        <v>1</v>
      </c>
      <c r="E100" s="46">
        <v>0</v>
      </c>
      <c r="F100" s="46" t="s">
        <v>679</v>
      </c>
      <c r="G100" s="46" t="s">
        <v>1305</v>
      </c>
      <c r="H100" s="46" t="s">
        <v>1522</v>
      </c>
      <c r="I100" s="46" t="str">
        <f ca="1">IFERROR(__xludf.DUMMYFUNCTION("CONCAT(A100,REGEXREPLACE(H100,"".*_L0"",""_L0""))"),"PD_BN0348_MTG_snRNAseq_rep1_L001_R1_001.fastq.gz")</f>
        <v>PD_BN0348_MTG_snRNAseq_rep1_L001_R1_001.fastq.gz</v>
      </c>
      <c r="J100" s="46" t="str">
        <f t="shared" si="0"/>
        <v>/data/neurogen/ASAP/scRNAseq/data/batch2_ASAP_snRNA-seq_*/Raw_Data_and_Processing/cellranger_processing/cellranger_fastqs/outs/fastq_path/H*/BN0348_S4_L001_R1_001.fastq.gz</v>
      </c>
      <c r="K100" s="46" t="s">
        <v>1317</v>
      </c>
      <c r="L100" s="46" t="s">
        <v>1523</v>
      </c>
      <c r="M100" s="46" t="s">
        <v>1309</v>
      </c>
      <c r="N100" s="46" t="s">
        <v>1310</v>
      </c>
      <c r="O100" s="46" t="s">
        <v>1311</v>
      </c>
      <c r="P100" s="46" t="s">
        <v>1312</v>
      </c>
      <c r="Q100" s="46" t="s">
        <v>31</v>
      </c>
      <c r="R100" s="46" t="s">
        <v>31</v>
      </c>
      <c r="S100" s="46" t="s">
        <v>31</v>
      </c>
      <c r="T100" s="46" t="s">
        <v>31</v>
      </c>
      <c r="U100" s="46" t="s">
        <v>49</v>
      </c>
    </row>
    <row r="101" spans="1:21">
      <c r="A101" s="46" t="s">
        <v>683</v>
      </c>
      <c r="B101" s="46" t="s">
        <v>78</v>
      </c>
      <c r="C101" s="46" t="s">
        <v>666</v>
      </c>
      <c r="D101" s="46">
        <v>1</v>
      </c>
      <c r="E101" s="46">
        <v>0</v>
      </c>
      <c r="F101" s="46" t="s">
        <v>679</v>
      </c>
      <c r="G101" s="46" t="s">
        <v>1305</v>
      </c>
      <c r="H101" s="46" t="s">
        <v>1524</v>
      </c>
      <c r="I101" s="46" t="str">
        <f ca="1">IFERROR(__xludf.DUMMYFUNCTION("CONCAT(A101,REGEXREPLACE(H101,"".*_L0"",""_L0""))"),"PD_BN0348_MTG_snRNAseq_rep1_L001_R2_001.fastq.gz")</f>
        <v>PD_BN0348_MTG_snRNAseq_rep1_L001_R2_001.fastq.gz</v>
      </c>
      <c r="J101" s="46" t="str">
        <f t="shared" si="0"/>
        <v>/data/neurogen/ASAP/scRNAseq/data/batch2_ASAP_snRNA-seq_*/Raw_Data_and_Processing/cellranger_processing/cellranger_fastqs/outs/fastq_path/H*/BN0348_S4_L001_R2_001.fastq.gz</v>
      </c>
      <c r="K101" s="46" t="s">
        <v>1320</v>
      </c>
      <c r="L101" s="46" t="s">
        <v>1525</v>
      </c>
      <c r="M101" s="46" t="s">
        <v>1309</v>
      </c>
      <c r="N101" s="46" t="s">
        <v>1310</v>
      </c>
      <c r="O101" s="46" t="s">
        <v>1311</v>
      </c>
      <c r="P101" s="46" t="s">
        <v>1312</v>
      </c>
      <c r="Q101" s="46" t="s">
        <v>31</v>
      </c>
      <c r="R101" s="46" t="s">
        <v>31</v>
      </c>
      <c r="S101" s="46" t="s">
        <v>31</v>
      </c>
      <c r="T101" s="46" t="s">
        <v>31</v>
      </c>
      <c r="U101" s="46" t="s">
        <v>49</v>
      </c>
    </row>
    <row r="102" spans="1:21">
      <c r="A102" s="46" t="s">
        <v>683</v>
      </c>
      <c r="B102" s="46" t="s">
        <v>78</v>
      </c>
      <c r="C102" s="46" t="s">
        <v>666</v>
      </c>
      <c r="D102" s="46">
        <v>1</v>
      </c>
      <c r="E102" s="46">
        <v>0</v>
      </c>
      <c r="F102" s="46" t="s">
        <v>679</v>
      </c>
      <c r="G102" s="46" t="s">
        <v>1305</v>
      </c>
      <c r="H102" s="46" t="s">
        <v>1526</v>
      </c>
      <c r="I102" s="46" t="str">
        <f ca="1">IFERROR(__xludf.DUMMYFUNCTION("CONCAT(A102,REGEXREPLACE(H102,"".*_L0"",""_L0""))"),"PD_BN0348_MTG_snRNAseq_rep1_L002_I1_001.fastq.gz")</f>
        <v>PD_BN0348_MTG_snRNAseq_rep1_L002_I1_001.fastq.gz</v>
      </c>
      <c r="J102" s="46" t="str">
        <f t="shared" si="0"/>
        <v>/data/neurogen/ASAP/scRNAseq/data/batch2_ASAP_snRNA-seq_*/Raw_Data_and_Processing/cellranger_processing/cellranger_fastqs/outs/fastq_path/H*/BN0348_S4_L002_I1_001.fastq.gz</v>
      </c>
      <c r="K102" s="46" t="s">
        <v>1323</v>
      </c>
      <c r="L102" s="46" t="s">
        <v>1527</v>
      </c>
      <c r="M102" s="46" t="s">
        <v>1309</v>
      </c>
      <c r="N102" s="46" t="s">
        <v>1310</v>
      </c>
      <c r="O102" s="46" t="s">
        <v>1311</v>
      </c>
      <c r="P102" s="46" t="s">
        <v>1312</v>
      </c>
      <c r="Q102" s="46" t="s">
        <v>31</v>
      </c>
      <c r="R102" s="46" t="s">
        <v>31</v>
      </c>
      <c r="S102" s="46" t="s">
        <v>31</v>
      </c>
      <c r="T102" s="46" t="s">
        <v>31</v>
      </c>
      <c r="U102" s="46" t="s">
        <v>49</v>
      </c>
    </row>
    <row r="103" spans="1:21">
      <c r="A103" s="46" t="s">
        <v>683</v>
      </c>
      <c r="B103" s="46" t="s">
        <v>78</v>
      </c>
      <c r="C103" s="46" t="s">
        <v>666</v>
      </c>
      <c r="D103" s="46">
        <v>1</v>
      </c>
      <c r="E103" s="46">
        <v>0</v>
      </c>
      <c r="F103" s="46" t="s">
        <v>679</v>
      </c>
      <c r="G103" s="46" t="s">
        <v>1305</v>
      </c>
      <c r="H103" s="46" t="s">
        <v>1528</v>
      </c>
      <c r="I103" s="46" t="str">
        <f ca="1">IFERROR(__xludf.DUMMYFUNCTION("CONCAT(A103,REGEXREPLACE(H103,"".*_L0"",""_L0""))"),"PD_BN0348_MTG_snRNAseq_rep1_L002_I2_001.fastq.gz")</f>
        <v>PD_BN0348_MTG_snRNAseq_rep1_L002_I2_001.fastq.gz</v>
      </c>
      <c r="J103" s="46" t="str">
        <f t="shared" si="0"/>
        <v>/data/neurogen/ASAP/scRNAseq/data/batch2_ASAP_snRNA-seq_*/Raw_Data_and_Processing/cellranger_processing/cellranger_fastqs/outs/fastq_path/H*/BN0348_S4_L002_I2_001.fastq.gz</v>
      </c>
      <c r="K103" s="46" t="s">
        <v>1326</v>
      </c>
      <c r="L103" s="46" t="s">
        <v>1529</v>
      </c>
      <c r="M103" s="46" t="s">
        <v>1309</v>
      </c>
      <c r="N103" s="46" t="s">
        <v>1310</v>
      </c>
      <c r="O103" s="46" t="s">
        <v>1311</v>
      </c>
      <c r="P103" s="46" t="s">
        <v>1312</v>
      </c>
      <c r="Q103" s="46" t="s">
        <v>31</v>
      </c>
      <c r="R103" s="46" t="s">
        <v>31</v>
      </c>
      <c r="S103" s="46" t="s">
        <v>31</v>
      </c>
      <c r="T103" s="46" t="s">
        <v>31</v>
      </c>
      <c r="U103" s="46" t="s">
        <v>49</v>
      </c>
    </row>
    <row r="104" spans="1:21">
      <c r="A104" s="46" t="s">
        <v>683</v>
      </c>
      <c r="B104" s="46" t="s">
        <v>78</v>
      </c>
      <c r="C104" s="46" t="s">
        <v>666</v>
      </c>
      <c r="D104" s="46">
        <v>1</v>
      </c>
      <c r="E104" s="46">
        <v>0</v>
      </c>
      <c r="F104" s="46" t="s">
        <v>679</v>
      </c>
      <c r="G104" s="46" t="s">
        <v>1305</v>
      </c>
      <c r="H104" s="46" t="s">
        <v>1530</v>
      </c>
      <c r="I104" s="46" t="str">
        <f ca="1">IFERROR(__xludf.DUMMYFUNCTION("CONCAT(A104,REGEXREPLACE(H104,"".*_L0"",""_L0""))"),"PD_BN0348_MTG_snRNAseq_rep1_L002_R1_001.fastq.gz")</f>
        <v>PD_BN0348_MTG_snRNAseq_rep1_L002_R1_001.fastq.gz</v>
      </c>
      <c r="J104" s="46" t="str">
        <f t="shared" si="0"/>
        <v>/data/neurogen/ASAP/scRNAseq/data/batch2_ASAP_snRNA-seq_*/Raw_Data_and_Processing/cellranger_processing/cellranger_fastqs/outs/fastq_path/H*/BN0348_S4_L002_R1_001.fastq.gz</v>
      </c>
      <c r="K104" s="46" t="s">
        <v>1329</v>
      </c>
      <c r="L104" s="46" t="s">
        <v>1531</v>
      </c>
      <c r="M104" s="46" t="s">
        <v>1309</v>
      </c>
      <c r="N104" s="46" t="s">
        <v>1310</v>
      </c>
      <c r="O104" s="46" t="s">
        <v>1311</v>
      </c>
      <c r="P104" s="46" t="s">
        <v>1312</v>
      </c>
      <c r="Q104" s="46" t="s">
        <v>31</v>
      </c>
      <c r="R104" s="46" t="s">
        <v>31</v>
      </c>
      <c r="S104" s="46" t="s">
        <v>31</v>
      </c>
      <c r="T104" s="46" t="s">
        <v>31</v>
      </c>
      <c r="U104" s="46" t="s">
        <v>49</v>
      </c>
    </row>
    <row r="105" spans="1:21">
      <c r="A105" s="46" t="s">
        <v>683</v>
      </c>
      <c r="B105" s="46" t="s">
        <v>78</v>
      </c>
      <c r="C105" s="46" t="s">
        <v>666</v>
      </c>
      <c r="D105" s="46">
        <v>1</v>
      </c>
      <c r="E105" s="46">
        <v>0</v>
      </c>
      <c r="F105" s="46" t="s">
        <v>679</v>
      </c>
      <c r="G105" s="46" t="s">
        <v>1305</v>
      </c>
      <c r="H105" s="46" t="s">
        <v>1532</v>
      </c>
      <c r="I105" s="46" t="str">
        <f ca="1">IFERROR(__xludf.DUMMYFUNCTION("CONCAT(A105,REGEXREPLACE(H105,"".*_L0"",""_L0""))"),"PD_BN0348_MTG_snRNAseq_rep1_L002_R2_001.fastq.gz")</f>
        <v>PD_BN0348_MTG_snRNAseq_rep1_L002_R2_001.fastq.gz</v>
      </c>
      <c r="J105" s="46" t="str">
        <f t="shared" si="0"/>
        <v>/data/neurogen/ASAP/scRNAseq/data/batch2_ASAP_snRNA-seq_*/Raw_Data_and_Processing/cellranger_processing/cellranger_fastqs/outs/fastq_path/H*/BN0348_S4_L002_R2_001.fastq.gz</v>
      </c>
      <c r="K105" s="46" t="s">
        <v>1332</v>
      </c>
      <c r="L105" s="46" t="s">
        <v>1533</v>
      </c>
      <c r="M105" s="46" t="s">
        <v>1309</v>
      </c>
      <c r="N105" s="46" t="s">
        <v>1310</v>
      </c>
      <c r="O105" s="46" t="s">
        <v>1311</v>
      </c>
      <c r="P105" s="46" t="s">
        <v>1312</v>
      </c>
      <c r="Q105" s="46" t="s">
        <v>31</v>
      </c>
      <c r="R105" s="46" t="s">
        <v>31</v>
      </c>
      <c r="S105" s="46" t="s">
        <v>31</v>
      </c>
      <c r="T105" s="46" t="s">
        <v>31</v>
      </c>
      <c r="U105" s="46" t="s">
        <v>49</v>
      </c>
    </row>
    <row r="106" spans="1:21">
      <c r="A106" s="46" t="s">
        <v>683</v>
      </c>
      <c r="B106" s="46" t="s">
        <v>78</v>
      </c>
      <c r="C106" s="46" t="s">
        <v>666</v>
      </c>
      <c r="D106" s="46">
        <v>1</v>
      </c>
      <c r="E106" s="46">
        <v>0</v>
      </c>
      <c r="F106" s="46" t="s">
        <v>679</v>
      </c>
      <c r="G106" s="46" t="s">
        <v>1305</v>
      </c>
      <c r="H106" s="46" t="s">
        <v>1534</v>
      </c>
      <c r="I106" s="46" t="str">
        <f ca="1">IFERROR(__xludf.DUMMYFUNCTION("CONCAT(A106,REGEXREPLACE(H106,"".*_L0"",""_L0""))"),"PD_BN0348_MTG_snRNAseq_rep1_L003_I1_001.fastq.gz")</f>
        <v>PD_BN0348_MTG_snRNAseq_rep1_L003_I1_001.fastq.gz</v>
      </c>
      <c r="J106" s="46" t="str">
        <f t="shared" si="0"/>
        <v>/data/neurogen/ASAP/scRNAseq/data/batch2_ASAP_snRNA-seq_*/Raw_Data_and_Processing/cellranger_processing/cellranger_fastqs/outs/fastq_path/H*/BN0348_S4_L003_I1_001.fastq.gz</v>
      </c>
      <c r="K106" s="46" t="s">
        <v>1335</v>
      </c>
      <c r="L106" s="46" t="s">
        <v>1535</v>
      </c>
      <c r="M106" s="46" t="s">
        <v>1309</v>
      </c>
      <c r="N106" s="46" t="s">
        <v>1310</v>
      </c>
      <c r="O106" s="46" t="s">
        <v>1311</v>
      </c>
      <c r="P106" s="46" t="s">
        <v>1312</v>
      </c>
      <c r="Q106" s="46" t="s">
        <v>31</v>
      </c>
      <c r="R106" s="46" t="s">
        <v>31</v>
      </c>
      <c r="S106" s="46" t="s">
        <v>31</v>
      </c>
      <c r="T106" s="46" t="s">
        <v>31</v>
      </c>
      <c r="U106" s="46" t="s">
        <v>49</v>
      </c>
    </row>
    <row r="107" spans="1:21">
      <c r="A107" s="46" t="s">
        <v>683</v>
      </c>
      <c r="B107" s="46" t="s">
        <v>78</v>
      </c>
      <c r="C107" s="46" t="s">
        <v>666</v>
      </c>
      <c r="D107" s="46">
        <v>1</v>
      </c>
      <c r="E107" s="46">
        <v>0</v>
      </c>
      <c r="F107" s="46" t="s">
        <v>679</v>
      </c>
      <c r="G107" s="46" t="s">
        <v>1305</v>
      </c>
      <c r="H107" s="46" t="s">
        <v>1536</v>
      </c>
      <c r="I107" s="46" t="str">
        <f ca="1">IFERROR(__xludf.DUMMYFUNCTION("CONCAT(A107,REGEXREPLACE(H107,"".*_L0"",""_L0""))"),"PD_BN0348_MTG_snRNAseq_rep1_L003_I2_001.fastq.gz")</f>
        <v>PD_BN0348_MTG_snRNAseq_rep1_L003_I2_001.fastq.gz</v>
      </c>
      <c r="J107" s="46" t="str">
        <f t="shared" si="0"/>
        <v>/data/neurogen/ASAP/scRNAseq/data/batch2_ASAP_snRNA-seq_*/Raw_Data_and_Processing/cellranger_processing/cellranger_fastqs/outs/fastq_path/H*/BN0348_S4_L003_I2_001.fastq.gz</v>
      </c>
      <c r="K107" s="46" t="s">
        <v>1338</v>
      </c>
      <c r="L107" s="46" t="s">
        <v>1537</v>
      </c>
      <c r="M107" s="46" t="s">
        <v>1309</v>
      </c>
      <c r="N107" s="46" t="s">
        <v>1310</v>
      </c>
      <c r="O107" s="46" t="s">
        <v>1311</v>
      </c>
      <c r="P107" s="46" t="s">
        <v>1312</v>
      </c>
      <c r="Q107" s="46" t="s">
        <v>31</v>
      </c>
      <c r="R107" s="46" t="s">
        <v>31</v>
      </c>
      <c r="S107" s="46" t="s">
        <v>31</v>
      </c>
      <c r="T107" s="46" t="s">
        <v>31</v>
      </c>
      <c r="U107" s="46" t="s">
        <v>49</v>
      </c>
    </row>
    <row r="108" spans="1:21">
      <c r="A108" s="46" t="s">
        <v>683</v>
      </c>
      <c r="B108" s="46" t="s">
        <v>78</v>
      </c>
      <c r="C108" s="46" t="s">
        <v>666</v>
      </c>
      <c r="D108" s="46">
        <v>1</v>
      </c>
      <c r="E108" s="46">
        <v>0</v>
      </c>
      <c r="F108" s="46" t="s">
        <v>679</v>
      </c>
      <c r="G108" s="46" t="s">
        <v>1305</v>
      </c>
      <c r="H108" s="46" t="s">
        <v>1538</v>
      </c>
      <c r="I108" s="46" t="str">
        <f ca="1">IFERROR(__xludf.DUMMYFUNCTION("CONCAT(A108,REGEXREPLACE(H108,"".*_L0"",""_L0""))"),"PD_BN0348_MTG_snRNAseq_rep1_L003_R1_001.fastq.gz")</f>
        <v>PD_BN0348_MTG_snRNAseq_rep1_L003_R1_001.fastq.gz</v>
      </c>
      <c r="J108" s="46" t="str">
        <f t="shared" si="0"/>
        <v>/data/neurogen/ASAP/scRNAseq/data/batch2_ASAP_snRNA-seq_*/Raw_Data_and_Processing/cellranger_processing/cellranger_fastqs/outs/fastq_path/H*/BN0348_S4_L003_R1_001.fastq.gz</v>
      </c>
      <c r="K108" s="46" t="s">
        <v>1341</v>
      </c>
      <c r="L108" s="46" t="s">
        <v>1539</v>
      </c>
      <c r="M108" s="46" t="s">
        <v>1309</v>
      </c>
      <c r="N108" s="46" t="s">
        <v>1310</v>
      </c>
      <c r="O108" s="46" t="s">
        <v>1311</v>
      </c>
      <c r="P108" s="46" t="s">
        <v>1312</v>
      </c>
      <c r="Q108" s="46" t="s">
        <v>31</v>
      </c>
      <c r="R108" s="46" t="s">
        <v>31</v>
      </c>
      <c r="S108" s="46" t="s">
        <v>31</v>
      </c>
      <c r="T108" s="46" t="s">
        <v>31</v>
      </c>
      <c r="U108" s="46" t="s">
        <v>49</v>
      </c>
    </row>
    <row r="109" spans="1:21">
      <c r="A109" s="46" t="s">
        <v>683</v>
      </c>
      <c r="B109" s="46" t="s">
        <v>78</v>
      </c>
      <c r="C109" s="46" t="s">
        <v>666</v>
      </c>
      <c r="D109" s="46">
        <v>1</v>
      </c>
      <c r="E109" s="46">
        <v>0</v>
      </c>
      <c r="F109" s="46" t="s">
        <v>679</v>
      </c>
      <c r="G109" s="46" t="s">
        <v>1305</v>
      </c>
      <c r="H109" s="46" t="s">
        <v>1540</v>
      </c>
      <c r="I109" s="46" t="str">
        <f ca="1">IFERROR(__xludf.DUMMYFUNCTION("CONCAT(A109,REGEXREPLACE(H109,"".*_L0"",""_L0""))"),"PD_BN0348_MTG_snRNAseq_rep1_L003_R2_001.fastq.gz")</f>
        <v>PD_BN0348_MTG_snRNAseq_rep1_L003_R2_001.fastq.gz</v>
      </c>
      <c r="J109" s="46" t="str">
        <f t="shared" si="0"/>
        <v>/data/neurogen/ASAP/scRNAseq/data/batch2_ASAP_snRNA-seq_*/Raw_Data_and_Processing/cellranger_processing/cellranger_fastqs/outs/fastq_path/H*/BN0348_S4_L003_R2_001.fastq.gz</v>
      </c>
      <c r="K109" s="46" t="s">
        <v>1344</v>
      </c>
      <c r="L109" s="46" t="s">
        <v>1541</v>
      </c>
      <c r="M109" s="46" t="s">
        <v>1309</v>
      </c>
      <c r="N109" s="46" t="s">
        <v>1310</v>
      </c>
      <c r="O109" s="46" t="s">
        <v>1311</v>
      </c>
      <c r="P109" s="46" t="s">
        <v>1312</v>
      </c>
      <c r="Q109" s="46" t="s">
        <v>31</v>
      </c>
      <c r="R109" s="46" t="s">
        <v>31</v>
      </c>
      <c r="S109" s="46" t="s">
        <v>31</v>
      </c>
      <c r="T109" s="46" t="s">
        <v>31</v>
      </c>
      <c r="U109" s="46" t="s">
        <v>49</v>
      </c>
    </row>
    <row r="110" spans="1:21">
      <c r="A110" s="46" t="s">
        <v>683</v>
      </c>
      <c r="B110" s="46" t="s">
        <v>78</v>
      </c>
      <c r="C110" s="46" t="s">
        <v>666</v>
      </c>
      <c r="D110" s="46">
        <v>1</v>
      </c>
      <c r="E110" s="46">
        <v>0</v>
      </c>
      <c r="F110" s="46" t="s">
        <v>679</v>
      </c>
      <c r="G110" s="46" t="s">
        <v>1305</v>
      </c>
      <c r="H110" s="46" t="s">
        <v>1542</v>
      </c>
      <c r="I110" s="46" t="str">
        <f ca="1">IFERROR(__xludf.DUMMYFUNCTION("CONCAT(A110,REGEXREPLACE(H110,"".*_L0"",""_L0""))"),"PD_BN0348_MTG_snRNAseq_rep1_L004_I1_001.fastq.gz")</f>
        <v>PD_BN0348_MTG_snRNAseq_rep1_L004_I1_001.fastq.gz</v>
      </c>
      <c r="J110" s="46" t="str">
        <f t="shared" si="0"/>
        <v>/data/neurogen/ASAP/scRNAseq/data/batch2_ASAP_snRNA-seq_*/Raw_Data_and_Processing/cellranger_processing/cellranger_fastqs/outs/fastq_path/H*/BN0348_S4_L004_I1_001.fastq.gz</v>
      </c>
      <c r="K110" s="46" t="s">
        <v>1347</v>
      </c>
      <c r="L110" s="46" t="s">
        <v>1543</v>
      </c>
      <c r="M110" s="46" t="s">
        <v>1309</v>
      </c>
      <c r="N110" s="46" t="s">
        <v>1310</v>
      </c>
      <c r="O110" s="46" t="s">
        <v>1311</v>
      </c>
      <c r="P110" s="46" t="s">
        <v>1312</v>
      </c>
      <c r="Q110" s="46" t="s">
        <v>31</v>
      </c>
      <c r="R110" s="46" t="s">
        <v>31</v>
      </c>
      <c r="S110" s="46" t="s">
        <v>31</v>
      </c>
      <c r="T110" s="46" t="s">
        <v>31</v>
      </c>
      <c r="U110" s="46" t="s">
        <v>49</v>
      </c>
    </row>
    <row r="111" spans="1:21">
      <c r="A111" s="46" t="s">
        <v>683</v>
      </c>
      <c r="B111" s="46" t="s">
        <v>78</v>
      </c>
      <c r="C111" s="46" t="s">
        <v>666</v>
      </c>
      <c r="D111" s="46">
        <v>1</v>
      </c>
      <c r="E111" s="46">
        <v>0</v>
      </c>
      <c r="F111" s="46" t="s">
        <v>679</v>
      </c>
      <c r="G111" s="46" t="s">
        <v>1305</v>
      </c>
      <c r="H111" s="46" t="s">
        <v>1544</v>
      </c>
      <c r="I111" s="46" t="str">
        <f ca="1">IFERROR(__xludf.DUMMYFUNCTION("CONCAT(A111,REGEXREPLACE(H111,"".*_L0"",""_L0""))"),"PD_BN0348_MTG_snRNAseq_rep1_L004_I2_001.fastq.gz")</f>
        <v>PD_BN0348_MTG_snRNAseq_rep1_L004_I2_001.fastq.gz</v>
      </c>
      <c r="J111" s="46" t="str">
        <f t="shared" si="0"/>
        <v>/data/neurogen/ASAP/scRNAseq/data/batch2_ASAP_snRNA-seq_*/Raw_Data_and_Processing/cellranger_processing/cellranger_fastqs/outs/fastq_path/H*/BN0348_S4_L004_I2_001.fastq.gz</v>
      </c>
      <c r="K111" s="46" t="s">
        <v>1350</v>
      </c>
      <c r="L111" s="46" t="s">
        <v>1545</v>
      </c>
      <c r="M111" s="46" t="s">
        <v>1309</v>
      </c>
      <c r="N111" s="46" t="s">
        <v>1310</v>
      </c>
      <c r="O111" s="46" t="s">
        <v>1311</v>
      </c>
      <c r="P111" s="46" t="s">
        <v>1312</v>
      </c>
      <c r="Q111" s="46" t="s">
        <v>31</v>
      </c>
      <c r="R111" s="46" t="s">
        <v>31</v>
      </c>
      <c r="S111" s="46" t="s">
        <v>31</v>
      </c>
      <c r="T111" s="46" t="s">
        <v>31</v>
      </c>
      <c r="U111" s="46" t="s">
        <v>49</v>
      </c>
    </row>
    <row r="112" spans="1:21">
      <c r="A112" s="46" t="s">
        <v>683</v>
      </c>
      <c r="B112" s="46" t="s">
        <v>78</v>
      </c>
      <c r="C112" s="46" t="s">
        <v>666</v>
      </c>
      <c r="D112" s="46">
        <v>1</v>
      </c>
      <c r="E112" s="46">
        <v>0</v>
      </c>
      <c r="F112" s="46" t="s">
        <v>679</v>
      </c>
      <c r="G112" s="46" t="s">
        <v>1305</v>
      </c>
      <c r="H112" s="46" t="s">
        <v>1546</v>
      </c>
      <c r="I112" s="46" t="str">
        <f ca="1">IFERROR(__xludf.DUMMYFUNCTION("CONCAT(A112,REGEXREPLACE(H112,"".*_L0"",""_L0""))"),"PD_BN0348_MTG_snRNAseq_rep1_L004_R1_001.fastq.gz")</f>
        <v>PD_BN0348_MTG_snRNAseq_rep1_L004_R1_001.fastq.gz</v>
      </c>
      <c r="J112" s="46" t="str">
        <f t="shared" si="0"/>
        <v>/data/neurogen/ASAP/scRNAseq/data/batch2_ASAP_snRNA-seq_*/Raw_Data_and_Processing/cellranger_processing/cellranger_fastqs/outs/fastq_path/H*/BN0348_S4_L004_R1_001.fastq.gz</v>
      </c>
      <c r="K112" s="46" t="s">
        <v>1353</v>
      </c>
      <c r="L112" s="46" t="s">
        <v>1547</v>
      </c>
      <c r="M112" s="46" t="s">
        <v>1309</v>
      </c>
      <c r="N112" s="46" t="s">
        <v>1310</v>
      </c>
      <c r="O112" s="46" t="s">
        <v>1311</v>
      </c>
      <c r="P112" s="46" t="s">
        <v>1312</v>
      </c>
      <c r="Q112" s="46" t="s">
        <v>31</v>
      </c>
      <c r="R112" s="46" t="s">
        <v>31</v>
      </c>
      <c r="S112" s="46" t="s">
        <v>31</v>
      </c>
      <c r="T112" s="46" t="s">
        <v>31</v>
      </c>
      <c r="U112" s="46" t="s">
        <v>49</v>
      </c>
    </row>
    <row r="113" spans="1:21">
      <c r="A113" s="46" t="s">
        <v>683</v>
      </c>
      <c r="B113" s="46" t="s">
        <v>78</v>
      </c>
      <c r="C113" s="46" t="s">
        <v>666</v>
      </c>
      <c r="D113" s="46">
        <v>1</v>
      </c>
      <c r="E113" s="46">
        <v>0</v>
      </c>
      <c r="F113" s="46" t="s">
        <v>679</v>
      </c>
      <c r="G113" s="46" t="s">
        <v>1305</v>
      </c>
      <c r="H113" s="46" t="s">
        <v>1548</v>
      </c>
      <c r="I113" s="46" t="str">
        <f ca="1">IFERROR(__xludf.DUMMYFUNCTION("CONCAT(A113,REGEXREPLACE(H113,"".*_L0"",""_L0""))"),"PD_BN0348_MTG_snRNAseq_rep1_L004_R2_001.fastq.gz")</f>
        <v>PD_BN0348_MTG_snRNAseq_rep1_L004_R2_001.fastq.gz</v>
      </c>
      <c r="J113" s="46" t="str">
        <f t="shared" si="0"/>
        <v>/data/neurogen/ASAP/scRNAseq/data/batch2_ASAP_snRNA-seq_*/Raw_Data_and_Processing/cellranger_processing/cellranger_fastqs/outs/fastq_path/H*/BN0348_S4_L004_R2_001.fastq.gz</v>
      </c>
      <c r="K113" s="46" t="s">
        <v>1356</v>
      </c>
      <c r="L113" s="46" t="s">
        <v>1549</v>
      </c>
      <c r="M113" s="46" t="s">
        <v>1309</v>
      </c>
      <c r="N113" s="46" t="s">
        <v>1310</v>
      </c>
      <c r="O113" s="46" t="s">
        <v>1311</v>
      </c>
      <c r="P113" s="46" t="s">
        <v>1312</v>
      </c>
      <c r="Q113" s="46" t="s">
        <v>31</v>
      </c>
      <c r="R113" s="46" t="s">
        <v>31</v>
      </c>
      <c r="S113" s="46" t="s">
        <v>31</v>
      </c>
      <c r="T113" s="46" t="s">
        <v>31</v>
      </c>
      <c r="U113" s="46" t="s">
        <v>49</v>
      </c>
    </row>
    <row r="114" spans="1:21">
      <c r="A114" s="46" t="s">
        <v>687</v>
      </c>
      <c r="B114" s="46" t="s">
        <v>85</v>
      </c>
      <c r="C114" s="46" t="s">
        <v>666</v>
      </c>
      <c r="D114" s="46">
        <v>2</v>
      </c>
      <c r="E114" s="46">
        <v>0</v>
      </c>
      <c r="F114" s="46" t="s">
        <v>679</v>
      </c>
      <c r="G114" s="46" t="s">
        <v>1305</v>
      </c>
      <c r="H114" s="46" t="s">
        <v>1550</v>
      </c>
      <c r="I114" s="46" t="str">
        <f ca="1">IFERROR(__xludf.DUMMYFUNCTION("CONCAT(A114,REGEXREPLACE(H114,"".*_L0"",""_L0""))"),"ILB_BN0464_MTG_snRNAseq_rep1_L001_I1_001.fastq.gz")</f>
        <v>ILB_BN0464_MTG_snRNAseq_rep1_L001_I1_001.fastq.gz</v>
      </c>
      <c r="J114" s="46" t="str">
        <f t="shared" si="0"/>
        <v>/data/neurogen/ASAP/scRNAseq/data/batch2_ASAP_snRNA-seq_*/Raw_Data_and_Processing/cellranger_processing/cellranger_fastqs/outs/fastq_path/H*/BN0464_S2_L001_I1_001.fastq.gz</v>
      </c>
      <c r="K114" s="46" t="s">
        <v>1307</v>
      </c>
      <c r="L114" s="46" t="s">
        <v>1551</v>
      </c>
      <c r="M114" s="46" t="s">
        <v>1309</v>
      </c>
      <c r="N114" s="46" t="s">
        <v>1310</v>
      </c>
      <c r="O114" s="46" t="s">
        <v>1311</v>
      </c>
      <c r="P114" s="46" t="s">
        <v>1312</v>
      </c>
      <c r="Q114" s="46" t="s">
        <v>31</v>
      </c>
      <c r="R114" s="46" t="s">
        <v>31</v>
      </c>
      <c r="S114" s="46" t="s">
        <v>31</v>
      </c>
      <c r="T114" s="46" t="s">
        <v>31</v>
      </c>
      <c r="U114" s="46" t="s">
        <v>49</v>
      </c>
    </row>
    <row r="115" spans="1:21">
      <c r="A115" s="46" t="s">
        <v>687</v>
      </c>
      <c r="B115" s="46" t="s">
        <v>85</v>
      </c>
      <c r="C115" s="46" t="s">
        <v>666</v>
      </c>
      <c r="D115" s="46">
        <v>2</v>
      </c>
      <c r="E115" s="46">
        <v>0</v>
      </c>
      <c r="F115" s="46" t="s">
        <v>679</v>
      </c>
      <c r="G115" s="46" t="s">
        <v>1305</v>
      </c>
      <c r="H115" s="46" t="s">
        <v>1552</v>
      </c>
      <c r="I115" s="46" t="str">
        <f ca="1">IFERROR(__xludf.DUMMYFUNCTION("CONCAT(A115,REGEXREPLACE(H115,"".*_L0"",""_L0""))"),"ILB_BN0464_MTG_snRNAseq_rep1_L001_I2_001.fastq.gz")</f>
        <v>ILB_BN0464_MTG_snRNAseq_rep1_L001_I2_001.fastq.gz</v>
      </c>
      <c r="J115" s="46" t="str">
        <f t="shared" si="0"/>
        <v>/data/neurogen/ASAP/scRNAseq/data/batch2_ASAP_snRNA-seq_*/Raw_Data_and_Processing/cellranger_processing/cellranger_fastqs/outs/fastq_path/H*/BN0464_S2_L001_I2_001.fastq.gz</v>
      </c>
      <c r="K115" s="46" t="s">
        <v>1314</v>
      </c>
      <c r="L115" s="46" t="s">
        <v>1553</v>
      </c>
      <c r="M115" s="46" t="s">
        <v>1309</v>
      </c>
      <c r="N115" s="46" t="s">
        <v>1310</v>
      </c>
      <c r="O115" s="46" t="s">
        <v>1311</v>
      </c>
      <c r="P115" s="46" t="s">
        <v>1312</v>
      </c>
      <c r="Q115" s="46" t="s">
        <v>31</v>
      </c>
      <c r="R115" s="46" t="s">
        <v>31</v>
      </c>
      <c r="S115" s="46" t="s">
        <v>31</v>
      </c>
      <c r="T115" s="46" t="s">
        <v>31</v>
      </c>
      <c r="U115" s="46" t="s">
        <v>49</v>
      </c>
    </row>
    <row r="116" spans="1:21">
      <c r="A116" s="46" t="s">
        <v>687</v>
      </c>
      <c r="B116" s="46" t="s">
        <v>85</v>
      </c>
      <c r="C116" s="46" t="s">
        <v>666</v>
      </c>
      <c r="D116" s="46">
        <v>2</v>
      </c>
      <c r="E116" s="46">
        <v>0</v>
      </c>
      <c r="F116" s="46" t="s">
        <v>679</v>
      </c>
      <c r="G116" s="46" t="s">
        <v>1305</v>
      </c>
      <c r="H116" s="46" t="s">
        <v>1554</v>
      </c>
      <c r="I116" s="46" t="str">
        <f ca="1">IFERROR(__xludf.DUMMYFUNCTION("CONCAT(A116,REGEXREPLACE(H116,"".*_L0"",""_L0""))"),"ILB_BN0464_MTG_snRNAseq_rep1_L001_R1_001.fastq.gz")</f>
        <v>ILB_BN0464_MTG_snRNAseq_rep1_L001_R1_001.fastq.gz</v>
      </c>
      <c r="J116" s="46" t="str">
        <f t="shared" si="0"/>
        <v>/data/neurogen/ASAP/scRNAseq/data/batch2_ASAP_snRNA-seq_*/Raw_Data_and_Processing/cellranger_processing/cellranger_fastqs/outs/fastq_path/H*/BN0464_S2_L001_R1_001.fastq.gz</v>
      </c>
      <c r="K116" s="46" t="s">
        <v>1317</v>
      </c>
      <c r="L116" s="46" t="s">
        <v>1555</v>
      </c>
      <c r="M116" s="46" t="s">
        <v>1309</v>
      </c>
      <c r="N116" s="46" t="s">
        <v>1310</v>
      </c>
      <c r="O116" s="46" t="s">
        <v>1311</v>
      </c>
      <c r="P116" s="46" t="s">
        <v>1312</v>
      </c>
      <c r="Q116" s="46" t="s">
        <v>31</v>
      </c>
      <c r="R116" s="46" t="s">
        <v>31</v>
      </c>
      <c r="S116" s="46" t="s">
        <v>31</v>
      </c>
      <c r="T116" s="46" t="s">
        <v>31</v>
      </c>
      <c r="U116" s="46" t="s">
        <v>49</v>
      </c>
    </row>
    <row r="117" spans="1:21">
      <c r="A117" s="46" t="s">
        <v>687</v>
      </c>
      <c r="B117" s="46" t="s">
        <v>85</v>
      </c>
      <c r="C117" s="46" t="s">
        <v>666</v>
      </c>
      <c r="D117" s="46">
        <v>2</v>
      </c>
      <c r="E117" s="46">
        <v>0</v>
      </c>
      <c r="F117" s="46" t="s">
        <v>679</v>
      </c>
      <c r="G117" s="46" t="s">
        <v>1305</v>
      </c>
      <c r="H117" s="46" t="s">
        <v>1556</v>
      </c>
      <c r="I117" s="46" t="str">
        <f ca="1">IFERROR(__xludf.DUMMYFUNCTION("CONCAT(A117,REGEXREPLACE(H117,"".*_L0"",""_L0""))"),"ILB_BN0464_MTG_snRNAseq_rep1_L001_R2_001.fastq.gz")</f>
        <v>ILB_BN0464_MTG_snRNAseq_rep1_L001_R2_001.fastq.gz</v>
      </c>
      <c r="J117" s="46" t="str">
        <f t="shared" si="0"/>
        <v>/data/neurogen/ASAP/scRNAseq/data/batch2_ASAP_snRNA-seq_*/Raw_Data_and_Processing/cellranger_processing/cellranger_fastqs/outs/fastq_path/H*/BN0464_S2_L001_R2_001.fastq.gz</v>
      </c>
      <c r="K117" s="46" t="s">
        <v>1320</v>
      </c>
      <c r="L117" s="46" t="s">
        <v>1557</v>
      </c>
      <c r="M117" s="46" t="s">
        <v>1309</v>
      </c>
      <c r="N117" s="46" t="s">
        <v>1310</v>
      </c>
      <c r="O117" s="46" t="s">
        <v>1311</v>
      </c>
      <c r="P117" s="46" t="s">
        <v>1312</v>
      </c>
      <c r="Q117" s="46" t="s">
        <v>31</v>
      </c>
      <c r="R117" s="46" t="s">
        <v>31</v>
      </c>
      <c r="S117" s="46" t="s">
        <v>31</v>
      </c>
      <c r="T117" s="46" t="s">
        <v>31</v>
      </c>
      <c r="U117" s="46" t="s">
        <v>49</v>
      </c>
    </row>
    <row r="118" spans="1:21">
      <c r="A118" s="46" t="s">
        <v>687</v>
      </c>
      <c r="B118" s="46" t="s">
        <v>85</v>
      </c>
      <c r="C118" s="46" t="s">
        <v>666</v>
      </c>
      <c r="D118" s="46">
        <v>2</v>
      </c>
      <c r="E118" s="46">
        <v>0</v>
      </c>
      <c r="F118" s="46" t="s">
        <v>679</v>
      </c>
      <c r="G118" s="46" t="s">
        <v>1305</v>
      </c>
      <c r="H118" s="46" t="s">
        <v>1558</v>
      </c>
      <c r="I118" s="46" t="str">
        <f ca="1">IFERROR(__xludf.DUMMYFUNCTION("CONCAT(A118,REGEXREPLACE(H118,"".*_L0"",""_L0""))"),"ILB_BN0464_MTG_snRNAseq_rep1_L002_I1_001.fastq.gz")</f>
        <v>ILB_BN0464_MTG_snRNAseq_rep1_L002_I1_001.fastq.gz</v>
      </c>
      <c r="J118" s="46" t="str">
        <f t="shared" si="0"/>
        <v>/data/neurogen/ASAP/scRNAseq/data/batch2_ASAP_snRNA-seq_*/Raw_Data_and_Processing/cellranger_processing/cellranger_fastqs/outs/fastq_path/H*/BN0464_S2_L002_I1_001.fastq.gz</v>
      </c>
      <c r="K118" s="46" t="s">
        <v>1323</v>
      </c>
      <c r="L118" s="46" t="s">
        <v>1559</v>
      </c>
      <c r="M118" s="46" t="s">
        <v>1309</v>
      </c>
      <c r="N118" s="46" t="s">
        <v>1310</v>
      </c>
      <c r="O118" s="46" t="s">
        <v>1311</v>
      </c>
      <c r="P118" s="46" t="s">
        <v>1312</v>
      </c>
      <c r="Q118" s="46" t="s">
        <v>31</v>
      </c>
      <c r="R118" s="46" t="s">
        <v>31</v>
      </c>
      <c r="S118" s="46" t="s">
        <v>31</v>
      </c>
      <c r="T118" s="46" t="s">
        <v>31</v>
      </c>
      <c r="U118" s="46" t="s">
        <v>49</v>
      </c>
    </row>
    <row r="119" spans="1:21">
      <c r="A119" s="46" t="s">
        <v>687</v>
      </c>
      <c r="B119" s="46" t="s">
        <v>85</v>
      </c>
      <c r="C119" s="46" t="s">
        <v>666</v>
      </c>
      <c r="D119" s="46">
        <v>2</v>
      </c>
      <c r="E119" s="46">
        <v>0</v>
      </c>
      <c r="F119" s="46" t="s">
        <v>679</v>
      </c>
      <c r="G119" s="46" t="s">
        <v>1305</v>
      </c>
      <c r="H119" s="46" t="s">
        <v>1560</v>
      </c>
      <c r="I119" s="46" t="str">
        <f ca="1">IFERROR(__xludf.DUMMYFUNCTION("CONCAT(A119,REGEXREPLACE(H119,"".*_L0"",""_L0""))"),"ILB_BN0464_MTG_snRNAseq_rep1_L002_I2_001.fastq.gz")</f>
        <v>ILB_BN0464_MTG_snRNAseq_rep1_L002_I2_001.fastq.gz</v>
      </c>
      <c r="J119" s="46" t="str">
        <f t="shared" si="0"/>
        <v>/data/neurogen/ASAP/scRNAseq/data/batch2_ASAP_snRNA-seq_*/Raw_Data_and_Processing/cellranger_processing/cellranger_fastqs/outs/fastq_path/H*/BN0464_S2_L002_I2_001.fastq.gz</v>
      </c>
      <c r="K119" s="46" t="s">
        <v>1326</v>
      </c>
      <c r="L119" s="46" t="s">
        <v>1561</v>
      </c>
      <c r="M119" s="46" t="s">
        <v>1309</v>
      </c>
      <c r="N119" s="46" t="s">
        <v>1310</v>
      </c>
      <c r="O119" s="46" t="s">
        <v>1311</v>
      </c>
      <c r="P119" s="46" t="s">
        <v>1312</v>
      </c>
      <c r="Q119" s="46" t="s">
        <v>31</v>
      </c>
      <c r="R119" s="46" t="s">
        <v>31</v>
      </c>
      <c r="S119" s="46" t="s">
        <v>31</v>
      </c>
      <c r="T119" s="46" t="s">
        <v>31</v>
      </c>
      <c r="U119" s="46" t="s">
        <v>49</v>
      </c>
    </row>
    <row r="120" spans="1:21">
      <c r="A120" s="46" t="s">
        <v>687</v>
      </c>
      <c r="B120" s="46" t="s">
        <v>85</v>
      </c>
      <c r="C120" s="46" t="s">
        <v>666</v>
      </c>
      <c r="D120" s="46">
        <v>2</v>
      </c>
      <c r="E120" s="46">
        <v>0</v>
      </c>
      <c r="F120" s="46" t="s">
        <v>679</v>
      </c>
      <c r="G120" s="46" t="s">
        <v>1305</v>
      </c>
      <c r="H120" s="46" t="s">
        <v>1562</v>
      </c>
      <c r="I120" s="46" t="str">
        <f ca="1">IFERROR(__xludf.DUMMYFUNCTION("CONCAT(A120,REGEXREPLACE(H120,"".*_L0"",""_L0""))"),"ILB_BN0464_MTG_snRNAseq_rep1_L002_R1_001.fastq.gz")</f>
        <v>ILB_BN0464_MTG_snRNAseq_rep1_L002_R1_001.fastq.gz</v>
      </c>
      <c r="J120" s="46" t="str">
        <f t="shared" si="0"/>
        <v>/data/neurogen/ASAP/scRNAseq/data/batch2_ASAP_snRNA-seq_*/Raw_Data_and_Processing/cellranger_processing/cellranger_fastqs/outs/fastq_path/H*/BN0464_S2_L002_R1_001.fastq.gz</v>
      </c>
      <c r="K120" s="46" t="s">
        <v>1329</v>
      </c>
      <c r="L120" s="46" t="s">
        <v>1563</v>
      </c>
      <c r="M120" s="46" t="s">
        <v>1309</v>
      </c>
      <c r="N120" s="46" t="s">
        <v>1310</v>
      </c>
      <c r="O120" s="46" t="s">
        <v>1311</v>
      </c>
      <c r="P120" s="46" t="s">
        <v>1312</v>
      </c>
      <c r="Q120" s="46" t="s">
        <v>31</v>
      </c>
      <c r="R120" s="46" t="s">
        <v>31</v>
      </c>
      <c r="S120" s="46" t="s">
        <v>31</v>
      </c>
      <c r="T120" s="46" t="s">
        <v>31</v>
      </c>
      <c r="U120" s="46" t="s">
        <v>49</v>
      </c>
    </row>
    <row r="121" spans="1:21">
      <c r="A121" s="46" t="s">
        <v>687</v>
      </c>
      <c r="B121" s="46" t="s">
        <v>85</v>
      </c>
      <c r="C121" s="46" t="s">
        <v>666</v>
      </c>
      <c r="D121" s="46">
        <v>2</v>
      </c>
      <c r="E121" s="46">
        <v>0</v>
      </c>
      <c r="F121" s="46" t="s">
        <v>679</v>
      </c>
      <c r="G121" s="46" t="s">
        <v>1305</v>
      </c>
      <c r="H121" s="46" t="s">
        <v>1564</v>
      </c>
      <c r="I121" s="46" t="str">
        <f ca="1">IFERROR(__xludf.DUMMYFUNCTION("CONCAT(A121,REGEXREPLACE(H121,"".*_L0"",""_L0""))"),"ILB_BN0464_MTG_snRNAseq_rep1_L002_R2_001.fastq.gz")</f>
        <v>ILB_BN0464_MTG_snRNAseq_rep1_L002_R2_001.fastq.gz</v>
      </c>
      <c r="J121" s="46" t="str">
        <f t="shared" si="0"/>
        <v>/data/neurogen/ASAP/scRNAseq/data/batch2_ASAP_snRNA-seq_*/Raw_Data_and_Processing/cellranger_processing/cellranger_fastqs/outs/fastq_path/H*/BN0464_S2_L002_R2_001.fastq.gz</v>
      </c>
      <c r="K121" s="46" t="s">
        <v>1332</v>
      </c>
      <c r="L121" s="46" t="s">
        <v>1565</v>
      </c>
      <c r="M121" s="46" t="s">
        <v>1309</v>
      </c>
      <c r="N121" s="46" t="s">
        <v>1310</v>
      </c>
      <c r="O121" s="46" t="s">
        <v>1311</v>
      </c>
      <c r="P121" s="46" t="s">
        <v>1312</v>
      </c>
      <c r="Q121" s="46" t="s">
        <v>31</v>
      </c>
      <c r="R121" s="46" t="s">
        <v>31</v>
      </c>
      <c r="S121" s="46" t="s">
        <v>31</v>
      </c>
      <c r="T121" s="46" t="s">
        <v>31</v>
      </c>
      <c r="U121" s="46" t="s">
        <v>49</v>
      </c>
    </row>
    <row r="122" spans="1:21">
      <c r="A122" s="46" t="s">
        <v>687</v>
      </c>
      <c r="B122" s="46" t="s">
        <v>85</v>
      </c>
      <c r="C122" s="46" t="s">
        <v>666</v>
      </c>
      <c r="D122" s="46">
        <v>2</v>
      </c>
      <c r="E122" s="46">
        <v>0</v>
      </c>
      <c r="F122" s="46" t="s">
        <v>679</v>
      </c>
      <c r="G122" s="46" t="s">
        <v>1305</v>
      </c>
      <c r="H122" s="46" t="s">
        <v>1566</v>
      </c>
      <c r="I122" s="46" t="str">
        <f ca="1">IFERROR(__xludf.DUMMYFUNCTION("CONCAT(A122,REGEXREPLACE(H122,"".*_L0"",""_L0""))"),"ILB_BN0464_MTG_snRNAseq_rep1_L003_I1_001.fastq.gz")</f>
        <v>ILB_BN0464_MTG_snRNAseq_rep1_L003_I1_001.fastq.gz</v>
      </c>
      <c r="J122" s="46" t="str">
        <f t="shared" si="0"/>
        <v>/data/neurogen/ASAP/scRNAseq/data/batch2_ASAP_snRNA-seq_*/Raw_Data_and_Processing/cellranger_processing/cellranger_fastqs/outs/fastq_path/H*/BN0464_S2_L003_I1_001.fastq.gz</v>
      </c>
      <c r="K122" s="46" t="s">
        <v>1335</v>
      </c>
      <c r="L122" s="46" t="s">
        <v>1567</v>
      </c>
      <c r="M122" s="46" t="s">
        <v>1309</v>
      </c>
      <c r="N122" s="46" t="s">
        <v>1310</v>
      </c>
      <c r="O122" s="46" t="s">
        <v>1311</v>
      </c>
      <c r="P122" s="46" t="s">
        <v>1312</v>
      </c>
      <c r="Q122" s="46" t="s">
        <v>31</v>
      </c>
      <c r="R122" s="46" t="s">
        <v>31</v>
      </c>
      <c r="S122" s="46" t="s">
        <v>31</v>
      </c>
      <c r="T122" s="46" t="s">
        <v>31</v>
      </c>
      <c r="U122" s="46" t="s">
        <v>49</v>
      </c>
    </row>
    <row r="123" spans="1:21">
      <c r="A123" s="46" t="s">
        <v>687</v>
      </c>
      <c r="B123" s="46" t="s">
        <v>85</v>
      </c>
      <c r="C123" s="46" t="s">
        <v>666</v>
      </c>
      <c r="D123" s="46">
        <v>2</v>
      </c>
      <c r="E123" s="46">
        <v>0</v>
      </c>
      <c r="F123" s="46" t="s">
        <v>679</v>
      </c>
      <c r="G123" s="46" t="s">
        <v>1305</v>
      </c>
      <c r="H123" s="46" t="s">
        <v>1568</v>
      </c>
      <c r="I123" s="46" t="str">
        <f ca="1">IFERROR(__xludf.DUMMYFUNCTION("CONCAT(A123,REGEXREPLACE(H123,"".*_L0"",""_L0""))"),"ILB_BN0464_MTG_snRNAseq_rep1_L003_I2_001.fastq.gz")</f>
        <v>ILB_BN0464_MTG_snRNAseq_rep1_L003_I2_001.fastq.gz</v>
      </c>
      <c r="J123" s="46" t="str">
        <f t="shared" si="0"/>
        <v>/data/neurogen/ASAP/scRNAseq/data/batch2_ASAP_snRNA-seq_*/Raw_Data_and_Processing/cellranger_processing/cellranger_fastqs/outs/fastq_path/H*/BN0464_S2_L003_I2_001.fastq.gz</v>
      </c>
      <c r="K123" s="46" t="s">
        <v>1338</v>
      </c>
      <c r="L123" s="47" t="s">
        <v>1569</v>
      </c>
      <c r="M123" s="46" t="s">
        <v>1309</v>
      </c>
      <c r="N123" s="46" t="s">
        <v>1310</v>
      </c>
      <c r="O123" s="46" t="s">
        <v>1311</v>
      </c>
      <c r="P123" s="46" t="s">
        <v>1312</v>
      </c>
      <c r="Q123" s="46" t="s">
        <v>31</v>
      </c>
      <c r="R123" s="46" t="s">
        <v>31</v>
      </c>
      <c r="S123" s="46" t="s">
        <v>31</v>
      </c>
      <c r="T123" s="46" t="s">
        <v>31</v>
      </c>
      <c r="U123" s="46" t="s">
        <v>49</v>
      </c>
    </row>
    <row r="124" spans="1:21">
      <c r="A124" s="46" t="s">
        <v>687</v>
      </c>
      <c r="B124" s="46" t="s">
        <v>85</v>
      </c>
      <c r="C124" s="46" t="s">
        <v>666</v>
      </c>
      <c r="D124" s="46">
        <v>2</v>
      </c>
      <c r="E124" s="46">
        <v>0</v>
      </c>
      <c r="F124" s="46" t="s">
        <v>679</v>
      </c>
      <c r="G124" s="46" t="s">
        <v>1305</v>
      </c>
      <c r="H124" s="46" t="s">
        <v>1570</v>
      </c>
      <c r="I124" s="46" t="str">
        <f ca="1">IFERROR(__xludf.DUMMYFUNCTION("CONCAT(A124,REGEXREPLACE(H124,"".*_L0"",""_L0""))"),"ILB_BN0464_MTG_snRNAseq_rep1_L003_R1_001.fastq.gz")</f>
        <v>ILB_BN0464_MTG_snRNAseq_rep1_L003_R1_001.fastq.gz</v>
      </c>
      <c r="J124" s="46" t="str">
        <f t="shared" si="0"/>
        <v>/data/neurogen/ASAP/scRNAseq/data/batch2_ASAP_snRNA-seq_*/Raw_Data_and_Processing/cellranger_processing/cellranger_fastqs/outs/fastq_path/H*/BN0464_S2_L003_R1_001.fastq.gz</v>
      </c>
      <c r="K124" s="46" t="s">
        <v>1341</v>
      </c>
      <c r="L124" s="46" t="s">
        <v>1571</v>
      </c>
      <c r="M124" s="46" t="s">
        <v>1309</v>
      </c>
      <c r="N124" s="46" t="s">
        <v>1310</v>
      </c>
      <c r="O124" s="46" t="s">
        <v>1311</v>
      </c>
      <c r="P124" s="46" t="s">
        <v>1312</v>
      </c>
      <c r="Q124" s="46" t="s">
        <v>31</v>
      </c>
      <c r="R124" s="46" t="s">
        <v>31</v>
      </c>
      <c r="S124" s="46" t="s">
        <v>31</v>
      </c>
      <c r="T124" s="46" t="s">
        <v>31</v>
      </c>
      <c r="U124" s="46" t="s">
        <v>49</v>
      </c>
    </row>
    <row r="125" spans="1:21">
      <c r="A125" s="46" t="s">
        <v>687</v>
      </c>
      <c r="B125" s="46" t="s">
        <v>85</v>
      </c>
      <c r="C125" s="46" t="s">
        <v>666</v>
      </c>
      <c r="D125" s="46">
        <v>2</v>
      </c>
      <c r="E125" s="46">
        <v>0</v>
      </c>
      <c r="F125" s="46" t="s">
        <v>679</v>
      </c>
      <c r="G125" s="46" t="s">
        <v>1305</v>
      </c>
      <c r="H125" s="46" t="s">
        <v>1572</v>
      </c>
      <c r="I125" s="46" t="str">
        <f ca="1">IFERROR(__xludf.DUMMYFUNCTION("CONCAT(A125,REGEXREPLACE(H125,"".*_L0"",""_L0""))"),"ILB_BN0464_MTG_snRNAseq_rep1_L003_R2_001.fastq.gz")</f>
        <v>ILB_BN0464_MTG_snRNAseq_rep1_L003_R2_001.fastq.gz</v>
      </c>
      <c r="J125" s="46" t="str">
        <f t="shared" si="0"/>
        <v>/data/neurogen/ASAP/scRNAseq/data/batch2_ASAP_snRNA-seq_*/Raw_Data_and_Processing/cellranger_processing/cellranger_fastqs/outs/fastq_path/H*/BN0464_S2_L003_R2_001.fastq.gz</v>
      </c>
      <c r="K125" s="46" t="s">
        <v>1344</v>
      </c>
      <c r="L125" s="46" t="s">
        <v>1573</v>
      </c>
      <c r="M125" s="46" t="s">
        <v>1309</v>
      </c>
      <c r="N125" s="46" t="s">
        <v>1310</v>
      </c>
      <c r="O125" s="46" t="s">
        <v>1311</v>
      </c>
      <c r="P125" s="46" t="s">
        <v>1312</v>
      </c>
      <c r="Q125" s="46" t="s">
        <v>31</v>
      </c>
      <c r="R125" s="46" t="s">
        <v>31</v>
      </c>
      <c r="S125" s="46" t="s">
        <v>31</v>
      </c>
      <c r="T125" s="46" t="s">
        <v>31</v>
      </c>
      <c r="U125" s="46" t="s">
        <v>49</v>
      </c>
    </row>
    <row r="126" spans="1:21">
      <c r="A126" s="46" t="s">
        <v>687</v>
      </c>
      <c r="B126" s="46" t="s">
        <v>85</v>
      </c>
      <c r="C126" s="46" t="s">
        <v>666</v>
      </c>
      <c r="D126" s="46">
        <v>2</v>
      </c>
      <c r="E126" s="46">
        <v>0</v>
      </c>
      <c r="F126" s="46" t="s">
        <v>679</v>
      </c>
      <c r="G126" s="46" t="s">
        <v>1305</v>
      </c>
      <c r="H126" s="46" t="s">
        <v>1574</v>
      </c>
      <c r="I126" s="46" t="str">
        <f ca="1">IFERROR(__xludf.DUMMYFUNCTION("CONCAT(A126,REGEXREPLACE(H126,"".*_L0"",""_L0""))"),"ILB_BN0464_MTG_snRNAseq_rep1_L004_I1_001.fastq.gz")</f>
        <v>ILB_BN0464_MTG_snRNAseq_rep1_L004_I1_001.fastq.gz</v>
      </c>
      <c r="J126" s="46" t="str">
        <f t="shared" si="0"/>
        <v>/data/neurogen/ASAP/scRNAseq/data/batch2_ASAP_snRNA-seq_*/Raw_Data_and_Processing/cellranger_processing/cellranger_fastqs/outs/fastq_path/H*/BN0464_S2_L004_I1_001.fastq.gz</v>
      </c>
      <c r="K126" s="46" t="s">
        <v>1347</v>
      </c>
      <c r="L126" s="46" t="s">
        <v>1575</v>
      </c>
      <c r="M126" s="46" t="s">
        <v>1309</v>
      </c>
      <c r="N126" s="46" t="s">
        <v>1310</v>
      </c>
      <c r="O126" s="46" t="s">
        <v>1311</v>
      </c>
      <c r="P126" s="46" t="s">
        <v>1312</v>
      </c>
      <c r="Q126" s="46" t="s">
        <v>31</v>
      </c>
      <c r="R126" s="46" t="s">
        <v>31</v>
      </c>
      <c r="S126" s="46" t="s">
        <v>31</v>
      </c>
      <c r="T126" s="46" t="s">
        <v>31</v>
      </c>
      <c r="U126" s="46" t="s">
        <v>49</v>
      </c>
    </row>
    <row r="127" spans="1:21">
      <c r="A127" s="46" t="s">
        <v>687</v>
      </c>
      <c r="B127" s="46" t="s">
        <v>85</v>
      </c>
      <c r="C127" s="46" t="s">
        <v>666</v>
      </c>
      <c r="D127" s="46">
        <v>2</v>
      </c>
      <c r="E127" s="46">
        <v>0</v>
      </c>
      <c r="F127" s="46" t="s">
        <v>679</v>
      </c>
      <c r="G127" s="46" t="s">
        <v>1305</v>
      </c>
      <c r="H127" s="46" t="s">
        <v>1576</v>
      </c>
      <c r="I127" s="46" t="str">
        <f ca="1">IFERROR(__xludf.DUMMYFUNCTION("CONCAT(A127,REGEXREPLACE(H127,"".*_L0"",""_L0""))"),"ILB_BN0464_MTG_snRNAseq_rep1_L004_I2_001.fastq.gz")</f>
        <v>ILB_BN0464_MTG_snRNAseq_rep1_L004_I2_001.fastq.gz</v>
      </c>
      <c r="J127" s="46" t="str">
        <f t="shared" si="0"/>
        <v>/data/neurogen/ASAP/scRNAseq/data/batch2_ASAP_snRNA-seq_*/Raw_Data_and_Processing/cellranger_processing/cellranger_fastqs/outs/fastq_path/H*/BN0464_S2_L004_I2_001.fastq.gz</v>
      </c>
      <c r="K127" s="46" t="s">
        <v>1350</v>
      </c>
      <c r="L127" s="46" t="s">
        <v>1577</v>
      </c>
      <c r="M127" s="46" t="s">
        <v>1309</v>
      </c>
      <c r="N127" s="46" t="s">
        <v>1310</v>
      </c>
      <c r="O127" s="46" t="s">
        <v>1311</v>
      </c>
      <c r="P127" s="46" t="s">
        <v>1312</v>
      </c>
      <c r="Q127" s="46" t="s">
        <v>31</v>
      </c>
      <c r="R127" s="46" t="s">
        <v>31</v>
      </c>
      <c r="S127" s="46" t="s">
        <v>31</v>
      </c>
      <c r="T127" s="46" t="s">
        <v>31</v>
      </c>
      <c r="U127" s="46" t="s">
        <v>49</v>
      </c>
    </row>
    <row r="128" spans="1:21">
      <c r="A128" s="46" t="s">
        <v>687</v>
      </c>
      <c r="B128" s="46" t="s">
        <v>85</v>
      </c>
      <c r="C128" s="46" t="s">
        <v>666</v>
      </c>
      <c r="D128" s="46">
        <v>2</v>
      </c>
      <c r="E128" s="46">
        <v>0</v>
      </c>
      <c r="F128" s="46" t="s">
        <v>679</v>
      </c>
      <c r="G128" s="46" t="s">
        <v>1305</v>
      </c>
      <c r="H128" s="46" t="s">
        <v>1578</v>
      </c>
      <c r="I128" s="46" t="str">
        <f ca="1">IFERROR(__xludf.DUMMYFUNCTION("CONCAT(A128,REGEXREPLACE(H128,"".*_L0"",""_L0""))"),"ILB_BN0464_MTG_snRNAseq_rep1_L004_R1_001.fastq.gz")</f>
        <v>ILB_BN0464_MTG_snRNAseq_rep1_L004_R1_001.fastq.gz</v>
      </c>
      <c r="J128" s="46" t="str">
        <f t="shared" si="0"/>
        <v>/data/neurogen/ASAP/scRNAseq/data/batch2_ASAP_snRNA-seq_*/Raw_Data_and_Processing/cellranger_processing/cellranger_fastqs/outs/fastq_path/H*/BN0464_S2_L004_R1_001.fastq.gz</v>
      </c>
      <c r="K128" s="46" t="s">
        <v>1353</v>
      </c>
      <c r="L128" s="46" t="s">
        <v>1579</v>
      </c>
      <c r="M128" s="46" t="s">
        <v>1309</v>
      </c>
      <c r="N128" s="46" t="s">
        <v>1310</v>
      </c>
      <c r="O128" s="46" t="s">
        <v>1311</v>
      </c>
      <c r="P128" s="46" t="s">
        <v>1312</v>
      </c>
      <c r="Q128" s="46" t="s">
        <v>31</v>
      </c>
      <c r="R128" s="46" t="s">
        <v>31</v>
      </c>
      <c r="S128" s="46" t="s">
        <v>31</v>
      </c>
      <c r="T128" s="46" t="s">
        <v>31</v>
      </c>
      <c r="U128" s="46" t="s">
        <v>49</v>
      </c>
    </row>
    <row r="129" spans="1:21">
      <c r="A129" s="46" t="s">
        <v>687</v>
      </c>
      <c r="B129" s="46" t="s">
        <v>85</v>
      </c>
      <c r="C129" s="46" t="s">
        <v>666</v>
      </c>
      <c r="D129" s="46">
        <v>2</v>
      </c>
      <c r="E129" s="46">
        <v>0</v>
      </c>
      <c r="F129" s="46" t="s">
        <v>679</v>
      </c>
      <c r="G129" s="46" t="s">
        <v>1305</v>
      </c>
      <c r="H129" s="46" t="s">
        <v>1580</v>
      </c>
      <c r="I129" s="46" t="str">
        <f ca="1">IFERROR(__xludf.DUMMYFUNCTION("CONCAT(A129,REGEXREPLACE(H129,"".*_L0"",""_L0""))"),"ILB_BN0464_MTG_snRNAseq_rep1_L004_R2_001.fastq.gz")</f>
        <v>ILB_BN0464_MTG_snRNAseq_rep1_L004_R2_001.fastq.gz</v>
      </c>
      <c r="J129" s="46" t="str">
        <f t="shared" si="0"/>
        <v>/data/neurogen/ASAP/scRNAseq/data/batch2_ASAP_snRNA-seq_*/Raw_Data_and_Processing/cellranger_processing/cellranger_fastqs/outs/fastq_path/H*/BN0464_S2_L004_R2_001.fastq.gz</v>
      </c>
      <c r="K129" s="46" t="s">
        <v>1356</v>
      </c>
      <c r="L129" s="46" t="s">
        <v>1581</v>
      </c>
      <c r="M129" s="46" t="s">
        <v>1309</v>
      </c>
      <c r="N129" s="46" t="s">
        <v>1310</v>
      </c>
      <c r="O129" s="46" t="s">
        <v>1311</v>
      </c>
      <c r="P129" s="46" t="s">
        <v>1312</v>
      </c>
      <c r="Q129" s="46" t="s">
        <v>31</v>
      </c>
      <c r="R129" s="46" t="s">
        <v>31</v>
      </c>
      <c r="S129" s="46" t="s">
        <v>31</v>
      </c>
      <c r="T129" s="46" t="s">
        <v>31</v>
      </c>
      <c r="U129" s="46" t="s">
        <v>49</v>
      </c>
    </row>
    <row r="130" spans="1:21">
      <c r="A130" s="46" t="s">
        <v>693</v>
      </c>
      <c r="B130" s="46" t="s">
        <v>89</v>
      </c>
      <c r="C130" s="46" t="s">
        <v>666</v>
      </c>
      <c r="D130" s="46">
        <v>1</v>
      </c>
      <c r="E130" s="46">
        <v>0</v>
      </c>
      <c r="F130" s="46" t="s">
        <v>694</v>
      </c>
      <c r="G130" s="46" t="s">
        <v>1305</v>
      </c>
      <c r="H130" s="46" t="s">
        <v>1582</v>
      </c>
      <c r="I130" s="46" t="str">
        <f ca="1">IFERROR(__xludf.DUMMYFUNCTION("CONCAT(A130,REGEXREPLACE(H130,"".*_L0"",""_L0""))"),"ILB_BN0602_MTG_snRNAseq_rep1_L001_I1_001.fastq.gz")</f>
        <v>ILB_BN0602_MTG_snRNAseq_rep1_L001_I1_001.fastq.gz</v>
      </c>
      <c r="J130" s="46" t="str">
        <f t="shared" si="0"/>
        <v>/data/neurogen/ASAP/scRNAseq/data/batch3_ASAP_snRNA-seq_*/Raw_Data_and_Processing/cellranger_processing/cellranger_fastqs/outs/fastq_path/H*/BN0602_S3_L001_I1_001.fastq.gz</v>
      </c>
      <c r="K130" s="46" t="s">
        <v>1307</v>
      </c>
      <c r="L130" s="46" t="s">
        <v>1583</v>
      </c>
      <c r="M130" s="46" t="s">
        <v>1309</v>
      </c>
      <c r="N130" s="46" t="s">
        <v>1310</v>
      </c>
      <c r="O130" s="46" t="s">
        <v>1311</v>
      </c>
      <c r="P130" s="46" t="s">
        <v>1312</v>
      </c>
      <c r="Q130" s="46" t="s">
        <v>31</v>
      </c>
      <c r="R130" s="46" t="s">
        <v>31</v>
      </c>
      <c r="S130" s="46" t="s">
        <v>31</v>
      </c>
      <c r="T130" s="46" t="s">
        <v>31</v>
      </c>
      <c r="U130" s="46" t="s">
        <v>49</v>
      </c>
    </row>
    <row r="131" spans="1:21">
      <c r="A131" s="46" t="s">
        <v>693</v>
      </c>
      <c r="B131" s="46" t="s">
        <v>89</v>
      </c>
      <c r="C131" s="46" t="s">
        <v>666</v>
      </c>
      <c r="D131" s="46">
        <v>1</v>
      </c>
      <c r="E131" s="46">
        <v>0</v>
      </c>
      <c r="F131" s="46" t="s">
        <v>694</v>
      </c>
      <c r="G131" s="46" t="s">
        <v>1305</v>
      </c>
      <c r="H131" s="46" t="s">
        <v>1584</v>
      </c>
      <c r="I131" s="46" t="str">
        <f ca="1">IFERROR(__xludf.DUMMYFUNCTION("CONCAT(A131,REGEXREPLACE(H131,"".*_L0"",""_L0""))"),"ILB_BN0602_MTG_snRNAseq_rep1_L001_I2_001.fastq.gz")</f>
        <v>ILB_BN0602_MTG_snRNAseq_rep1_L001_I2_001.fastq.gz</v>
      </c>
      <c r="J131" s="46" t="str">
        <f t="shared" si="0"/>
        <v>/data/neurogen/ASAP/scRNAseq/data/batch3_ASAP_snRNA-seq_*/Raw_Data_and_Processing/cellranger_processing/cellranger_fastqs/outs/fastq_path/H*/BN0602_S3_L001_I2_001.fastq.gz</v>
      </c>
      <c r="K131" s="46" t="s">
        <v>1314</v>
      </c>
      <c r="L131" s="46" t="s">
        <v>1585</v>
      </c>
      <c r="M131" s="46" t="s">
        <v>1309</v>
      </c>
      <c r="N131" s="46" t="s">
        <v>1310</v>
      </c>
      <c r="O131" s="46" t="s">
        <v>1311</v>
      </c>
      <c r="P131" s="46" t="s">
        <v>1312</v>
      </c>
      <c r="Q131" s="46" t="s">
        <v>31</v>
      </c>
      <c r="R131" s="46" t="s">
        <v>31</v>
      </c>
      <c r="S131" s="46" t="s">
        <v>31</v>
      </c>
      <c r="T131" s="46" t="s">
        <v>31</v>
      </c>
      <c r="U131" s="46" t="s">
        <v>49</v>
      </c>
    </row>
    <row r="132" spans="1:21">
      <c r="A132" s="46" t="s">
        <v>693</v>
      </c>
      <c r="B132" s="46" t="s">
        <v>89</v>
      </c>
      <c r="C132" s="46" t="s">
        <v>666</v>
      </c>
      <c r="D132" s="46">
        <v>1</v>
      </c>
      <c r="E132" s="46">
        <v>0</v>
      </c>
      <c r="F132" s="46" t="s">
        <v>694</v>
      </c>
      <c r="G132" s="46" t="s">
        <v>1305</v>
      </c>
      <c r="H132" s="46" t="s">
        <v>1586</v>
      </c>
      <c r="I132" s="46" t="str">
        <f ca="1">IFERROR(__xludf.DUMMYFUNCTION("CONCAT(A132,REGEXREPLACE(H132,"".*_L0"",""_L0""))"),"ILB_BN0602_MTG_snRNAseq_rep1_L001_R1_001.fastq.gz")</f>
        <v>ILB_BN0602_MTG_snRNAseq_rep1_L001_R1_001.fastq.gz</v>
      </c>
      <c r="J132" s="46" t="str">
        <f t="shared" si="0"/>
        <v>/data/neurogen/ASAP/scRNAseq/data/batch3_ASAP_snRNA-seq_*/Raw_Data_and_Processing/cellranger_processing/cellranger_fastqs/outs/fastq_path/H*/BN0602_S3_L001_R1_001.fastq.gz</v>
      </c>
      <c r="K132" s="46" t="s">
        <v>1317</v>
      </c>
      <c r="L132" s="46" t="s">
        <v>1587</v>
      </c>
      <c r="M132" s="46" t="s">
        <v>1309</v>
      </c>
      <c r="N132" s="46" t="s">
        <v>1310</v>
      </c>
      <c r="O132" s="46" t="s">
        <v>1311</v>
      </c>
      <c r="P132" s="46" t="s">
        <v>1312</v>
      </c>
      <c r="Q132" s="46" t="s">
        <v>31</v>
      </c>
      <c r="R132" s="46" t="s">
        <v>31</v>
      </c>
      <c r="S132" s="46" t="s">
        <v>31</v>
      </c>
      <c r="T132" s="46" t="s">
        <v>31</v>
      </c>
      <c r="U132" s="46" t="s">
        <v>49</v>
      </c>
    </row>
    <row r="133" spans="1:21">
      <c r="A133" s="46" t="s">
        <v>693</v>
      </c>
      <c r="B133" s="46" t="s">
        <v>89</v>
      </c>
      <c r="C133" s="46" t="s">
        <v>666</v>
      </c>
      <c r="D133" s="46">
        <v>1</v>
      </c>
      <c r="E133" s="46">
        <v>0</v>
      </c>
      <c r="F133" s="46" t="s">
        <v>694</v>
      </c>
      <c r="G133" s="46" t="s">
        <v>1305</v>
      </c>
      <c r="H133" s="46" t="s">
        <v>1588</v>
      </c>
      <c r="I133" s="46" t="str">
        <f ca="1">IFERROR(__xludf.DUMMYFUNCTION("CONCAT(A133,REGEXREPLACE(H133,"".*_L0"",""_L0""))"),"ILB_BN0602_MTG_snRNAseq_rep1_L001_R2_001.fastq.gz")</f>
        <v>ILB_BN0602_MTG_snRNAseq_rep1_L001_R2_001.fastq.gz</v>
      </c>
      <c r="J133" s="46" t="str">
        <f t="shared" si="0"/>
        <v>/data/neurogen/ASAP/scRNAseq/data/batch3_ASAP_snRNA-seq_*/Raw_Data_and_Processing/cellranger_processing/cellranger_fastqs/outs/fastq_path/H*/BN0602_S3_L001_R2_001.fastq.gz</v>
      </c>
      <c r="K133" s="46" t="s">
        <v>1320</v>
      </c>
      <c r="L133" s="46" t="s">
        <v>1589</v>
      </c>
      <c r="M133" s="46" t="s">
        <v>1309</v>
      </c>
      <c r="N133" s="46" t="s">
        <v>1310</v>
      </c>
      <c r="O133" s="46" t="s">
        <v>1311</v>
      </c>
      <c r="P133" s="46" t="s">
        <v>1312</v>
      </c>
      <c r="Q133" s="46" t="s">
        <v>31</v>
      </c>
      <c r="R133" s="46" t="s">
        <v>31</v>
      </c>
      <c r="S133" s="46" t="s">
        <v>31</v>
      </c>
      <c r="T133" s="46" t="s">
        <v>31</v>
      </c>
      <c r="U133" s="46" t="s">
        <v>49</v>
      </c>
    </row>
    <row r="134" spans="1:21">
      <c r="A134" s="46" t="s">
        <v>693</v>
      </c>
      <c r="B134" s="46" t="s">
        <v>89</v>
      </c>
      <c r="C134" s="46" t="s">
        <v>666</v>
      </c>
      <c r="D134" s="46">
        <v>1</v>
      </c>
      <c r="E134" s="46">
        <v>0</v>
      </c>
      <c r="F134" s="46" t="s">
        <v>694</v>
      </c>
      <c r="G134" s="46" t="s">
        <v>1305</v>
      </c>
      <c r="H134" s="46" t="s">
        <v>1590</v>
      </c>
      <c r="I134" s="46" t="str">
        <f ca="1">IFERROR(__xludf.DUMMYFUNCTION("CONCAT(A134,REGEXREPLACE(H134,"".*_L0"",""_L0""))"),"ILB_BN0602_MTG_snRNAseq_rep1_L002_I1_001.fastq.gz")</f>
        <v>ILB_BN0602_MTG_snRNAseq_rep1_L002_I1_001.fastq.gz</v>
      </c>
      <c r="J134" s="46" t="str">
        <f t="shared" si="0"/>
        <v>/data/neurogen/ASAP/scRNAseq/data/batch3_ASAP_snRNA-seq_*/Raw_Data_and_Processing/cellranger_processing/cellranger_fastqs/outs/fastq_path/H*/BN0602_S3_L002_I1_001.fastq.gz</v>
      </c>
      <c r="K134" s="46" t="s">
        <v>1323</v>
      </c>
      <c r="L134" s="46" t="s">
        <v>1591</v>
      </c>
      <c r="M134" s="46" t="s">
        <v>1309</v>
      </c>
      <c r="N134" s="46" t="s">
        <v>1310</v>
      </c>
      <c r="O134" s="46" t="s">
        <v>1311</v>
      </c>
      <c r="P134" s="46" t="s">
        <v>1312</v>
      </c>
      <c r="Q134" s="46" t="s">
        <v>31</v>
      </c>
      <c r="R134" s="46" t="s">
        <v>31</v>
      </c>
      <c r="S134" s="46" t="s">
        <v>31</v>
      </c>
      <c r="T134" s="46" t="s">
        <v>31</v>
      </c>
      <c r="U134" s="46" t="s">
        <v>49</v>
      </c>
    </row>
    <row r="135" spans="1:21">
      <c r="A135" s="46" t="s">
        <v>693</v>
      </c>
      <c r="B135" s="46" t="s">
        <v>89</v>
      </c>
      <c r="C135" s="46" t="s">
        <v>666</v>
      </c>
      <c r="D135" s="46">
        <v>1</v>
      </c>
      <c r="E135" s="46">
        <v>0</v>
      </c>
      <c r="F135" s="46" t="s">
        <v>694</v>
      </c>
      <c r="G135" s="46" t="s">
        <v>1305</v>
      </c>
      <c r="H135" s="46" t="s">
        <v>1592</v>
      </c>
      <c r="I135" s="46" t="str">
        <f ca="1">IFERROR(__xludf.DUMMYFUNCTION("CONCAT(A135,REGEXREPLACE(H135,"".*_L0"",""_L0""))"),"ILB_BN0602_MTG_snRNAseq_rep1_L002_I2_001.fastq.gz")</f>
        <v>ILB_BN0602_MTG_snRNAseq_rep1_L002_I2_001.fastq.gz</v>
      </c>
      <c r="J135" s="46" t="str">
        <f t="shared" si="0"/>
        <v>/data/neurogen/ASAP/scRNAseq/data/batch3_ASAP_snRNA-seq_*/Raw_Data_and_Processing/cellranger_processing/cellranger_fastqs/outs/fastq_path/H*/BN0602_S3_L002_I2_001.fastq.gz</v>
      </c>
      <c r="K135" s="46" t="s">
        <v>1326</v>
      </c>
      <c r="L135" s="47" t="s">
        <v>1593</v>
      </c>
      <c r="M135" s="46" t="s">
        <v>1309</v>
      </c>
      <c r="N135" s="46" t="s">
        <v>1310</v>
      </c>
      <c r="O135" s="46" t="s">
        <v>1311</v>
      </c>
      <c r="P135" s="46" t="s">
        <v>1312</v>
      </c>
      <c r="Q135" s="46" t="s">
        <v>31</v>
      </c>
      <c r="R135" s="46" t="s">
        <v>31</v>
      </c>
      <c r="S135" s="46" t="s">
        <v>31</v>
      </c>
      <c r="T135" s="46" t="s">
        <v>31</v>
      </c>
      <c r="U135" s="46" t="s">
        <v>49</v>
      </c>
    </row>
    <row r="136" spans="1:21">
      <c r="A136" s="46" t="s">
        <v>693</v>
      </c>
      <c r="B136" s="46" t="s">
        <v>89</v>
      </c>
      <c r="C136" s="46" t="s">
        <v>666</v>
      </c>
      <c r="D136" s="46">
        <v>1</v>
      </c>
      <c r="E136" s="46">
        <v>0</v>
      </c>
      <c r="F136" s="46" t="s">
        <v>694</v>
      </c>
      <c r="G136" s="46" t="s">
        <v>1305</v>
      </c>
      <c r="H136" s="46" t="s">
        <v>1594</v>
      </c>
      <c r="I136" s="46" t="str">
        <f ca="1">IFERROR(__xludf.DUMMYFUNCTION("CONCAT(A136,REGEXREPLACE(H136,"".*_L0"",""_L0""))"),"ILB_BN0602_MTG_snRNAseq_rep1_L002_R1_001.fastq.gz")</f>
        <v>ILB_BN0602_MTG_snRNAseq_rep1_L002_R1_001.fastq.gz</v>
      </c>
      <c r="J136" s="46" t="str">
        <f t="shared" si="0"/>
        <v>/data/neurogen/ASAP/scRNAseq/data/batch3_ASAP_snRNA-seq_*/Raw_Data_and_Processing/cellranger_processing/cellranger_fastqs/outs/fastq_path/H*/BN0602_S3_L002_R1_001.fastq.gz</v>
      </c>
      <c r="K136" s="46" t="s">
        <v>1329</v>
      </c>
      <c r="L136" s="46" t="s">
        <v>1595</v>
      </c>
      <c r="M136" s="46" t="s">
        <v>1309</v>
      </c>
      <c r="N136" s="46" t="s">
        <v>1310</v>
      </c>
      <c r="O136" s="46" t="s">
        <v>1311</v>
      </c>
      <c r="P136" s="46" t="s">
        <v>1312</v>
      </c>
      <c r="Q136" s="46" t="s">
        <v>31</v>
      </c>
      <c r="R136" s="46" t="s">
        <v>31</v>
      </c>
      <c r="S136" s="46" t="s">
        <v>31</v>
      </c>
      <c r="T136" s="46" t="s">
        <v>31</v>
      </c>
      <c r="U136" s="46" t="s">
        <v>49</v>
      </c>
    </row>
    <row r="137" spans="1:21">
      <c r="A137" s="46" t="s">
        <v>693</v>
      </c>
      <c r="B137" s="46" t="s">
        <v>89</v>
      </c>
      <c r="C137" s="46" t="s">
        <v>666</v>
      </c>
      <c r="D137" s="46">
        <v>1</v>
      </c>
      <c r="E137" s="46">
        <v>0</v>
      </c>
      <c r="F137" s="46" t="s">
        <v>694</v>
      </c>
      <c r="G137" s="46" t="s">
        <v>1305</v>
      </c>
      <c r="H137" s="46" t="s">
        <v>1596</v>
      </c>
      <c r="I137" s="46" t="str">
        <f ca="1">IFERROR(__xludf.DUMMYFUNCTION("CONCAT(A137,REGEXREPLACE(H137,"".*_L0"",""_L0""))"),"ILB_BN0602_MTG_snRNAseq_rep1_L002_R2_001.fastq.gz")</f>
        <v>ILB_BN0602_MTG_snRNAseq_rep1_L002_R2_001.fastq.gz</v>
      </c>
      <c r="J137" s="46" t="str">
        <f t="shared" si="0"/>
        <v>/data/neurogen/ASAP/scRNAseq/data/batch3_ASAP_snRNA-seq_*/Raw_Data_and_Processing/cellranger_processing/cellranger_fastqs/outs/fastq_path/H*/BN0602_S3_L002_R2_001.fastq.gz</v>
      </c>
      <c r="K137" s="46" t="s">
        <v>1332</v>
      </c>
      <c r="L137" s="46" t="s">
        <v>1597</v>
      </c>
      <c r="M137" s="46" t="s">
        <v>1309</v>
      </c>
      <c r="N137" s="46" t="s">
        <v>1310</v>
      </c>
      <c r="O137" s="46" t="s">
        <v>1311</v>
      </c>
      <c r="P137" s="46" t="s">
        <v>1312</v>
      </c>
      <c r="Q137" s="46" t="s">
        <v>31</v>
      </c>
      <c r="R137" s="46" t="s">
        <v>31</v>
      </c>
      <c r="S137" s="46" t="s">
        <v>31</v>
      </c>
      <c r="T137" s="46" t="s">
        <v>31</v>
      </c>
      <c r="U137" s="46" t="s">
        <v>49</v>
      </c>
    </row>
    <row r="138" spans="1:21">
      <c r="A138" s="46" t="s">
        <v>693</v>
      </c>
      <c r="B138" s="46" t="s">
        <v>89</v>
      </c>
      <c r="C138" s="46" t="s">
        <v>666</v>
      </c>
      <c r="D138" s="46">
        <v>1</v>
      </c>
      <c r="E138" s="46">
        <v>0</v>
      </c>
      <c r="F138" s="46" t="s">
        <v>694</v>
      </c>
      <c r="G138" s="46" t="s">
        <v>1305</v>
      </c>
      <c r="H138" s="46" t="s">
        <v>1598</v>
      </c>
      <c r="I138" s="46" t="str">
        <f ca="1">IFERROR(__xludf.DUMMYFUNCTION("CONCAT(A138,REGEXREPLACE(H138,"".*_L0"",""_L0""))"),"ILB_BN0602_MTG_snRNAseq_rep1_L003_I1_001.fastq.gz")</f>
        <v>ILB_BN0602_MTG_snRNAseq_rep1_L003_I1_001.fastq.gz</v>
      </c>
      <c r="J138" s="46" t="str">
        <f t="shared" si="0"/>
        <v>/data/neurogen/ASAP/scRNAseq/data/batch3_ASAP_snRNA-seq_*/Raw_Data_and_Processing/cellranger_processing/cellranger_fastqs/outs/fastq_path/H*/BN0602_S3_L003_I1_001.fastq.gz</v>
      </c>
      <c r="K138" s="46" t="s">
        <v>1335</v>
      </c>
      <c r="L138" s="46" t="s">
        <v>1599</v>
      </c>
      <c r="M138" s="46" t="s">
        <v>1309</v>
      </c>
      <c r="N138" s="46" t="s">
        <v>1310</v>
      </c>
      <c r="O138" s="46" t="s">
        <v>1311</v>
      </c>
      <c r="P138" s="46" t="s">
        <v>1312</v>
      </c>
      <c r="Q138" s="46" t="s">
        <v>31</v>
      </c>
      <c r="R138" s="46" t="s">
        <v>31</v>
      </c>
      <c r="S138" s="46" t="s">
        <v>31</v>
      </c>
      <c r="T138" s="46" t="s">
        <v>31</v>
      </c>
      <c r="U138" s="46" t="s">
        <v>49</v>
      </c>
    </row>
    <row r="139" spans="1:21">
      <c r="A139" s="46" t="s">
        <v>693</v>
      </c>
      <c r="B139" s="46" t="s">
        <v>89</v>
      </c>
      <c r="C139" s="46" t="s">
        <v>666</v>
      </c>
      <c r="D139" s="46">
        <v>1</v>
      </c>
      <c r="E139" s="46">
        <v>0</v>
      </c>
      <c r="F139" s="46" t="s">
        <v>694</v>
      </c>
      <c r="G139" s="46" t="s">
        <v>1305</v>
      </c>
      <c r="H139" s="46" t="s">
        <v>1600</v>
      </c>
      <c r="I139" s="46" t="str">
        <f ca="1">IFERROR(__xludf.DUMMYFUNCTION("CONCAT(A139,REGEXREPLACE(H139,"".*_L0"",""_L0""))"),"ILB_BN0602_MTG_snRNAseq_rep1_L003_I2_001.fastq.gz")</f>
        <v>ILB_BN0602_MTG_snRNAseq_rep1_L003_I2_001.fastq.gz</v>
      </c>
      <c r="J139" s="46" t="str">
        <f t="shared" si="0"/>
        <v>/data/neurogen/ASAP/scRNAseq/data/batch3_ASAP_snRNA-seq_*/Raw_Data_and_Processing/cellranger_processing/cellranger_fastqs/outs/fastq_path/H*/BN0602_S3_L003_I2_001.fastq.gz</v>
      </c>
      <c r="K139" s="46" t="s">
        <v>1338</v>
      </c>
      <c r="L139" s="46" t="s">
        <v>1601</v>
      </c>
      <c r="M139" s="46" t="s">
        <v>1309</v>
      </c>
      <c r="N139" s="46" t="s">
        <v>1310</v>
      </c>
      <c r="O139" s="46" t="s">
        <v>1311</v>
      </c>
      <c r="P139" s="46" t="s">
        <v>1312</v>
      </c>
      <c r="Q139" s="46" t="s">
        <v>31</v>
      </c>
      <c r="R139" s="46" t="s">
        <v>31</v>
      </c>
      <c r="S139" s="46" t="s">
        <v>31</v>
      </c>
      <c r="T139" s="46" t="s">
        <v>31</v>
      </c>
      <c r="U139" s="46" t="s">
        <v>49</v>
      </c>
    </row>
    <row r="140" spans="1:21">
      <c r="A140" s="46" t="s">
        <v>693</v>
      </c>
      <c r="B140" s="46" t="s">
        <v>89</v>
      </c>
      <c r="C140" s="46" t="s">
        <v>666</v>
      </c>
      <c r="D140" s="46">
        <v>1</v>
      </c>
      <c r="E140" s="46">
        <v>0</v>
      </c>
      <c r="F140" s="46" t="s">
        <v>694</v>
      </c>
      <c r="G140" s="46" t="s">
        <v>1305</v>
      </c>
      <c r="H140" s="46" t="s">
        <v>1602</v>
      </c>
      <c r="I140" s="46" t="str">
        <f ca="1">IFERROR(__xludf.DUMMYFUNCTION("CONCAT(A140,REGEXREPLACE(H140,"".*_L0"",""_L0""))"),"ILB_BN0602_MTG_snRNAseq_rep1_L003_R1_001.fastq.gz")</f>
        <v>ILB_BN0602_MTG_snRNAseq_rep1_L003_R1_001.fastq.gz</v>
      </c>
      <c r="J140" s="46" t="str">
        <f t="shared" si="0"/>
        <v>/data/neurogen/ASAP/scRNAseq/data/batch3_ASAP_snRNA-seq_*/Raw_Data_and_Processing/cellranger_processing/cellranger_fastqs/outs/fastq_path/H*/BN0602_S3_L003_R1_001.fastq.gz</v>
      </c>
      <c r="K140" s="46" t="s">
        <v>1341</v>
      </c>
      <c r="L140" s="46" t="s">
        <v>1603</v>
      </c>
      <c r="M140" s="46" t="s">
        <v>1309</v>
      </c>
      <c r="N140" s="46" t="s">
        <v>1310</v>
      </c>
      <c r="O140" s="46" t="s">
        <v>1311</v>
      </c>
      <c r="P140" s="46" t="s">
        <v>1312</v>
      </c>
      <c r="Q140" s="46" t="s">
        <v>31</v>
      </c>
      <c r="R140" s="46" t="s">
        <v>31</v>
      </c>
      <c r="S140" s="46" t="s">
        <v>31</v>
      </c>
      <c r="T140" s="46" t="s">
        <v>31</v>
      </c>
      <c r="U140" s="46" t="s">
        <v>49</v>
      </c>
    </row>
    <row r="141" spans="1:21">
      <c r="A141" s="46" t="s">
        <v>693</v>
      </c>
      <c r="B141" s="46" t="s">
        <v>89</v>
      </c>
      <c r="C141" s="46" t="s">
        <v>666</v>
      </c>
      <c r="D141" s="46">
        <v>1</v>
      </c>
      <c r="E141" s="46">
        <v>0</v>
      </c>
      <c r="F141" s="46" t="s">
        <v>694</v>
      </c>
      <c r="G141" s="46" t="s">
        <v>1305</v>
      </c>
      <c r="H141" s="46" t="s">
        <v>1604</v>
      </c>
      <c r="I141" s="46" t="str">
        <f ca="1">IFERROR(__xludf.DUMMYFUNCTION("CONCAT(A141,REGEXREPLACE(H141,"".*_L0"",""_L0""))"),"ILB_BN0602_MTG_snRNAseq_rep1_L003_R2_001.fastq.gz")</f>
        <v>ILB_BN0602_MTG_snRNAseq_rep1_L003_R2_001.fastq.gz</v>
      </c>
      <c r="J141" s="46" t="str">
        <f t="shared" si="0"/>
        <v>/data/neurogen/ASAP/scRNAseq/data/batch3_ASAP_snRNA-seq_*/Raw_Data_and_Processing/cellranger_processing/cellranger_fastqs/outs/fastq_path/H*/BN0602_S3_L003_R2_001.fastq.gz</v>
      </c>
      <c r="K141" s="46" t="s">
        <v>1344</v>
      </c>
      <c r="L141" s="46" t="s">
        <v>1605</v>
      </c>
      <c r="M141" s="46" t="s">
        <v>1309</v>
      </c>
      <c r="N141" s="46" t="s">
        <v>1310</v>
      </c>
      <c r="O141" s="46" t="s">
        <v>1311</v>
      </c>
      <c r="P141" s="46" t="s">
        <v>1312</v>
      </c>
      <c r="Q141" s="46" t="s">
        <v>31</v>
      </c>
      <c r="R141" s="46" t="s">
        <v>31</v>
      </c>
      <c r="S141" s="46" t="s">
        <v>31</v>
      </c>
      <c r="T141" s="46" t="s">
        <v>31</v>
      </c>
      <c r="U141" s="46" t="s">
        <v>49</v>
      </c>
    </row>
    <row r="142" spans="1:21">
      <c r="A142" s="46" t="s">
        <v>693</v>
      </c>
      <c r="B142" s="46" t="s">
        <v>89</v>
      </c>
      <c r="C142" s="46" t="s">
        <v>666</v>
      </c>
      <c r="D142" s="46">
        <v>1</v>
      </c>
      <c r="E142" s="46">
        <v>0</v>
      </c>
      <c r="F142" s="46" t="s">
        <v>694</v>
      </c>
      <c r="G142" s="46" t="s">
        <v>1305</v>
      </c>
      <c r="H142" s="46" t="s">
        <v>1606</v>
      </c>
      <c r="I142" s="46" t="str">
        <f ca="1">IFERROR(__xludf.DUMMYFUNCTION("CONCAT(A142,REGEXREPLACE(H142,"".*_L0"",""_L0""))"),"ILB_BN0602_MTG_snRNAseq_rep1_L004_I1_001.fastq.gz")</f>
        <v>ILB_BN0602_MTG_snRNAseq_rep1_L004_I1_001.fastq.gz</v>
      </c>
      <c r="J142" s="46" t="str">
        <f t="shared" si="0"/>
        <v>/data/neurogen/ASAP/scRNAseq/data/batch3_ASAP_snRNA-seq_*/Raw_Data_and_Processing/cellranger_processing/cellranger_fastqs/outs/fastq_path/H*/BN0602_S3_L004_I1_001.fastq.gz</v>
      </c>
      <c r="K142" s="46" t="s">
        <v>1347</v>
      </c>
      <c r="L142" s="46" t="s">
        <v>1607</v>
      </c>
      <c r="M142" s="46" t="s">
        <v>1309</v>
      </c>
      <c r="N142" s="46" t="s">
        <v>1310</v>
      </c>
      <c r="O142" s="46" t="s">
        <v>1311</v>
      </c>
      <c r="P142" s="46" t="s">
        <v>1312</v>
      </c>
      <c r="Q142" s="46" t="s">
        <v>31</v>
      </c>
      <c r="R142" s="46" t="s">
        <v>31</v>
      </c>
      <c r="S142" s="46" t="s">
        <v>31</v>
      </c>
      <c r="T142" s="46" t="s">
        <v>31</v>
      </c>
      <c r="U142" s="46" t="s">
        <v>49</v>
      </c>
    </row>
    <row r="143" spans="1:21">
      <c r="A143" s="46" t="s">
        <v>693</v>
      </c>
      <c r="B143" s="46" t="s">
        <v>89</v>
      </c>
      <c r="C143" s="46" t="s">
        <v>666</v>
      </c>
      <c r="D143" s="46">
        <v>1</v>
      </c>
      <c r="E143" s="46">
        <v>0</v>
      </c>
      <c r="F143" s="46" t="s">
        <v>694</v>
      </c>
      <c r="G143" s="46" t="s">
        <v>1305</v>
      </c>
      <c r="H143" s="46" t="s">
        <v>1608</v>
      </c>
      <c r="I143" s="46" t="str">
        <f ca="1">IFERROR(__xludf.DUMMYFUNCTION("CONCAT(A143,REGEXREPLACE(H143,"".*_L0"",""_L0""))"),"ILB_BN0602_MTG_snRNAseq_rep1_L004_I2_001.fastq.gz")</f>
        <v>ILB_BN0602_MTG_snRNAseq_rep1_L004_I2_001.fastq.gz</v>
      </c>
      <c r="J143" s="46" t="str">
        <f t="shared" si="0"/>
        <v>/data/neurogen/ASAP/scRNAseq/data/batch3_ASAP_snRNA-seq_*/Raw_Data_and_Processing/cellranger_processing/cellranger_fastqs/outs/fastq_path/H*/BN0602_S3_L004_I2_001.fastq.gz</v>
      </c>
      <c r="K143" s="46" t="s">
        <v>1350</v>
      </c>
      <c r="L143" s="46" t="s">
        <v>1609</v>
      </c>
      <c r="M143" s="46" t="s">
        <v>1309</v>
      </c>
      <c r="N143" s="46" t="s">
        <v>1310</v>
      </c>
      <c r="O143" s="46" t="s">
        <v>1311</v>
      </c>
      <c r="P143" s="46" t="s">
        <v>1312</v>
      </c>
      <c r="Q143" s="46" t="s">
        <v>31</v>
      </c>
      <c r="R143" s="46" t="s">
        <v>31</v>
      </c>
      <c r="S143" s="46" t="s">
        <v>31</v>
      </c>
      <c r="T143" s="46" t="s">
        <v>31</v>
      </c>
      <c r="U143" s="46" t="s">
        <v>49</v>
      </c>
    </row>
    <row r="144" spans="1:21">
      <c r="A144" s="46" t="s">
        <v>693</v>
      </c>
      <c r="B144" s="46" t="s">
        <v>89</v>
      </c>
      <c r="C144" s="46" t="s">
        <v>666</v>
      </c>
      <c r="D144" s="46">
        <v>1</v>
      </c>
      <c r="E144" s="46">
        <v>0</v>
      </c>
      <c r="F144" s="46" t="s">
        <v>694</v>
      </c>
      <c r="G144" s="46" t="s">
        <v>1305</v>
      </c>
      <c r="H144" s="46" t="s">
        <v>1610</v>
      </c>
      <c r="I144" s="46" t="str">
        <f ca="1">IFERROR(__xludf.DUMMYFUNCTION("CONCAT(A144,REGEXREPLACE(H144,"".*_L0"",""_L0""))"),"ILB_BN0602_MTG_snRNAseq_rep1_L004_R1_001.fastq.gz")</f>
        <v>ILB_BN0602_MTG_snRNAseq_rep1_L004_R1_001.fastq.gz</v>
      </c>
      <c r="J144" s="46" t="str">
        <f t="shared" si="0"/>
        <v>/data/neurogen/ASAP/scRNAseq/data/batch3_ASAP_snRNA-seq_*/Raw_Data_and_Processing/cellranger_processing/cellranger_fastqs/outs/fastq_path/H*/BN0602_S3_L004_R1_001.fastq.gz</v>
      </c>
      <c r="K144" s="46" t="s">
        <v>1353</v>
      </c>
      <c r="L144" s="46" t="s">
        <v>1611</v>
      </c>
      <c r="M144" s="46" t="s">
        <v>1309</v>
      </c>
      <c r="N144" s="46" t="s">
        <v>1310</v>
      </c>
      <c r="O144" s="46" t="s">
        <v>1311</v>
      </c>
      <c r="P144" s="46" t="s">
        <v>1312</v>
      </c>
      <c r="Q144" s="46" t="s">
        <v>31</v>
      </c>
      <c r="R144" s="46" t="s">
        <v>31</v>
      </c>
      <c r="S144" s="46" t="s">
        <v>31</v>
      </c>
      <c r="T144" s="46" t="s">
        <v>31</v>
      </c>
      <c r="U144" s="46" t="s">
        <v>49</v>
      </c>
    </row>
    <row r="145" spans="1:21">
      <c r="A145" s="46" t="s">
        <v>693</v>
      </c>
      <c r="B145" s="46" t="s">
        <v>89</v>
      </c>
      <c r="C145" s="46" t="s">
        <v>666</v>
      </c>
      <c r="D145" s="46">
        <v>1</v>
      </c>
      <c r="E145" s="46">
        <v>0</v>
      </c>
      <c r="F145" s="46" t="s">
        <v>694</v>
      </c>
      <c r="G145" s="46" t="s">
        <v>1305</v>
      </c>
      <c r="H145" s="46" t="s">
        <v>1612</v>
      </c>
      <c r="I145" s="46" t="str">
        <f ca="1">IFERROR(__xludf.DUMMYFUNCTION("CONCAT(A145,REGEXREPLACE(H145,"".*_L0"",""_L0""))"),"ILB_BN0602_MTG_snRNAseq_rep1_L004_R2_001.fastq.gz")</f>
        <v>ILB_BN0602_MTG_snRNAseq_rep1_L004_R2_001.fastq.gz</v>
      </c>
      <c r="J145" s="46" t="str">
        <f t="shared" si="0"/>
        <v>/data/neurogen/ASAP/scRNAseq/data/batch3_ASAP_snRNA-seq_*/Raw_Data_and_Processing/cellranger_processing/cellranger_fastqs/outs/fastq_path/H*/BN0602_S3_L004_R2_001.fastq.gz</v>
      </c>
      <c r="K145" s="46" t="s">
        <v>1356</v>
      </c>
      <c r="L145" s="47" t="s">
        <v>1613</v>
      </c>
      <c r="M145" s="46" t="s">
        <v>1309</v>
      </c>
      <c r="N145" s="46" t="s">
        <v>1310</v>
      </c>
      <c r="O145" s="46" t="s">
        <v>1311</v>
      </c>
      <c r="P145" s="46" t="s">
        <v>1312</v>
      </c>
      <c r="Q145" s="46" t="s">
        <v>31</v>
      </c>
      <c r="R145" s="46" t="s">
        <v>31</v>
      </c>
      <c r="S145" s="46" t="s">
        <v>31</v>
      </c>
      <c r="T145" s="46" t="s">
        <v>31</v>
      </c>
      <c r="U145" s="46" t="s">
        <v>49</v>
      </c>
    </row>
    <row r="146" spans="1:21">
      <c r="A146" s="46" t="s">
        <v>699</v>
      </c>
      <c r="B146" s="46" t="s">
        <v>93</v>
      </c>
      <c r="C146" s="46" t="s">
        <v>666</v>
      </c>
      <c r="D146" s="46">
        <v>1</v>
      </c>
      <c r="E146" s="46">
        <v>0</v>
      </c>
      <c r="F146" s="46" t="s">
        <v>694</v>
      </c>
      <c r="G146" s="46" t="s">
        <v>1305</v>
      </c>
      <c r="H146" s="46" t="s">
        <v>1614</v>
      </c>
      <c r="I146" s="46" t="str">
        <f ca="1">IFERROR(__xludf.DUMMYFUNCTION("CONCAT(A146,REGEXREPLACE(H146,"".*_L0"",""_L0""))"),"PD_BN0644_MTG_snRNAseq_rep1_L001_I1_001.fastq.gz")</f>
        <v>PD_BN0644_MTG_snRNAseq_rep1_L001_I1_001.fastq.gz</v>
      </c>
      <c r="J146" s="46" t="str">
        <f t="shared" si="0"/>
        <v>/data/neurogen/ASAP/scRNAseq/data/batch3_ASAP_snRNA-seq_*/Raw_Data_and_Processing/cellranger_processing/cellranger_fastqs/outs/fastq_path/H*/BN0644_S2_L001_I1_001.fastq.gz</v>
      </c>
      <c r="K146" s="46" t="s">
        <v>1307</v>
      </c>
      <c r="L146" s="46" t="s">
        <v>1615</v>
      </c>
      <c r="M146" s="46" t="s">
        <v>1309</v>
      </c>
      <c r="N146" s="46" t="s">
        <v>1310</v>
      </c>
      <c r="O146" s="46" t="s">
        <v>1311</v>
      </c>
      <c r="P146" s="46" t="s">
        <v>1312</v>
      </c>
      <c r="Q146" s="46" t="s">
        <v>31</v>
      </c>
      <c r="R146" s="46" t="s">
        <v>31</v>
      </c>
      <c r="S146" s="46" t="s">
        <v>31</v>
      </c>
      <c r="T146" s="46" t="s">
        <v>31</v>
      </c>
      <c r="U146" s="46" t="s">
        <v>49</v>
      </c>
    </row>
    <row r="147" spans="1:21">
      <c r="A147" s="46" t="s">
        <v>699</v>
      </c>
      <c r="B147" s="46" t="s">
        <v>93</v>
      </c>
      <c r="C147" s="46" t="s">
        <v>666</v>
      </c>
      <c r="D147" s="46">
        <v>1</v>
      </c>
      <c r="E147" s="46">
        <v>0</v>
      </c>
      <c r="F147" s="46" t="s">
        <v>694</v>
      </c>
      <c r="G147" s="46" t="s">
        <v>1305</v>
      </c>
      <c r="H147" s="46" t="s">
        <v>1616</v>
      </c>
      <c r="I147" s="46" t="str">
        <f ca="1">IFERROR(__xludf.DUMMYFUNCTION("CONCAT(A147,REGEXREPLACE(H147,"".*_L0"",""_L0""))"),"PD_BN0644_MTG_snRNAseq_rep1_L001_I2_001.fastq.gz")</f>
        <v>PD_BN0644_MTG_snRNAseq_rep1_L001_I2_001.fastq.gz</v>
      </c>
      <c r="J147" s="46" t="str">
        <f t="shared" si="0"/>
        <v>/data/neurogen/ASAP/scRNAseq/data/batch3_ASAP_snRNA-seq_*/Raw_Data_and_Processing/cellranger_processing/cellranger_fastqs/outs/fastq_path/H*/BN0644_S2_L001_I2_001.fastq.gz</v>
      </c>
      <c r="K147" s="46" t="s">
        <v>1314</v>
      </c>
      <c r="L147" s="46" t="s">
        <v>1617</v>
      </c>
      <c r="M147" s="46" t="s">
        <v>1309</v>
      </c>
      <c r="N147" s="46" t="s">
        <v>1310</v>
      </c>
      <c r="O147" s="46" t="s">
        <v>1311</v>
      </c>
      <c r="P147" s="46" t="s">
        <v>1312</v>
      </c>
      <c r="Q147" s="46" t="s">
        <v>31</v>
      </c>
      <c r="R147" s="46" t="s">
        <v>31</v>
      </c>
      <c r="S147" s="46" t="s">
        <v>31</v>
      </c>
      <c r="T147" s="46" t="s">
        <v>31</v>
      </c>
      <c r="U147" s="46" t="s">
        <v>49</v>
      </c>
    </row>
    <row r="148" spans="1:21">
      <c r="A148" s="46" t="s">
        <v>699</v>
      </c>
      <c r="B148" s="46" t="s">
        <v>93</v>
      </c>
      <c r="C148" s="46" t="s">
        <v>666</v>
      </c>
      <c r="D148" s="46">
        <v>1</v>
      </c>
      <c r="E148" s="46">
        <v>0</v>
      </c>
      <c r="F148" s="46" t="s">
        <v>694</v>
      </c>
      <c r="G148" s="46" t="s">
        <v>1305</v>
      </c>
      <c r="H148" s="46" t="s">
        <v>1618</v>
      </c>
      <c r="I148" s="46" t="str">
        <f ca="1">IFERROR(__xludf.DUMMYFUNCTION("CONCAT(A148,REGEXREPLACE(H148,"".*_L0"",""_L0""))"),"PD_BN0644_MTG_snRNAseq_rep1_L001_R1_001.fastq.gz")</f>
        <v>PD_BN0644_MTG_snRNAseq_rep1_L001_R1_001.fastq.gz</v>
      </c>
      <c r="J148" s="46" t="str">
        <f t="shared" si="0"/>
        <v>/data/neurogen/ASAP/scRNAseq/data/batch3_ASAP_snRNA-seq_*/Raw_Data_and_Processing/cellranger_processing/cellranger_fastqs/outs/fastq_path/H*/BN0644_S2_L001_R1_001.fastq.gz</v>
      </c>
      <c r="K148" s="46" t="s">
        <v>1317</v>
      </c>
      <c r="L148" s="47" t="s">
        <v>1619</v>
      </c>
      <c r="M148" s="46" t="s">
        <v>1309</v>
      </c>
      <c r="N148" s="46" t="s">
        <v>1310</v>
      </c>
      <c r="O148" s="46" t="s">
        <v>1311</v>
      </c>
      <c r="P148" s="46" t="s">
        <v>1312</v>
      </c>
      <c r="Q148" s="46" t="s">
        <v>31</v>
      </c>
      <c r="R148" s="46" t="s">
        <v>31</v>
      </c>
      <c r="S148" s="46" t="s">
        <v>31</v>
      </c>
      <c r="T148" s="46" t="s">
        <v>31</v>
      </c>
      <c r="U148" s="46" t="s">
        <v>49</v>
      </c>
    </row>
    <row r="149" spans="1:21">
      <c r="A149" s="46" t="s">
        <v>699</v>
      </c>
      <c r="B149" s="46" t="s">
        <v>93</v>
      </c>
      <c r="C149" s="46" t="s">
        <v>666</v>
      </c>
      <c r="D149" s="46">
        <v>1</v>
      </c>
      <c r="E149" s="46">
        <v>0</v>
      </c>
      <c r="F149" s="46" t="s">
        <v>694</v>
      </c>
      <c r="G149" s="46" t="s">
        <v>1305</v>
      </c>
      <c r="H149" s="46" t="s">
        <v>1620</v>
      </c>
      <c r="I149" s="46" t="str">
        <f ca="1">IFERROR(__xludf.DUMMYFUNCTION("CONCAT(A149,REGEXREPLACE(H149,"".*_L0"",""_L0""))"),"PD_BN0644_MTG_snRNAseq_rep1_L001_R2_001.fastq.gz")</f>
        <v>PD_BN0644_MTG_snRNAseq_rep1_L001_R2_001.fastq.gz</v>
      </c>
      <c r="J149" s="46" t="str">
        <f t="shared" si="0"/>
        <v>/data/neurogen/ASAP/scRNAseq/data/batch3_ASAP_snRNA-seq_*/Raw_Data_and_Processing/cellranger_processing/cellranger_fastqs/outs/fastq_path/H*/BN0644_S2_L001_R2_001.fastq.gz</v>
      </c>
      <c r="K149" s="46" t="s">
        <v>1320</v>
      </c>
      <c r="L149" s="46" t="s">
        <v>1621</v>
      </c>
      <c r="M149" s="46" t="s">
        <v>1309</v>
      </c>
      <c r="N149" s="46" t="s">
        <v>1310</v>
      </c>
      <c r="O149" s="46" t="s">
        <v>1311</v>
      </c>
      <c r="P149" s="46" t="s">
        <v>1312</v>
      </c>
      <c r="Q149" s="46" t="s">
        <v>31</v>
      </c>
      <c r="R149" s="46" t="s">
        <v>31</v>
      </c>
      <c r="S149" s="46" t="s">
        <v>31</v>
      </c>
      <c r="T149" s="46" t="s">
        <v>31</v>
      </c>
      <c r="U149" s="46" t="s">
        <v>49</v>
      </c>
    </row>
    <row r="150" spans="1:21">
      <c r="A150" s="46" t="s">
        <v>699</v>
      </c>
      <c r="B150" s="46" t="s">
        <v>93</v>
      </c>
      <c r="C150" s="46" t="s">
        <v>666</v>
      </c>
      <c r="D150" s="46">
        <v>1</v>
      </c>
      <c r="E150" s="46">
        <v>0</v>
      </c>
      <c r="F150" s="46" t="s">
        <v>694</v>
      </c>
      <c r="G150" s="46" t="s">
        <v>1305</v>
      </c>
      <c r="H150" s="46" t="s">
        <v>1622</v>
      </c>
      <c r="I150" s="46" t="str">
        <f ca="1">IFERROR(__xludf.DUMMYFUNCTION("CONCAT(A150,REGEXREPLACE(H150,"".*_L0"",""_L0""))"),"PD_BN0644_MTG_snRNAseq_rep1_L002_I1_001.fastq.gz")</f>
        <v>PD_BN0644_MTG_snRNAseq_rep1_L002_I1_001.fastq.gz</v>
      </c>
      <c r="J150" s="46" t="str">
        <f t="shared" si="0"/>
        <v>/data/neurogen/ASAP/scRNAseq/data/batch3_ASAP_snRNA-seq_*/Raw_Data_and_Processing/cellranger_processing/cellranger_fastqs/outs/fastq_path/H*/BN0644_S2_L002_I1_001.fastq.gz</v>
      </c>
      <c r="K150" s="46" t="s">
        <v>1323</v>
      </c>
      <c r="L150" s="46" t="s">
        <v>1623</v>
      </c>
      <c r="M150" s="46" t="s">
        <v>1309</v>
      </c>
      <c r="N150" s="46" t="s">
        <v>1310</v>
      </c>
      <c r="O150" s="46" t="s">
        <v>1311</v>
      </c>
      <c r="P150" s="46" t="s">
        <v>1312</v>
      </c>
      <c r="Q150" s="46" t="s">
        <v>31</v>
      </c>
      <c r="R150" s="46" t="s">
        <v>31</v>
      </c>
      <c r="S150" s="46" t="s">
        <v>31</v>
      </c>
      <c r="T150" s="46" t="s">
        <v>31</v>
      </c>
      <c r="U150" s="46" t="s">
        <v>49</v>
      </c>
    </row>
    <row r="151" spans="1:21">
      <c r="A151" s="46" t="s">
        <v>699</v>
      </c>
      <c r="B151" s="46" t="s">
        <v>93</v>
      </c>
      <c r="C151" s="46" t="s">
        <v>666</v>
      </c>
      <c r="D151" s="46">
        <v>1</v>
      </c>
      <c r="E151" s="46">
        <v>0</v>
      </c>
      <c r="F151" s="46" t="s">
        <v>694</v>
      </c>
      <c r="G151" s="46" t="s">
        <v>1305</v>
      </c>
      <c r="H151" s="46" t="s">
        <v>1624</v>
      </c>
      <c r="I151" s="46" t="str">
        <f ca="1">IFERROR(__xludf.DUMMYFUNCTION("CONCAT(A151,REGEXREPLACE(H151,"".*_L0"",""_L0""))"),"PD_BN0644_MTG_snRNAseq_rep1_L002_I2_001.fastq.gz")</f>
        <v>PD_BN0644_MTG_snRNAseq_rep1_L002_I2_001.fastq.gz</v>
      </c>
      <c r="J151" s="46" t="str">
        <f t="shared" si="0"/>
        <v>/data/neurogen/ASAP/scRNAseq/data/batch3_ASAP_snRNA-seq_*/Raw_Data_and_Processing/cellranger_processing/cellranger_fastqs/outs/fastq_path/H*/BN0644_S2_L002_I2_001.fastq.gz</v>
      </c>
      <c r="K151" s="46" t="s">
        <v>1326</v>
      </c>
      <c r="L151" s="46" t="s">
        <v>1625</v>
      </c>
      <c r="M151" s="46" t="s">
        <v>1309</v>
      </c>
      <c r="N151" s="46" t="s">
        <v>1310</v>
      </c>
      <c r="O151" s="46" t="s">
        <v>1311</v>
      </c>
      <c r="P151" s="46" t="s">
        <v>1312</v>
      </c>
      <c r="Q151" s="46" t="s">
        <v>31</v>
      </c>
      <c r="R151" s="46" t="s">
        <v>31</v>
      </c>
      <c r="S151" s="46" t="s">
        <v>31</v>
      </c>
      <c r="T151" s="46" t="s">
        <v>31</v>
      </c>
      <c r="U151" s="46" t="s">
        <v>49</v>
      </c>
    </row>
    <row r="152" spans="1:21">
      <c r="A152" s="46" t="s">
        <v>699</v>
      </c>
      <c r="B152" s="46" t="s">
        <v>93</v>
      </c>
      <c r="C152" s="46" t="s">
        <v>666</v>
      </c>
      <c r="D152" s="46">
        <v>1</v>
      </c>
      <c r="E152" s="46">
        <v>0</v>
      </c>
      <c r="F152" s="46" t="s">
        <v>694</v>
      </c>
      <c r="G152" s="46" t="s">
        <v>1305</v>
      </c>
      <c r="H152" s="46" t="s">
        <v>1626</v>
      </c>
      <c r="I152" s="46" t="str">
        <f ca="1">IFERROR(__xludf.DUMMYFUNCTION("CONCAT(A152,REGEXREPLACE(H152,"".*_L0"",""_L0""))"),"PD_BN0644_MTG_snRNAseq_rep1_L002_R1_001.fastq.gz")</f>
        <v>PD_BN0644_MTG_snRNAseq_rep1_L002_R1_001.fastq.gz</v>
      </c>
      <c r="J152" s="46" t="str">
        <f t="shared" si="0"/>
        <v>/data/neurogen/ASAP/scRNAseq/data/batch3_ASAP_snRNA-seq_*/Raw_Data_and_Processing/cellranger_processing/cellranger_fastqs/outs/fastq_path/H*/BN0644_S2_L002_R1_001.fastq.gz</v>
      </c>
      <c r="K152" s="46" t="s">
        <v>1329</v>
      </c>
      <c r="L152" s="46" t="s">
        <v>1627</v>
      </c>
      <c r="M152" s="46" t="s">
        <v>1309</v>
      </c>
      <c r="N152" s="46" t="s">
        <v>1310</v>
      </c>
      <c r="O152" s="46" t="s">
        <v>1311</v>
      </c>
      <c r="P152" s="46" t="s">
        <v>1312</v>
      </c>
      <c r="Q152" s="46" t="s">
        <v>31</v>
      </c>
      <c r="R152" s="46" t="s">
        <v>31</v>
      </c>
      <c r="S152" s="46" t="s">
        <v>31</v>
      </c>
      <c r="T152" s="46" t="s">
        <v>31</v>
      </c>
      <c r="U152" s="46" t="s">
        <v>49</v>
      </c>
    </row>
    <row r="153" spans="1:21">
      <c r="A153" s="46" t="s">
        <v>699</v>
      </c>
      <c r="B153" s="46" t="s">
        <v>93</v>
      </c>
      <c r="C153" s="46" t="s">
        <v>666</v>
      </c>
      <c r="D153" s="46">
        <v>1</v>
      </c>
      <c r="E153" s="46">
        <v>0</v>
      </c>
      <c r="F153" s="46" t="s">
        <v>694</v>
      </c>
      <c r="G153" s="46" t="s">
        <v>1305</v>
      </c>
      <c r="H153" s="46" t="s">
        <v>1628</v>
      </c>
      <c r="I153" s="46" t="str">
        <f ca="1">IFERROR(__xludf.DUMMYFUNCTION("CONCAT(A153,REGEXREPLACE(H153,"".*_L0"",""_L0""))"),"PD_BN0644_MTG_snRNAseq_rep1_L002_R2_001.fastq.gz")</f>
        <v>PD_BN0644_MTG_snRNAseq_rep1_L002_R2_001.fastq.gz</v>
      </c>
      <c r="J153" s="46" t="str">
        <f t="shared" si="0"/>
        <v>/data/neurogen/ASAP/scRNAseq/data/batch3_ASAP_snRNA-seq_*/Raw_Data_and_Processing/cellranger_processing/cellranger_fastqs/outs/fastq_path/H*/BN0644_S2_L002_R2_001.fastq.gz</v>
      </c>
      <c r="K153" s="46" t="s">
        <v>1332</v>
      </c>
      <c r="L153" s="46" t="s">
        <v>1629</v>
      </c>
      <c r="M153" s="46" t="s">
        <v>1309</v>
      </c>
      <c r="N153" s="46" t="s">
        <v>1310</v>
      </c>
      <c r="O153" s="46" t="s">
        <v>1311</v>
      </c>
      <c r="P153" s="46" t="s">
        <v>1312</v>
      </c>
      <c r="Q153" s="46" t="s">
        <v>31</v>
      </c>
      <c r="R153" s="46" t="s">
        <v>31</v>
      </c>
      <c r="S153" s="46" t="s">
        <v>31</v>
      </c>
      <c r="T153" s="46" t="s">
        <v>31</v>
      </c>
      <c r="U153" s="46" t="s">
        <v>49</v>
      </c>
    </row>
    <row r="154" spans="1:21">
      <c r="A154" s="46" t="s">
        <v>699</v>
      </c>
      <c r="B154" s="46" t="s">
        <v>93</v>
      </c>
      <c r="C154" s="46" t="s">
        <v>666</v>
      </c>
      <c r="D154" s="46">
        <v>1</v>
      </c>
      <c r="E154" s="46">
        <v>0</v>
      </c>
      <c r="F154" s="46" t="s">
        <v>694</v>
      </c>
      <c r="G154" s="46" t="s">
        <v>1305</v>
      </c>
      <c r="H154" s="46" t="s">
        <v>1630</v>
      </c>
      <c r="I154" s="46" t="str">
        <f ca="1">IFERROR(__xludf.DUMMYFUNCTION("CONCAT(A154,REGEXREPLACE(H154,"".*_L0"",""_L0""))"),"PD_BN0644_MTG_snRNAseq_rep1_L003_I1_001.fastq.gz")</f>
        <v>PD_BN0644_MTG_snRNAseq_rep1_L003_I1_001.fastq.gz</v>
      </c>
      <c r="J154" s="46" t="str">
        <f t="shared" si="0"/>
        <v>/data/neurogen/ASAP/scRNAseq/data/batch3_ASAP_snRNA-seq_*/Raw_Data_and_Processing/cellranger_processing/cellranger_fastqs/outs/fastq_path/H*/BN0644_S2_L003_I1_001.fastq.gz</v>
      </c>
      <c r="K154" s="46" t="s">
        <v>1335</v>
      </c>
      <c r="L154" s="46" t="s">
        <v>1631</v>
      </c>
      <c r="M154" s="46" t="s">
        <v>1309</v>
      </c>
      <c r="N154" s="46" t="s">
        <v>1310</v>
      </c>
      <c r="O154" s="46" t="s">
        <v>1311</v>
      </c>
      <c r="P154" s="46" t="s">
        <v>1312</v>
      </c>
      <c r="Q154" s="46" t="s">
        <v>31</v>
      </c>
      <c r="R154" s="46" t="s">
        <v>31</v>
      </c>
      <c r="S154" s="46" t="s">
        <v>31</v>
      </c>
      <c r="T154" s="46" t="s">
        <v>31</v>
      </c>
      <c r="U154" s="46" t="s">
        <v>49</v>
      </c>
    </row>
    <row r="155" spans="1:21">
      <c r="A155" s="46" t="s">
        <v>699</v>
      </c>
      <c r="B155" s="46" t="s">
        <v>93</v>
      </c>
      <c r="C155" s="46" t="s">
        <v>666</v>
      </c>
      <c r="D155" s="46">
        <v>1</v>
      </c>
      <c r="E155" s="46">
        <v>0</v>
      </c>
      <c r="F155" s="46" t="s">
        <v>694</v>
      </c>
      <c r="G155" s="46" t="s">
        <v>1305</v>
      </c>
      <c r="H155" s="46" t="s">
        <v>1632</v>
      </c>
      <c r="I155" s="46" t="str">
        <f ca="1">IFERROR(__xludf.DUMMYFUNCTION("CONCAT(A155,REGEXREPLACE(H155,"".*_L0"",""_L0""))"),"PD_BN0644_MTG_snRNAseq_rep1_L003_I2_001.fastq.gz")</f>
        <v>PD_BN0644_MTG_snRNAseq_rep1_L003_I2_001.fastq.gz</v>
      </c>
      <c r="J155" s="46" t="str">
        <f t="shared" si="0"/>
        <v>/data/neurogen/ASAP/scRNAseq/data/batch3_ASAP_snRNA-seq_*/Raw_Data_and_Processing/cellranger_processing/cellranger_fastqs/outs/fastq_path/H*/BN0644_S2_L003_I2_001.fastq.gz</v>
      </c>
      <c r="K155" s="46" t="s">
        <v>1338</v>
      </c>
      <c r="L155" s="46" t="s">
        <v>1633</v>
      </c>
      <c r="M155" s="46" t="s">
        <v>1309</v>
      </c>
      <c r="N155" s="46" t="s">
        <v>1310</v>
      </c>
      <c r="O155" s="46" t="s">
        <v>1311</v>
      </c>
      <c r="P155" s="46" t="s">
        <v>1312</v>
      </c>
      <c r="Q155" s="46" t="s">
        <v>31</v>
      </c>
      <c r="R155" s="46" t="s">
        <v>31</v>
      </c>
      <c r="S155" s="46" t="s">
        <v>31</v>
      </c>
      <c r="T155" s="46" t="s">
        <v>31</v>
      </c>
      <c r="U155" s="46" t="s">
        <v>49</v>
      </c>
    </row>
    <row r="156" spans="1:21">
      <c r="A156" s="46" t="s">
        <v>699</v>
      </c>
      <c r="B156" s="46" t="s">
        <v>93</v>
      </c>
      <c r="C156" s="46" t="s">
        <v>666</v>
      </c>
      <c r="D156" s="46">
        <v>1</v>
      </c>
      <c r="E156" s="46">
        <v>0</v>
      </c>
      <c r="F156" s="46" t="s">
        <v>694</v>
      </c>
      <c r="G156" s="46" t="s">
        <v>1305</v>
      </c>
      <c r="H156" s="46" t="s">
        <v>1634</v>
      </c>
      <c r="I156" s="46" t="str">
        <f ca="1">IFERROR(__xludf.DUMMYFUNCTION("CONCAT(A156,REGEXREPLACE(H156,"".*_L0"",""_L0""))"),"PD_BN0644_MTG_snRNAseq_rep1_L003_R1_001.fastq.gz")</f>
        <v>PD_BN0644_MTG_snRNAseq_rep1_L003_R1_001.fastq.gz</v>
      </c>
      <c r="J156" s="46" t="str">
        <f t="shared" si="0"/>
        <v>/data/neurogen/ASAP/scRNAseq/data/batch3_ASAP_snRNA-seq_*/Raw_Data_and_Processing/cellranger_processing/cellranger_fastqs/outs/fastq_path/H*/BN0644_S2_L003_R1_001.fastq.gz</v>
      </c>
      <c r="K156" s="46" t="s">
        <v>1341</v>
      </c>
      <c r="L156" s="46" t="s">
        <v>1635</v>
      </c>
      <c r="M156" s="46" t="s">
        <v>1309</v>
      </c>
      <c r="N156" s="46" t="s">
        <v>1310</v>
      </c>
      <c r="O156" s="46" t="s">
        <v>1311</v>
      </c>
      <c r="P156" s="46" t="s">
        <v>1312</v>
      </c>
      <c r="Q156" s="46" t="s">
        <v>31</v>
      </c>
      <c r="R156" s="46" t="s">
        <v>31</v>
      </c>
      <c r="S156" s="46" t="s">
        <v>31</v>
      </c>
      <c r="T156" s="46" t="s">
        <v>31</v>
      </c>
      <c r="U156" s="46" t="s">
        <v>49</v>
      </c>
    </row>
    <row r="157" spans="1:21">
      <c r="A157" s="46" t="s">
        <v>699</v>
      </c>
      <c r="B157" s="46" t="s">
        <v>93</v>
      </c>
      <c r="C157" s="46" t="s">
        <v>666</v>
      </c>
      <c r="D157" s="46">
        <v>1</v>
      </c>
      <c r="E157" s="46">
        <v>0</v>
      </c>
      <c r="F157" s="46" t="s">
        <v>694</v>
      </c>
      <c r="G157" s="46" t="s">
        <v>1305</v>
      </c>
      <c r="H157" s="46" t="s">
        <v>1636</v>
      </c>
      <c r="I157" s="46" t="str">
        <f ca="1">IFERROR(__xludf.DUMMYFUNCTION("CONCAT(A157,REGEXREPLACE(H157,"".*_L0"",""_L0""))"),"PD_BN0644_MTG_snRNAseq_rep1_L003_R2_001.fastq.gz")</f>
        <v>PD_BN0644_MTG_snRNAseq_rep1_L003_R2_001.fastq.gz</v>
      </c>
      <c r="J157" s="46" t="str">
        <f t="shared" si="0"/>
        <v>/data/neurogen/ASAP/scRNAseq/data/batch3_ASAP_snRNA-seq_*/Raw_Data_and_Processing/cellranger_processing/cellranger_fastqs/outs/fastq_path/H*/BN0644_S2_L003_R2_001.fastq.gz</v>
      </c>
      <c r="K157" s="46" t="s">
        <v>1344</v>
      </c>
      <c r="L157" s="46" t="s">
        <v>1637</v>
      </c>
      <c r="M157" s="46" t="s">
        <v>1309</v>
      </c>
      <c r="N157" s="46" t="s">
        <v>1310</v>
      </c>
      <c r="O157" s="46" t="s">
        <v>1311</v>
      </c>
      <c r="P157" s="46" t="s">
        <v>1312</v>
      </c>
      <c r="Q157" s="46" t="s">
        <v>31</v>
      </c>
      <c r="R157" s="46" t="s">
        <v>31</v>
      </c>
      <c r="S157" s="46" t="s">
        <v>31</v>
      </c>
      <c r="T157" s="46" t="s">
        <v>31</v>
      </c>
      <c r="U157" s="46" t="s">
        <v>49</v>
      </c>
    </row>
    <row r="158" spans="1:21">
      <c r="A158" s="46" t="s">
        <v>699</v>
      </c>
      <c r="B158" s="46" t="s">
        <v>93</v>
      </c>
      <c r="C158" s="46" t="s">
        <v>666</v>
      </c>
      <c r="D158" s="46">
        <v>1</v>
      </c>
      <c r="E158" s="46">
        <v>0</v>
      </c>
      <c r="F158" s="46" t="s">
        <v>694</v>
      </c>
      <c r="G158" s="46" t="s">
        <v>1305</v>
      </c>
      <c r="H158" s="46" t="s">
        <v>1638</v>
      </c>
      <c r="I158" s="46" t="str">
        <f ca="1">IFERROR(__xludf.DUMMYFUNCTION("CONCAT(A158,REGEXREPLACE(H158,"".*_L0"",""_L0""))"),"PD_BN0644_MTG_snRNAseq_rep1_L004_I1_001.fastq.gz")</f>
        <v>PD_BN0644_MTG_snRNAseq_rep1_L004_I1_001.fastq.gz</v>
      </c>
      <c r="J158" s="46" t="str">
        <f t="shared" si="0"/>
        <v>/data/neurogen/ASAP/scRNAseq/data/batch3_ASAP_snRNA-seq_*/Raw_Data_and_Processing/cellranger_processing/cellranger_fastqs/outs/fastq_path/H*/BN0644_S2_L004_I1_001.fastq.gz</v>
      </c>
      <c r="K158" s="46" t="s">
        <v>1347</v>
      </c>
      <c r="L158" s="46" t="s">
        <v>1639</v>
      </c>
      <c r="M158" s="46" t="s">
        <v>1309</v>
      </c>
      <c r="N158" s="46" t="s">
        <v>1310</v>
      </c>
      <c r="O158" s="46" t="s">
        <v>1311</v>
      </c>
      <c r="P158" s="46" t="s">
        <v>1312</v>
      </c>
      <c r="Q158" s="46" t="s">
        <v>31</v>
      </c>
      <c r="R158" s="46" t="s">
        <v>31</v>
      </c>
      <c r="S158" s="46" t="s">
        <v>31</v>
      </c>
      <c r="T158" s="46" t="s">
        <v>31</v>
      </c>
      <c r="U158" s="46" t="s">
        <v>49</v>
      </c>
    </row>
    <row r="159" spans="1:21">
      <c r="A159" s="46" t="s">
        <v>699</v>
      </c>
      <c r="B159" s="46" t="s">
        <v>93</v>
      </c>
      <c r="C159" s="46" t="s">
        <v>666</v>
      </c>
      <c r="D159" s="46">
        <v>1</v>
      </c>
      <c r="E159" s="46">
        <v>0</v>
      </c>
      <c r="F159" s="46" t="s">
        <v>694</v>
      </c>
      <c r="G159" s="46" t="s">
        <v>1305</v>
      </c>
      <c r="H159" s="46" t="s">
        <v>1640</v>
      </c>
      <c r="I159" s="46" t="str">
        <f ca="1">IFERROR(__xludf.DUMMYFUNCTION("CONCAT(A159,REGEXREPLACE(H159,"".*_L0"",""_L0""))"),"PD_BN0644_MTG_snRNAseq_rep1_L004_I2_001.fastq.gz")</f>
        <v>PD_BN0644_MTG_snRNAseq_rep1_L004_I2_001.fastq.gz</v>
      </c>
      <c r="J159" s="46" t="str">
        <f t="shared" si="0"/>
        <v>/data/neurogen/ASAP/scRNAseq/data/batch3_ASAP_snRNA-seq_*/Raw_Data_and_Processing/cellranger_processing/cellranger_fastqs/outs/fastq_path/H*/BN0644_S2_L004_I2_001.fastq.gz</v>
      </c>
      <c r="K159" s="46" t="s">
        <v>1350</v>
      </c>
      <c r="L159" s="46" t="s">
        <v>1641</v>
      </c>
      <c r="M159" s="46" t="s">
        <v>1309</v>
      </c>
      <c r="N159" s="46" t="s">
        <v>1310</v>
      </c>
      <c r="O159" s="46" t="s">
        <v>1311</v>
      </c>
      <c r="P159" s="46" t="s">
        <v>1312</v>
      </c>
      <c r="Q159" s="46" t="s">
        <v>31</v>
      </c>
      <c r="R159" s="46" t="s">
        <v>31</v>
      </c>
      <c r="S159" s="46" t="s">
        <v>31</v>
      </c>
      <c r="T159" s="46" t="s">
        <v>31</v>
      </c>
      <c r="U159" s="46" t="s">
        <v>49</v>
      </c>
    </row>
    <row r="160" spans="1:21">
      <c r="A160" s="46" t="s">
        <v>699</v>
      </c>
      <c r="B160" s="46" t="s">
        <v>93</v>
      </c>
      <c r="C160" s="46" t="s">
        <v>666</v>
      </c>
      <c r="D160" s="46">
        <v>1</v>
      </c>
      <c r="E160" s="46">
        <v>0</v>
      </c>
      <c r="F160" s="46" t="s">
        <v>694</v>
      </c>
      <c r="G160" s="46" t="s">
        <v>1305</v>
      </c>
      <c r="H160" s="46" t="s">
        <v>1642</v>
      </c>
      <c r="I160" s="46" t="str">
        <f ca="1">IFERROR(__xludf.DUMMYFUNCTION("CONCAT(A160,REGEXREPLACE(H160,"".*_L0"",""_L0""))"),"PD_BN0644_MTG_snRNAseq_rep1_L004_R1_001.fastq.gz")</f>
        <v>PD_BN0644_MTG_snRNAseq_rep1_L004_R1_001.fastq.gz</v>
      </c>
      <c r="J160" s="46" t="str">
        <f t="shared" si="0"/>
        <v>/data/neurogen/ASAP/scRNAseq/data/batch3_ASAP_snRNA-seq_*/Raw_Data_and_Processing/cellranger_processing/cellranger_fastqs/outs/fastq_path/H*/BN0644_S2_L004_R1_001.fastq.gz</v>
      </c>
      <c r="K160" s="46" t="s">
        <v>1353</v>
      </c>
      <c r="L160" s="46" t="s">
        <v>1643</v>
      </c>
      <c r="M160" s="46" t="s">
        <v>1309</v>
      </c>
      <c r="N160" s="46" t="s">
        <v>1310</v>
      </c>
      <c r="O160" s="46" t="s">
        <v>1311</v>
      </c>
      <c r="P160" s="46" t="s">
        <v>1312</v>
      </c>
      <c r="Q160" s="46" t="s">
        <v>31</v>
      </c>
      <c r="R160" s="46" t="s">
        <v>31</v>
      </c>
      <c r="S160" s="46" t="s">
        <v>31</v>
      </c>
      <c r="T160" s="46" t="s">
        <v>31</v>
      </c>
      <c r="U160" s="46" t="s">
        <v>49</v>
      </c>
    </row>
    <row r="161" spans="1:21">
      <c r="A161" s="46" t="s">
        <v>699</v>
      </c>
      <c r="B161" s="46" t="s">
        <v>93</v>
      </c>
      <c r="C161" s="46" t="s">
        <v>666</v>
      </c>
      <c r="D161" s="46">
        <v>1</v>
      </c>
      <c r="E161" s="46">
        <v>0</v>
      </c>
      <c r="F161" s="46" t="s">
        <v>694</v>
      </c>
      <c r="G161" s="46" t="s">
        <v>1305</v>
      </c>
      <c r="H161" s="46" t="s">
        <v>1644</v>
      </c>
      <c r="I161" s="46" t="str">
        <f ca="1">IFERROR(__xludf.DUMMYFUNCTION("CONCAT(A161,REGEXREPLACE(H161,"".*_L0"",""_L0""))"),"PD_BN0644_MTG_snRNAseq_rep1_L004_R2_001.fastq.gz")</f>
        <v>PD_BN0644_MTG_snRNAseq_rep1_L004_R2_001.fastq.gz</v>
      </c>
      <c r="J161" s="46" t="str">
        <f t="shared" si="0"/>
        <v>/data/neurogen/ASAP/scRNAseq/data/batch3_ASAP_snRNA-seq_*/Raw_Data_and_Processing/cellranger_processing/cellranger_fastqs/outs/fastq_path/H*/BN0644_S2_L004_R2_001.fastq.gz</v>
      </c>
      <c r="K161" s="46" t="s">
        <v>1356</v>
      </c>
      <c r="L161" s="46" t="s">
        <v>1645</v>
      </c>
      <c r="M161" s="46" t="s">
        <v>1309</v>
      </c>
      <c r="N161" s="46" t="s">
        <v>1310</v>
      </c>
      <c r="O161" s="46" t="s">
        <v>1311</v>
      </c>
      <c r="P161" s="46" t="s">
        <v>1312</v>
      </c>
      <c r="Q161" s="46" t="s">
        <v>31</v>
      </c>
      <c r="R161" s="46" t="s">
        <v>31</v>
      </c>
      <c r="S161" s="46" t="s">
        <v>31</v>
      </c>
      <c r="T161" s="46" t="s">
        <v>31</v>
      </c>
      <c r="U161" s="46" t="s">
        <v>49</v>
      </c>
    </row>
    <row r="162" spans="1:21">
      <c r="A162" s="46" t="s">
        <v>784</v>
      </c>
      <c r="B162" s="46" t="s">
        <v>215</v>
      </c>
      <c r="C162" s="46" t="s">
        <v>666</v>
      </c>
      <c r="D162" s="46">
        <v>1</v>
      </c>
      <c r="E162" s="46">
        <v>0</v>
      </c>
      <c r="F162" s="46" t="s">
        <v>694</v>
      </c>
      <c r="G162" s="46" t="s">
        <v>1305</v>
      </c>
      <c r="H162" s="46" t="s">
        <v>1646</v>
      </c>
      <c r="I162" s="46" t="str">
        <f ca="1">IFERROR(__xludf.DUMMYFUNCTION("CONCAT(A162,REGEXREPLACE(H162,"".*_L0"",""_L0""))"),"HC_BN1855_MTG_snRNAseq_rep1_L001_I1_001.fastq.gz")</f>
        <v>HC_BN1855_MTG_snRNAseq_rep1_L001_I1_001.fastq.gz</v>
      </c>
      <c r="J162" s="46" t="str">
        <f t="shared" si="0"/>
        <v>/data/neurogen/ASAP/scRNAseq/data/batch3_ASAP_snRNA-seq_*/Raw_Data_and_Processing/cellranger_processing/cellranger_fastqs/outs/fastq_path/H*/BN1855_S4_L001_I1_001.fastq.gz</v>
      </c>
      <c r="K162" s="46" t="s">
        <v>1307</v>
      </c>
      <c r="L162" s="46" t="s">
        <v>1647</v>
      </c>
      <c r="M162" s="46" t="s">
        <v>1309</v>
      </c>
      <c r="N162" s="46" t="s">
        <v>1310</v>
      </c>
      <c r="O162" s="46" t="s">
        <v>1311</v>
      </c>
      <c r="P162" s="46" t="s">
        <v>1312</v>
      </c>
      <c r="Q162" s="46" t="s">
        <v>31</v>
      </c>
      <c r="R162" s="46" t="s">
        <v>31</v>
      </c>
      <c r="S162" s="46" t="s">
        <v>31</v>
      </c>
      <c r="T162" s="46" t="s">
        <v>31</v>
      </c>
      <c r="U162" s="46" t="s">
        <v>49</v>
      </c>
    </row>
    <row r="163" spans="1:21">
      <c r="A163" s="46" t="s">
        <v>784</v>
      </c>
      <c r="B163" s="46" t="s">
        <v>215</v>
      </c>
      <c r="C163" s="46" t="s">
        <v>666</v>
      </c>
      <c r="D163" s="46">
        <v>1</v>
      </c>
      <c r="E163" s="46">
        <v>0</v>
      </c>
      <c r="F163" s="46" t="s">
        <v>694</v>
      </c>
      <c r="G163" s="46" t="s">
        <v>1305</v>
      </c>
      <c r="H163" s="46" t="s">
        <v>1648</v>
      </c>
      <c r="I163" s="46" t="str">
        <f ca="1">IFERROR(__xludf.DUMMYFUNCTION("CONCAT(A163,REGEXREPLACE(H163,"".*_L0"",""_L0""))"),"HC_BN1855_MTG_snRNAseq_rep1_L001_I2_001.fastq.gz")</f>
        <v>HC_BN1855_MTG_snRNAseq_rep1_L001_I2_001.fastq.gz</v>
      </c>
      <c r="J163" s="46" t="str">
        <f t="shared" si="0"/>
        <v>/data/neurogen/ASAP/scRNAseq/data/batch3_ASAP_snRNA-seq_*/Raw_Data_and_Processing/cellranger_processing/cellranger_fastqs/outs/fastq_path/H*/BN1855_S4_L001_I2_001.fastq.gz</v>
      </c>
      <c r="K163" s="46" t="s">
        <v>1314</v>
      </c>
      <c r="L163" s="46" t="s">
        <v>1649</v>
      </c>
      <c r="M163" s="46" t="s">
        <v>1309</v>
      </c>
      <c r="N163" s="46" t="s">
        <v>1310</v>
      </c>
      <c r="O163" s="46" t="s">
        <v>1311</v>
      </c>
      <c r="P163" s="46" t="s">
        <v>1312</v>
      </c>
      <c r="Q163" s="46" t="s">
        <v>31</v>
      </c>
      <c r="R163" s="46" t="s">
        <v>31</v>
      </c>
      <c r="S163" s="46" t="s">
        <v>31</v>
      </c>
      <c r="T163" s="46" t="s">
        <v>31</v>
      </c>
      <c r="U163" s="46" t="s">
        <v>49</v>
      </c>
    </row>
    <row r="164" spans="1:21">
      <c r="A164" s="46" t="s">
        <v>784</v>
      </c>
      <c r="B164" s="46" t="s">
        <v>215</v>
      </c>
      <c r="C164" s="46" t="s">
        <v>666</v>
      </c>
      <c r="D164" s="46">
        <v>1</v>
      </c>
      <c r="E164" s="46">
        <v>0</v>
      </c>
      <c r="F164" s="46" t="s">
        <v>694</v>
      </c>
      <c r="G164" s="46" t="s">
        <v>1305</v>
      </c>
      <c r="H164" s="46" t="s">
        <v>1650</v>
      </c>
      <c r="I164" s="46" t="str">
        <f ca="1">IFERROR(__xludf.DUMMYFUNCTION("CONCAT(A164,REGEXREPLACE(H164,"".*_L0"",""_L0""))"),"HC_BN1855_MTG_snRNAseq_rep1_L001_R1_001.fastq.gz")</f>
        <v>HC_BN1855_MTG_snRNAseq_rep1_L001_R1_001.fastq.gz</v>
      </c>
      <c r="J164" s="46" t="str">
        <f t="shared" si="0"/>
        <v>/data/neurogen/ASAP/scRNAseq/data/batch3_ASAP_snRNA-seq_*/Raw_Data_and_Processing/cellranger_processing/cellranger_fastqs/outs/fastq_path/H*/BN1855_S4_L001_R1_001.fastq.gz</v>
      </c>
      <c r="K164" s="46" t="s">
        <v>1317</v>
      </c>
      <c r="L164" s="46" t="s">
        <v>1651</v>
      </c>
      <c r="M164" s="46" t="s">
        <v>1309</v>
      </c>
      <c r="N164" s="46" t="s">
        <v>1310</v>
      </c>
      <c r="O164" s="46" t="s">
        <v>1311</v>
      </c>
      <c r="P164" s="46" t="s">
        <v>1312</v>
      </c>
      <c r="Q164" s="46" t="s">
        <v>31</v>
      </c>
      <c r="R164" s="46" t="s">
        <v>31</v>
      </c>
      <c r="S164" s="46" t="s">
        <v>31</v>
      </c>
      <c r="T164" s="46" t="s">
        <v>31</v>
      </c>
      <c r="U164" s="46" t="s">
        <v>49</v>
      </c>
    </row>
    <row r="165" spans="1:21">
      <c r="A165" s="46" t="s">
        <v>784</v>
      </c>
      <c r="B165" s="46" t="s">
        <v>215</v>
      </c>
      <c r="C165" s="46" t="s">
        <v>666</v>
      </c>
      <c r="D165" s="46">
        <v>1</v>
      </c>
      <c r="E165" s="46">
        <v>0</v>
      </c>
      <c r="F165" s="46" t="s">
        <v>694</v>
      </c>
      <c r="G165" s="46" t="s">
        <v>1305</v>
      </c>
      <c r="H165" s="46" t="s">
        <v>1652</v>
      </c>
      <c r="I165" s="46" t="str">
        <f ca="1">IFERROR(__xludf.DUMMYFUNCTION("CONCAT(A165,REGEXREPLACE(H165,"".*_L0"",""_L0""))"),"HC_BN1855_MTG_snRNAseq_rep1_L001_R2_001.fastq.gz")</f>
        <v>HC_BN1855_MTG_snRNAseq_rep1_L001_R2_001.fastq.gz</v>
      </c>
      <c r="J165" s="46" t="str">
        <f t="shared" si="0"/>
        <v>/data/neurogen/ASAP/scRNAseq/data/batch3_ASAP_snRNA-seq_*/Raw_Data_and_Processing/cellranger_processing/cellranger_fastqs/outs/fastq_path/H*/BN1855_S4_L001_R2_001.fastq.gz</v>
      </c>
      <c r="K165" s="46" t="s">
        <v>1320</v>
      </c>
      <c r="L165" s="46" t="s">
        <v>1653</v>
      </c>
      <c r="M165" s="46" t="s">
        <v>1309</v>
      </c>
      <c r="N165" s="46" t="s">
        <v>1310</v>
      </c>
      <c r="O165" s="46" t="s">
        <v>1311</v>
      </c>
      <c r="P165" s="46" t="s">
        <v>1312</v>
      </c>
      <c r="Q165" s="46" t="s">
        <v>31</v>
      </c>
      <c r="R165" s="46" t="s">
        <v>31</v>
      </c>
      <c r="S165" s="46" t="s">
        <v>31</v>
      </c>
      <c r="T165" s="46" t="s">
        <v>31</v>
      </c>
      <c r="U165" s="46" t="s">
        <v>49</v>
      </c>
    </row>
    <row r="166" spans="1:21">
      <c r="A166" s="46" t="s">
        <v>784</v>
      </c>
      <c r="B166" s="46" t="s">
        <v>215</v>
      </c>
      <c r="C166" s="46" t="s">
        <v>666</v>
      </c>
      <c r="D166" s="46">
        <v>1</v>
      </c>
      <c r="E166" s="46">
        <v>0</v>
      </c>
      <c r="F166" s="46" t="s">
        <v>694</v>
      </c>
      <c r="G166" s="46" t="s">
        <v>1305</v>
      </c>
      <c r="H166" s="46" t="s">
        <v>1654</v>
      </c>
      <c r="I166" s="46" t="str">
        <f ca="1">IFERROR(__xludf.DUMMYFUNCTION("CONCAT(A166,REGEXREPLACE(H166,"".*_L0"",""_L0""))"),"HC_BN1855_MTG_snRNAseq_rep1_L002_I1_001.fastq.gz")</f>
        <v>HC_BN1855_MTG_snRNAseq_rep1_L002_I1_001.fastq.gz</v>
      </c>
      <c r="J166" s="46" t="str">
        <f t="shared" si="0"/>
        <v>/data/neurogen/ASAP/scRNAseq/data/batch3_ASAP_snRNA-seq_*/Raw_Data_and_Processing/cellranger_processing/cellranger_fastqs/outs/fastq_path/H*/BN1855_S4_L002_I1_001.fastq.gz</v>
      </c>
      <c r="K166" s="46" t="s">
        <v>1323</v>
      </c>
      <c r="L166" s="46" t="s">
        <v>1655</v>
      </c>
      <c r="M166" s="46" t="s">
        <v>1309</v>
      </c>
      <c r="N166" s="46" t="s">
        <v>1310</v>
      </c>
      <c r="O166" s="46" t="s">
        <v>1311</v>
      </c>
      <c r="P166" s="46" t="s">
        <v>1312</v>
      </c>
      <c r="Q166" s="46" t="s">
        <v>31</v>
      </c>
      <c r="R166" s="46" t="s">
        <v>31</v>
      </c>
      <c r="S166" s="46" t="s">
        <v>31</v>
      </c>
      <c r="T166" s="46" t="s">
        <v>31</v>
      </c>
      <c r="U166" s="46" t="s">
        <v>49</v>
      </c>
    </row>
    <row r="167" spans="1:21">
      <c r="A167" s="46" t="s">
        <v>784</v>
      </c>
      <c r="B167" s="46" t="s">
        <v>215</v>
      </c>
      <c r="C167" s="46" t="s">
        <v>666</v>
      </c>
      <c r="D167" s="46">
        <v>1</v>
      </c>
      <c r="E167" s="46">
        <v>0</v>
      </c>
      <c r="F167" s="46" t="s">
        <v>694</v>
      </c>
      <c r="G167" s="46" t="s">
        <v>1305</v>
      </c>
      <c r="H167" s="46" t="s">
        <v>1656</v>
      </c>
      <c r="I167" s="46" t="str">
        <f ca="1">IFERROR(__xludf.DUMMYFUNCTION("CONCAT(A167,REGEXREPLACE(H167,"".*_L0"",""_L0""))"),"HC_BN1855_MTG_snRNAseq_rep1_L002_I2_001.fastq.gz")</f>
        <v>HC_BN1855_MTG_snRNAseq_rep1_L002_I2_001.fastq.gz</v>
      </c>
      <c r="J167" s="46" t="str">
        <f t="shared" si="0"/>
        <v>/data/neurogen/ASAP/scRNAseq/data/batch3_ASAP_snRNA-seq_*/Raw_Data_and_Processing/cellranger_processing/cellranger_fastqs/outs/fastq_path/H*/BN1855_S4_L002_I2_001.fastq.gz</v>
      </c>
      <c r="K167" s="46" t="s">
        <v>1326</v>
      </c>
      <c r="L167" s="46" t="s">
        <v>1657</v>
      </c>
      <c r="M167" s="46" t="s">
        <v>1309</v>
      </c>
      <c r="N167" s="46" t="s">
        <v>1310</v>
      </c>
      <c r="O167" s="46" t="s">
        <v>1311</v>
      </c>
      <c r="P167" s="46" t="s">
        <v>1312</v>
      </c>
      <c r="Q167" s="46" t="s">
        <v>31</v>
      </c>
      <c r="R167" s="46" t="s">
        <v>31</v>
      </c>
      <c r="S167" s="46" t="s">
        <v>31</v>
      </c>
      <c r="T167" s="46" t="s">
        <v>31</v>
      </c>
      <c r="U167" s="46" t="s">
        <v>49</v>
      </c>
    </row>
    <row r="168" spans="1:21">
      <c r="A168" s="46" t="s">
        <v>784</v>
      </c>
      <c r="B168" s="46" t="s">
        <v>215</v>
      </c>
      <c r="C168" s="46" t="s">
        <v>666</v>
      </c>
      <c r="D168" s="46">
        <v>1</v>
      </c>
      <c r="E168" s="46">
        <v>0</v>
      </c>
      <c r="F168" s="46" t="s">
        <v>694</v>
      </c>
      <c r="G168" s="46" t="s">
        <v>1305</v>
      </c>
      <c r="H168" s="46" t="s">
        <v>1658</v>
      </c>
      <c r="I168" s="46" t="str">
        <f ca="1">IFERROR(__xludf.DUMMYFUNCTION("CONCAT(A168,REGEXREPLACE(H168,"".*_L0"",""_L0""))"),"HC_BN1855_MTG_snRNAseq_rep1_L002_R1_001.fastq.gz")</f>
        <v>HC_BN1855_MTG_snRNAseq_rep1_L002_R1_001.fastq.gz</v>
      </c>
      <c r="J168" s="46" t="str">
        <f t="shared" si="0"/>
        <v>/data/neurogen/ASAP/scRNAseq/data/batch3_ASAP_snRNA-seq_*/Raw_Data_and_Processing/cellranger_processing/cellranger_fastqs/outs/fastq_path/H*/BN1855_S4_L002_R1_001.fastq.gz</v>
      </c>
      <c r="K168" s="46" t="s">
        <v>1329</v>
      </c>
      <c r="L168" s="46" t="s">
        <v>1659</v>
      </c>
      <c r="M168" s="46" t="s">
        <v>1309</v>
      </c>
      <c r="N168" s="46" t="s">
        <v>1310</v>
      </c>
      <c r="O168" s="46" t="s">
        <v>1311</v>
      </c>
      <c r="P168" s="46" t="s">
        <v>1312</v>
      </c>
      <c r="Q168" s="46" t="s">
        <v>31</v>
      </c>
      <c r="R168" s="46" t="s">
        <v>31</v>
      </c>
      <c r="S168" s="46" t="s">
        <v>31</v>
      </c>
      <c r="T168" s="46" t="s">
        <v>31</v>
      </c>
      <c r="U168" s="46" t="s">
        <v>49</v>
      </c>
    </row>
    <row r="169" spans="1:21">
      <c r="A169" s="46" t="s">
        <v>784</v>
      </c>
      <c r="B169" s="46" t="s">
        <v>215</v>
      </c>
      <c r="C169" s="46" t="s">
        <v>666</v>
      </c>
      <c r="D169" s="46">
        <v>1</v>
      </c>
      <c r="E169" s="46">
        <v>0</v>
      </c>
      <c r="F169" s="46" t="s">
        <v>694</v>
      </c>
      <c r="G169" s="46" t="s">
        <v>1305</v>
      </c>
      <c r="H169" s="46" t="s">
        <v>1660</v>
      </c>
      <c r="I169" s="46" t="str">
        <f ca="1">IFERROR(__xludf.DUMMYFUNCTION("CONCAT(A169,REGEXREPLACE(H169,"".*_L0"",""_L0""))"),"HC_BN1855_MTG_snRNAseq_rep1_L002_R2_001.fastq.gz")</f>
        <v>HC_BN1855_MTG_snRNAseq_rep1_L002_R2_001.fastq.gz</v>
      </c>
      <c r="J169" s="46" t="str">
        <f t="shared" si="0"/>
        <v>/data/neurogen/ASAP/scRNAseq/data/batch3_ASAP_snRNA-seq_*/Raw_Data_and_Processing/cellranger_processing/cellranger_fastqs/outs/fastq_path/H*/BN1855_S4_L002_R2_001.fastq.gz</v>
      </c>
      <c r="K169" s="46" t="s">
        <v>1332</v>
      </c>
      <c r="L169" s="46" t="s">
        <v>1661</v>
      </c>
      <c r="M169" s="46" t="s">
        <v>1309</v>
      </c>
      <c r="N169" s="46" t="s">
        <v>1310</v>
      </c>
      <c r="O169" s="46" t="s">
        <v>1311</v>
      </c>
      <c r="P169" s="46" t="s">
        <v>1312</v>
      </c>
      <c r="Q169" s="46" t="s">
        <v>31</v>
      </c>
      <c r="R169" s="46" t="s">
        <v>31</v>
      </c>
      <c r="S169" s="46" t="s">
        <v>31</v>
      </c>
      <c r="T169" s="46" t="s">
        <v>31</v>
      </c>
      <c r="U169" s="46" t="s">
        <v>49</v>
      </c>
    </row>
    <row r="170" spans="1:21">
      <c r="A170" s="46" t="s">
        <v>784</v>
      </c>
      <c r="B170" s="46" t="s">
        <v>215</v>
      </c>
      <c r="C170" s="46" t="s">
        <v>666</v>
      </c>
      <c r="D170" s="46">
        <v>1</v>
      </c>
      <c r="E170" s="46">
        <v>0</v>
      </c>
      <c r="F170" s="46" t="s">
        <v>694</v>
      </c>
      <c r="G170" s="46" t="s">
        <v>1305</v>
      </c>
      <c r="H170" s="46" t="s">
        <v>1662</v>
      </c>
      <c r="I170" s="46" t="str">
        <f ca="1">IFERROR(__xludf.DUMMYFUNCTION("CONCAT(A170,REGEXREPLACE(H170,"".*_L0"",""_L0""))"),"HC_BN1855_MTG_snRNAseq_rep1_L003_I1_001.fastq.gz")</f>
        <v>HC_BN1855_MTG_snRNAseq_rep1_L003_I1_001.fastq.gz</v>
      </c>
      <c r="J170" s="46" t="str">
        <f t="shared" si="0"/>
        <v>/data/neurogen/ASAP/scRNAseq/data/batch3_ASAP_snRNA-seq_*/Raw_Data_and_Processing/cellranger_processing/cellranger_fastqs/outs/fastq_path/H*/BN1855_S4_L003_I1_001.fastq.gz</v>
      </c>
      <c r="K170" s="46" t="s">
        <v>1335</v>
      </c>
      <c r="L170" s="46" t="s">
        <v>1663</v>
      </c>
      <c r="M170" s="46" t="s">
        <v>1309</v>
      </c>
      <c r="N170" s="46" t="s">
        <v>1310</v>
      </c>
      <c r="O170" s="46" t="s">
        <v>1311</v>
      </c>
      <c r="P170" s="46" t="s">
        <v>1312</v>
      </c>
      <c r="Q170" s="46" t="s">
        <v>31</v>
      </c>
      <c r="R170" s="46" t="s">
        <v>31</v>
      </c>
      <c r="S170" s="46" t="s">
        <v>31</v>
      </c>
      <c r="T170" s="46" t="s">
        <v>31</v>
      </c>
      <c r="U170" s="46" t="s">
        <v>49</v>
      </c>
    </row>
    <row r="171" spans="1:21">
      <c r="A171" s="46" t="s">
        <v>784</v>
      </c>
      <c r="B171" s="46" t="s">
        <v>215</v>
      </c>
      <c r="C171" s="46" t="s">
        <v>666</v>
      </c>
      <c r="D171" s="46">
        <v>1</v>
      </c>
      <c r="E171" s="46">
        <v>0</v>
      </c>
      <c r="F171" s="46" t="s">
        <v>694</v>
      </c>
      <c r="G171" s="46" t="s">
        <v>1305</v>
      </c>
      <c r="H171" s="46" t="s">
        <v>1664</v>
      </c>
      <c r="I171" s="46" t="str">
        <f ca="1">IFERROR(__xludf.DUMMYFUNCTION("CONCAT(A171,REGEXREPLACE(H171,"".*_L0"",""_L0""))"),"HC_BN1855_MTG_snRNAseq_rep1_L003_I2_001.fastq.gz")</f>
        <v>HC_BN1855_MTG_snRNAseq_rep1_L003_I2_001.fastq.gz</v>
      </c>
      <c r="J171" s="46" t="str">
        <f t="shared" si="0"/>
        <v>/data/neurogen/ASAP/scRNAseq/data/batch3_ASAP_snRNA-seq_*/Raw_Data_and_Processing/cellranger_processing/cellranger_fastqs/outs/fastq_path/H*/BN1855_S4_L003_I2_001.fastq.gz</v>
      </c>
      <c r="K171" s="46" t="s">
        <v>1338</v>
      </c>
      <c r="L171" s="46" t="s">
        <v>1665</v>
      </c>
      <c r="M171" s="46" t="s">
        <v>1309</v>
      </c>
      <c r="N171" s="46" t="s">
        <v>1310</v>
      </c>
      <c r="O171" s="46" t="s">
        <v>1311</v>
      </c>
      <c r="P171" s="46" t="s">
        <v>1312</v>
      </c>
      <c r="Q171" s="46" t="s">
        <v>31</v>
      </c>
      <c r="R171" s="46" t="s">
        <v>31</v>
      </c>
      <c r="S171" s="46" t="s">
        <v>31</v>
      </c>
      <c r="T171" s="46" t="s">
        <v>31</v>
      </c>
      <c r="U171" s="46" t="s">
        <v>49</v>
      </c>
    </row>
    <row r="172" spans="1:21">
      <c r="A172" s="46" t="s">
        <v>784</v>
      </c>
      <c r="B172" s="46" t="s">
        <v>215</v>
      </c>
      <c r="C172" s="46" t="s">
        <v>666</v>
      </c>
      <c r="D172" s="46">
        <v>1</v>
      </c>
      <c r="E172" s="46">
        <v>0</v>
      </c>
      <c r="F172" s="46" t="s">
        <v>694</v>
      </c>
      <c r="G172" s="46" t="s">
        <v>1305</v>
      </c>
      <c r="H172" s="46" t="s">
        <v>1666</v>
      </c>
      <c r="I172" s="46" t="str">
        <f ca="1">IFERROR(__xludf.DUMMYFUNCTION("CONCAT(A172,REGEXREPLACE(H172,"".*_L0"",""_L0""))"),"HC_BN1855_MTG_snRNAseq_rep1_L003_R1_001.fastq.gz")</f>
        <v>HC_BN1855_MTG_snRNAseq_rep1_L003_R1_001.fastq.gz</v>
      </c>
      <c r="J172" s="46" t="str">
        <f t="shared" si="0"/>
        <v>/data/neurogen/ASAP/scRNAseq/data/batch3_ASAP_snRNA-seq_*/Raw_Data_and_Processing/cellranger_processing/cellranger_fastqs/outs/fastq_path/H*/BN1855_S4_L003_R1_001.fastq.gz</v>
      </c>
      <c r="K172" s="46" t="s">
        <v>1341</v>
      </c>
      <c r="L172" s="46" t="s">
        <v>1667</v>
      </c>
      <c r="M172" s="46" t="s">
        <v>1309</v>
      </c>
      <c r="N172" s="46" t="s">
        <v>1310</v>
      </c>
      <c r="O172" s="46" t="s">
        <v>1311</v>
      </c>
      <c r="P172" s="46" t="s">
        <v>1312</v>
      </c>
      <c r="Q172" s="46" t="s">
        <v>31</v>
      </c>
      <c r="R172" s="46" t="s">
        <v>31</v>
      </c>
      <c r="S172" s="46" t="s">
        <v>31</v>
      </c>
      <c r="T172" s="46" t="s">
        <v>31</v>
      </c>
      <c r="U172" s="46" t="s">
        <v>49</v>
      </c>
    </row>
    <row r="173" spans="1:21">
      <c r="A173" s="46" t="s">
        <v>784</v>
      </c>
      <c r="B173" s="46" t="s">
        <v>215</v>
      </c>
      <c r="C173" s="46" t="s">
        <v>666</v>
      </c>
      <c r="D173" s="46">
        <v>1</v>
      </c>
      <c r="E173" s="46">
        <v>0</v>
      </c>
      <c r="F173" s="46" t="s">
        <v>694</v>
      </c>
      <c r="G173" s="46" t="s">
        <v>1305</v>
      </c>
      <c r="H173" s="46" t="s">
        <v>1668</v>
      </c>
      <c r="I173" s="46" t="str">
        <f ca="1">IFERROR(__xludf.DUMMYFUNCTION("CONCAT(A173,REGEXREPLACE(H173,"".*_L0"",""_L0""))"),"HC_BN1855_MTG_snRNAseq_rep1_L003_R2_001.fastq.gz")</f>
        <v>HC_BN1855_MTG_snRNAseq_rep1_L003_R2_001.fastq.gz</v>
      </c>
      <c r="J173" s="46" t="str">
        <f t="shared" si="0"/>
        <v>/data/neurogen/ASAP/scRNAseq/data/batch3_ASAP_snRNA-seq_*/Raw_Data_and_Processing/cellranger_processing/cellranger_fastqs/outs/fastq_path/H*/BN1855_S4_L003_R2_001.fastq.gz</v>
      </c>
      <c r="K173" s="46" t="s">
        <v>1344</v>
      </c>
      <c r="L173" s="46" t="s">
        <v>1669</v>
      </c>
      <c r="M173" s="46" t="s">
        <v>1309</v>
      </c>
      <c r="N173" s="46" t="s">
        <v>1310</v>
      </c>
      <c r="O173" s="46" t="s">
        <v>1311</v>
      </c>
      <c r="P173" s="46" t="s">
        <v>1312</v>
      </c>
      <c r="Q173" s="46" t="s">
        <v>31</v>
      </c>
      <c r="R173" s="46" t="s">
        <v>31</v>
      </c>
      <c r="S173" s="46" t="s">
        <v>31</v>
      </c>
      <c r="T173" s="46" t="s">
        <v>31</v>
      </c>
      <c r="U173" s="46" t="s">
        <v>49</v>
      </c>
    </row>
    <row r="174" spans="1:21">
      <c r="A174" s="46" t="s">
        <v>784</v>
      </c>
      <c r="B174" s="46" t="s">
        <v>215</v>
      </c>
      <c r="C174" s="46" t="s">
        <v>666</v>
      </c>
      <c r="D174" s="46">
        <v>1</v>
      </c>
      <c r="E174" s="46">
        <v>0</v>
      </c>
      <c r="F174" s="46" t="s">
        <v>694</v>
      </c>
      <c r="G174" s="46" t="s">
        <v>1305</v>
      </c>
      <c r="H174" s="46" t="s">
        <v>1670</v>
      </c>
      <c r="I174" s="46" t="str">
        <f ca="1">IFERROR(__xludf.DUMMYFUNCTION("CONCAT(A174,REGEXREPLACE(H174,"".*_L0"",""_L0""))"),"HC_BN1855_MTG_snRNAseq_rep1_L004_I1_001.fastq.gz")</f>
        <v>HC_BN1855_MTG_snRNAseq_rep1_L004_I1_001.fastq.gz</v>
      </c>
      <c r="J174" s="46" t="str">
        <f t="shared" si="0"/>
        <v>/data/neurogen/ASAP/scRNAseq/data/batch3_ASAP_snRNA-seq_*/Raw_Data_and_Processing/cellranger_processing/cellranger_fastqs/outs/fastq_path/H*/BN1855_S4_L004_I1_001.fastq.gz</v>
      </c>
      <c r="K174" s="46" t="s">
        <v>1347</v>
      </c>
      <c r="L174" s="46" t="s">
        <v>1671</v>
      </c>
      <c r="M174" s="46" t="s">
        <v>1309</v>
      </c>
      <c r="N174" s="46" t="s">
        <v>1310</v>
      </c>
      <c r="O174" s="46" t="s">
        <v>1311</v>
      </c>
      <c r="P174" s="46" t="s">
        <v>1312</v>
      </c>
      <c r="Q174" s="46" t="s">
        <v>31</v>
      </c>
      <c r="R174" s="46" t="s">
        <v>31</v>
      </c>
      <c r="S174" s="46" t="s">
        <v>31</v>
      </c>
      <c r="T174" s="46" t="s">
        <v>31</v>
      </c>
      <c r="U174" s="46" t="s">
        <v>49</v>
      </c>
    </row>
    <row r="175" spans="1:21">
      <c r="A175" s="46" t="s">
        <v>784</v>
      </c>
      <c r="B175" s="46" t="s">
        <v>215</v>
      </c>
      <c r="C175" s="46" t="s">
        <v>666</v>
      </c>
      <c r="D175" s="46">
        <v>1</v>
      </c>
      <c r="E175" s="46">
        <v>0</v>
      </c>
      <c r="F175" s="46" t="s">
        <v>694</v>
      </c>
      <c r="G175" s="46" t="s">
        <v>1305</v>
      </c>
      <c r="H175" s="46" t="s">
        <v>1672</v>
      </c>
      <c r="I175" s="46" t="str">
        <f ca="1">IFERROR(__xludf.DUMMYFUNCTION("CONCAT(A175,REGEXREPLACE(H175,"".*_L0"",""_L0""))"),"HC_BN1855_MTG_snRNAseq_rep1_L004_I2_001.fastq.gz")</f>
        <v>HC_BN1855_MTG_snRNAseq_rep1_L004_I2_001.fastq.gz</v>
      </c>
      <c r="J175" s="46" t="str">
        <f t="shared" si="0"/>
        <v>/data/neurogen/ASAP/scRNAseq/data/batch3_ASAP_snRNA-seq_*/Raw_Data_and_Processing/cellranger_processing/cellranger_fastqs/outs/fastq_path/H*/BN1855_S4_L004_I2_001.fastq.gz</v>
      </c>
      <c r="K175" s="46" t="s">
        <v>1350</v>
      </c>
      <c r="L175" s="46" t="s">
        <v>1673</v>
      </c>
      <c r="M175" s="46" t="s">
        <v>1309</v>
      </c>
      <c r="N175" s="46" t="s">
        <v>1310</v>
      </c>
      <c r="O175" s="46" t="s">
        <v>1311</v>
      </c>
      <c r="P175" s="46" t="s">
        <v>1312</v>
      </c>
      <c r="Q175" s="46" t="s">
        <v>31</v>
      </c>
      <c r="R175" s="46" t="s">
        <v>31</v>
      </c>
      <c r="S175" s="46" t="s">
        <v>31</v>
      </c>
      <c r="T175" s="46" t="s">
        <v>31</v>
      </c>
      <c r="U175" s="46" t="s">
        <v>49</v>
      </c>
    </row>
    <row r="176" spans="1:21">
      <c r="A176" s="46" t="s">
        <v>784</v>
      </c>
      <c r="B176" s="46" t="s">
        <v>215</v>
      </c>
      <c r="C176" s="46" t="s">
        <v>666</v>
      </c>
      <c r="D176" s="46">
        <v>1</v>
      </c>
      <c r="E176" s="46">
        <v>0</v>
      </c>
      <c r="F176" s="46" t="s">
        <v>694</v>
      </c>
      <c r="G176" s="46" t="s">
        <v>1305</v>
      </c>
      <c r="H176" s="46" t="s">
        <v>1674</v>
      </c>
      <c r="I176" s="46" t="str">
        <f ca="1">IFERROR(__xludf.DUMMYFUNCTION("CONCAT(A176,REGEXREPLACE(H176,"".*_L0"",""_L0""))"),"HC_BN1855_MTG_snRNAseq_rep1_L004_R1_001.fastq.gz")</f>
        <v>HC_BN1855_MTG_snRNAseq_rep1_L004_R1_001.fastq.gz</v>
      </c>
      <c r="J176" s="46" t="str">
        <f t="shared" si="0"/>
        <v>/data/neurogen/ASAP/scRNAseq/data/batch3_ASAP_snRNA-seq_*/Raw_Data_and_Processing/cellranger_processing/cellranger_fastqs/outs/fastq_path/H*/BN1855_S4_L004_R1_001.fastq.gz</v>
      </c>
      <c r="K176" s="46" t="s">
        <v>1353</v>
      </c>
      <c r="L176" s="46" t="s">
        <v>1675</v>
      </c>
      <c r="M176" s="46" t="s">
        <v>1309</v>
      </c>
      <c r="N176" s="46" t="s">
        <v>1310</v>
      </c>
      <c r="O176" s="46" t="s">
        <v>1311</v>
      </c>
      <c r="P176" s="46" t="s">
        <v>1312</v>
      </c>
      <c r="Q176" s="46" t="s">
        <v>31</v>
      </c>
      <c r="R176" s="46" t="s">
        <v>31</v>
      </c>
      <c r="S176" s="46" t="s">
        <v>31</v>
      </c>
      <c r="T176" s="46" t="s">
        <v>31</v>
      </c>
      <c r="U176" s="46" t="s">
        <v>49</v>
      </c>
    </row>
    <row r="177" spans="1:21">
      <c r="A177" s="46" t="s">
        <v>784</v>
      </c>
      <c r="B177" s="46" t="s">
        <v>215</v>
      </c>
      <c r="C177" s="46" t="s">
        <v>666</v>
      </c>
      <c r="D177" s="46">
        <v>1</v>
      </c>
      <c r="E177" s="46">
        <v>0</v>
      </c>
      <c r="F177" s="46" t="s">
        <v>694</v>
      </c>
      <c r="G177" s="46" t="s">
        <v>1305</v>
      </c>
      <c r="H177" s="46" t="s">
        <v>1676</v>
      </c>
      <c r="I177" s="46" t="str">
        <f ca="1">IFERROR(__xludf.DUMMYFUNCTION("CONCAT(A177,REGEXREPLACE(H177,"".*_L0"",""_L0""))"),"HC_BN1855_MTG_snRNAseq_rep1_L004_R2_001.fastq.gz")</f>
        <v>HC_BN1855_MTG_snRNAseq_rep1_L004_R2_001.fastq.gz</v>
      </c>
      <c r="J177" s="46" t="str">
        <f t="shared" si="0"/>
        <v>/data/neurogen/ASAP/scRNAseq/data/batch3_ASAP_snRNA-seq_*/Raw_Data_and_Processing/cellranger_processing/cellranger_fastqs/outs/fastq_path/H*/BN1855_S4_L004_R2_001.fastq.gz</v>
      </c>
      <c r="K177" s="46" t="s">
        <v>1356</v>
      </c>
      <c r="L177" s="46" t="s">
        <v>1677</v>
      </c>
      <c r="M177" s="46" t="s">
        <v>1309</v>
      </c>
      <c r="N177" s="46" t="s">
        <v>1310</v>
      </c>
      <c r="O177" s="46" t="s">
        <v>1311</v>
      </c>
      <c r="P177" s="46" t="s">
        <v>1312</v>
      </c>
      <c r="Q177" s="46" t="s">
        <v>31</v>
      </c>
      <c r="R177" s="46" t="s">
        <v>31</v>
      </c>
      <c r="S177" s="46" t="s">
        <v>31</v>
      </c>
      <c r="T177" s="46" t="s">
        <v>31</v>
      </c>
      <c r="U177" s="46" t="s">
        <v>49</v>
      </c>
    </row>
    <row r="178" spans="1:21">
      <c r="A178" s="46" t="s">
        <v>691</v>
      </c>
      <c r="B178" s="46" t="s">
        <v>87</v>
      </c>
      <c r="C178" s="46" t="s">
        <v>666</v>
      </c>
      <c r="D178" s="46">
        <v>1</v>
      </c>
      <c r="E178" s="46">
        <v>0</v>
      </c>
      <c r="F178" s="46" t="s">
        <v>692</v>
      </c>
      <c r="G178" s="46" t="s">
        <v>1305</v>
      </c>
      <c r="H178" s="46" t="s">
        <v>1678</v>
      </c>
      <c r="I178" s="46" t="str">
        <f ca="1">IFERROR(__xludf.DUMMYFUNCTION("CONCAT(A178,REGEXREPLACE(H178,"".*_L0"",""_L0""))"),"HC_BN0536_MTG_snRNAseq_rep1_L001_I1_001.fastq.gz")</f>
        <v>HC_BN0536_MTG_snRNAseq_rep1_L001_I1_001.fastq.gz</v>
      </c>
      <c r="J178" s="46" t="str">
        <f t="shared" si="0"/>
        <v>/data/neurogen/ASAP/scRNAseq/data/batch4_ASAP_snRNA-seq_*/Raw_Data_and_Processing/cellranger_processing/cellranger_fastqs/outs/fastq_path/H*/BN0536_S3_L001_I1_001.fastq.gz</v>
      </c>
      <c r="K178" s="46" t="s">
        <v>1307</v>
      </c>
      <c r="L178" s="46" t="s">
        <v>1679</v>
      </c>
      <c r="M178" s="46" t="s">
        <v>1309</v>
      </c>
      <c r="N178" s="46" t="s">
        <v>1310</v>
      </c>
      <c r="O178" s="46" t="s">
        <v>1311</v>
      </c>
      <c r="P178" s="46" t="s">
        <v>1312</v>
      </c>
      <c r="Q178" s="46" t="s">
        <v>31</v>
      </c>
      <c r="R178" s="46" t="s">
        <v>31</v>
      </c>
      <c r="S178" s="46" t="s">
        <v>31</v>
      </c>
      <c r="T178" s="46" t="s">
        <v>31</v>
      </c>
      <c r="U178" s="46" t="s">
        <v>49</v>
      </c>
    </row>
    <row r="179" spans="1:21">
      <c r="A179" s="46" t="s">
        <v>691</v>
      </c>
      <c r="B179" s="46" t="s">
        <v>87</v>
      </c>
      <c r="C179" s="46" t="s">
        <v>666</v>
      </c>
      <c r="D179" s="46">
        <v>1</v>
      </c>
      <c r="E179" s="46">
        <v>0</v>
      </c>
      <c r="F179" s="46" t="s">
        <v>692</v>
      </c>
      <c r="G179" s="46" t="s">
        <v>1305</v>
      </c>
      <c r="H179" s="46" t="s">
        <v>1680</v>
      </c>
      <c r="I179" s="46" t="str">
        <f ca="1">IFERROR(__xludf.DUMMYFUNCTION("CONCAT(A179,REGEXREPLACE(H179,"".*_L0"",""_L0""))"),"HC_BN0536_MTG_snRNAseq_rep1_L001_I2_001.fastq.gz")</f>
        <v>HC_BN0536_MTG_snRNAseq_rep1_L001_I2_001.fastq.gz</v>
      </c>
      <c r="J179" s="46" t="str">
        <f t="shared" si="0"/>
        <v>/data/neurogen/ASAP/scRNAseq/data/batch4_ASAP_snRNA-seq_*/Raw_Data_and_Processing/cellranger_processing/cellranger_fastqs/outs/fastq_path/H*/BN0536_S3_L001_I2_001.fastq.gz</v>
      </c>
      <c r="K179" s="46" t="s">
        <v>1314</v>
      </c>
      <c r="L179" s="46" t="s">
        <v>1681</v>
      </c>
      <c r="M179" s="46" t="s">
        <v>1309</v>
      </c>
      <c r="N179" s="46" t="s">
        <v>1310</v>
      </c>
      <c r="O179" s="46" t="s">
        <v>1311</v>
      </c>
      <c r="P179" s="46" t="s">
        <v>1312</v>
      </c>
      <c r="Q179" s="46" t="s">
        <v>31</v>
      </c>
      <c r="R179" s="46" t="s">
        <v>31</v>
      </c>
      <c r="S179" s="46" t="s">
        <v>31</v>
      </c>
      <c r="T179" s="46" t="s">
        <v>31</v>
      </c>
      <c r="U179" s="46" t="s">
        <v>49</v>
      </c>
    </row>
    <row r="180" spans="1:21">
      <c r="A180" s="46" t="s">
        <v>691</v>
      </c>
      <c r="B180" s="46" t="s">
        <v>87</v>
      </c>
      <c r="C180" s="46" t="s">
        <v>666</v>
      </c>
      <c r="D180" s="46">
        <v>1</v>
      </c>
      <c r="E180" s="46">
        <v>0</v>
      </c>
      <c r="F180" s="46" t="s">
        <v>692</v>
      </c>
      <c r="G180" s="46" t="s">
        <v>1305</v>
      </c>
      <c r="H180" s="46" t="s">
        <v>1682</v>
      </c>
      <c r="I180" s="46" t="str">
        <f ca="1">IFERROR(__xludf.DUMMYFUNCTION("CONCAT(A180,REGEXREPLACE(H180,"".*_L0"",""_L0""))"),"HC_BN0536_MTG_snRNAseq_rep1_L001_R1_001.fastq.gz")</f>
        <v>HC_BN0536_MTG_snRNAseq_rep1_L001_R1_001.fastq.gz</v>
      </c>
      <c r="J180" s="46" t="str">
        <f t="shared" si="0"/>
        <v>/data/neurogen/ASAP/scRNAseq/data/batch4_ASAP_snRNA-seq_*/Raw_Data_and_Processing/cellranger_processing/cellranger_fastqs/outs/fastq_path/H*/BN0536_S3_L001_R1_001.fastq.gz</v>
      </c>
      <c r="K180" s="46" t="s">
        <v>1317</v>
      </c>
      <c r="L180" s="46" t="s">
        <v>1683</v>
      </c>
      <c r="M180" s="46" t="s">
        <v>1309</v>
      </c>
      <c r="N180" s="46" t="s">
        <v>1310</v>
      </c>
      <c r="O180" s="46" t="s">
        <v>1311</v>
      </c>
      <c r="P180" s="46" t="s">
        <v>1312</v>
      </c>
      <c r="Q180" s="46" t="s">
        <v>31</v>
      </c>
      <c r="R180" s="46" t="s">
        <v>31</v>
      </c>
      <c r="S180" s="46" t="s">
        <v>31</v>
      </c>
      <c r="T180" s="46" t="s">
        <v>31</v>
      </c>
      <c r="U180" s="46" t="s">
        <v>49</v>
      </c>
    </row>
    <row r="181" spans="1:21">
      <c r="A181" s="46" t="s">
        <v>691</v>
      </c>
      <c r="B181" s="46" t="s">
        <v>87</v>
      </c>
      <c r="C181" s="46" t="s">
        <v>666</v>
      </c>
      <c r="D181" s="46">
        <v>1</v>
      </c>
      <c r="E181" s="46">
        <v>0</v>
      </c>
      <c r="F181" s="46" t="s">
        <v>692</v>
      </c>
      <c r="G181" s="46" t="s">
        <v>1305</v>
      </c>
      <c r="H181" s="46" t="s">
        <v>1684</v>
      </c>
      <c r="I181" s="46" t="str">
        <f ca="1">IFERROR(__xludf.DUMMYFUNCTION("CONCAT(A181,REGEXREPLACE(H181,"".*_L0"",""_L0""))"),"HC_BN0536_MTG_snRNAseq_rep1_L001_R2_001.fastq.gz")</f>
        <v>HC_BN0536_MTG_snRNAseq_rep1_L001_R2_001.fastq.gz</v>
      </c>
      <c r="J181" s="46" t="str">
        <f t="shared" si="0"/>
        <v>/data/neurogen/ASAP/scRNAseq/data/batch4_ASAP_snRNA-seq_*/Raw_Data_and_Processing/cellranger_processing/cellranger_fastqs/outs/fastq_path/H*/BN0536_S3_L001_R2_001.fastq.gz</v>
      </c>
      <c r="K181" s="46" t="s">
        <v>1320</v>
      </c>
      <c r="L181" s="46" t="s">
        <v>1685</v>
      </c>
      <c r="M181" s="46" t="s">
        <v>1309</v>
      </c>
      <c r="N181" s="46" t="s">
        <v>1310</v>
      </c>
      <c r="O181" s="46" t="s">
        <v>1311</v>
      </c>
      <c r="P181" s="46" t="s">
        <v>1312</v>
      </c>
      <c r="Q181" s="46" t="s">
        <v>31</v>
      </c>
      <c r="R181" s="46" t="s">
        <v>31</v>
      </c>
      <c r="S181" s="46" t="s">
        <v>31</v>
      </c>
      <c r="T181" s="46" t="s">
        <v>31</v>
      </c>
      <c r="U181" s="46" t="s">
        <v>49</v>
      </c>
    </row>
    <row r="182" spans="1:21">
      <c r="A182" s="46" t="s">
        <v>691</v>
      </c>
      <c r="B182" s="46" t="s">
        <v>87</v>
      </c>
      <c r="C182" s="46" t="s">
        <v>666</v>
      </c>
      <c r="D182" s="46">
        <v>1</v>
      </c>
      <c r="E182" s="46">
        <v>0</v>
      </c>
      <c r="F182" s="46" t="s">
        <v>692</v>
      </c>
      <c r="G182" s="46" t="s">
        <v>1305</v>
      </c>
      <c r="H182" s="46" t="s">
        <v>1686</v>
      </c>
      <c r="I182" s="46" t="str">
        <f ca="1">IFERROR(__xludf.DUMMYFUNCTION("CONCAT(A182,REGEXREPLACE(H182,"".*_L0"",""_L0""))"),"HC_BN0536_MTG_snRNAseq_rep1_L002_I1_001.fastq.gz")</f>
        <v>HC_BN0536_MTG_snRNAseq_rep1_L002_I1_001.fastq.gz</v>
      </c>
      <c r="J182" s="46" t="str">
        <f t="shared" si="0"/>
        <v>/data/neurogen/ASAP/scRNAseq/data/batch4_ASAP_snRNA-seq_*/Raw_Data_and_Processing/cellranger_processing/cellranger_fastqs/outs/fastq_path/H*/BN0536_S3_L002_I1_001.fastq.gz</v>
      </c>
      <c r="K182" s="46" t="s">
        <v>1323</v>
      </c>
      <c r="L182" s="46" t="s">
        <v>1687</v>
      </c>
      <c r="M182" s="46" t="s">
        <v>1309</v>
      </c>
      <c r="N182" s="46" t="s">
        <v>1310</v>
      </c>
      <c r="O182" s="46" t="s">
        <v>1311</v>
      </c>
      <c r="P182" s="46" t="s">
        <v>1312</v>
      </c>
      <c r="Q182" s="46" t="s">
        <v>31</v>
      </c>
      <c r="R182" s="46" t="s">
        <v>31</v>
      </c>
      <c r="S182" s="46" t="s">
        <v>31</v>
      </c>
      <c r="T182" s="46" t="s">
        <v>31</v>
      </c>
      <c r="U182" s="46" t="s">
        <v>49</v>
      </c>
    </row>
    <row r="183" spans="1:21">
      <c r="A183" s="46" t="s">
        <v>691</v>
      </c>
      <c r="B183" s="46" t="s">
        <v>87</v>
      </c>
      <c r="C183" s="46" t="s">
        <v>666</v>
      </c>
      <c r="D183" s="46">
        <v>1</v>
      </c>
      <c r="E183" s="46">
        <v>0</v>
      </c>
      <c r="F183" s="46" t="s">
        <v>692</v>
      </c>
      <c r="G183" s="46" t="s">
        <v>1305</v>
      </c>
      <c r="H183" s="46" t="s">
        <v>1688</v>
      </c>
      <c r="I183" s="46" t="str">
        <f ca="1">IFERROR(__xludf.DUMMYFUNCTION("CONCAT(A183,REGEXREPLACE(H183,"".*_L0"",""_L0""))"),"HC_BN0536_MTG_snRNAseq_rep1_L002_I2_001.fastq.gz")</f>
        <v>HC_BN0536_MTG_snRNAseq_rep1_L002_I2_001.fastq.gz</v>
      </c>
      <c r="J183" s="46" t="str">
        <f t="shared" si="0"/>
        <v>/data/neurogen/ASAP/scRNAseq/data/batch4_ASAP_snRNA-seq_*/Raw_Data_and_Processing/cellranger_processing/cellranger_fastqs/outs/fastq_path/H*/BN0536_S3_L002_I2_001.fastq.gz</v>
      </c>
      <c r="K183" s="46" t="s">
        <v>1326</v>
      </c>
      <c r="L183" s="46" t="s">
        <v>1689</v>
      </c>
      <c r="M183" s="46" t="s">
        <v>1309</v>
      </c>
      <c r="N183" s="46" t="s">
        <v>1310</v>
      </c>
      <c r="O183" s="46" t="s">
        <v>1311</v>
      </c>
      <c r="P183" s="46" t="s">
        <v>1312</v>
      </c>
      <c r="Q183" s="46" t="s">
        <v>31</v>
      </c>
      <c r="R183" s="46" t="s">
        <v>31</v>
      </c>
      <c r="S183" s="46" t="s">
        <v>31</v>
      </c>
      <c r="T183" s="46" t="s">
        <v>31</v>
      </c>
      <c r="U183" s="46" t="s">
        <v>49</v>
      </c>
    </row>
    <row r="184" spans="1:21">
      <c r="A184" s="46" t="s">
        <v>691</v>
      </c>
      <c r="B184" s="46" t="s">
        <v>87</v>
      </c>
      <c r="C184" s="46" t="s">
        <v>666</v>
      </c>
      <c r="D184" s="46">
        <v>1</v>
      </c>
      <c r="E184" s="46">
        <v>0</v>
      </c>
      <c r="F184" s="46" t="s">
        <v>692</v>
      </c>
      <c r="G184" s="46" t="s">
        <v>1305</v>
      </c>
      <c r="H184" s="46" t="s">
        <v>1690</v>
      </c>
      <c r="I184" s="46" t="str">
        <f ca="1">IFERROR(__xludf.DUMMYFUNCTION("CONCAT(A184,REGEXREPLACE(H184,"".*_L0"",""_L0""))"),"HC_BN0536_MTG_snRNAseq_rep1_L002_R1_001.fastq.gz")</f>
        <v>HC_BN0536_MTG_snRNAseq_rep1_L002_R1_001.fastq.gz</v>
      </c>
      <c r="J184" s="46" t="str">
        <f t="shared" si="0"/>
        <v>/data/neurogen/ASAP/scRNAseq/data/batch4_ASAP_snRNA-seq_*/Raw_Data_and_Processing/cellranger_processing/cellranger_fastqs/outs/fastq_path/H*/BN0536_S3_L002_R1_001.fastq.gz</v>
      </c>
      <c r="K184" s="46" t="s">
        <v>1329</v>
      </c>
      <c r="L184" s="46" t="s">
        <v>1691</v>
      </c>
      <c r="M184" s="46" t="s">
        <v>1309</v>
      </c>
      <c r="N184" s="46" t="s">
        <v>1310</v>
      </c>
      <c r="O184" s="46" t="s">
        <v>1311</v>
      </c>
      <c r="P184" s="46" t="s">
        <v>1312</v>
      </c>
      <c r="Q184" s="46" t="s">
        <v>31</v>
      </c>
      <c r="R184" s="46" t="s">
        <v>31</v>
      </c>
      <c r="S184" s="46" t="s">
        <v>31</v>
      </c>
      <c r="T184" s="46" t="s">
        <v>31</v>
      </c>
      <c r="U184" s="46" t="s">
        <v>49</v>
      </c>
    </row>
    <row r="185" spans="1:21">
      <c r="A185" s="46" t="s">
        <v>691</v>
      </c>
      <c r="B185" s="46" t="s">
        <v>87</v>
      </c>
      <c r="C185" s="46" t="s">
        <v>666</v>
      </c>
      <c r="D185" s="46">
        <v>1</v>
      </c>
      <c r="E185" s="46">
        <v>0</v>
      </c>
      <c r="F185" s="46" t="s">
        <v>692</v>
      </c>
      <c r="G185" s="46" t="s">
        <v>1305</v>
      </c>
      <c r="H185" s="46" t="s">
        <v>1692</v>
      </c>
      <c r="I185" s="46" t="str">
        <f ca="1">IFERROR(__xludf.DUMMYFUNCTION("CONCAT(A185,REGEXREPLACE(H185,"".*_L0"",""_L0""))"),"HC_BN0536_MTG_snRNAseq_rep1_L002_R2_001.fastq.gz")</f>
        <v>HC_BN0536_MTG_snRNAseq_rep1_L002_R2_001.fastq.gz</v>
      </c>
      <c r="J185" s="46" t="str">
        <f t="shared" si="0"/>
        <v>/data/neurogen/ASAP/scRNAseq/data/batch4_ASAP_snRNA-seq_*/Raw_Data_and_Processing/cellranger_processing/cellranger_fastqs/outs/fastq_path/H*/BN0536_S3_L002_R2_001.fastq.gz</v>
      </c>
      <c r="K185" s="46" t="s">
        <v>1332</v>
      </c>
      <c r="L185" s="46" t="s">
        <v>1693</v>
      </c>
      <c r="M185" s="46" t="s">
        <v>1309</v>
      </c>
      <c r="N185" s="46" t="s">
        <v>1310</v>
      </c>
      <c r="O185" s="46" t="s">
        <v>1311</v>
      </c>
      <c r="P185" s="46" t="s">
        <v>1312</v>
      </c>
      <c r="Q185" s="46" t="s">
        <v>31</v>
      </c>
      <c r="R185" s="46" t="s">
        <v>31</v>
      </c>
      <c r="S185" s="46" t="s">
        <v>31</v>
      </c>
      <c r="T185" s="46" t="s">
        <v>31</v>
      </c>
      <c r="U185" s="46" t="s">
        <v>49</v>
      </c>
    </row>
    <row r="186" spans="1:21">
      <c r="A186" s="46" t="s">
        <v>691</v>
      </c>
      <c r="B186" s="46" t="s">
        <v>87</v>
      </c>
      <c r="C186" s="46" t="s">
        <v>666</v>
      </c>
      <c r="D186" s="46">
        <v>1</v>
      </c>
      <c r="E186" s="46">
        <v>0</v>
      </c>
      <c r="F186" s="46" t="s">
        <v>692</v>
      </c>
      <c r="G186" s="46" t="s">
        <v>1305</v>
      </c>
      <c r="H186" s="46" t="s">
        <v>1694</v>
      </c>
      <c r="I186" s="46" t="str">
        <f ca="1">IFERROR(__xludf.DUMMYFUNCTION("CONCAT(A186,REGEXREPLACE(H186,"".*_L0"",""_L0""))"),"HC_BN0536_MTG_snRNAseq_rep1_L003_I1_001.fastq.gz")</f>
        <v>HC_BN0536_MTG_snRNAseq_rep1_L003_I1_001.fastq.gz</v>
      </c>
      <c r="J186" s="46" t="str">
        <f t="shared" si="0"/>
        <v>/data/neurogen/ASAP/scRNAseq/data/batch4_ASAP_snRNA-seq_*/Raw_Data_and_Processing/cellranger_processing/cellranger_fastqs/outs/fastq_path/H*/BN0536_S3_L003_I1_001.fastq.gz</v>
      </c>
      <c r="K186" s="46" t="s">
        <v>1335</v>
      </c>
      <c r="L186" s="46" t="s">
        <v>1695</v>
      </c>
      <c r="M186" s="46" t="s">
        <v>1309</v>
      </c>
      <c r="N186" s="46" t="s">
        <v>1310</v>
      </c>
      <c r="O186" s="46" t="s">
        <v>1311</v>
      </c>
      <c r="P186" s="46" t="s">
        <v>1312</v>
      </c>
      <c r="Q186" s="46" t="s">
        <v>31</v>
      </c>
      <c r="R186" s="46" t="s">
        <v>31</v>
      </c>
      <c r="S186" s="46" t="s">
        <v>31</v>
      </c>
      <c r="T186" s="46" t="s">
        <v>31</v>
      </c>
      <c r="U186" s="46" t="s">
        <v>49</v>
      </c>
    </row>
    <row r="187" spans="1:21">
      <c r="A187" s="46" t="s">
        <v>691</v>
      </c>
      <c r="B187" s="46" t="s">
        <v>87</v>
      </c>
      <c r="C187" s="46" t="s">
        <v>666</v>
      </c>
      <c r="D187" s="46">
        <v>1</v>
      </c>
      <c r="E187" s="46">
        <v>0</v>
      </c>
      <c r="F187" s="46" t="s">
        <v>692</v>
      </c>
      <c r="G187" s="46" t="s">
        <v>1305</v>
      </c>
      <c r="H187" s="46" t="s">
        <v>1696</v>
      </c>
      <c r="I187" s="46" t="str">
        <f ca="1">IFERROR(__xludf.DUMMYFUNCTION("CONCAT(A187,REGEXREPLACE(H187,"".*_L0"",""_L0""))"),"HC_BN0536_MTG_snRNAseq_rep1_L003_I2_001.fastq.gz")</f>
        <v>HC_BN0536_MTG_snRNAseq_rep1_L003_I2_001.fastq.gz</v>
      </c>
      <c r="J187" s="46" t="str">
        <f t="shared" si="0"/>
        <v>/data/neurogen/ASAP/scRNAseq/data/batch4_ASAP_snRNA-seq_*/Raw_Data_and_Processing/cellranger_processing/cellranger_fastqs/outs/fastq_path/H*/BN0536_S3_L003_I2_001.fastq.gz</v>
      </c>
      <c r="K187" s="46" t="s">
        <v>1338</v>
      </c>
      <c r="L187" s="46" t="s">
        <v>1697</v>
      </c>
      <c r="M187" s="46" t="s">
        <v>1309</v>
      </c>
      <c r="N187" s="46" t="s">
        <v>1310</v>
      </c>
      <c r="O187" s="46" t="s">
        <v>1311</v>
      </c>
      <c r="P187" s="46" t="s">
        <v>1312</v>
      </c>
      <c r="Q187" s="46" t="s">
        <v>31</v>
      </c>
      <c r="R187" s="46" t="s">
        <v>31</v>
      </c>
      <c r="S187" s="46" t="s">
        <v>31</v>
      </c>
      <c r="T187" s="46" t="s">
        <v>31</v>
      </c>
      <c r="U187" s="46" t="s">
        <v>49</v>
      </c>
    </row>
    <row r="188" spans="1:21">
      <c r="A188" s="46" t="s">
        <v>691</v>
      </c>
      <c r="B188" s="46" t="s">
        <v>87</v>
      </c>
      <c r="C188" s="46" t="s">
        <v>666</v>
      </c>
      <c r="D188" s="46">
        <v>1</v>
      </c>
      <c r="E188" s="46">
        <v>0</v>
      </c>
      <c r="F188" s="46" t="s">
        <v>692</v>
      </c>
      <c r="G188" s="46" t="s">
        <v>1305</v>
      </c>
      <c r="H188" s="46" t="s">
        <v>1698</v>
      </c>
      <c r="I188" s="46" t="str">
        <f ca="1">IFERROR(__xludf.DUMMYFUNCTION("CONCAT(A188,REGEXREPLACE(H188,"".*_L0"",""_L0""))"),"HC_BN0536_MTG_snRNAseq_rep1_L003_R1_001.fastq.gz")</f>
        <v>HC_BN0536_MTG_snRNAseq_rep1_L003_R1_001.fastq.gz</v>
      </c>
      <c r="J188" s="46" t="str">
        <f t="shared" si="0"/>
        <v>/data/neurogen/ASAP/scRNAseq/data/batch4_ASAP_snRNA-seq_*/Raw_Data_and_Processing/cellranger_processing/cellranger_fastqs/outs/fastq_path/H*/BN0536_S3_L003_R1_001.fastq.gz</v>
      </c>
      <c r="K188" s="46" t="s">
        <v>1341</v>
      </c>
      <c r="L188" s="46" t="s">
        <v>1699</v>
      </c>
      <c r="M188" s="46" t="s">
        <v>1309</v>
      </c>
      <c r="N188" s="46" t="s">
        <v>1310</v>
      </c>
      <c r="O188" s="46" t="s">
        <v>1311</v>
      </c>
      <c r="P188" s="46" t="s">
        <v>1312</v>
      </c>
      <c r="Q188" s="46" t="s">
        <v>31</v>
      </c>
      <c r="R188" s="46" t="s">
        <v>31</v>
      </c>
      <c r="S188" s="46" t="s">
        <v>31</v>
      </c>
      <c r="T188" s="46" t="s">
        <v>31</v>
      </c>
      <c r="U188" s="46" t="s">
        <v>49</v>
      </c>
    </row>
    <row r="189" spans="1:21">
      <c r="A189" s="46" t="s">
        <v>691</v>
      </c>
      <c r="B189" s="46" t="s">
        <v>87</v>
      </c>
      <c r="C189" s="46" t="s">
        <v>666</v>
      </c>
      <c r="D189" s="46">
        <v>1</v>
      </c>
      <c r="E189" s="46">
        <v>0</v>
      </c>
      <c r="F189" s="46" t="s">
        <v>692</v>
      </c>
      <c r="G189" s="46" t="s">
        <v>1305</v>
      </c>
      <c r="H189" s="46" t="s">
        <v>1700</v>
      </c>
      <c r="I189" s="46" t="str">
        <f ca="1">IFERROR(__xludf.DUMMYFUNCTION("CONCAT(A189,REGEXREPLACE(H189,"".*_L0"",""_L0""))"),"HC_BN0536_MTG_snRNAseq_rep1_L003_R2_001.fastq.gz")</f>
        <v>HC_BN0536_MTG_snRNAseq_rep1_L003_R2_001.fastq.gz</v>
      </c>
      <c r="J189" s="46" t="str">
        <f t="shared" si="0"/>
        <v>/data/neurogen/ASAP/scRNAseq/data/batch4_ASAP_snRNA-seq_*/Raw_Data_and_Processing/cellranger_processing/cellranger_fastqs/outs/fastq_path/H*/BN0536_S3_L003_R2_001.fastq.gz</v>
      </c>
      <c r="K189" s="46" t="s">
        <v>1344</v>
      </c>
      <c r="L189" s="46" t="s">
        <v>1701</v>
      </c>
      <c r="M189" s="46" t="s">
        <v>1309</v>
      </c>
      <c r="N189" s="46" t="s">
        <v>1310</v>
      </c>
      <c r="O189" s="46" t="s">
        <v>1311</v>
      </c>
      <c r="P189" s="46" t="s">
        <v>1312</v>
      </c>
      <c r="Q189" s="46" t="s">
        <v>31</v>
      </c>
      <c r="R189" s="46" t="s">
        <v>31</v>
      </c>
      <c r="S189" s="46" t="s">
        <v>31</v>
      </c>
      <c r="T189" s="46" t="s">
        <v>31</v>
      </c>
      <c r="U189" s="46" t="s">
        <v>49</v>
      </c>
    </row>
    <row r="190" spans="1:21">
      <c r="A190" s="46" t="s">
        <v>691</v>
      </c>
      <c r="B190" s="46" t="s">
        <v>87</v>
      </c>
      <c r="C190" s="46" t="s">
        <v>666</v>
      </c>
      <c r="D190" s="46">
        <v>1</v>
      </c>
      <c r="E190" s="46">
        <v>0</v>
      </c>
      <c r="F190" s="46" t="s">
        <v>692</v>
      </c>
      <c r="G190" s="46" t="s">
        <v>1305</v>
      </c>
      <c r="H190" s="46" t="s">
        <v>1702</v>
      </c>
      <c r="I190" s="46" t="str">
        <f ca="1">IFERROR(__xludf.DUMMYFUNCTION("CONCAT(A190,REGEXREPLACE(H190,"".*_L0"",""_L0""))"),"HC_BN0536_MTG_snRNAseq_rep1_L004_I1_001.fastq.gz")</f>
        <v>HC_BN0536_MTG_snRNAseq_rep1_L004_I1_001.fastq.gz</v>
      </c>
      <c r="J190" s="46" t="str">
        <f t="shared" si="0"/>
        <v>/data/neurogen/ASAP/scRNAseq/data/batch4_ASAP_snRNA-seq_*/Raw_Data_and_Processing/cellranger_processing/cellranger_fastqs/outs/fastq_path/H*/BN0536_S3_L004_I1_001.fastq.gz</v>
      </c>
      <c r="K190" s="46" t="s">
        <v>1347</v>
      </c>
      <c r="L190" s="46" t="s">
        <v>1703</v>
      </c>
      <c r="M190" s="46" t="s">
        <v>1309</v>
      </c>
      <c r="N190" s="46" t="s">
        <v>1310</v>
      </c>
      <c r="O190" s="46" t="s">
        <v>1311</v>
      </c>
      <c r="P190" s="46" t="s">
        <v>1312</v>
      </c>
      <c r="Q190" s="46" t="s">
        <v>31</v>
      </c>
      <c r="R190" s="46" t="s">
        <v>31</v>
      </c>
      <c r="S190" s="46" t="s">
        <v>31</v>
      </c>
      <c r="T190" s="46" t="s">
        <v>31</v>
      </c>
      <c r="U190" s="46" t="s">
        <v>49</v>
      </c>
    </row>
    <row r="191" spans="1:21">
      <c r="A191" s="46" t="s">
        <v>691</v>
      </c>
      <c r="B191" s="46" t="s">
        <v>87</v>
      </c>
      <c r="C191" s="46" t="s">
        <v>666</v>
      </c>
      <c r="D191" s="46">
        <v>1</v>
      </c>
      <c r="E191" s="46">
        <v>0</v>
      </c>
      <c r="F191" s="46" t="s">
        <v>692</v>
      </c>
      <c r="G191" s="46" t="s">
        <v>1305</v>
      </c>
      <c r="H191" s="46" t="s">
        <v>1704</v>
      </c>
      <c r="I191" s="46" t="str">
        <f ca="1">IFERROR(__xludf.DUMMYFUNCTION("CONCAT(A191,REGEXREPLACE(H191,"".*_L0"",""_L0""))"),"HC_BN0536_MTG_snRNAseq_rep1_L004_I2_001.fastq.gz")</f>
        <v>HC_BN0536_MTG_snRNAseq_rep1_L004_I2_001.fastq.gz</v>
      </c>
      <c r="J191" s="46" t="str">
        <f t="shared" si="0"/>
        <v>/data/neurogen/ASAP/scRNAseq/data/batch4_ASAP_snRNA-seq_*/Raw_Data_and_Processing/cellranger_processing/cellranger_fastqs/outs/fastq_path/H*/BN0536_S3_L004_I2_001.fastq.gz</v>
      </c>
      <c r="K191" s="46" t="s">
        <v>1350</v>
      </c>
      <c r="L191" s="46" t="s">
        <v>1705</v>
      </c>
      <c r="M191" s="46" t="s">
        <v>1309</v>
      </c>
      <c r="N191" s="46" t="s">
        <v>1310</v>
      </c>
      <c r="O191" s="46" t="s">
        <v>1311</v>
      </c>
      <c r="P191" s="46" t="s">
        <v>1312</v>
      </c>
      <c r="Q191" s="46" t="s">
        <v>31</v>
      </c>
      <c r="R191" s="46" t="s">
        <v>31</v>
      </c>
      <c r="S191" s="46" t="s">
        <v>31</v>
      </c>
      <c r="T191" s="46" t="s">
        <v>31</v>
      </c>
      <c r="U191" s="46" t="s">
        <v>49</v>
      </c>
    </row>
    <row r="192" spans="1:21">
      <c r="A192" s="46" t="s">
        <v>691</v>
      </c>
      <c r="B192" s="46" t="s">
        <v>87</v>
      </c>
      <c r="C192" s="46" t="s">
        <v>666</v>
      </c>
      <c r="D192" s="46">
        <v>1</v>
      </c>
      <c r="E192" s="46">
        <v>0</v>
      </c>
      <c r="F192" s="46" t="s">
        <v>692</v>
      </c>
      <c r="G192" s="46" t="s">
        <v>1305</v>
      </c>
      <c r="H192" s="46" t="s">
        <v>1706</v>
      </c>
      <c r="I192" s="46" t="str">
        <f ca="1">IFERROR(__xludf.DUMMYFUNCTION("CONCAT(A192,REGEXREPLACE(H192,"".*_L0"",""_L0""))"),"HC_BN0536_MTG_snRNAseq_rep1_L004_R1_001.fastq.gz")</f>
        <v>HC_BN0536_MTG_snRNAseq_rep1_L004_R1_001.fastq.gz</v>
      </c>
      <c r="J192" s="46" t="str">
        <f t="shared" si="0"/>
        <v>/data/neurogen/ASAP/scRNAseq/data/batch4_ASAP_snRNA-seq_*/Raw_Data_and_Processing/cellranger_processing/cellranger_fastqs/outs/fastq_path/H*/BN0536_S3_L004_R1_001.fastq.gz</v>
      </c>
      <c r="K192" s="46" t="s">
        <v>1353</v>
      </c>
      <c r="L192" s="46" t="s">
        <v>1707</v>
      </c>
      <c r="M192" s="46" t="s">
        <v>1309</v>
      </c>
      <c r="N192" s="46" t="s">
        <v>1310</v>
      </c>
      <c r="O192" s="46" t="s">
        <v>1311</v>
      </c>
      <c r="P192" s="46" t="s">
        <v>1312</v>
      </c>
      <c r="Q192" s="46" t="s">
        <v>31</v>
      </c>
      <c r="R192" s="46" t="s">
        <v>31</v>
      </c>
      <c r="S192" s="46" t="s">
        <v>31</v>
      </c>
      <c r="T192" s="46" t="s">
        <v>31</v>
      </c>
      <c r="U192" s="46" t="s">
        <v>49</v>
      </c>
    </row>
    <row r="193" spans="1:21">
      <c r="A193" s="46" t="s">
        <v>691</v>
      </c>
      <c r="B193" s="46" t="s">
        <v>87</v>
      </c>
      <c r="C193" s="46" t="s">
        <v>666</v>
      </c>
      <c r="D193" s="46">
        <v>1</v>
      </c>
      <c r="E193" s="46">
        <v>0</v>
      </c>
      <c r="F193" s="46" t="s">
        <v>692</v>
      </c>
      <c r="G193" s="46" t="s">
        <v>1305</v>
      </c>
      <c r="H193" s="46" t="s">
        <v>1708</v>
      </c>
      <c r="I193" s="46" t="str">
        <f ca="1">IFERROR(__xludf.DUMMYFUNCTION("CONCAT(A193,REGEXREPLACE(H193,"".*_L0"",""_L0""))"),"HC_BN0536_MTG_snRNAseq_rep1_L004_R2_001.fastq.gz")</f>
        <v>HC_BN0536_MTG_snRNAseq_rep1_L004_R2_001.fastq.gz</v>
      </c>
      <c r="J193" s="46" t="str">
        <f t="shared" si="0"/>
        <v>/data/neurogen/ASAP/scRNAseq/data/batch4_ASAP_snRNA-seq_*/Raw_Data_and_Processing/cellranger_processing/cellranger_fastqs/outs/fastq_path/H*/BN0536_S3_L004_R2_001.fastq.gz</v>
      </c>
      <c r="K193" s="46" t="s">
        <v>1356</v>
      </c>
      <c r="L193" s="46" t="s">
        <v>1709</v>
      </c>
      <c r="M193" s="46" t="s">
        <v>1309</v>
      </c>
      <c r="N193" s="46" t="s">
        <v>1310</v>
      </c>
      <c r="O193" s="46" t="s">
        <v>1311</v>
      </c>
      <c r="P193" s="46" t="s">
        <v>1312</v>
      </c>
      <c r="Q193" s="46" t="s">
        <v>31</v>
      </c>
      <c r="R193" s="46" t="s">
        <v>31</v>
      </c>
      <c r="S193" s="46" t="s">
        <v>31</v>
      </c>
      <c r="T193" s="46" t="s">
        <v>31</v>
      </c>
      <c r="U193" s="46" t="s">
        <v>49</v>
      </c>
    </row>
    <row r="194" spans="1:21">
      <c r="A194" s="46" t="s">
        <v>700</v>
      </c>
      <c r="B194" s="46" t="s">
        <v>95</v>
      </c>
      <c r="C194" s="46" t="s">
        <v>666</v>
      </c>
      <c r="D194" s="46">
        <v>1</v>
      </c>
      <c r="E194" s="46">
        <v>0</v>
      </c>
      <c r="F194" s="46" t="s">
        <v>692</v>
      </c>
      <c r="G194" s="46" t="s">
        <v>1305</v>
      </c>
      <c r="H194" s="46" t="s">
        <v>1710</v>
      </c>
      <c r="I194" s="46" t="str">
        <f ca="1">IFERROR(__xludf.DUMMYFUNCTION("CONCAT(A194,REGEXREPLACE(H194,"".*_L0"",""_L0""))"),"PD_BN0651_MTG_snRNAseq_rep1_L001_I1_001.fastq.gz")</f>
        <v>PD_BN0651_MTG_snRNAseq_rep1_L001_I1_001.fastq.gz</v>
      </c>
      <c r="J194" s="46" t="str">
        <f t="shared" si="0"/>
        <v>/data/neurogen/ASAP/scRNAseq/data/batch4_ASAP_snRNA-seq_*/Raw_Data_and_Processing/cellranger_processing/cellranger_fastqs/outs/fastq_path/H*/BN0651_S1_L001_I1_001.fastq.gz</v>
      </c>
      <c r="K194" s="46" t="s">
        <v>1307</v>
      </c>
      <c r="L194" s="46" t="s">
        <v>1711</v>
      </c>
      <c r="M194" s="46" t="s">
        <v>1309</v>
      </c>
      <c r="N194" s="46" t="s">
        <v>1310</v>
      </c>
      <c r="O194" s="46" t="s">
        <v>1311</v>
      </c>
      <c r="P194" s="46" t="s">
        <v>1312</v>
      </c>
      <c r="Q194" s="46" t="s">
        <v>31</v>
      </c>
      <c r="R194" s="46" t="s">
        <v>31</v>
      </c>
      <c r="S194" s="46" t="s">
        <v>31</v>
      </c>
      <c r="T194" s="46" t="s">
        <v>31</v>
      </c>
      <c r="U194" s="46" t="s">
        <v>49</v>
      </c>
    </row>
    <row r="195" spans="1:21">
      <c r="A195" s="46" t="s">
        <v>700</v>
      </c>
      <c r="B195" s="46" t="s">
        <v>95</v>
      </c>
      <c r="C195" s="46" t="s">
        <v>666</v>
      </c>
      <c r="D195" s="46">
        <v>1</v>
      </c>
      <c r="E195" s="46">
        <v>0</v>
      </c>
      <c r="F195" s="46" t="s">
        <v>692</v>
      </c>
      <c r="G195" s="46" t="s">
        <v>1305</v>
      </c>
      <c r="H195" s="46" t="s">
        <v>1712</v>
      </c>
      <c r="I195" s="46" t="str">
        <f ca="1">IFERROR(__xludf.DUMMYFUNCTION("CONCAT(A195,REGEXREPLACE(H195,"".*_L0"",""_L0""))"),"PD_BN0651_MTG_snRNAseq_rep1_L001_I2_001.fastq.gz")</f>
        <v>PD_BN0651_MTG_snRNAseq_rep1_L001_I2_001.fastq.gz</v>
      </c>
      <c r="J195" s="46" t="str">
        <f t="shared" si="0"/>
        <v>/data/neurogen/ASAP/scRNAseq/data/batch4_ASAP_snRNA-seq_*/Raw_Data_and_Processing/cellranger_processing/cellranger_fastqs/outs/fastq_path/H*/BN0651_S1_L001_I2_001.fastq.gz</v>
      </c>
      <c r="K195" s="46" t="s">
        <v>1314</v>
      </c>
      <c r="L195" s="46" t="s">
        <v>1713</v>
      </c>
      <c r="M195" s="46" t="s">
        <v>1309</v>
      </c>
      <c r="N195" s="46" t="s">
        <v>1310</v>
      </c>
      <c r="O195" s="46" t="s">
        <v>1311</v>
      </c>
      <c r="P195" s="46" t="s">
        <v>1312</v>
      </c>
      <c r="Q195" s="46" t="s">
        <v>31</v>
      </c>
      <c r="R195" s="46" t="s">
        <v>31</v>
      </c>
      <c r="S195" s="46" t="s">
        <v>31</v>
      </c>
      <c r="T195" s="46" t="s">
        <v>31</v>
      </c>
      <c r="U195" s="46" t="s">
        <v>49</v>
      </c>
    </row>
    <row r="196" spans="1:21">
      <c r="A196" s="46" t="s">
        <v>700</v>
      </c>
      <c r="B196" s="46" t="s">
        <v>95</v>
      </c>
      <c r="C196" s="46" t="s">
        <v>666</v>
      </c>
      <c r="D196" s="46">
        <v>1</v>
      </c>
      <c r="E196" s="46">
        <v>0</v>
      </c>
      <c r="F196" s="46" t="s">
        <v>692</v>
      </c>
      <c r="G196" s="46" t="s">
        <v>1305</v>
      </c>
      <c r="H196" s="46" t="s">
        <v>1714</v>
      </c>
      <c r="I196" s="46" t="str">
        <f ca="1">IFERROR(__xludf.DUMMYFUNCTION("CONCAT(A196,REGEXREPLACE(H196,"".*_L0"",""_L0""))"),"PD_BN0651_MTG_snRNAseq_rep1_L001_R1_001.fastq.gz")</f>
        <v>PD_BN0651_MTG_snRNAseq_rep1_L001_R1_001.fastq.gz</v>
      </c>
      <c r="J196" s="46" t="str">
        <f t="shared" si="0"/>
        <v>/data/neurogen/ASAP/scRNAseq/data/batch4_ASAP_snRNA-seq_*/Raw_Data_and_Processing/cellranger_processing/cellranger_fastqs/outs/fastq_path/H*/BN0651_S1_L001_R1_001.fastq.gz</v>
      </c>
      <c r="K196" s="46" t="s">
        <v>1317</v>
      </c>
      <c r="L196" s="46" t="s">
        <v>1715</v>
      </c>
      <c r="M196" s="46" t="s">
        <v>1309</v>
      </c>
      <c r="N196" s="46" t="s">
        <v>1310</v>
      </c>
      <c r="O196" s="46" t="s">
        <v>1311</v>
      </c>
      <c r="P196" s="46" t="s">
        <v>1312</v>
      </c>
      <c r="Q196" s="46" t="s">
        <v>31</v>
      </c>
      <c r="R196" s="46" t="s">
        <v>31</v>
      </c>
      <c r="S196" s="46" t="s">
        <v>31</v>
      </c>
      <c r="T196" s="46" t="s">
        <v>31</v>
      </c>
      <c r="U196" s="46" t="s">
        <v>49</v>
      </c>
    </row>
    <row r="197" spans="1:21">
      <c r="A197" s="46" t="s">
        <v>700</v>
      </c>
      <c r="B197" s="46" t="s">
        <v>95</v>
      </c>
      <c r="C197" s="46" t="s">
        <v>666</v>
      </c>
      <c r="D197" s="46">
        <v>1</v>
      </c>
      <c r="E197" s="46">
        <v>0</v>
      </c>
      <c r="F197" s="46" t="s">
        <v>692</v>
      </c>
      <c r="G197" s="46" t="s">
        <v>1305</v>
      </c>
      <c r="H197" s="46" t="s">
        <v>1716</v>
      </c>
      <c r="I197" s="46" t="str">
        <f ca="1">IFERROR(__xludf.DUMMYFUNCTION("CONCAT(A197,REGEXREPLACE(H197,"".*_L0"",""_L0""))"),"PD_BN0651_MTG_snRNAseq_rep1_L001_R2_001.fastq.gz")</f>
        <v>PD_BN0651_MTG_snRNAseq_rep1_L001_R2_001.fastq.gz</v>
      </c>
      <c r="J197" s="46" t="str">
        <f t="shared" si="0"/>
        <v>/data/neurogen/ASAP/scRNAseq/data/batch4_ASAP_snRNA-seq_*/Raw_Data_and_Processing/cellranger_processing/cellranger_fastqs/outs/fastq_path/H*/BN0651_S1_L001_R2_001.fastq.gz</v>
      </c>
      <c r="K197" s="46" t="s">
        <v>1320</v>
      </c>
      <c r="L197" s="46" t="s">
        <v>1717</v>
      </c>
      <c r="M197" s="46" t="s">
        <v>1309</v>
      </c>
      <c r="N197" s="46" t="s">
        <v>1310</v>
      </c>
      <c r="O197" s="46" t="s">
        <v>1311</v>
      </c>
      <c r="P197" s="46" t="s">
        <v>1312</v>
      </c>
      <c r="Q197" s="46" t="s">
        <v>31</v>
      </c>
      <c r="R197" s="46" t="s">
        <v>31</v>
      </c>
      <c r="S197" s="46" t="s">
        <v>31</v>
      </c>
      <c r="T197" s="46" t="s">
        <v>31</v>
      </c>
      <c r="U197" s="46" t="s">
        <v>49</v>
      </c>
    </row>
    <row r="198" spans="1:21">
      <c r="A198" s="46" t="s">
        <v>700</v>
      </c>
      <c r="B198" s="46" t="s">
        <v>95</v>
      </c>
      <c r="C198" s="46" t="s">
        <v>666</v>
      </c>
      <c r="D198" s="46">
        <v>1</v>
      </c>
      <c r="E198" s="46">
        <v>0</v>
      </c>
      <c r="F198" s="46" t="s">
        <v>692</v>
      </c>
      <c r="G198" s="46" t="s">
        <v>1305</v>
      </c>
      <c r="H198" s="46" t="s">
        <v>1718</v>
      </c>
      <c r="I198" s="46" t="str">
        <f ca="1">IFERROR(__xludf.DUMMYFUNCTION("CONCAT(A198,REGEXREPLACE(H198,"".*_L0"",""_L0""))"),"PD_BN0651_MTG_snRNAseq_rep1_L002_I1_001.fastq.gz")</f>
        <v>PD_BN0651_MTG_snRNAseq_rep1_L002_I1_001.fastq.gz</v>
      </c>
      <c r="J198" s="46" t="str">
        <f t="shared" si="0"/>
        <v>/data/neurogen/ASAP/scRNAseq/data/batch4_ASAP_snRNA-seq_*/Raw_Data_and_Processing/cellranger_processing/cellranger_fastqs/outs/fastq_path/H*/BN0651_S1_L002_I1_001.fastq.gz</v>
      </c>
      <c r="K198" s="46" t="s">
        <v>1323</v>
      </c>
      <c r="L198" s="46" t="s">
        <v>1719</v>
      </c>
      <c r="M198" s="46" t="s">
        <v>1309</v>
      </c>
      <c r="N198" s="46" t="s">
        <v>1310</v>
      </c>
      <c r="O198" s="46" t="s">
        <v>1311</v>
      </c>
      <c r="P198" s="46" t="s">
        <v>1312</v>
      </c>
      <c r="Q198" s="46" t="s">
        <v>31</v>
      </c>
      <c r="R198" s="46" t="s">
        <v>31</v>
      </c>
      <c r="S198" s="46" t="s">
        <v>31</v>
      </c>
      <c r="T198" s="46" t="s">
        <v>31</v>
      </c>
      <c r="U198" s="46" t="s">
        <v>49</v>
      </c>
    </row>
    <row r="199" spans="1:21">
      <c r="A199" s="46" t="s">
        <v>700</v>
      </c>
      <c r="B199" s="46" t="s">
        <v>95</v>
      </c>
      <c r="C199" s="46" t="s">
        <v>666</v>
      </c>
      <c r="D199" s="46">
        <v>1</v>
      </c>
      <c r="E199" s="46">
        <v>0</v>
      </c>
      <c r="F199" s="46" t="s">
        <v>692</v>
      </c>
      <c r="G199" s="46" t="s">
        <v>1305</v>
      </c>
      <c r="H199" s="46" t="s">
        <v>1720</v>
      </c>
      <c r="I199" s="46" t="str">
        <f ca="1">IFERROR(__xludf.DUMMYFUNCTION("CONCAT(A199,REGEXREPLACE(H199,"".*_L0"",""_L0""))"),"PD_BN0651_MTG_snRNAseq_rep1_L002_I2_001.fastq.gz")</f>
        <v>PD_BN0651_MTG_snRNAseq_rep1_L002_I2_001.fastq.gz</v>
      </c>
      <c r="J199" s="46" t="str">
        <f t="shared" si="0"/>
        <v>/data/neurogen/ASAP/scRNAseq/data/batch4_ASAP_snRNA-seq_*/Raw_Data_and_Processing/cellranger_processing/cellranger_fastqs/outs/fastq_path/H*/BN0651_S1_L002_I2_001.fastq.gz</v>
      </c>
      <c r="K199" s="46" t="s">
        <v>1326</v>
      </c>
      <c r="L199" s="46" t="s">
        <v>1721</v>
      </c>
      <c r="M199" s="46" t="s">
        <v>1309</v>
      </c>
      <c r="N199" s="46" t="s">
        <v>1310</v>
      </c>
      <c r="O199" s="46" t="s">
        <v>1311</v>
      </c>
      <c r="P199" s="46" t="s">
        <v>1312</v>
      </c>
      <c r="Q199" s="46" t="s">
        <v>31</v>
      </c>
      <c r="R199" s="46" t="s">
        <v>31</v>
      </c>
      <c r="S199" s="46" t="s">
        <v>31</v>
      </c>
      <c r="T199" s="46" t="s">
        <v>31</v>
      </c>
      <c r="U199" s="46" t="s">
        <v>49</v>
      </c>
    </row>
    <row r="200" spans="1:21">
      <c r="A200" s="46" t="s">
        <v>700</v>
      </c>
      <c r="B200" s="46" t="s">
        <v>95</v>
      </c>
      <c r="C200" s="46" t="s">
        <v>666</v>
      </c>
      <c r="D200" s="46">
        <v>1</v>
      </c>
      <c r="E200" s="46">
        <v>0</v>
      </c>
      <c r="F200" s="46" t="s">
        <v>692</v>
      </c>
      <c r="G200" s="46" t="s">
        <v>1305</v>
      </c>
      <c r="H200" s="46" t="s">
        <v>1722</v>
      </c>
      <c r="I200" s="46" t="str">
        <f ca="1">IFERROR(__xludf.DUMMYFUNCTION("CONCAT(A200,REGEXREPLACE(H200,"".*_L0"",""_L0""))"),"PD_BN0651_MTG_snRNAseq_rep1_L002_R1_001.fastq.gz")</f>
        <v>PD_BN0651_MTG_snRNAseq_rep1_L002_R1_001.fastq.gz</v>
      </c>
      <c r="J200" s="46" t="str">
        <f t="shared" si="0"/>
        <v>/data/neurogen/ASAP/scRNAseq/data/batch4_ASAP_snRNA-seq_*/Raw_Data_and_Processing/cellranger_processing/cellranger_fastqs/outs/fastq_path/H*/BN0651_S1_L002_R1_001.fastq.gz</v>
      </c>
      <c r="K200" s="46" t="s">
        <v>1329</v>
      </c>
      <c r="L200" s="46" t="s">
        <v>1723</v>
      </c>
      <c r="M200" s="46" t="s">
        <v>1309</v>
      </c>
      <c r="N200" s="46" t="s">
        <v>1310</v>
      </c>
      <c r="O200" s="46" t="s">
        <v>1311</v>
      </c>
      <c r="P200" s="46" t="s">
        <v>1312</v>
      </c>
      <c r="Q200" s="46" t="s">
        <v>31</v>
      </c>
      <c r="R200" s="46" t="s">
        <v>31</v>
      </c>
      <c r="S200" s="46" t="s">
        <v>31</v>
      </c>
      <c r="T200" s="46" t="s">
        <v>31</v>
      </c>
      <c r="U200" s="46" t="s">
        <v>49</v>
      </c>
    </row>
    <row r="201" spans="1:21">
      <c r="A201" s="46" t="s">
        <v>700</v>
      </c>
      <c r="B201" s="46" t="s">
        <v>95</v>
      </c>
      <c r="C201" s="46" t="s">
        <v>666</v>
      </c>
      <c r="D201" s="46">
        <v>1</v>
      </c>
      <c r="E201" s="46">
        <v>0</v>
      </c>
      <c r="F201" s="46" t="s">
        <v>692</v>
      </c>
      <c r="G201" s="46" t="s">
        <v>1305</v>
      </c>
      <c r="H201" s="46" t="s">
        <v>1724</v>
      </c>
      <c r="I201" s="46" t="str">
        <f ca="1">IFERROR(__xludf.DUMMYFUNCTION("CONCAT(A201,REGEXREPLACE(H201,"".*_L0"",""_L0""))"),"PD_BN0651_MTG_snRNAseq_rep1_L002_R2_001.fastq.gz")</f>
        <v>PD_BN0651_MTG_snRNAseq_rep1_L002_R2_001.fastq.gz</v>
      </c>
      <c r="J201" s="46" t="str">
        <f t="shared" si="0"/>
        <v>/data/neurogen/ASAP/scRNAseq/data/batch4_ASAP_snRNA-seq_*/Raw_Data_and_Processing/cellranger_processing/cellranger_fastqs/outs/fastq_path/H*/BN0651_S1_L002_R2_001.fastq.gz</v>
      </c>
      <c r="K201" s="46" t="s">
        <v>1332</v>
      </c>
      <c r="L201" s="46" t="s">
        <v>1725</v>
      </c>
      <c r="M201" s="46" t="s">
        <v>1309</v>
      </c>
      <c r="N201" s="46" t="s">
        <v>1310</v>
      </c>
      <c r="O201" s="46" t="s">
        <v>1311</v>
      </c>
      <c r="P201" s="46" t="s">
        <v>1312</v>
      </c>
      <c r="Q201" s="46" t="s">
        <v>31</v>
      </c>
      <c r="R201" s="46" t="s">
        <v>31</v>
      </c>
      <c r="S201" s="46" t="s">
        <v>31</v>
      </c>
      <c r="T201" s="46" t="s">
        <v>31</v>
      </c>
      <c r="U201" s="46" t="s">
        <v>49</v>
      </c>
    </row>
    <row r="202" spans="1:21">
      <c r="A202" s="46" t="s">
        <v>700</v>
      </c>
      <c r="B202" s="46" t="s">
        <v>95</v>
      </c>
      <c r="C202" s="46" t="s">
        <v>666</v>
      </c>
      <c r="D202" s="46">
        <v>1</v>
      </c>
      <c r="E202" s="46">
        <v>0</v>
      </c>
      <c r="F202" s="46" t="s">
        <v>692</v>
      </c>
      <c r="G202" s="46" t="s">
        <v>1305</v>
      </c>
      <c r="H202" s="46" t="s">
        <v>1726</v>
      </c>
      <c r="I202" s="46" t="str">
        <f ca="1">IFERROR(__xludf.DUMMYFUNCTION("CONCAT(A202,REGEXREPLACE(H202,"".*_L0"",""_L0""))"),"PD_BN0651_MTG_snRNAseq_rep1_L003_I1_001.fastq.gz")</f>
        <v>PD_BN0651_MTG_snRNAseq_rep1_L003_I1_001.fastq.gz</v>
      </c>
      <c r="J202" s="46" t="str">
        <f t="shared" si="0"/>
        <v>/data/neurogen/ASAP/scRNAseq/data/batch4_ASAP_snRNA-seq_*/Raw_Data_and_Processing/cellranger_processing/cellranger_fastqs/outs/fastq_path/H*/BN0651_S1_L003_I1_001.fastq.gz</v>
      </c>
      <c r="K202" s="46" t="s">
        <v>1335</v>
      </c>
      <c r="L202" s="46" t="s">
        <v>1727</v>
      </c>
      <c r="M202" s="46" t="s">
        <v>1309</v>
      </c>
      <c r="N202" s="46" t="s">
        <v>1310</v>
      </c>
      <c r="O202" s="46" t="s">
        <v>1311</v>
      </c>
      <c r="P202" s="46" t="s">
        <v>1312</v>
      </c>
      <c r="Q202" s="46" t="s">
        <v>31</v>
      </c>
      <c r="R202" s="46" t="s">
        <v>31</v>
      </c>
      <c r="S202" s="46" t="s">
        <v>31</v>
      </c>
      <c r="T202" s="46" t="s">
        <v>31</v>
      </c>
      <c r="U202" s="46" t="s">
        <v>49</v>
      </c>
    </row>
    <row r="203" spans="1:21">
      <c r="A203" s="46" t="s">
        <v>700</v>
      </c>
      <c r="B203" s="46" t="s">
        <v>95</v>
      </c>
      <c r="C203" s="46" t="s">
        <v>666</v>
      </c>
      <c r="D203" s="46">
        <v>1</v>
      </c>
      <c r="E203" s="46">
        <v>0</v>
      </c>
      <c r="F203" s="46" t="s">
        <v>692</v>
      </c>
      <c r="G203" s="46" t="s">
        <v>1305</v>
      </c>
      <c r="H203" s="46" t="s">
        <v>1728</v>
      </c>
      <c r="I203" s="46" t="str">
        <f ca="1">IFERROR(__xludf.DUMMYFUNCTION("CONCAT(A203,REGEXREPLACE(H203,"".*_L0"",""_L0""))"),"PD_BN0651_MTG_snRNAseq_rep1_L003_I2_001.fastq.gz")</f>
        <v>PD_BN0651_MTG_snRNAseq_rep1_L003_I2_001.fastq.gz</v>
      </c>
      <c r="J203" s="46" t="str">
        <f t="shared" si="0"/>
        <v>/data/neurogen/ASAP/scRNAseq/data/batch4_ASAP_snRNA-seq_*/Raw_Data_and_Processing/cellranger_processing/cellranger_fastqs/outs/fastq_path/H*/BN0651_S1_L003_I2_001.fastq.gz</v>
      </c>
      <c r="K203" s="46" t="s">
        <v>1338</v>
      </c>
      <c r="L203" s="46" t="s">
        <v>1729</v>
      </c>
      <c r="M203" s="46" t="s">
        <v>1309</v>
      </c>
      <c r="N203" s="46" t="s">
        <v>1310</v>
      </c>
      <c r="O203" s="46" t="s">
        <v>1311</v>
      </c>
      <c r="P203" s="46" t="s">
        <v>1312</v>
      </c>
      <c r="Q203" s="46" t="s">
        <v>31</v>
      </c>
      <c r="R203" s="46" t="s">
        <v>31</v>
      </c>
      <c r="S203" s="46" t="s">
        <v>31</v>
      </c>
      <c r="T203" s="46" t="s">
        <v>31</v>
      </c>
      <c r="U203" s="46" t="s">
        <v>49</v>
      </c>
    </row>
    <row r="204" spans="1:21">
      <c r="A204" s="46" t="s">
        <v>700</v>
      </c>
      <c r="B204" s="46" t="s">
        <v>95</v>
      </c>
      <c r="C204" s="46" t="s">
        <v>666</v>
      </c>
      <c r="D204" s="46">
        <v>1</v>
      </c>
      <c r="E204" s="46">
        <v>0</v>
      </c>
      <c r="F204" s="46" t="s">
        <v>692</v>
      </c>
      <c r="G204" s="46" t="s">
        <v>1305</v>
      </c>
      <c r="H204" s="46" t="s">
        <v>1730</v>
      </c>
      <c r="I204" s="46" t="str">
        <f ca="1">IFERROR(__xludf.DUMMYFUNCTION("CONCAT(A204,REGEXREPLACE(H204,"".*_L0"",""_L0""))"),"PD_BN0651_MTG_snRNAseq_rep1_L003_R1_001.fastq.gz")</f>
        <v>PD_BN0651_MTG_snRNAseq_rep1_L003_R1_001.fastq.gz</v>
      </c>
      <c r="J204" s="46" t="str">
        <f t="shared" si="0"/>
        <v>/data/neurogen/ASAP/scRNAseq/data/batch4_ASAP_snRNA-seq_*/Raw_Data_and_Processing/cellranger_processing/cellranger_fastqs/outs/fastq_path/H*/BN0651_S1_L003_R1_001.fastq.gz</v>
      </c>
      <c r="K204" s="46" t="s">
        <v>1341</v>
      </c>
      <c r="L204" s="46" t="s">
        <v>1731</v>
      </c>
      <c r="M204" s="46" t="s">
        <v>1309</v>
      </c>
      <c r="N204" s="46" t="s">
        <v>1310</v>
      </c>
      <c r="O204" s="46" t="s">
        <v>1311</v>
      </c>
      <c r="P204" s="46" t="s">
        <v>1312</v>
      </c>
      <c r="Q204" s="46" t="s">
        <v>31</v>
      </c>
      <c r="R204" s="46" t="s">
        <v>31</v>
      </c>
      <c r="S204" s="46" t="s">
        <v>31</v>
      </c>
      <c r="T204" s="46" t="s">
        <v>31</v>
      </c>
      <c r="U204" s="46" t="s">
        <v>49</v>
      </c>
    </row>
    <row r="205" spans="1:21">
      <c r="A205" s="46" t="s">
        <v>700</v>
      </c>
      <c r="B205" s="46" t="s">
        <v>95</v>
      </c>
      <c r="C205" s="46" t="s">
        <v>666</v>
      </c>
      <c r="D205" s="46">
        <v>1</v>
      </c>
      <c r="E205" s="46">
        <v>0</v>
      </c>
      <c r="F205" s="46" t="s">
        <v>692</v>
      </c>
      <c r="G205" s="46" t="s">
        <v>1305</v>
      </c>
      <c r="H205" s="46" t="s">
        <v>1732</v>
      </c>
      <c r="I205" s="46" t="str">
        <f ca="1">IFERROR(__xludf.DUMMYFUNCTION("CONCAT(A205,REGEXREPLACE(H205,"".*_L0"",""_L0""))"),"PD_BN0651_MTG_snRNAseq_rep1_L003_R2_001.fastq.gz")</f>
        <v>PD_BN0651_MTG_snRNAseq_rep1_L003_R2_001.fastq.gz</v>
      </c>
      <c r="J205" s="46" t="str">
        <f t="shared" si="0"/>
        <v>/data/neurogen/ASAP/scRNAseq/data/batch4_ASAP_snRNA-seq_*/Raw_Data_and_Processing/cellranger_processing/cellranger_fastqs/outs/fastq_path/H*/BN0651_S1_L003_R2_001.fastq.gz</v>
      </c>
      <c r="K205" s="46" t="s">
        <v>1344</v>
      </c>
      <c r="L205" s="47" t="s">
        <v>1733</v>
      </c>
      <c r="M205" s="46" t="s">
        <v>1309</v>
      </c>
      <c r="N205" s="46" t="s">
        <v>1310</v>
      </c>
      <c r="O205" s="46" t="s">
        <v>1311</v>
      </c>
      <c r="P205" s="46" t="s">
        <v>1312</v>
      </c>
      <c r="Q205" s="46" t="s">
        <v>31</v>
      </c>
      <c r="R205" s="46" t="s">
        <v>31</v>
      </c>
      <c r="S205" s="46" t="s">
        <v>31</v>
      </c>
      <c r="T205" s="46" t="s">
        <v>31</v>
      </c>
      <c r="U205" s="46" t="s">
        <v>49</v>
      </c>
    </row>
    <row r="206" spans="1:21">
      <c r="A206" s="46" t="s">
        <v>700</v>
      </c>
      <c r="B206" s="46" t="s">
        <v>95</v>
      </c>
      <c r="C206" s="46" t="s">
        <v>666</v>
      </c>
      <c r="D206" s="46">
        <v>1</v>
      </c>
      <c r="E206" s="46">
        <v>0</v>
      </c>
      <c r="F206" s="46" t="s">
        <v>692</v>
      </c>
      <c r="G206" s="46" t="s">
        <v>1305</v>
      </c>
      <c r="H206" s="46" t="s">
        <v>1734</v>
      </c>
      <c r="I206" s="46" t="str">
        <f ca="1">IFERROR(__xludf.DUMMYFUNCTION("CONCAT(A206,REGEXREPLACE(H206,"".*_L0"",""_L0""))"),"PD_BN0651_MTG_snRNAseq_rep1_L004_I1_001.fastq.gz")</f>
        <v>PD_BN0651_MTG_snRNAseq_rep1_L004_I1_001.fastq.gz</v>
      </c>
      <c r="J206" s="46" t="str">
        <f t="shared" si="0"/>
        <v>/data/neurogen/ASAP/scRNAseq/data/batch4_ASAP_snRNA-seq_*/Raw_Data_and_Processing/cellranger_processing/cellranger_fastqs/outs/fastq_path/H*/BN0651_S1_L004_I1_001.fastq.gz</v>
      </c>
      <c r="K206" s="46" t="s">
        <v>1347</v>
      </c>
      <c r="L206" s="46" t="s">
        <v>1735</v>
      </c>
      <c r="M206" s="46" t="s">
        <v>1309</v>
      </c>
      <c r="N206" s="46" t="s">
        <v>1310</v>
      </c>
      <c r="O206" s="46" t="s">
        <v>1311</v>
      </c>
      <c r="P206" s="46" t="s">
        <v>1312</v>
      </c>
      <c r="Q206" s="46" t="s">
        <v>31</v>
      </c>
      <c r="R206" s="46" t="s">
        <v>31</v>
      </c>
      <c r="S206" s="46" t="s">
        <v>31</v>
      </c>
      <c r="T206" s="46" t="s">
        <v>31</v>
      </c>
      <c r="U206" s="46" t="s">
        <v>49</v>
      </c>
    </row>
    <row r="207" spans="1:21">
      <c r="A207" s="46" t="s">
        <v>700</v>
      </c>
      <c r="B207" s="46" t="s">
        <v>95</v>
      </c>
      <c r="C207" s="46" t="s">
        <v>666</v>
      </c>
      <c r="D207" s="46">
        <v>1</v>
      </c>
      <c r="E207" s="46">
        <v>0</v>
      </c>
      <c r="F207" s="46" t="s">
        <v>692</v>
      </c>
      <c r="G207" s="46" t="s">
        <v>1305</v>
      </c>
      <c r="H207" s="46" t="s">
        <v>1736</v>
      </c>
      <c r="I207" s="46" t="str">
        <f ca="1">IFERROR(__xludf.DUMMYFUNCTION("CONCAT(A207,REGEXREPLACE(H207,"".*_L0"",""_L0""))"),"PD_BN0651_MTG_snRNAseq_rep1_L004_I2_001.fastq.gz")</f>
        <v>PD_BN0651_MTG_snRNAseq_rep1_L004_I2_001.fastq.gz</v>
      </c>
      <c r="J207" s="46" t="str">
        <f t="shared" si="0"/>
        <v>/data/neurogen/ASAP/scRNAseq/data/batch4_ASAP_snRNA-seq_*/Raw_Data_and_Processing/cellranger_processing/cellranger_fastqs/outs/fastq_path/H*/BN0651_S1_L004_I2_001.fastq.gz</v>
      </c>
      <c r="K207" s="46" t="s">
        <v>1350</v>
      </c>
      <c r="L207" s="46" t="s">
        <v>1737</v>
      </c>
      <c r="M207" s="46" t="s">
        <v>1309</v>
      </c>
      <c r="N207" s="46" t="s">
        <v>1310</v>
      </c>
      <c r="O207" s="46" t="s">
        <v>1311</v>
      </c>
      <c r="P207" s="46" t="s">
        <v>1312</v>
      </c>
      <c r="Q207" s="46" t="s">
        <v>31</v>
      </c>
      <c r="R207" s="46" t="s">
        <v>31</v>
      </c>
      <c r="S207" s="46" t="s">
        <v>31</v>
      </c>
      <c r="T207" s="46" t="s">
        <v>31</v>
      </c>
      <c r="U207" s="46" t="s">
        <v>49</v>
      </c>
    </row>
    <row r="208" spans="1:21">
      <c r="A208" s="46" t="s">
        <v>700</v>
      </c>
      <c r="B208" s="46" t="s">
        <v>95</v>
      </c>
      <c r="C208" s="46" t="s">
        <v>666</v>
      </c>
      <c r="D208" s="46">
        <v>1</v>
      </c>
      <c r="E208" s="46">
        <v>0</v>
      </c>
      <c r="F208" s="46" t="s">
        <v>692</v>
      </c>
      <c r="G208" s="46" t="s">
        <v>1305</v>
      </c>
      <c r="H208" s="46" t="s">
        <v>1738</v>
      </c>
      <c r="I208" s="46" t="str">
        <f ca="1">IFERROR(__xludf.DUMMYFUNCTION("CONCAT(A208,REGEXREPLACE(H208,"".*_L0"",""_L0""))"),"PD_BN0651_MTG_snRNAseq_rep1_L004_R1_001.fastq.gz")</f>
        <v>PD_BN0651_MTG_snRNAseq_rep1_L004_R1_001.fastq.gz</v>
      </c>
      <c r="J208" s="46" t="str">
        <f t="shared" si="0"/>
        <v>/data/neurogen/ASAP/scRNAseq/data/batch4_ASAP_snRNA-seq_*/Raw_Data_and_Processing/cellranger_processing/cellranger_fastqs/outs/fastq_path/H*/BN0651_S1_L004_R1_001.fastq.gz</v>
      </c>
      <c r="K208" s="46" t="s">
        <v>1353</v>
      </c>
      <c r="L208" s="46" t="s">
        <v>1739</v>
      </c>
      <c r="M208" s="46" t="s">
        <v>1309</v>
      </c>
      <c r="N208" s="46" t="s">
        <v>1310</v>
      </c>
      <c r="O208" s="46" t="s">
        <v>1311</v>
      </c>
      <c r="P208" s="46" t="s">
        <v>1312</v>
      </c>
      <c r="Q208" s="46" t="s">
        <v>31</v>
      </c>
      <c r="R208" s="46" t="s">
        <v>31</v>
      </c>
      <c r="S208" s="46" t="s">
        <v>31</v>
      </c>
      <c r="T208" s="46" t="s">
        <v>31</v>
      </c>
      <c r="U208" s="46" t="s">
        <v>49</v>
      </c>
    </row>
    <row r="209" spans="1:21">
      <c r="A209" s="46" t="s">
        <v>700</v>
      </c>
      <c r="B209" s="46" t="s">
        <v>95</v>
      </c>
      <c r="C209" s="46" t="s">
        <v>666</v>
      </c>
      <c r="D209" s="46">
        <v>1</v>
      </c>
      <c r="E209" s="46">
        <v>0</v>
      </c>
      <c r="F209" s="46" t="s">
        <v>692</v>
      </c>
      <c r="G209" s="46" t="s">
        <v>1305</v>
      </c>
      <c r="H209" s="46" t="s">
        <v>1740</v>
      </c>
      <c r="I209" s="46" t="str">
        <f ca="1">IFERROR(__xludf.DUMMYFUNCTION("CONCAT(A209,REGEXREPLACE(H209,"".*_L0"",""_L0""))"),"PD_BN0651_MTG_snRNAseq_rep1_L004_R2_001.fastq.gz")</f>
        <v>PD_BN0651_MTG_snRNAseq_rep1_L004_R2_001.fastq.gz</v>
      </c>
      <c r="J209" s="46" t="str">
        <f t="shared" si="0"/>
        <v>/data/neurogen/ASAP/scRNAseq/data/batch4_ASAP_snRNA-seq_*/Raw_Data_and_Processing/cellranger_processing/cellranger_fastqs/outs/fastq_path/H*/BN0651_S1_L004_R2_001.fastq.gz</v>
      </c>
      <c r="K209" s="46" t="s">
        <v>1356</v>
      </c>
      <c r="L209" s="46" t="s">
        <v>1741</v>
      </c>
      <c r="M209" s="46" t="s">
        <v>1309</v>
      </c>
      <c r="N209" s="46" t="s">
        <v>1310</v>
      </c>
      <c r="O209" s="46" t="s">
        <v>1311</v>
      </c>
      <c r="P209" s="46" t="s">
        <v>1312</v>
      </c>
      <c r="Q209" s="46" t="s">
        <v>31</v>
      </c>
      <c r="R209" s="46" t="s">
        <v>31</v>
      </c>
      <c r="S209" s="46" t="s">
        <v>31</v>
      </c>
      <c r="T209" s="46" t="s">
        <v>31</v>
      </c>
      <c r="U209" s="46" t="s">
        <v>49</v>
      </c>
    </row>
    <row r="210" spans="1:21">
      <c r="A210" s="46" t="s">
        <v>701</v>
      </c>
      <c r="B210" s="46" t="s">
        <v>97</v>
      </c>
      <c r="C210" s="46" t="s">
        <v>666</v>
      </c>
      <c r="D210" s="46">
        <v>1</v>
      </c>
      <c r="E210" s="46">
        <v>0</v>
      </c>
      <c r="F210" s="46" t="s">
        <v>692</v>
      </c>
      <c r="G210" s="46" t="s">
        <v>1305</v>
      </c>
      <c r="H210" s="46" t="s">
        <v>1742</v>
      </c>
      <c r="I210" s="46" t="str">
        <f ca="1">IFERROR(__xludf.DUMMYFUNCTION("CONCAT(A210,REGEXREPLACE(H210,"".*_L0"",""_L0""))"),"PD_BN0655_MTG_snRNAseq_rep1_L001_I1_001.fastq.gz")</f>
        <v>PD_BN0655_MTG_snRNAseq_rep1_L001_I1_001.fastq.gz</v>
      </c>
      <c r="J210" s="46" t="str">
        <f t="shared" si="0"/>
        <v>/data/neurogen/ASAP/scRNAseq/data/batch4_ASAP_snRNA-seq_*/Raw_Data_and_Processing/cellranger_processing/cellranger_fastqs/outs/fastq_path/H*/BN0655_S4_L001_I1_001.fastq.gz</v>
      </c>
      <c r="K210" s="46" t="s">
        <v>1307</v>
      </c>
      <c r="L210" s="46" t="s">
        <v>1743</v>
      </c>
      <c r="M210" s="46" t="s">
        <v>1309</v>
      </c>
      <c r="N210" s="46" t="s">
        <v>1310</v>
      </c>
      <c r="O210" s="46" t="s">
        <v>1311</v>
      </c>
      <c r="P210" s="46" t="s">
        <v>1312</v>
      </c>
      <c r="Q210" s="46" t="s">
        <v>31</v>
      </c>
      <c r="R210" s="46" t="s">
        <v>31</v>
      </c>
      <c r="S210" s="46" t="s">
        <v>31</v>
      </c>
      <c r="T210" s="46" t="s">
        <v>31</v>
      </c>
      <c r="U210" s="46" t="s">
        <v>49</v>
      </c>
    </row>
    <row r="211" spans="1:21">
      <c r="A211" s="46" t="s">
        <v>701</v>
      </c>
      <c r="B211" s="46" t="s">
        <v>97</v>
      </c>
      <c r="C211" s="46" t="s">
        <v>666</v>
      </c>
      <c r="D211" s="46">
        <v>1</v>
      </c>
      <c r="E211" s="46">
        <v>0</v>
      </c>
      <c r="F211" s="46" t="s">
        <v>692</v>
      </c>
      <c r="G211" s="46" t="s">
        <v>1305</v>
      </c>
      <c r="H211" s="46" t="s">
        <v>1744</v>
      </c>
      <c r="I211" s="46" t="str">
        <f ca="1">IFERROR(__xludf.DUMMYFUNCTION("CONCAT(A211,REGEXREPLACE(H211,"".*_L0"",""_L0""))"),"PD_BN0655_MTG_snRNAseq_rep1_L001_I2_001.fastq.gz")</f>
        <v>PD_BN0655_MTG_snRNAseq_rep1_L001_I2_001.fastq.gz</v>
      </c>
      <c r="J211" s="46" t="str">
        <f t="shared" si="0"/>
        <v>/data/neurogen/ASAP/scRNAseq/data/batch4_ASAP_snRNA-seq_*/Raw_Data_and_Processing/cellranger_processing/cellranger_fastqs/outs/fastq_path/H*/BN0655_S4_L001_I2_001.fastq.gz</v>
      </c>
      <c r="K211" s="46" t="s">
        <v>1314</v>
      </c>
      <c r="L211" s="46" t="s">
        <v>1745</v>
      </c>
      <c r="M211" s="46" t="s">
        <v>1309</v>
      </c>
      <c r="N211" s="46" t="s">
        <v>1310</v>
      </c>
      <c r="O211" s="46" t="s">
        <v>1311</v>
      </c>
      <c r="P211" s="46" t="s">
        <v>1312</v>
      </c>
      <c r="Q211" s="46" t="s">
        <v>31</v>
      </c>
      <c r="R211" s="46" t="s">
        <v>31</v>
      </c>
      <c r="S211" s="46" t="s">
        <v>31</v>
      </c>
      <c r="T211" s="46" t="s">
        <v>31</v>
      </c>
      <c r="U211" s="46" t="s">
        <v>49</v>
      </c>
    </row>
    <row r="212" spans="1:21">
      <c r="A212" s="46" t="s">
        <v>701</v>
      </c>
      <c r="B212" s="46" t="s">
        <v>97</v>
      </c>
      <c r="C212" s="46" t="s">
        <v>666</v>
      </c>
      <c r="D212" s="46">
        <v>1</v>
      </c>
      <c r="E212" s="46">
        <v>0</v>
      </c>
      <c r="F212" s="46" t="s">
        <v>692</v>
      </c>
      <c r="G212" s="46" t="s">
        <v>1305</v>
      </c>
      <c r="H212" s="46" t="s">
        <v>1746</v>
      </c>
      <c r="I212" s="46" t="str">
        <f ca="1">IFERROR(__xludf.DUMMYFUNCTION("CONCAT(A212,REGEXREPLACE(H212,"".*_L0"",""_L0""))"),"PD_BN0655_MTG_snRNAseq_rep1_L001_R1_001.fastq.gz")</f>
        <v>PD_BN0655_MTG_snRNAseq_rep1_L001_R1_001.fastq.gz</v>
      </c>
      <c r="J212" s="46" t="str">
        <f t="shared" si="0"/>
        <v>/data/neurogen/ASAP/scRNAseq/data/batch4_ASAP_snRNA-seq_*/Raw_Data_and_Processing/cellranger_processing/cellranger_fastqs/outs/fastq_path/H*/BN0655_S4_L001_R1_001.fastq.gz</v>
      </c>
      <c r="K212" s="46" t="s">
        <v>1317</v>
      </c>
      <c r="L212" s="46" t="s">
        <v>1747</v>
      </c>
      <c r="M212" s="46" t="s">
        <v>1309</v>
      </c>
      <c r="N212" s="46" t="s">
        <v>1310</v>
      </c>
      <c r="O212" s="46" t="s">
        <v>1311</v>
      </c>
      <c r="P212" s="46" t="s">
        <v>1312</v>
      </c>
      <c r="Q212" s="46" t="s">
        <v>31</v>
      </c>
      <c r="R212" s="46" t="s">
        <v>31</v>
      </c>
      <c r="S212" s="46" t="s">
        <v>31</v>
      </c>
      <c r="T212" s="46" t="s">
        <v>31</v>
      </c>
      <c r="U212" s="46" t="s">
        <v>49</v>
      </c>
    </row>
    <row r="213" spans="1:21">
      <c r="A213" s="46" t="s">
        <v>701</v>
      </c>
      <c r="B213" s="46" t="s">
        <v>97</v>
      </c>
      <c r="C213" s="46" t="s">
        <v>666</v>
      </c>
      <c r="D213" s="46">
        <v>1</v>
      </c>
      <c r="E213" s="46">
        <v>0</v>
      </c>
      <c r="F213" s="46" t="s">
        <v>692</v>
      </c>
      <c r="G213" s="46" t="s">
        <v>1305</v>
      </c>
      <c r="H213" s="46" t="s">
        <v>1748</v>
      </c>
      <c r="I213" s="46" t="str">
        <f ca="1">IFERROR(__xludf.DUMMYFUNCTION("CONCAT(A213,REGEXREPLACE(H213,"".*_L0"",""_L0""))"),"PD_BN0655_MTG_snRNAseq_rep1_L001_R2_001.fastq.gz")</f>
        <v>PD_BN0655_MTG_snRNAseq_rep1_L001_R2_001.fastq.gz</v>
      </c>
      <c r="J213" s="46" t="str">
        <f t="shared" si="0"/>
        <v>/data/neurogen/ASAP/scRNAseq/data/batch4_ASAP_snRNA-seq_*/Raw_Data_and_Processing/cellranger_processing/cellranger_fastqs/outs/fastq_path/H*/BN0655_S4_L001_R2_001.fastq.gz</v>
      </c>
      <c r="K213" s="46" t="s">
        <v>1320</v>
      </c>
      <c r="L213" s="46" t="s">
        <v>1749</v>
      </c>
      <c r="M213" s="46" t="s">
        <v>1309</v>
      </c>
      <c r="N213" s="46" t="s">
        <v>1310</v>
      </c>
      <c r="O213" s="46" t="s">
        <v>1311</v>
      </c>
      <c r="P213" s="46" t="s">
        <v>1312</v>
      </c>
      <c r="Q213" s="46" t="s">
        <v>31</v>
      </c>
      <c r="R213" s="46" t="s">
        <v>31</v>
      </c>
      <c r="S213" s="46" t="s">
        <v>31</v>
      </c>
      <c r="T213" s="46" t="s">
        <v>31</v>
      </c>
      <c r="U213" s="46" t="s">
        <v>49</v>
      </c>
    </row>
    <row r="214" spans="1:21">
      <c r="A214" s="46" t="s">
        <v>701</v>
      </c>
      <c r="B214" s="46" t="s">
        <v>97</v>
      </c>
      <c r="C214" s="46" t="s">
        <v>666</v>
      </c>
      <c r="D214" s="46">
        <v>1</v>
      </c>
      <c r="E214" s="46">
        <v>0</v>
      </c>
      <c r="F214" s="46" t="s">
        <v>692</v>
      </c>
      <c r="G214" s="46" t="s">
        <v>1305</v>
      </c>
      <c r="H214" s="46" t="s">
        <v>1750</v>
      </c>
      <c r="I214" s="46" t="str">
        <f ca="1">IFERROR(__xludf.DUMMYFUNCTION("CONCAT(A214,REGEXREPLACE(H214,"".*_L0"",""_L0""))"),"PD_BN0655_MTG_snRNAseq_rep1_L002_I1_001.fastq.gz")</f>
        <v>PD_BN0655_MTG_snRNAseq_rep1_L002_I1_001.fastq.gz</v>
      </c>
      <c r="J214" s="46" t="str">
        <f t="shared" si="0"/>
        <v>/data/neurogen/ASAP/scRNAseq/data/batch4_ASAP_snRNA-seq_*/Raw_Data_and_Processing/cellranger_processing/cellranger_fastqs/outs/fastq_path/H*/BN0655_S4_L002_I1_001.fastq.gz</v>
      </c>
      <c r="K214" s="46" t="s">
        <v>1323</v>
      </c>
      <c r="L214" s="46" t="s">
        <v>1751</v>
      </c>
      <c r="M214" s="46" t="s">
        <v>1309</v>
      </c>
      <c r="N214" s="46" t="s">
        <v>1310</v>
      </c>
      <c r="O214" s="46" t="s">
        <v>1311</v>
      </c>
      <c r="P214" s="46" t="s">
        <v>1312</v>
      </c>
      <c r="Q214" s="46" t="s">
        <v>31</v>
      </c>
      <c r="R214" s="46" t="s">
        <v>31</v>
      </c>
      <c r="S214" s="46" t="s">
        <v>31</v>
      </c>
      <c r="T214" s="46" t="s">
        <v>31</v>
      </c>
      <c r="U214" s="46" t="s">
        <v>49</v>
      </c>
    </row>
    <row r="215" spans="1:21">
      <c r="A215" s="46" t="s">
        <v>701</v>
      </c>
      <c r="B215" s="46" t="s">
        <v>97</v>
      </c>
      <c r="C215" s="46" t="s">
        <v>666</v>
      </c>
      <c r="D215" s="46">
        <v>1</v>
      </c>
      <c r="E215" s="46">
        <v>0</v>
      </c>
      <c r="F215" s="46" t="s">
        <v>692</v>
      </c>
      <c r="G215" s="46" t="s">
        <v>1305</v>
      </c>
      <c r="H215" s="46" t="s">
        <v>1752</v>
      </c>
      <c r="I215" s="46" t="str">
        <f ca="1">IFERROR(__xludf.DUMMYFUNCTION("CONCAT(A215,REGEXREPLACE(H215,"".*_L0"",""_L0""))"),"PD_BN0655_MTG_snRNAseq_rep1_L002_I2_001.fastq.gz")</f>
        <v>PD_BN0655_MTG_snRNAseq_rep1_L002_I2_001.fastq.gz</v>
      </c>
      <c r="J215" s="46" t="str">
        <f t="shared" si="0"/>
        <v>/data/neurogen/ASAP/scRNAseq/data/batch4_ASAP_snRNA-seq_*/Raw_Data_and_Processing/cellranger_processing/cellranger_fastqs/outs/fastq_path/H*/BN0655_S4_L002_I2_001.fastq.gz</v>
      </c>
      <c r="K215" s="46" t="s">
        <v>1326</v>
      </c>
      <c r="L215" s="46" t="s">
        <v>1753</v>
      </c>
      <c r="M215" s="46" t="s">
        <v>1309</v>
      </c>
      <c r="N215" s="46" t="s">
        <v>1310</v>
      </c>
      <c r="O215" s="46" t="s">
        <v>1311</v>
      </c>
      <c r="P215" s="46" t="s">
        <v>1312</v>
      </c>
      <c r="Q215" s="46" t="s">
        <v>31</v>
      </c>
      <c r="R215" s="46" t="s">
        <v>31</v>
      </c>
      <c r="S215" s="46" t="s">
        <v>31</v>
      </c>
      <c r="T215" s="46" t="s">
        <v>31</v>
      </c>
      <c r="U215" s="46" t="s">
        <v>49</v>
      </c>
    </row>
    <row r="216" spans="1:21">
      <c r="A216" s="46" t="s">
        <v>701</v>
      </c>
      <c r="B216" s="46" t="s">
        <v>97</v>
      </c>
      <c r="C216" s="46" t="s">
        <v>666</v>
      </c>
      <c r="D216" s="46">
        <v>1</v>
      </c>
      <c r="E216" s="46">
        <v>0</v>
      </c>
      <c r="F216" s="46" t="s">
        <v>692</v>
      </c>
      <c r="G216" s="46" t="s">
        <v>1305</v>
      </c>
      <c r="H216" s="46" t="s">
        <v>1754</v>
      </c>
      <c r="I216" s="46" t="str">
        <f ca="1">IFERROR(__xludf.DUMMYFUNCTION("CONCAT(A216,REGEXREPLACE(H216,"".*_L0"",""_L0""))"),"PD_BN0655_MTG_snRNAseq_rep1_L002_R1_001.fastq.gz")</f>
        <v>PD_BN0655_MTG_snRNAseq_rep1_L002_R1_001.fastq.gz</v>
      </c>
      <c r="J216" s="46" t="str">
        <f t="shared" si="0"/>
        <v>/data/neurogen/ASAP/scRNAseq/data/batch4_ASAP_snRNA-seq_*/Raw_Data_and_Processing/cellranger_processing/cellranger_fastqs/outs/fastq_path/H*/BN0655_S4_L002_R1_001.fastq.gz</v>
      </c>
      <c r="K216" s="46" t="s">
        <v>1329</v>
      </c>
      <c r="L216" s="46" t="s">
        <v>1755</v>
      </c>
      <c r="M216" s="46" t="s">
        <v>1309</v>
      </c>
      <c r="N216" s="46" t="s">
        <v>1310</v>
      </c>
      <c r="O216" s="46" t="s">
        <v>1311</v>
      </c>
      <c r="P216" s="46" t="s">
        <v>1312</v>
      </c>
      <c r="Q216" s="46" t="s">
        <v>31</v>
      </c>
      <c r="R216" s="46" t="s">
        <v>31</v>
      </c>
      <c r="S216" s="46" t="s">
        <v>31</v>
      </c>
      <c r="T216" s="46" t="s">
        <v>31</v>
      </c>
      <c r="U216" s="46" t="s">
        <v>49</v>
      </c>
    </row>
    <row r="217" spans="1:21">
      <c r="A217" s="46" t="s">
        <v>701</v>
      </c>
      <c r="B217" s="46" t="s">
        <v>97</v>
      </c>
      <c r="C217" s="46" t="s">
        <v>666</v>
      </c>
      <c r="D217" s="46">
        <v>1</v>
      </c>
      <c r="E217" s="46">
        <v>0</v>
      </c>
      <c r="F217" s="46" t="s">
        <v>692</v>
      </c>
      <c r="G217" s="46" t="s">
        <v>1305</v>
      </c>
      <c r="H217" s="46" t="s">
        <v>1756</v>
      </c>
      <c r="I217" s="46" t="str">
        <f ca="1">IFERROR(__xludf.DUMMYFUNCTION("CONCAT(A217,REGEXREPLACE(H217,"".*_L0"",""_L0""))"),"PD_BN0655_MTG_snRNAseq_rep1_L002_R2_001.fastq.gz")</f>
        <v>PD_BN0655_MTG_snRNAseq_rep1_L002_R2_001.fastq.gz</v>
      </c>
      <c r="J217" s="46" t="str">
        <f t="shared" si="0"/>
        <v>/data/neurogen/ASAP/scRNAseq/data/batch4_ASAP_snRNA-seq_*/Raw_Data_and_Processing/cellranger_processing/cellranger_fastqs/outs/fastq_path/H*/BN0655_S4_L002_R2_001.fastq.gz</v>
      </c>
      <c r="K217" s="46" t="s">
        <v>1332</v>
      </c>
      <c r="L217" s="46" t="s">
        <v>1757</v>
      </c>
      <c r="M217" s="46" t="s">
        <v>1309</v>
      </c>
      <c r="N217" s="46" t="s">
        <v>1310</v>
      </c>
      <c r="O217" s="46" t="s">
        <v>1311</v>
      </c>
      <c r="P217" s="46" t="s">
        <v>1312</v>
      </c>
      <c r="Q217" s="46" t="s">
        <v>31</v>
      </c>
      <c r="R217" s="46" t="s">
        <v>31</v>
      </c>
      <c r="S217" s="46" t="s">
        <v>31</v>
      </c>
      <c r="T217" s="46" t="s">
        <v>31</v>
      </c>
      <c r="U217" s="46" t="s">
        <v>49</v>
      </c>
    </row>
    <row r="218" spans="1:21">
      <c r="A218" s="46" t="s">
        <v>701</v>
      </c>
      <c r="B218" s="46" t="s">
        <v>97</v>
      </c>
      <c r="C218" s="46" t="s">
        <v>666</v>
      </c>
      <c r="D218" s="46">
        <v>1</v>
      </c>
      <c r="E218" s="46">
        <v>0</v>
      </c>
      <c r="F218" s="46" t="s">
        <v>692</v>
      </c>
      <c r="G218" s="46" t="s">
        <v>1305</v>
      </c>
      <c r="H218" s="46" t="s">
        <v>1758</v>
      </c>
      <c r="I218" s="46" t="str">
        <f ca="1">IFERROR(__xludf.DUMMYFUNCTION("CONCAT(A218,REGEXREPLACE(H218,"".*_L0"",""_L0""))"),"PD_BN0655_MTG_snRNAseq_rep1_L003_I1_001.fastq.gz")</f>
        <v>PD_BN0655_MTG_snRNAseq_rep1_L003_I1_001.fastq.gz</v>
      </c>
      <c r="J218" s="46" t="str">
        <f t="shared" si="0"/>
        <v>/data/neurogen/ASAP/scRNAseq/data/batch4_ASAP_snRNA-seq_*/Raw_Data_and_Processing/cellranger_processing/cellranger_fastqs/outs/fastq_path/H*/BN0655_S4_L003_I1_001.fastq.gz</v>
      </c>
      <c r="K218" s="46" t="s">
        <v>1335</v>
      </c>
      <c r="L218" s="46" t="s">
        <v>1759</v>
      </c>
      <c r="M218" s="46" t="s">
        <v>1309</v>
      </c>
      <c r="N218" s="46" t="s">
        <v>1310</v>
      </c>
      <c r="O218" s="46" t="s">
        <v>1311</v>
      </c>
      <c r="P218" s="46" t="s">
        <v>1312</v>
      </c>
      <c r="Q218" s="46" t="s">
        <v>31</v>
      </c>
      <c r="R218" s="46" t="s">
        <v>31</v>
      </c>
      <c r="S218" s="46" t="s">
        <v>31</v>
      </c>
      <c r="T218" s="46" t="s">
        <v>31</v>
      </c>
      <c r="U218" s="46" t="s">
        <v>49</v>
      </c>
    </row>
    <row r="219" spans="1:21">
      <c r="A219" s="46" t="s">
        <v>701</v>
      </c>
      <c r="B219" s="46" t="s">
        <v>97</v>
      </c>
      <c r="C219" s="46" t="s">
        <v>666</v>
      </c>
      <c r="D219" s="46">
        <v>1</v>
      </c>
      <c r="E219" s="46">
        <v>0</v>
      </c>
      <c r="F219" s="46" t="s">
        <v>692</v>
      </c>
      <c r="G219" s="46" t="s">
        <v>1305</v>
      </c>
      <c r="H219" s="46" t="s">
        <v>1760</v>
      </c>
      <c r="I219" s="46" t="str">
        <f ca="1">IFERROR(__xludf.DUMMYFUNCTION("CONCAT(A219,REGEXREPLACE(H219,"".*_L0"",""_L0""))"),"PD_BN0655_MTG_snRNAseq_rep1_L003_I2_001.fastq.gz")</f>
        <v>PD_BN0655_MTG_snRNAseq_rep1_L003_I2_001.fastq.gz</v>
      </c>
      <c r="J219" s="46" t="str">
        <f t="shared" si="0"/>
        <v>/data/neurogen/ASAP/scRNAseq/data/batch4_ASAP_snRNA-seq_*/Raw_Data_and_Processing/cellranger_processing/cellranger_fastqs/outs/fastq_path/H*/BN0655_S4_L003_I2_001.fastq.gz</v>
      </c>
      <c r="K219" s="46" t="s">
        <v>1338</v>
      </c>
      <c r="L219" s="46" t="s">
        <v>1761</v>
      </c>
      <c r="M219" s="46" t="s">
        <v>1309</v>
      </c>
      <c r="N219" s="46" t="s">
        <v>1310</v>
      </c>
      <c r="O219" s="46" t="s">
        <v>1311</v>
      </c>
      <c r="P219" s="46" t="s">
        <v>1312</v>
      </c>
      <c r="Q219" s="46" t="s">
        <v>31</v>
      </c>
      <c r="R219" s="46" t="s">
        <v>31</v>
      </c>
      <c r="S219" s="46" t="s">
        <v>31</v>
      </c>
      <c r="T219" s="46" t="s">
        <v>31</v>
      </c>
      <c r="U219" s="46" t="s">
        <v>49</v>
      </c>
    </row>
    <row r="220" spans="1:21">
      <c r="A220" s="46" t="s">
        <v>701</v>
      </c>
      <c r="B220" s="46" t="s">
        <v>97</v>
      </c>
      <c r="C220" s="46" t="s">
        <v>666</v>
      </c>
      <c r="D220" s="46">
        <v>1</v>
      </c>
      <c r="E220" s="46">
        <v>0</v>
      </c>
      <c r="F220" s="46" t="s">
        <v>692</v>
      </c>
      <c r="G220" s="46" t="s">
        <v>1305</v>
      </c>
      <c r="H220" s="46" t="s">
        <v>1762</v>
      </c>
      <c r="I220" s="46" t="str">
        <f ca="1">IFERROR(__xludf.DUMMYFUNCTION("CONCAT(A220,REGEXREPLACE(H220,"".*_L0"",""_L0""))"),"PD_BN0655_MTG_snRNAseq_rep1_L003_R1_001.fastq.gz")</f>
        <v>PD_BN0655_MTG_snRNAseq_rep1_L003_R1_001.fastq.gz</v>
      </c>
      <c r="J220" s="46" t="str">
        <f t="shared" si="0"/>
        <v>/data/neurogen/ASAP/scRNAseq/data/batch4_ASAP_snRNA-seq_*/Raw_Data_and_Processing/cellranger_processing/cellranger_fastqs/outs/fastq_path/H*/BN0655_S4_L003_R1_001.fastq.gz</v>
      </c>
      <c r="K220" s="46" t="s">
        <v>1341</v>
      </c>
      <c r="L220" s="46" t="s">
        <v>1763</v>
      </c>
      <c r="M220" s="46" t="s">
        <v>1309</v>
      </c>
      <c r="N220" s="46" t="s">
        <v>1310</v>
      </c>
      <c r="O220" s="46" t="s">
        <v>1311</v>
      </c>
      <c r="P220" s="46" t="s">
        <v>1312</v>
      </c>
      <c r="Q220" s="46" t="s">
        <v>31</v>
      </c>
      <c r="R220" s="46" t="s">
        <v>31</v>
      </c>
      <c r="S220" s="46" t="s">
        <v>31</v>
      </c>
      <c r="T220" s="46" t="s">
        <v>31</v>
      </c>
      <c r="U220" s="46" t="s">
        <v>49</v>
      </c>
    </row>
    <row r="221" spans="1:21">
      <c r="A221" s="46" t="s">
        <v>701</v>
      </c>
      <c r="B221" s="46" t="s">
        <v>97</v>
      </c>
      <c r="C221" s="46" t="s">
        <v>666</v>
      </c>
      <c r="D221" s="46">
        <v>1</v>
      </c>
      <c r="E221" s="46">
        <v>0</v>
      </c>
      <c r="F221" s="46" t="s">
        <v>692</v>
      </c>
      <c r="G221" s="46" t="s">
        <v>1305</v>
      </c>
      <c r="H221" s="46" t="s">
        <v>1764</v>
      </c>
      <c r="I221" s="46" t="str">
        <f ca="1">IFERROR(__xludf.DUMMYFUNCTION("CONCAT(A221,REGEXREPLACE(H221,"".*_L0"",""_L0""))"),"PD_BN0655_MTG_snRNAseq_rep1_L003_R2_001.fastq.gz")</f>
        <v>PD_BN0655_MTG_snRNAseq_rep1_L003_R2_001.fastq.gz</v>
      </c>
      <c r="J221" s="46" t="str">
        <f t="shared" si="0"/>
        <v>/data/neurogen/ASAP/scRNAseq/data/batch4_ASAP_snRNA-seq_*/Raw_Data_and_Processing/cellranger_processing/cellranger_fastqs/outs/fastq_path/H*/BN0655_S4_L003_R2_001.fastq.gz</v>
      </c>
      <c r="K221" s="46" t="s">
        <v>1344</v>
      </c>
      <c r="L221" s="46" t="s">
        <v>1765</v>
      </c>
      <c r="M221" s="46" t="s">
        <v>1309</v>
      </c>
      <c r="N221" s="46" t="s">
        <v>1310</v>
      </c>
      <c r="O221" s="46" t="s">
        <v>1311</v>
      </c>
      <c r="P221" s="46" t="s">
        <v>1312</v>
      </c>
      <c r="Q221" s="46" t="s">
        <v>31</v>
      </c>
      <c r="R221" s="46" t="s">
        <v>31</v>
      </c>
      <c r="S221" s="46" t="s">
        <v>31</v>
      </c>
      <c r="T221" s="46" t="s">
        <v>31</v>
      </c>
      <c r="U221" s="46" t="s">
        <v>49</v>
      </c>
    </row>
    <row r="222" spans="1:21">
      <c r="A222" s="46" t="s">
        <v>701</v>
      </c>
      <c r="B222" s="46" t="s">
        <v>97</v>
      </c>
      <c r="C222" s="46" t="s">
        <v>666</v>
      </c>
      <c r="D222" s="46">
        <v>1</v>
      </c>
      <c r="E222" s="46">
        <v>0</v>
      </c>
      <c r="F222" s="46" t="s">
        <v>692</v>
      </c>
      <c r="G222" s="46" t="s">
        <v>1305</v>
      </c>
      <c r="H222" s="46" t="s">
        <v>1766</v>
      </c>
      <c r="I222" s="46" t="str">
        <f ca="1">IFERROR(__xludf.DUMMYFUNCTION("CONCAT(A222,REGEXREPLACE(H222,"".*_L0"",""_L0""))"),"PD_BN0655_MTG_snRNAseq_rep1_L004_I1_001.fastq.gz")</f>
        <v>PD_BN0655_MTG_snRNAseq_rep1_L004_I1_001.fastq.gz</v>
      </c>
      <c r="J222" s="46" t="str">
        <f t="shared" si="0"/>
        <v>/data/neurogen/ASAP/scRNAseq/data/batch4_ASAP_snRNA-seq_*/Raw_Data_and_Processing/cellranger_processing/cellranger_fastqs/outs/fastq_path/H*/BN0655_S4_L004_I1_001.fastq.gz</v>
      </c>
      <c r="K222" s="46" t="s">
        <v>1347</v>
      </c>
      <c r="L222" s="46" t="s">
        <v>1767</v>
      </c>
      <c r="M222" s="46" t="s">
        <v>1309</v>
      </c>
      <c r="N222" s="46" t="s">
        <v>1310</v>
      </c>
      <c r="O222" s="46" t="s">
        <v>1311</v>
      </c>
      <c r="P222" s="46" t="s">
        <v>1312</v>
      </c>
      <c r="Q222" s="46" t="s">
        <v>31</v>
      </c>
      <c r="R222" s="46" t="s">
        <v>31</v>
      </c>
      <c r="S222" s="46" t="s">
        <v>31</v>
      </c>
      <c r="T222" s="46" t="s">
        <v>31</v>
      </c>
      <c r="U222" s="46" t="s">
        <v>49</v>
      </c>
    </row>
    <row r="223" spans="1:21">
      <c r="A223" s="46" t="s">
        <v>701</v>
      </c>
      <c r="B223" s="46" t="s">
        <v>97</v>
      </c>
      <c r="C223" s="46" t="s">
        <v>666</v>
      </c>
      <c r="D223" s="46">
        <v>1</v>
      </c>
      <c r="E223" s="46">
        <v>0</v>
      </c>
      <c r="F223" s="46" t="s">
        <v>692</v>
      </c>
      <c r="G223" s="46" t="s">
        <v>1305</v>
      </c>
      <c r="H223" s="46" t="s">
        <v>1768</v>
      </c>
      <c r="I223" s="46" t="str">
        <f ca="1">IFERROR(__xludf.DUMMYFUNCTION("CONCAT(A223,REGEXREPLACE(H223,"".*_L0"",""_L0""))"),"PD_BN0655_MTG_snRNAseq_rep1_L004_I2_001.fastq.gz")</f>
        <v>PD_BN0655_MTG_snRNAseq_rep1_L004_I2_001.fastq.gz</v>
      </c>
      <c r="J223" s="46" t="str">
        <f t="shared" si="0"/>
        <v>/data/neurogen/ASAP/scRNAseq/data/batch4_ASAP_snRNA-seq_*/Raw_Data_and_Processing/cellranger_processing/cellranger_fastqs/outs/fastq_path/H*/BN0655_S4_L004_I2_001.fastq.gz</v>
      </c>
      <c r="K223" s="46" t="s">
        <v>1350</v>
      </c>
      <c r="L223" s="46" t="s">
        <v>1769</v>
      </c>
      <c r="M223" s="46" t="s">
        <v>1309</v>
      </c>
      <c r="N223" s="46" t="s">
        <v>1310</v>
      </c>
      <c r="O223" s="46" t="s">
        <v>1311</v>
      </c>
      <c r="P223" s="46" t="s">
        <v>1312</v>
      </c>
      <c r="Q223" s="46" t="s">
        <v>31</v>
      </c>
      <c r="R223" s="46" t="s">
        <v>31</v>
      </c>
      <c r="S223" s="46" t="s">
        <v>31</v>
      </c>
      <c r="T223" s="46" t="s">
        <v>31</v>
      </c>
      <c r="U223" s="46" t="s">
        <v>49</v>
      </c>
    </row>
    <row r="224" spans="1:21">
      <c r="A224" s="46" t="s">
        <v>701</v>
      </c>
      <c r="B224" s="46" t="s">
        <v>97</v>
      </c>
      <c r="C224" s="46" t="s">
        <v>666</v>
      </c>
      <c r="D224" s="46">
        <v>1</v>
      </c>
      <c r="E224" s="46">
        <v>0</v>
      </c>
      <c r="F224" s="46" t="s">
        <v>692</v>
      </c>
      <c r="G224" s="46" t="s">
        <v>1305</v>
      </c>
      <c r="H224" s="46" t="s">
        <v>1770</v>
      </c>
      <c r="I224" s="46" t="str">
        <f ca="1">IFERROR(__xludf.DUMMYFUNCTION("CONCAT(A224,REGEXREPLACE(H224,"".*_L0"",""_L0""))"),"PD_BN0655_MTG_snRNAseq_rep1_L004_R1_001.fastq.gz")</f>
        <v>PD_BN0655_MTG_snRNAseq_rep1_L004_R1_001.fastq.gz</v>
      </c>
      <c r="J224" s="46" t="str">
        <f t="shared" si="0"/>
        <v>/data/neurogen/ASAP/scRNAseq/data/batch4_ASAP_snRNA-seq_*/Raw_Data_and_Processing/cellranger_processing/cellranger_fastqs/outs/fastq_path/H*/BN0655_S4_L004_R1_001.fastq.gz</v>
      </c>
      <c r="K224" s="46" t="s">
        <v>1353</v>
      </c>
      <c r="L224" s="46" t="s">
        <v>1771</v>
      </c>
      <c r="M224" s="46" t="s">
        <v>1309</v>
      </c>
      <c r="N224" s="46" t="s">
        <v>1310</v>
      </c>
      <c r="O224" s="46" t="s">
        <v>1311</v>
      </c>
      <c r="P224" s="46" t="s">
        <v>1312</v>
      </c>
      <c r="Q224" s="46" t="s">
        <v>31</v>
      </c>
      <c r="R224" s="46" t="s">
        <v>31</v>
      </c>
      <c r="S224" s="46" t="s">
        <v>31</v>
      </c>
      <c r="T224" s="46" t="s">
        <v>31</v>
      </c>
      <c r="U224" s="46" t="s">
        <v>49</v>
      </c>
    </row>
    <row r="225" spans="1:21">
      <c r="A225" s="46" t="s">
        <v>701</v>
      </c>
      <c r="B225" s="46" t="s">
        <v>97</v>
      </c>
      <c r="C225" s="46" t="s">
        <v>666</v>
      </c>
      <c r="D225" s="46">
        <v>1</v>
      </c>
      <c r="E225" s="46">
        <v>0</v>
      </c>
      <c r="F225" s="46" t="s">
        <v>692</v>
      </c>
      <c r="G225" s="46" t="s">
        <v>1305</v>
      </c>
      <c r="H225" s="46" t="s">
        <v>1772</v>
      </c>
      <c r="I225" s="46" t="str">
        <f ca="1">IFERROR(__xludf.DUMMYFUNCTION("CONCAT(A225,REGEXREPLACE(H225,"".*_L0"",""_L0""))"),"PD_BN0655_MTG_snRNAseq_rep1_L004_R2_001.fastq.gz")</f>
        <v>PD_BN0655_MTG_snRNAseq_rep1_L004_R2_001.fastq.gz</v>
      </c>
      <c r="J225" s="46" t="str">
        <f t="shared" si="0"/>
        <v>/data/neurogen/ASAP/scRNAseq/data/batch4_ASAP_snRNA-seq_*/Raw_Data_and_Processing/cellranger_processing/cellranger_fastqs/outs/fastq_path/H*/BN0655_S4_L004_R2_001.fastq.gz</v>
      </c>
      <c r="K225" s="46" t="s">
        <v>1356</v>
      </c>
      <c r="L225" s="46" t="s">
        <v>1773</v>
      </c>
      <c r="M225" s="46" t="s">
        <v>1309</v>
      </c>
      <c r="N225" s="46" t="s">
        <v>1310</v>
      </c>
      <c r="O225" s="46" t="s">
        <v>1311</v>
      </c>
      <c r="P225" s="46" t="s">
        <v>1312</v>
      </c>
      <c r="Q225" s="46" t="s">
        <v>31</v>
      </c>
      <c r="R225" s="46" t="s">
        <v>31</v>
      </c>
      <c r="S225" s="46" t="s">
        <v>31</v>
      </c>
      <c r="T225" s="46" t="s">
        <v>31</v>
      </c>
      <c r="U225" s="46" t="s">
        <v>49</v>
      </c>
    </row>
    <row r="226" spans="1:21">
      <c r="A226" s="46" t="s">
        <v>800</v>
      </c>
      <c r="B226" s="46" t="s">
        <v>243</v>
      </c>
      <c r="C226" s="46" t="s">
        <v>666</v>
      </c>
      <c r="D226" s="46">
        <v>1</v>
      </c>
      <c r="E226" s="46">
        <v>0</v>
      </c>
      <c r="F226" s="46" t="s">
        <v>692</v>
      </c>
      <c r="G226" s="46" t="s">
        <v>1305</v>
      </c>
      <c r="H226" s="46" t="s">
        <v>1774</v>
      </c>
      <c r="I226" s="46" t="str">
        <f ca="1">IFERROR(__xludf.DUMMYFUNCTION("CONCAT(A226,REGEXREPLACE(H226,"".*_L0"",""_L0""))"),"ILB_BN2015_MTG_snRNAseq_rep1_L001_I1_001.fastq.gz")</f>
        <v>ILB_BN2015_MTG_snRNAseq_rep1_L001_I1_001.fastq.gz</v>
      </c>
      <c r="J226" s="46" t="str">
        <f t="shared" si="0"/>
        <v>/data/neurogen/ASAP/scRNAseq/data/batch4_ASAP_snRNA-seq_*/Raw_Data_and_Processing/cellranger_processing/cellranger_fastqs/outs/fastq_path/H*/BN2015_S2_L001_I1_001.fastq.gz</v>
      </c>
      <c r="K226" s="46" t="s">
        <v>1307</v>
      </c>
      <c r="L226" s="46" t="s">
        <v>1775</v>
      </c>
      <c r="M226" s="46" t="s">
        <v>1309</v>
      </c>
      <c r="N226" s="46" t="s">
        <v>1310</v>
      </c>
      <c r="O226" s="46" t="s">
        <v>1311</v>
      </c>
      <c r="P226" s="46" t="s">
        <v>1312</v>
      </c>
      <c r="Q226" s="46" t="s">
        <v>31</v>
      </c>
      <c r="R226" s="46" t="s">
        <v>31</v>
      </c>
      <c r="S226" s="46" t="s">
        <v>31</v>
      </c>
      <c r="T226" s="46" t="s">
        <v>31</v>
      </c>
      <c r="U226" s="46" t="s">
        <v>49</v>
      </c>
    </row>
    <row r="227" spans="1:21">
      <c r="A227" s="46" t="s">
        <v>800</v>
      </c>
      <c r="B227" s="46" t="s">
        <v>243</v>
      </c>
      <c r="C227" s="46" t="s">
        <v>666</v>
      </c>
      <c r="D227" s="46">
        <v>1</v>
      </c>
      <c r="E227" s="46">
        <v>0</v>
      </c>
      <c r="F227" s="46" t="s">
        <v>692</v>
      </c>
      <c r="G227" s="46" t="s">
        <v>1305</v>
      </c>
      <c r="H227" s="46" t="s">
        <v>1776</v>
      </c>
      <c r="I227" s="46" t="str">
        <f ca="1">IFERROR(__xludf.DUMMYFUNCTION("CONCAT(A227,REGEXREPLACE(H227,"".*_L0"",""_L0""))"),"ILB_BN2015_MTG_snRNAseq_rep1_L001_I2_001.fastq.gz")</f>
        <v>ILB_BN2015_MTG_snRNAseq_rep1_L001_I2_001.fastq.gz</v>
      </c>
      <c r="J227" s="46" t="str">
        <f t="shared" si="0"/>
        <v>/data/neurogen/ASAP/scRNAseq/data/batch4_ASAP_snRNA-seq_*/Raw_Data_and_Processing/cellranger_processing/cellranger_fastqs/outs/fastq_path/H*/BN2015_S2_L001_I2_001.fastq.gz</v>
      </c>
      <c r="K227" s="46" t="s">
        <v>1314</v>
      </c>
      <c r="L227" s="46" t="s">
        <v>1777</v>
      </c>
      <c r="M227" s="46" t="s">
        <v>1309</v>
      </c>
      <c r="N227" s="46" t="s">
        <v>1310</v>
      </c>
      <c r="O227" s="46" t="s">
        <v>1311</v>
      </c>
      <c r="P227" s="46" t="s">
        <v>1312</v>
      </c>
      <c r="Q227" s="46" t="s">
        <v>31</v>
      </c>
      <c r="R227" s="46" t="s">
        <v>31</v>
      </c>
      <c r="S227" s="46" t="s">
        <v>31</v>
      </c>
      <c r="T227" s="46" t="s">
        <v>31</v>
      </c>
      <c r="U227" s="46" t="s">
        <v>49</v>
      </c>
    </row>
    <row r="228" spans="1:21">
      <c r="A228" s="46" t="s">
        <v>800</v>
      </c>
      <c r="B228" s="46" t="s">
        <v>243</v>
      </c>
      <c r="C228" s="46" t="s">
        <v>666</v>
      </c>
      <c r="D228" s="46">
        <v>1</v>
      </c>
      <c r="E228" s="46">
        <v>0</v>
      </c>
      <c r="F228" s="46" t="s">
        <v>692</v>
      </c>
      <c r="G228" s="46" t="s">
        <v>1305</v>
      </c>
      <c r="H228" s="46" t="s">
        <v>1778</v>
      </c>
      <c r="I228" s="46" t="str">
        <f ca="1">IFERROR(__xludf.DUMMYFUNCTION("CONCAT(A228,REGEXREPLACE(H228,"".*_L0"",""_L0""))"),"ILB_BN2015_MTG_snRNAseq_rep1_L001_R1_001.fastq.gz")</f>
        <v>ILB_BN2015_MTG_snRNAseq_rep1_L001_R1_001.fastq.gz</v>
      </c>
      <c r="J228" s="46" t="str">
        <f t="shared" si="0"/>
        <v>/data/neurogen/ASAP/scRNAseq/data/batch4_ASAP_snRNA-seq_*/Raw_Data_and_Processing/cellranger_processing/cellranger_fastqs/outs/fastq_path/H*/BN2015_S2_L001_R1_001.fastq.gz</v>
      </c>
      <c r="K228" s="46" t="s">
        <v>1317</v>
      </c>
      <c r="L228" s="46" t="s">
        <v>1779</v>
      </c>
      <c r="M228" s="46" t="s">
        <v>1309</v>
      </c>
      <c r="N228" s="46" t="s">
        <v>1310</v>
      </c>
      <c r="O228" s="46" t="s">
        <v>1311</v>
      </c>
      <c r="P228" s="46" t="s">
        <v>1312</v>
      </c>
      <c r="Q228" s="46" t="s">
        <v>31</v>
      </c>
      <c r="R228" s="46" t="s">
        <v>31</v>
      </c>
      <c r="S228" s="46" t="s">
        <v>31</v>
      </c>
      <c r="T228" s="46" t="s">
        <v>31</v>
      </c>
      <c r="U228" s="46" t="s">
        <v>49</v>
      </c>
    </row>
    <row r="229" spans="1:21">
      <c r="A229" s="46" t="s">
        <v>800</v>
      </c>
      <c r="B229" s="46" t="s">
        <v>243</v>
      </c>
      <c r="C229" s="46" t="s">
        <v>666</v>
      </c>
      <c r="D229" s="46">
        <v>1</v>
      </c>
      <c r="E229" s="46">
        <v>0</v>
      </c>
      <c r="F229" s="46" t="s">
        <v>692</v>
      </c>
      <c r="G229" s="46" t="s">
        <v>1305</v>
      </c>
      <c r="H229" s="46" t="s">
        <v>1780</v>
      </c>
      <c r="I229" s="46" t="str">
        <f ca="1">IFERROR(__xludf.DUMMYFUNCTION("CONCAT(A229,REGEXREPLACE(H229,"".*_L0"",""_L0""))"),"ILB_BN2015_MTG_snRNAseq_rep1_L001_R2_001.fastq.gz")</f>
        <v>ILB_BN2015_MTG_snRNAseq_rep1_L001_R2_001.fastq.gz</v>
      </c>
      <c r="J229" s="46" t="str">
        <f t="shared" si="0"/>
        <v>/data/neurogen/ASAP/scRNAseq/data/batch4_ASAP_snRNA-seq_*/Raw_Data_and_Processing/cellranger_processing/cellranger_fastqs/outs/fastq_path/H*/BN2015_S2_L001_R2_001.fastq.gz</v>
      </c>
      <c r="K229" s="46" t="s">
        <v>1320</v>
      </c>
      <c r="L229" s="46" t="s">
        <v>1781</v>
      </c>
      <c r="M229" s="46" t="s">
        <v>1309</v>
      </c>
      <c r="N229" s="46" t="s">
        <v>1310</v>
      </c>
      <c r="O229" s="46" t="s">
        <v>1311</v>
      </c>
      <c r="P229" s="46" t="s">
        <v>1312</v>
      </c>
      <c r="Q229" s="46" t="s">
        <v>31</v>
      </c>
      <c r="R229" s="46" t="s">
        <v>31</v>
      </c>
      <c r="S229" s="46" t="s">
        <v>31</v>
      </c>
      <c r="T229" s="46" t="s">
        <v>31</v>
      </c>
      <c r="U229" s="46" t="s">
        <v>49</v>
      </c>
    </row>
    <row r="230" spans="1:21">
      <c r="A230" s="46" t="s">
        <v>800</v>
      </c>
      <c r="B230" s="46" t="s">
        <v>243</v>
      </c>
      <c r="C230" s="46" t="s">
        <v>666</v>
      </c>
      <c r="D230" s="46">
        <v>1</v>
      </c>
      <c r="E230" s="46">
        <v>0</v>
      </c>
      <c r="F230" s="46" t="s">
        <v>692</v>
      </c>
      <c r="G230" s="46" t="s">
        <v>1305</v>
      </c>
      <c r="H230" s="46" t="s">
        <v>1782</v>
      </c>
      <c r="I230" s="46" t="str">
        <f ca="1">IFERROR(__xludf.DUMMYFUNCTION("CONCAT(A230,REGEXREPLACE(H230,"".*_L0"",""_L0""))"),"ILB_BN2015_MTG_snRNAseq_rep1_L002_I1_001.fastq.gz")</f>
        <v>ILB_BN2015_MTG_snRNAseq_rep1_L002_I1_001.fastq.gz</v>
      </c>
      <c r="J230" s="46" t="str">
        <f t="shared" si="0"/>
        <v>/data/neurogen/ASAP/scRNAseq/data/batch4_ASAP_snRNA-seq_*/Raw_Data_and_Processing/cellranger_processing/cellranger_fastqs/outs/fastq_path/H*/BN2015_S2_L002_I1_001.fastq.gz</v>
      </c>
      <c r="K230" s="46" t="s">
        <v>1323</v>
      </c>
      <c r="L230" s="46" t="s">
        <v>1783</v>
      </c>
      <c r="M230" s="46" t="s">
        <v>1309</v>
      </c>
      <c r="N230" s="46" t="s">
        <v>1310</v>
      </c>
      <c r="O230" s="46" t="s">
        <v>1311</v>
      </c>
      <c r="P230" s="46" t="s">
        <v>1312</v>
      </c>
      <c r="Q230" s="46" t="s">
        <v>31</v>
      </c>
      <c r="R230" s="46" t="s">
        <v>31</v>
      </c>
      <c r="S230" s="46" t="s">
        <v>31</v>
      </c>
      <c r="T230" s="46" t="s">
        <v>31</v>
      </c>
      <c r="U230" s="46" t="s">
        <v>49</v>
      </c>
    </row>
    <row r="231" spans="1:21">
      <c r="A231" s="46" t="s">
        <v>800</v>
      </c>
      <c r="B231" s="46" t="s">
        <v>243</v>
      </c>
      <c r="C231" s="46" t="s">
        <v>666</v>
      </c>
      <c r="D231" s="46">
        <v>1</v>
      </c>
      <c r="E231" s="46">
        <v>0</v>
      </c>
      <c r="F231" s="46" t="s">
        <v>692</v>
      </c>
      <c r="G231" s="46" t="s">
        <v>1305</v>
      </c>
      <c r="H231" s="46" t="s">
        <v>1784</v>
      </c>
      <c r="I231" s="46" t="str">
        <f ca="1">IFERROR(__xludf.DUMMYFUNCTION("CONCAT(A231,REGEXREPLACE(H231,"".*_L0"",""_L0""))"),"ILB_BN2015_MTG_snRNAseq_rep1_L002_I2_001.fastq.gz")</f>
        <v>ILB_BN2015_MTG_snRNAseq_rep1_L002_I2_001.fastq.gz</v>
      </c>
      <c r="J231" s="46" t="str">
        <f t="shared" si="0"/>
        <v>/data/neurogen/ASAP/scRNAseq/data/batch4_ASAP_snRNA-seq_*/Raw_Data_and_Processing/cellranger_processing/cellranger_fastqs/outs/fastq_path/H*/BN2015_S2_L002_I2_001.fastq.gz</v>
      </c>
      <c r="K231" s="46" t="s">
        <v>1326</v>
      </c>
      <c r="L231" s="46" t="s">
        <v>1785</v>
      </c>
      <c r="M231" s="46" t="s">
        <v>1309</v>
      </c>
      <c r="N231" s="46" t="s">
        <v>1310</v>
      </c>
      <c r="O231" s="46" t="s">
        <v>1311</v>
      </c>
      <c r="P231" s="46" t="s">
        <v>1312</v>
      </c>
      <c r="Q231" s="46" t="s">
        <v>31</v>
      </c>
      <c r="R231" s="46" t="s">
        <v>31</v>
      </c>
      <c r="S231" s="46" t="s">
        <v>31</v>
      </c>
      <c r="T231" s="46" t="s">
        <v>31</v>
      </c>
      <c r="U231" s="46" t="s">
        <v>49</v>
      </c>
    </row>
    <row r="232" spans="1:21">
      <c r="A232" s="46" t="s">
        <v>800</v>
      </c>
      <c r="B232" s="46" t="s">
        <v>243</v>
      </c>
      <c r="C232" s="46" t="s">
        <v>666</v>
      </c>
      <c r="D232" s="46">
        <v>1</v>
      </c>
      <c r="E232" s="46">
        <v>0</v>
      </c>
      <c r="F232" s="46" t="s">
        <v>692</v>
      </c>
      <c r="G232" s="46" t="s">
        <v>1305</v>
      </c>
      <c r="H232" s="46" t="s">
        <v>1786</v>
      </c>
      <c r="I232" s="46" t="str">
        <f ca="1">IFERROR(__xludf.DUMMYFUNCTION("CONCAT(A232,REGEXREPLACE(H232,"".*_L0"",""_L0""))"),"ILB_BN2015_MTG_snRNAseq_rep1_L002_R1_001.fastq.gz")</f>
        <v>ILB_BN2015_MTG_snRNAseq_rep1_L002_R1_001.fastq.gz</v>
      </c>
      <c r="J232" s="46" t="str">
        <f t="shared" si="0"/>
        <v>/data/neurogen/ASAP/scRNAseq/data/batch4_ASAP_snRNA-seq_*/Raw_Data_and_Processing/cellranger_processing/cellranger_fastqs/outs/fastq_path/H*/BN2015_S2_L002_R1_001.fastq.gz</v>
      </c>
      <c r="K232" s="46" t="s">
        <v>1329</v>
      </c>
      <c r="L232" s="46" t="s">
        <v>1787</v>
      </c>
      <c r="M232" s="46" t="s">
        <v>1309</v>
      </c>
      <c r="N232" s="46" t="s">
        <v>1310</v>
      </c>
      <c r="O232" s="46" t="s">
        <v>1311</v>
      </c>
      <c r="P232" s="46" t="s">
        <v>1312</v>
      </c>
      <c r="Q232" s="46" t="s">
        <v>31</v>
      </c>
      <c r="R232" s="46" t="s">
        <v>31</v>
      </c>
      <c r="S232" s="46" t="s">
        <v>31</v>
      </c>
      <c r="T232" s="46" t="s">
        <v>31</v>
      </c>
      <c r="U232" s="46" t="s">
        <v>49</v>
      </c>
    </row>
    <row r="233" spans="1:21">
      <c r="A233" s="46" t="s">
        <v>800</v>
      </c>
      <c r="B233" s="46" t="s">
        <v>243</v>
      </c>
      <c r="C233" s="46" t="s">
        <v>666</v>
      </c>
      <c r="D233" s="46">
        <v>1</v>
      </c>
      <c r="E233" s="46">
        <v>0</v>
      </c>
      <c r="F233" s="46" t="s">
        <v>692</v>
      </c>
      <c r="G233" s="46" t="s">
        <v>1305</v>
      </c>
      <c r="H233" s="46" t="s">
        <v>1788</v>
      </c>
      <c r="I233" s="46" t="str">
        <f ca="1">IFERROR(__xludf.DUMMYFUNCTION("CONCAT(A233,REGEXREPLACE(H233,"".*_L0"",""_L0""))"),"ILB_BN2015_MTG_snRNAseq_rep1_L002_R2_001.fastq.gz")</f>
        <v>ILB_BN2015_MTG_snRNAseq_rep1_L002_R2_001.fastq.gz</v>
      </c>
      <c r="J233" s="46" t="str">
        <f t="shared" si="0"/>
        <v>/data/neurogen/ASAP/scRNAseq/data/batch4_ASAP_snRNA-seq_*/Raw_Data_and_Processing/cellranger_processing/cellranger_fastqs/outs/fastq_path/H*/BN2015_S2_L002_R2_001.fastq.gz</v>
      </c>
      <c r="K233" s="46" t="s">
        <v>1332</v>
      </c>
      <c r="L233" s="46" t="s">
        <v>1789</v>
      </c>
      <c r="M233" s="46" t="s">
        <v>1309</v>
      </c>
      <c r="N233" s="46" t="s">
        <v>1310</v>
      </c>
      <c r="O233" s="46" t="s">
        <v>1311</v>
      </c>
      <c r="P233" s="46" t="s">
        <v>1312</v>
      </c>
      <c r="Q233" s="46" t="s">
        <v>31</v>
      </c>
      <c r="R233" s="46" t="s">
        <v>31</v>
      </c>
      <c r="S233" s="46" t="s">
        <v>31</v>
      </c>
      <c r="T233" s="46" t="s">
        <v>31</v>
      </c>
      <c r="U233" s="46" t="s">
        <v>49</v>
      </c>
    </row>
    <row r="234" spans="1:21">
      <c r="A234" s="46" t="s">
        <v>800</v>
      </c>
      <c r="B234" s="46" t="s">
        <v>243</v>
      </c>
      <c r="C234" s="46" t="s">
        <v>666</v>
      </c>
      <c r="D234" s="46">
        <v>1</v>
      </c>
      <c r="E234" s="46">
        <v>0</v>
      </c>
      <c r="F234" s="46" t="s">
        <v>692</v>
      </c>
      <c r="G234" s="46" t="s">
        <v>1305</v>
      </c>
      <c r="H234" s="46" t="s">
        <v>1790</v>
      </c>
      <c r="I234" s="46" t="str">
        <f ca="1">IFERROR(__xludf.DUMMYFUNCTION("CONCAT(A234,REGEXREPLACE(H234,"".*_L0"",""_L0""))"),"ILB_BN2015_MTG_snRNAseq_rep1_L003_I1_001.fastq.gz")</f>
        <v>ILB_BN2015_MTG_snRNAseq_rep1_L003_I1_001.fastq.gz</v>
      </c>
      <c r="J234" s="46" t="str">
        <f t="shared" si="0"/>
        <v>/data/neurogen/ASAP/scRNAseq/data/batch4_ASAP_snRNA-seq_*/Raw_Data_and_Processing/cellranger_processing/cellranger_fastqs/outs/fastq_path/H*/BN2015_S2_L003_I1_001.fastq.gz</v>
      </c>
      <c r="K234" s="46" t="s">
        <v>1335</v>
      </c>
      <c r="L234" s="46" t="s">
        <v>1791</v>
      </c>
      <c r="M234" s="46" t="s">
        <v>1309</v>
      </c>
      <c r="N234" s="46" t="s">
        <v>1310</v>
      </c>
      <c r="O234" s="46" t="s">
        <v>1311</v>
      </c>
      <c r="P234" s="46" t="s">
        <v>1312</v>
      </c>
      <c r="Q234" s="46" t="s">
        <v>31</v>
      </c>
      <c r="R234" s="46" t="s">
        <v>31</v>
      </c>
      <c r="S234" s="46" t="s">
        <v>31</v>
      </c>
      <c r="T234" s="46" t="s">
        <v>31</v>
      </c>
      <c r="U234" s="46" t="s">
        <v>49</v>
      </c>
    </row>
    <row r="235" spans="1:21">
      <c r="A235" s="46" t="s">
        <v>800</v>
      </c>
      <c r="B235" s="46" t="s">
        <v>243</v>
      </c>
      <c r="C235" s="46" t="s">
        <v>666</v>
      </c>
      <c r="D235" s="46">
        <v>1</v>
      </c>
      <c r="E235" s="46">
        <v>0</v>
      </c>
      <c r="F235" s="46" t="s">
        <v>692</v>
      </c>
      <c r="G235" s="46" t="s">
        <v>1305</v>
      </c>
      <c r="H235" s="46" t="s">
        <v>1792</v>
      </c>
      <c r="I235" s="46" t="str">
        <f ca="1">IFERROR(__xludf.DUMMYFUNCTION("CONCAT(A235,REGEXREPLACE(H235,"".*_L0"",""_L0""))"),"ILB_BN2015_MTG_snRNAseq_rep1_L003_I2_001.fastq.gz")</f>
        <v>ILB_BN2015_MTG_snRNAseq_rep1_L003_I2_001.fastq.gz</v>
      </c>
      <c r="J235" s="46" t="str">
        <f t="shared" si="0"/>
        <v>/data/neurogen/ASAP/scRNAseq/data/batch4_ASAP_snRNA-seq_*/Raw_Data_and_Processing/cellranger_processing/cellranger_fastqs/outs/fastq_path/H*/BN2015_S2_L003_I2_001.fastq.gz</v>
      </c>
      <c r="K235" s="46" t="s">
        <v>1338</v>
      </c>
      <c r="L235" s="46" t="s">
        <v>1793</v>
      </c>
      <c r="M235" s="46" t="s">
        <v>1309</v>
      </c>
      <c r="N235" s="46" t="s">
        <v>1310</v>
      </c>
      <c r="O235" s="46" t="s">
        <v>1311</v>
      </c>
      <c r="P235" s="46" t="s">
        <v>1312</v>
      </c>
      <c r="Q235" s="46" t="s">
        <v>31</v>
      </c>
      <c r="R235" s="46" t="s">
        <v>31</v>
      </c>
      <c r="S235" s="46" t="s">
        <v>31</v>
      </c>
      <c r="T235" s="46" t="s">
        <v>31</v>
      </c>
      <c r="U235" s="46" t="s">
        <v>49</v>
      </c>
    </row>
    <row r="236" spans="1:21">
      <c r="A236" s="46" t="s">
        <v>800</v>
      </c>
      <c r="B236" s="46" t="s">
        <v>243</v>
      </c>
      <c r="C236" s="46" t="s">
        <v>666</v>
      </c>
      <c r="D236" s="46">
        <v>1</v>
      </c>
      <c r="E236" s="46">
        <v>0</v>
      </c>
      <c r="F236" s="46" t="s">
        <v>692</v>
      </c>
      <c r="G236" s="46" t="s">
        <v>1305</v>
      </c>
      <c r="H236" s="46" t="s">
        <v>1794</v>
      </c>
      <c r="I236" s="46" t="str">
        <f ca="1">IFERROR(__xludf.DUMMYFUNCTION("CONCAT(A236,REGEXREPLACE(H236,"".*_L0"",""_L0""))"),"ILB_BN2015_MTG_snRNAseq_rep1_L003_R1_001.fastq.gz")</f>
        <v>ILB_BN2015_MTG_snRNAseq_rep1_L003_R1_001.fastq.gz</v>
      </c>
      <c r="J236" s="46" t="str">
        <f t="shared" si="0"/>
        <v>/data/neurogen/ASAP/scRNAseq/data/batch4_ASAP_snRNA-seq_*/Raw_Data_and_Processing/cellranger_processing/cellranger_fastqs/outs/fastq_path/H*/BN2015_S2_L003_R1_001.fastq.gz</v>
      </c>
      <c r="K236" s="46" t="s">
        <v>1341</v>
      </c>
      <c r="L236" s="46" t="s">
        <v>1795</v>
      </c>
      <c r="M236" s="46" t="s">
        <v>1309</v>
      </c>
      <c r="N236" s="46" t="s">
        <v>1310</v>
      </c>
      <c r="O236" s="46" t="s">
        <v>1311</v>
      </c>
      <c r="P236" s="46" t="s">
        <v>1312</v>
      </c>
      <c r="Q236" s="46" t="s">
        <v>31</v>
      </c>
      <c r="R236" s="46" t="s">
        <v>31</v>
      </c>
      <c r="S236" s="46" t="s">
        <v>31</v>
      </c>
      <c r="T236" s="46" t="s">
        <v>31</v>
      </c>
      <c r="U236" s="46" t="s">
        <v>49</v>
      </c>
    </row>
    <row r="237" spans="1:21">
      <c r="A237" s="46" t="s">
        <v>800</v>
      </c>
      <c r="B237" s="46" t="s">
        <v>243</v>
      </c>
      <c r="C237" s="46" t="s">
        <v>666</v>
      </c>
      <c r="D237" s="46">
        <v>1</v>
      </c>
      <c r="E237" s="46">
        <v>0</v>
      </c>
      <c r="F237" s="46" t="s">
        <v>692</v>
      </c>
      <c r="G237" s="46" t="s">
        <v>1305</v>
      </c>
      <c r="H237" s="46" t="s">
        <v>1796</v>
      </c>
      <c r="I237" s="46" t="str">
        <f ca="1">IFERROR(__xludf.DUMMYFUNCTION("CONCAT(A237,REGEXREPLACE(H237,"".*_L0"",""_L0""))"),"ILB_BN2015_MTG_snRNAseq_rep1_L003_R2_001.fastq.gz")</f>
        <v>ILB_BN2015_MTG_snRNAseq_rep1_L003_R2_001.fastq.gz</v>
      </c>
      <c r="J237" s="46" t="str">
        <f t="shared" si="0"/>
        <v>/data/neurogen/ASAP/scRNAseq/data/batch4_ASAP_snRNA-seq_*/Raw_Data_and_Processing/cellranger_processing/cellranger_fastqs/outs/fastq_path/H*/BN2015_S2_L003_R2_001.fastq.gz</v>
      </c>
      <c r="K237" s="46" t="s">
        <v>1344</v>
      </c>
      <c r="L237" s="46" t="s">
        <v>1797</v>
      </c>
      <c r="M237" s="46" t="s">
        <v>1309</v>
      </c>
      <c r="N237" s="46" t="s">
        <v>1310</v>
      </c>
      <c r="O237" s="46" t="s">
        <v>1311</v>
      </c>
      <c r="P237" s="46" t="s">
        <v>1312</v>
      </c>
      <c r="Q237" s="46" t="s">
        <v>31</v>
      </c>
      <c r="R237" s="46" t="s">
        <v>31</v>
      </c>
      <c r="S237" s="46" t="s">
        <v>31</v>
      </c>
      <c r="T237" s="46" t="s">
        <v>31</v>
      </c>
      <c r="U237" s="46" t="s">
        <v>49</v>
      </c>
    </row>
    <row r="238" spans="1:21">
      <c r="A238" s="46" t="s">
        <v>800</v>
      </c>
      <c r="B238" s="46" t="s">
        <v>243</v>
      </c>
      <c r="C238" s="46" t="s">
        <v>666</v>
      </c>
      <c r="D238" s="46">
        <v>1</v>
      </c>
      <c r="E238" s="46">
        <v>0</v>
      </c>
      <c r="F238" s="46" t="s">
        <v>692</v>
      </c>
      <c r="G238" s="46" t="s">
        <v>1305</v>
      </c>
      <c r="H238" s="46" t="s">
        <v>1798</v>
      </c>
      <c r="I238" s="46" t="str">
        <f ca="1">IFERROR(__xludf.DUMMYFUNCTION("CONCAT(A238,REGEXREPLACE(H238,"".*_L0"",""_L0""))"),"ILB_BN2015_MTG_snRNAseq_rep1_L004_I1_001.fastq.gz")</f>
        <v>ILB_BN2015_MTG_snRNAseq_rep1_L004_I1_001.fastq.gz</v>
      </c>
      <c r="J238" s="46" t="str">
        <f t="shared" si="0"/>
        <v>/data/neurogen/ASAP/scRNAseq/data/batch4_ASAP_snRNA-seq_*/Raw_Data_and_Processing/cellranger_processing/cellranger_fastqs/outs/fastq_path/H*/BN2015_S2_L004_I1_001.fastq.gz</v>
      </c>
      <c r="K238" s="46" t="s">
        <v>1347</v>
      </c>
      <c r="L238" s="46" t="s">
        <v>1799</v>
      </c>
      <c r="M238" s="46" t="s">
        <v>1309</v>
      </c>
      <c r="N238" s="46" t="s">
        <v>1310</v>
      </c>
      <c r="O238" s="46" t="s">
        <v>1311</v>
      </c>
      <c r="P238" s="46" t="s">
        <v>1312</v>
      </c>
      <c r="Q238" s="46" t="s">
        <v>31</v>
      </c>
      <c r="R238" s="46" t="s">
        <v>31</v>
      </c>
      <c r="S238" s="46" t="s">
        <v>31</v>
      </c>
      <c r="T238" s="46" t="s">
        <v>31</v>
      </c>
      <c r="U238" s="46" t="s">
        <v>49</v>
      </c>
    </row>
    <row r="239" spans="1:21">
      <c r="A239" s="46" t="s">
        <v>800</v>
      </c>
      <c r="B239" s="46" t="s">
        <v>243</v>
      </c>
      <c r="C239" s="46" t="s">
        <v>666</v>
      </c>
      <c r="D239" s="46">
        <v>1</v>
      </c>
      <c r="E239" s="46">
        <v>0</v>
      </c>
      <c r="F239" s="46" t="s">
        <v>692</v>
      </c>
      <c r="G239" s="46" t="s">
        <v>1305</v>
      </c>
      <c r="H239" s="46" t="s">
        <v>1800</v>
      </c>
      <c r="I239" s="46" t="str">
        <f ca="1">IFERROR(__xludf.DUMMYFUNCTION("CONCAT(A239,REGEXREPLACE(H239,"".*_L0"",""_L0""))"),"ILB_BN2015_MTG_snRNAseq_rep1_L004_I2_001.fastq.gz")</f>
        <v>ILB_BN2015_MTG_snRNAseq_rep1_L004_I2_001.fastq.gz</v>
      </c>
      <c r="J239" s="46" t="str">
        <f t="shared" si="0"/>
        <v>/data/neurogen/ASAP/scRNAseq/data/batch4_ASAP_snRNA-seq_*/Raw_Data_and_Processing/cellranger_processing/cellranger_fastqs/outs/fastq_path/H*/BN2015_S2_L004_I2_001.fastq.gz</v>
      </c>
      <c r="K239" s="46" t="s">
        <v>1350</v>
      </c>
      <c r="L239" s="46" t="s">
        <v>1801</v>
      </c>
      <c r="M239" s="46" t="s">
        <v>1309</v>
      </c>
      <c r="N239" s="46" t="s">
        <v>1310</v>
      </c>
      <c r="O239" s="46" t="s">
        <v>1311</v>
      </c>
      <c r="P239" s="46" t="s">
        <v>1312</v>
      </c>
      <c r="Q239" s="46" t="s">
        <v>31</v>
      </c>
      <c r="R239" s="46" t="s">
        <v>31</v>
      </c>
      <c r="S239" s="46" t="s">
        <v>31</v>
      </c>
      <c r="T239" s="46" t="s">
        <v>31</v>
      </c>
      <c r="U239" s="46" t="s">
        <v>49</v>
      </c>
    </row>
    <row r="240" spans="1:21">
      <c r="A240" s="46" t="s">
        <v>800</v>
      </c>
      <c r="B240" s="46" t="s">
        <v>243</v>
      </c>
      <c r="C240" s="46" t="s">
        <v>666</v>
      </c>
      <c r="D240" s="46">
        <v>1</v>
      </c>
      <c r="E240" s="46">
        <v>0</v>
      </c>
      <c r="F240" s="46" t="s">
        <v>692</v>
      </c>
      <c r="G240" s="46" t="s">
        <v>1305</v>
      </c>
      <c r="H240" s="46" t="s">
        <v>1802</v>
      </c>
      <c r="I240" s="46" t="str">
        <f ca="1">IFERROR(__xludf.DUMMYFUNCTION("CONCAT(A240,REGEXREPLACE(H240,"".*_L0"",""_L0""))"),"ILB_BN2015_MTG_snRNAseq_rep1_L004_R1_001.fastq.gz")</f>
        <v>ILB_BN2015_MTG_snRNAseq_rep1_L004_R1_001.fastq.gz</v>
      </c>
      <c r="J240" s="46" t="str">
        <f t="shared" si="0"/>
        <v>/data/neurogen/ASAP/scRNAseq/data/batch4_ASAP_snRNA-seq_*/Raw_Data_and_Processing/cellranger_processing/cellranger_fastqs/outs/fastq_path/H*/BN2015_S2_L004_R1_001.fastq.gz</v>
      </c>
      <c r="K240" s="46" t="s">
        <v>1353</v>
      </c>
      <c r="L240" s="46" t="s">
        <v>1803</v>
      </c>
      <c r="M240" s="46" t="s">
        <v>1309</v>
      </c>
      <c r="N240" s="46" t="s">
        <v>1310</v>
      </c>
      <c r="O240" s="46" t="s">
        <v>1311</v>
      </c>
      <c r="P240" s="46" t="s">
        <v>1312</v>
      </c>
      <c r="Q240" s="46" t="s">
        <v>31</v>
      </c>
      <c r="R240" s="46" t="s">
        <v>31</v>
      </c>
      <c r="S240" s="46" t="s">
        <v>31</v>
      </c>
      <c r="T240" s="46" t="s">
        <v>31</v>
      </c>
      <c r="U240" s="46" t="s">
        <v>49</v>
      </c>
    </row>
    <row r="241" spans="1:21">
      <c r="A241" s="46" t="s">
        <v>800</v>
      </c>
      <c r="B241" s="46" t="s">
        <v>243</v>
      </c>
      <c r="C241" s="46" t="s">
        <v>666</v>
      </c>
      <c r="D241" s="46">
        <v>1</v>
      </c>
      <c r="E241" s="46">
        <v>0</v>
      </c>
      <c r="F241" s="46" t="s">
        <v>692</v>
      </c>
      <c r="G241" s="46" t="s">
        <v>1305</v>
      </c>
      <c r="H241" s="46" t="s">
        <v>1804</v>
      </c>
      <c r="I241" s="46" t="str">
        <f ca="1">IFERROR(__xludf.DUMMYFUNCTION("CONCAT(A241,REGEXREPLACE(H241,"".*_L0"",""_L0""))"),"ILB_BN2015_MTG_snRNAseq_rep1_L004_R2_001.fastq.gz")</f>
        <v>ILB_BN2015_MTG_snRNAseq_rep1_L004_R2_001.fastq.gz</v>
      </c>
      <c r="J241" s="46" t="str">
        <f t="shared" si="0"/>
        <v>/data/neurogen/ASAP/scRNAseq/data/batch4_ASAP_snRNA-seq_*/Raw_Data_and_Processing/cellranger_processing/cellranger_fastqs/outs/fastq_path/H*/BN2015_S2_L004_R2_001.fastq.gz</v>
      </c>
      <c r="K241" s="46" t="s">
        <v>1356</v>
      </c>
      <c r="L241" s="46" t="s">
        <v>1805</v>
      </c>
      <c r="M241" s="46" t="s">
        <v>1309</v>
      </c>
      <c r="N241" s="46" t="s">
        <v>1310</v>
      </c>
      <c r="O241" s="46" t="s">
        <v>1311</v>
      </c>
      <c r="P241" s="46" t="s">
        <v>1312</v>
      </c>
      <c r="Q241" s="46" t="s">
        <v>31</v>
      </c>
      <c r="R241" s="46" t="s">
        <v>31</v>
      </c>
      <c r="S241" s="46" t="s">
        <v>31</v>
      </c>
      <c r="T241" s="46" t="s">
        <v>31</v>
      </c>
      <c r="U241" s="46" t="s">
        <v>49</v>
      </c>
    </row>
    <row r="242" spans="1:21">
      <c r="A242" s="46" t="s">
        <v>695</v>
      </c>
      <c r="B242" s="46" t="s">
        <v>90</v>
      </c>
      <c r="C242" s="46" t="s">
        <v>666</v>
      </c>
      <c r="D242" s="46">
        <v>1</v>
      </c>
      <c r="E242" s="46">
        <v>0</v>
      </c>
      <c r="F242" s="46" t="s">
        <v>696</v>
      </c>
      <c r="G242" s="46" t="s">
        <v>1305</v>
      </c>
      <c r="H242" s="46" t="s">
        <v>1806</v>
      </c>
      <c r="I242" s="46" t="str">
        <f ca="1">IFERROR(__xludf.DUMMYFUNCTION("CONCAT(A242,REGEXREPLACE(H242,"".*_L0"",""_L0""))"),"HC_BN0615_MTG_snRNAseq_rep1_L001_I1_001.fastq.gz")</f>
        <v>HC_BN0615_MTG_snRNAseq_rep1_L001_I1_001.fastq.gz</v>
      </c>
      <c r="J242" s="46" t="str">
        <f t="shared" si="0"/>
        <v>/data/neurogen/ASAP/scRNAseq/data/batch5_ASAP_snRNA-seq_*/Raw_Data_and_Processing/cellranger_processing/cellranger_fastqs/outs/fastq_path/H*/BN0615_S1_L001_I1_001.fastq.gz</v>
      </c>
      <c r="K242" s="46" t="s">
        <v>1307</v>
      </c>
      <c r="L242" s="46" t="s">
        <v>1807</v>
      </c>
      <c r="M242" s="46" t="s">
        <v>1309</v>
      </c>
      <c r="N242" s="46" t="s">
        <v>1310</v>
      </c>
      <c r="O242" s="46" t="s">
        <v>1311</v>
      </c>
      <c r="P242" s="46" t="s">
        <v>1312</v>
      </c>
      <c r="Q242" s="46" t="s">
        <v>31</v>
      </c>
      <c r="R242" s="46" t="s">
        <v>31</v>
      </c>
      <c r="S242" s="46" t="s">
        <v>31</v>
      </c>
      <c r="T242" s="46" t="s">
        <v>31</v>
      </c>
      <c r="U242" s="46" t="s">
        <v>49</v>
      </c>
    </row>
    <row r="243" spans="1:21">
      <c r="A243" s="46" t="s">
        <v>695</v>
      </c>
      <c r="B243" s="46" t="s">
        <v>90</v>
      </c>
      <c r="C243" s="46" t="s">
        <v>666</v>
      </c>
      <c r="D243" s="46">
        <v>1</v>
      </c>
      <c r="E243" s="46">
        <v>0</v>
      </c>
      <c r="F243" s="46" t="s">
        <v>696</v>
      </c>
      <c r="G243" s="46" t="s">
        <v>1305</v>
      </c>
      <c r="H243" s="46" t="s">
        <v>1808</v>
      </c>
      <c r="I243" s="46" t="str">
        <f ca="1">IFERROR(__xludf.DUMMYFUNCTION("CONCAT(A243,REGEXREPLACE(H243,"".*_L0"",""_L0""))"),"HC_BN0615_MTG_snRNAseq_rep1_L001_I2_001.fastq.gz")</f>
        <v>HC_BN0615_MTG_snRNAseq_rep1_L001_I2_001.fastq.gz</v>
      </c>
      <c r="J243" s="46" t="str">
        <f t="shared" si="0"/>
        <v>/data/neurogen/ASAP/scRNAseq/data/batch5_ASAP_snRNA-seq_*/Raw_Data_and_Processing/cellranger_processing/cellranger_fastqs/outs/fastq_path/H*/BN0615_S1_L001_I2_001.fastq.gz</v>
      </c>
      <c r="K243" s="46" t="s">
        <v>1314</v>
      </c>
      <c r="L243" s="46" t="s">
        <v>1809</v>
      </c>
      <c r="M243" s="46" t="s">
        <v>1309</v>
      </c>
      <c r="N243" s="46" t="s">
        <v>1310</v>
      </c>
      <c r="O243" s="46" t="s">
        <v>1311</v>
      </c>
      <c r="P243" s="46" t="s">
        <v>1312</v>
      </c>
      <c r="Q243" s="46" t="s">
        <v>31</v>
      </c>
      <c r="R243" s="46" t="s">
        <v>31</v>
      </c>
      <c r="S243" s="46" t="s">
        <v>31</v>
      </c>
      <c r="T243" s="46" t="s">
        <v>31</v>
      </c>
      <c r="U243" s="46" t="s">
        <v>49</v>
      </c>
    </row>
    <row r="244" spans="1:21">
      <c r="A244" s="46" t="s">
        <v>695</v>
      </c>
      <c r="B244" s="46" t="s">
        <v>90</v>
      </c>
      <c r="C244" s="46" t="s">
        <v>666</v>
      </c>
      <c r="D244" s="46">
        <v>1</v>
      </c>
      <c r="E244" s="46">
        <v>0</v>
      </c>
      <c r="F244" s="46" t="s">
        <v>696</v>
      </c>
      <c r="G244" s="46" t="s">
        <v>1305</v>
      </c>
      <c r="H244" s="46" t="s">
        <v>1810</v>
      </c>
      <c r="I244" s="46" t="str">
        <f ca="1">IFERROR(__xludf.DUMMYFUNCTION("CONCAT(A244,REGEXREPLACE(H244,"".*_L0"",""_L0""))"),"HC_BN0615_MTG_snRNAseq_rep1_L001_R1_001.fastq.gz")</f>
        <v>HC_BN0615_MTG_snRNAseq_rep1_L001_R1_001.fastq.gz</v>
      </c>
      <c r="J244" s="46" t="str">
        <f t="shared" si="0"/>
        <v>/data/neurogen/ASAP/scRNAseq/data/batch5_ASAP_snRNA-seq_*/Raw_Data_and_Processing/cellranger_processing/cellranger_fastqs/outs/fastq_path/H*/BN0615_S1_L001_R1_001.fastq.gz</v>
      </c>
      <c r="K244" s="46" t="s">
        <v>1317</v>
      </c>
      <c r="L244" s="46" t="s">
        <v>1811</v>
      </c>
      <c r="M244" s="46" t="s">
        <v>1309</v>
      </c>
      <c r="N244" s="46" t="s">
        <v>1310</v>
      </c>
      <c r="O244" s="46" t="s">
        <v>1311</v>
      </c>
      <c r="P244" s="46" t="s">
        <v>1312</v>
      </c>
      <c r="Q244" s="46" t="s">
        <v>31</v>
      </c>
      <c r="R244" s="46" t="s">
        <v>31</v>
      </c>
      <c r="S244" s="46" t="s">
        <v>31</v>
      </c>
      <c r="T244" s="46" t="s">
        <v>31</v>
      </c>
      <c r="U244" s="46" t="s">
        <v>49</v>
      </c>
    </row>
    <row r="245" spans="1:21">
      <c r="A245" s="46" t="s">
        <v>695</v>
      </c>
      <c r="B245" s="46" t="s">
        <v>90</v>
      </c>
      <c r="C245" s="46" t="s">
        <v>666</v>
      </c>
      <c r="D245" s="46">
        <v>1</v>
      </c>
      <c r="E245" s="46">
        <v>0</v>
      </c>
      <c r="F245" s="46" t="s">
        <v>696</v>
      </c>
      <c r="G245" s="46" t="s">
        <v>1305</v>
      </c>
      <c r="H245" s="46" t="s">
        <v>1812</v>
      </c>
      <c r="I245" s="46" t="str">
        <f ca="1">IFERROR(__xludf.DUMMYFUNCTION("CONCAT(A245,REGEXREPLACE(H245,"".*_L0"",""_L0""))"),"HC_BN0615_MTG_snRNAseq_rep1_L001_R2_001.fastq.gz")</f>
        <v>HC_BN0615_MTG_snRNAseq_rep1_L001_R2_001.fastq.gz</v>
      </c>
      <c r="J245" s="46" t="str">
        <f t="shared" si="0"/>
        <v>/data/neurogen/ASAP/scRNAseq/data/batch5_ASAP_snRNA-seq_*/Raw_Data_and_Processing/cellranger_processing/cellranger_fastqs/outs/fastq_path/H*/BN0615_S1_L001_R2_001.fastq.gz</v>
      </c>
      <c r="K245" s="46" t="s">
        <v>1320</v>
      </c>
      <c r="L245" s="46" t="s">
        <v>1813</v>
      </c>
      <c r="M245" s="46" t="s">
        <v>1309</v>
      </c>
      <c r="N245" s="46" t="s">
        <v>1310</v>
      </c>
      <c r="O245" s="46" t="s">
        <v>1311</v>
      </c>
      <c r="P245" s="46" t="s">
        <v>1312</v>
      </c>
      <c r="Q245" s="46" t="s">
        <v>31</v>
      </c>
      <c r="R245" s="46" t="s">
        <v>31</v>
      </c>
      <c r="S245" s="46" t="s">
        <v>31</v>
      </c>
      <c r="T245" s="46" t="s">
        <v>31</v>
      </c>
      <c r="U245" s="46" t="s">
        <v>49</v>
      </c>
    </row>
    <row r="246" spans="1:21">
      <c r="A246" s="46" t="s">
        <v>695</v>
      </c>
      <c r="B246" s="46" t="s">
        <v>90</v>
      </c>
      <c r="C246" s="46" t="s">
        <v>666</v>
      </c>
      <c r="D246" s="46">
        <v>1</v>
      </c>
      <c r="E246" s="46">
        <v>0</v>
      </c>
      <c r="F246" s="46" t="s">
        <v>696</v>
      </c>
      <c r="G246" s="46" t="s">
        <v>1305</v>
      </c>
      <c r="H246" s="46" t="s">
        <v>1814</v>
      </c>
      <c r="I246" s="46" t="str">
        <f ca="1">IFERROR(__xludf.DUMMYFUNCTION("CONCAT(A246,REGEXREPLACE(H246,"".*_L0"",""_L0""))"),"HC_BN0615_MTG_snRNAseq_rep1_L002_I1_001.fastq.gz")</f>
        <v>HC_BN0615_MTG_snRNAseq_rep1_L002_I1_001.fastq.gz</v>
      </c>
      <c r="J246" s="46" t="str">
        <f t="shared" si="0"/>
        <v>/data/neurogen/ASAP/scRNAseq/data/batch5_ASAP_snRNA-seq_*/Raw_Data_and_Processing/cellranger_processing/cellranger_fastqs/outs/fastq_path/H*/BN0615_S1_L002_I1_001.fastq.gz</v>
      </c>
      <c r="K246" s="46" t="s">
        <v>1323</v>
      </c>
      <c r="L246" s="46" t="s">
        <v>1815</v>
      </c>
      <c r="M246" s="46" t="s">
        <v>1309</v>
      </c>
      <c r="N246" s="46" t="s">
        <v>1310</v>
      </c>
      <c r="O246" s="46" t="s">
        <v>1311</v>
      </c>
      <c r="P246" s="46" t="s">
        <v>1312</v>
      </c>
      <c r="Q246" s="46" t="s">
        <v>31</v>
      </c>
      <c r="R246" s="46" t="s">
        <v>31</v>
      </c>
      <c r="S246" s="46" t="s">
        <v>31</v>
      </c>
      <c r="T246" s="46" t="s">
        <v>31</v>
      </c>
      <c r="U246" s="46" t="s">
        <v>49</v>
      </c>
    </row>
    <row r="247" spans="1:21">
      <c r="A247" s="46" t="s">
        <v>695</v>
      </c>
      <c r="B247" s="46" t="s">
        <v>90</v>
      </c>
      <c r="C247" s="46" t="s">
        <v>666</v>
      </c>
      <c r="D247" s="46">
        <v>1</v>
      </c>
      <c r="E247" s="46">
        <v>0</v>
      </c>
      <c r="F247" s="46" t="s">
        <v>696</v>
      </c>
      <c r="G247" s="46" t="s">
        <v>1305</v>
      </c>
      <c r="H247" s="46" t="s">
        <v>1816</v>
      </c>
      <c r="I247" s="46" t="str">
        <f ca="1">IFERROR(__xludf.DUMMYFUNCTION("CONCAT(A247,REGEXREPLACE(H247,"".*_L0"",""_L0""))"),"HC_BN0615_MTG_snRNAseq_rep1_L002_I2_001.fastq.gz")</f>
        <v>HC_BN0615_MTG_snRNAseq_rep1_L002_I2_001.fastq.gz</v>
      </c>
      <c r="J247" s="46" t="str">
        <f t="shared" si="0"/>
        <v>/data/neurogen/ASAP/scRNAseq/data/batch5_ASAP_snRNA-seq_*/Raw_Data_and_Processing/cellranger_processing/cellranger_fastqs/outs/fastq_path/H*/BN0615_S1_L002_I2_001.fastq.gz</v>
      </c>
      <c r="K247" s="46" t="s">
        <v>1326</v>
      </c>
      <c r="L247" s="46" t="s">
        <v>1817</v>
      </c>
      <c r="M247" s="46" t="s">
        <v>1309</v>
      </c>
      <c r="N247" s="46" t="s">
        <v>1310</v>
      </c>
      <c r="O247" s="46" t="s">
        <v>1311</v>
      </c>
      <c r="P247" s="46" t="s">
        <v>1312</v>
      </c>
      <c r="Q247" s="46" t="s">
        <v>31</v>
      </c>
      <c r="R247" s="46" t="s">
        <v>31</v>
      </c>
      <c r="S247" s="46" t="s">
        <v>31</v>
      </c>
      <c r="T247" s="46" t="s">
        <v>31</v>
      </c>
      <c r="U247" s="46" t="s">
        <v>49</v>
      </c>
    </row>
    <row r="248" spans="1:21">
      <c r="A248" s="46" t="s">
        <v>695</v>
      </c>
      <c r="B248" s="46" t="s">
        <v>90</v>
      </c>
      <c r="C248" s="46" t="s">
        <v>666</v>
      </c>
      <c r="D248" s="46">
        <v>1</v>
      </c>
      <c r="E248" s="46">
        <v>0</v>
      </c>
      <c r="F248" s="46" t="s">
        <v>696</v>
      </c>
      <c r="G248" s="46" t="s">
        <v>1305</v>
      </c>
      <c r="H248" s="46" t="s">
        <v>1818</v>
      </c>
      <c r="I248" s="46" t="str">
        <f ca="1">IFERROR(__xludf.DUMMYFUNCTION("CONCAT(A248,REGEXREPLACE(H248,"".*_L0"",""_L0""))"),"HC_BN0615_MTG_snRNAseq_rep1_L002_R1_001.fastq.gz")</f>
        <v>HC_BN0615_MTG_snRNAseq_rep1_L002_R1_001.fastq.gz</v>
      </c>
      <c r="J248" s="46" t="str">
        <f t="shared" si="0"/>
        <v>/data/neurogen/ASAP/scRNAseq/data/batch5_ASAP_snRNA-seq_*/Raw_Data_and_Processing/cellranger_processing/cellranger_fastqs/outs/fastq_path/H*/BN0615_S1_L002_R1_001.fastq.gz</v>
      </c>
      <c r="K248" s="46" t="s">
        <v>1329</v>
      </c>
      <c r="L248" s="46" t="s">
        <v>1819</v>
      </c>
      <c r="M248" s="46" t="s">
        <v>1309</v>
      </c>
      <c r="N248" s="46" t="s">
        <v>1310</v>
      </c>
      <c r="O248" s="46" t="s">
        <v>1311</v>
      </c>
      <c r="P248" s="46" t="s">
        <v>1312</v>
      </c>
      <c r="Q248" s="46" t="s">
        <v>31</v>
      </c>
      <c r="R248" s="46" t="s">
        <v>31</v>
      </c>
      <c r="S248" s="46" t="s">
        <v>31</v>
      </c>
      <c r="T248" s="46" t="s">
        <v>31</v>
      </c>
      <c r="U248" s="46" t="s">
        <v>49</v>
      </c>
    </row>
    <row r="249" spans="1:21">
      <c r="A249" s="46" t="s">
        <v>695</v>
      </c>
      <c r="B249" s="46" t="s">
        <v>90</v>
      </c>
      <c r="C249" s="46" t="s">
        <v>666</v>
      </c>
      <c r="D249" s="46">
        <v>1</v>
      </c>
      <c r="E249" s="46">
        <v>0</v>
      </c>
      <c r="F249" s="46" t="s">
        <v>696</v>
      </c>
      <c r="G249" s="46" t="s">
        <v>1305</v>
      </c>
      <c r="H249" s="46" t="s">
        <v>1820</v>
      </c>
      <c r="I249" s="46" t="str">
        <f ca="1">IFERROR(__xludf.DUMMYFUNCTION("CONCAT(A249,REGEXREPLACE(H249,"".*_L0"",""_L0""))"),"HC_BN0615_MTG_snRNAseq_rep1_L002_R2_001.fastq.gz")</f>
        <v>HC_BN0615_MTG_snRNAseq_rep1_L002_R2_001.fastq.gz</v>
      </c>
      <c r="J249" s="46" t="str">
        <f t="shared" si="0"/>
        <v>/data/neurogen/ASAP/scRNAseq/data/batch5_ASAP_snRNA-seq_*/Raw_Data_and_Processing/cellranger_processing/cellranger_fastqs/outs/fastq_path/H*/BN0615_S1_L002_R2_001.fastq.gz</v>
      </c>
      <c r="K249" s="46" t="s">
        <v>1332</v>
      </c>
      <c r="L249" s="47" t="s">
        <v>1821</v>
      </c>
      <c r="M249" s="46" t="s">
        <v>1309</v>
      </c>
      <c r="N249" s="46" t="s">
        <v>1310</v>
      </c>
      <c r="O249" s="46" t="s">
        <v>1311</v>
      </c>
      <c r="P249" s="46" t="s">
        <v>1312</v>
      </c>
      <c r="Q249" s="46" t="s">
        <v>31</v>
      </c>
      <c r="R249" s="46" t="s">
        <v>31</v>
      </c>
      <c r="S249" s="46" t="s">
        <v>31</v>
      </c>
      <c r="T249" s="46" t="s">
        <v>31</v>
      </c>
      <c r="U249" s="46" t="s">
        <v>49</v>
      </c>
    </row>
    <row r="250" spans="1:21">
      <c r="A250" s="46" t="s">
        <v>695</v>
      </c>
      <c r="B250" s="46" t="s">
        <v>90</v>
      </c>
      <c r="C250" s="46" t="s">
        <v>666</v>
      </c>
      <c r="D250" s="46">
        <v>1</v>
      </c>
      <c r="E250" s="46">
        <v>0</v>
      </c>
      <c r="F250" s="46" t="s">
        <v>696</v>
      </c>
      <c r="G250" s="46" t="s">
        <v>1305</v>
      </c>
      <c r="H250" s="46" t="s">
        <v>1822</v>
      </c>
      <c r="I250" s="46" t="str">
        <f ca="1">IFERROR(__xludf.DUMMYFUNCTION("CONCAT(A250,REGEXREPLACE(H250,"".*_L0"",""_L0""))"),"HC_BN0615_MTG_snRNAseq_rep1_L003_I1_001.fastq.gz")</f>
        <v>HC_BN0615_MTG_snRNAseq_rep1_L003_I1_001.fastq.gz</v>
      </c>
      <c r="J250" s="46" t="str">
        <f t="shared" si="0"/>
        <v>/data/neurogen/ASAP/scRNAseq/data/batch5_ASAP_snRNA-seq_*/Raw_Data_and_Processing/cellranger_processing/cellranger_fastqs/outs/fastq_path/H*/BN0615_S1_L003_I1_001.fastq.gz</v>
      </c>
      <c r="K250" s="46" t="s">
        <v>1335</v>
      </c>
      <c r="L250" s="46" t="s">
        <v>1823</v>
      </c>
      <c r="M250" s="46" t="s">
        <v>1309</v>
      </c>
      <c r="N250" s="46" t="s">
        <v>1310</v>
      </c>
      <c r="O250" s="46" t="s">
        <v>1311</v>
      </c>
      <c r="P250" s="46" t="s">
        <v>1312</v>
      </c>
      <c r="Q250" s="46" t="s">
        <v>31</v>
      </c>
      <c r="R250" s="46" t="s">
        <v>31</v>
      </c>
      <c r="S250" s="46" t="s">
        <v>31</v>
      </c>
      <c r="T250" s="46" t="s">
        <v>31</v>
      </c>
      <c r="U250" s="46" t="s">
        <v>49</v>
      </c>
    </row>
    <row r="251" spans="1:21">
      <c r="A251" s="46" t="s">
        <v>695</v>
      </c>
      <c r="B251" s="46" t="s">
        <v>90</v>
      </c>
      <c r="C251" s="46" t="s">
        <v>666</v>
      </c>
      <c r="D251" s="46">
        <v>1</v>
      </c>
      <c r="E251" s="46">
        <v>0</v>
      </c>
      <c r="F251" s="46" t="s">
        <v>696</v>
      </c>
      <c r="G251" s="46" t="s">
        <v>1305</v>
      </c>
      <c r="H251" s="46" t="s">
        <v>1824</v>
      </c>
      <c r="I251" s="46" t="str">
        <f ca="1">IFERROR(__xludf.DUMMYFUNCTION("CONCAT(A251,REGEXREPLACE(H251,"".*_L0"",""_L0""))"),"HC_BN0615_MTG_snRNAseq_rep1_L003_I2_001.fastq.gz")</f>
        <v>HC_BN0615_MTG_snRNAseq_rep1_L003_I2_001.fastq.gz</v>
      </c>
      <c r="J251" s="46" t="str">
        <f t="shared" si="0"/>
        <v>/data/neurogen/ASAP/scRNAseq/data/batch5_ASAP_snRNA-seq_*/Raw_Data_and_Processing/cellranger_processing/cellranger_fastqs/outs/fastq_path/H*/BN0615_S1_L003_I2_001.fastq.gz</v>
      </c>
      <c r="K251" s="46" t="s">
        <v>1338</v>
      </c>
      <c r="L251" s="46" t="s">
        <v>1825</v>
      </c>
      <c r="M251" s="46" t="s">
        <v>1309</v>
      </c>
      <c r="N251" s="46" t="s">
        <v>1310</v>
      </c>
      <c r="O251" s="46" t="s">
        <v>1311</v>
      </c>
      <c r="P251" s="46" t="s">
        <v>1312</v>
      </c>
      <c r="Q251" s="46" t="s">
        <v>31</v>
      </c>
      <c r="R251" s="46" t="s">
        <v>31</v>
      </c>
      <c r="S251" s="46" t="s">
        <v>31</v>
      </c>
      <c r="T251" s="46" t="s">
        <v>31</v>
      </c>
      <c r="U251" s="46" t="s">
        <v>49</v>
      </c>
    </row>
    <row r="252" spans="1:21">
      <c r="A252" s="46" t="s">
        <v>695</v>
      </c>
      <c r="B252" s="46" t="s">
        <v>90</v>
      </c>
      <c r="C252" s="46" t="s">
        <v>666</v>
      </c>
      <c r="D252" s="46">
        <v>1</v>
      </c>
      <c r="E252" s="46">
        <v>0</v>
      </c>
      <c r="F252" s="46" t="s">
        <v>696</v>
      </c>
      <c r="G252" s="46" t="s">
        <v>1305</v>
      </c>
      <c r="H252" s="46" t="s">
        <v>1826</v>
      </c>
      <c r="I252" s="46" t="str">
        <f ca="1">IFERROR(__xludf.DUMMYFUNCTION("CONCAT(A252,REGEXREPLACE(H252,"".*_L0"",""_L0""))"),"HC_BN0615_MTG_snRNAseq_rep1_L003_R1_001.fastq.gz")</f>
        <v>HC_BN0615_MTG_snRNAseq_rep1_L003_R1_001.fastq.gz</v>
      </c>
      <c r="J252" s="46" t="str">
        <f t="shared" si="0"/>
        <v>/data/neurogen/ASAP/scRNAseq/data/batch5_ASAP_snRNA-seq_*/Raw_Data_and_Processing/cellranger_processing/cellranger_fastqs/outs/fastq_path/H*/BN0615_S1_L003_R1_001.fastq.gz</v>
      </c>
      <c r="K252" s="46" t="s">
        <v>1341</v>
      </c>
      <c r="L252" s="46" t="s">
        <v>1827</v>
      </c>
      <c r="M252" s="46" t="s">
        <v>1309</v>
      </c>
      <c r="N252" s="46" t="s">
        <v>1310</v>
      </c>
      <c r="O252" s="46" t="s">
        <v>1311</v>
      </c>
      <c r="P252" s="46" t="s">
        <v>1312</v>
      </c>
      <c r="Q252" s="46" t="s">
        <v>31</v>
      </c>
      <c r="R252" s="46" t="s">
        <v>31</v>
      </c>
      <c r="S252" s="46" t="s">
        <v>31</v>
      </c>
      <c r="T252" s="46" t="s">
        <v>31</v>
      </c>
      <c r="U252" s="46" t="s">
        <v>49</v>
      </c>
    </row>
    <row r="253" spans="1:21">
      <c r="A253" s="46" t="s">
        <v>695</v>
      </c>
      <c r="B253" s="46" t="s">
        <v>90</v>
      </c>
      <c r="C253" s="46" t="s">
        <v>666</v>
      </c>
      <c r="D253" s="46">
        <v>1</v>
      </c>
      <c r="E253" s="46">
        <v>0</v>
      </c>
      <c r="F253" s="46" t="s">
        <v>696</v>
      </c>
      <c r="G253" s="46" t="s">
        <v>1305</v>
      </c>
      <c r="H253" s="46" t="s">
        <v>1828</v>
      </c>
      <c r="I253" s="46" t="str">
        <f ca="1">IFERROR(__xludf.DUMMYFUNCTION("CONCAT(A253,REGEXREPLACE(H253,"".*_L0"",""_L0""))"),"HC_BN0615_MTG_snRNAseq_rep1_L003_R2_001.fastq.gz")</f>
        <v>HC_BN0615_MTG_snRNAseq_rep1_L003_R2_001.fastq.gz</v>
      </c>
      <c r="J253" s="46" t="str">
        <f t="shared" si="0"/>
        <v>/data/neurogen/ASAP/scRNAseq/data/batch5_ASAP_snRNA-seq_*/Raw_Data_and_Processing/cellranger_processing/cellranger_fastqs/outs/fastq_path/H*/BN0615_S1_L003_R2_001.fastq.gz</v>
      </c>
      <c r="K253" s="46" t="s">
        <v>1344</v>
      </c>
      <c r="L253" s="46" t="s">
        <v>1829</v>
      </c>
      <c r="M253" s="46" t="s">
        <v>1309</v>
      </c>
      <c r="N253" s="46" t="s">
        <v>1310</v>
      </c>
      <c r="O253" s="46" t="s">
        <v>1311</v>
      </c>
      <c r="P253" s="46" t="s">
        <v>1312</v>
      </c>
      <c r="Q253" s="46" t="s">
        <v>31</v>
      </c>
      <c r="R253" s="46" t="s">
        <v>31</v>
      </c>
      <c r="S253" s="46" t="s">
        <v>31</v>
      </c>
      <c r="T253" s="46" t="s">
        <v>31</v>
      </c>
      <c r="U253" s="46" t="s">
        <v>49</v>
      </c>
    </row>
    <row r="254" spans="1:21">
      <c r="A254" s="46" t="s">
        <v>695</v>
      </c>
      <c r="B254" s="46" t="s">
        <v>90</v>
      </c>
      <c r="C254" s="46" t="s">
        <v>666</v>
      </c>
      <c r="D254" s="46">
        <v>1</v>
      </c>
      <c r="E254" s="46">
        <v>0</v>
      </c>
      <c r="F254" s="46" t="s">
        <v>696</v>
      </c>
      <c r="G254" s="46" t="s">
        <v>1305</v>
      </c>
      <c r="H254" s="46" t="s">
        <v>1830</v>
      </c>
      <c r="I254" s="46" t="str">
        <f ca="1">IFERROR(__xludf.DUMMYFUNCTION("CONCAT(A254,REGEXREPLACE(H254,"".*_L0"",""_L0""))"),"HC_BN0615_MTG_snRNAseq_rep1_L004_I1_001.fastq.gz")</f>
        <v>HC_BN0615_MTG_snRNAseq_rep1_L004_I1_001.fastq.gz</v>
      </c>
      <c r="J254" s="46" t="str">
        <f t="shared" si="0"/>
        <v>/data/neurogen/ASAP/scRNAseq/data/batch5_ASAP_snRNA-seq_*/Raw_Data_and_Processing/cellranger_processing/cellranger_fastqs/outs/fastq_path/H*/BN0615_S1_L004_I1_001.fastq.gz</v>
      </c>
      <c r="K254" s="46" t="s">
        <v>1347</v>
      </c>
      <c r="L254" s="46" t="s">
        <v>1831</v>
      </c>
      <c r="M254" s="46" t="s">
        <v>1309</v>
      </c>
      <c r="N254" s="46" t="s">
        <v>1310</v>
      </c>
      <c r="O254" s="46" t="s">
        <v>1311</v>
      </c>
      <c r="P254" s="46" t="s">
        <v>1312</v>
      </c>
      <c r="Q254" s="46" t="s">
        <v>31</v>
      </c>
      <c r="R254" s="46" t="s">
        <v>31</v>
      </c>
      <c r="S254" s="46" t="s">
        <v>31</v>
      </c>
      <c r="T254" s="46" t="s">
        <v>31</v>
      </c>
      <c r="U254" s="46" t="s">
        <v>49</v>
      </c>
    </row>
    <row r="255" spans="1:21">
      <c r="A255" s="46" t="s">
        <v>695</v>
      </c>
      <c r="B255" s="46" t="s">
        <v>90</v>
      </c>
      <c r="C255" s="46" t="s">
        <v>666</v>
      </c>
      <c r="D255" s="46">
        <v>1</v>
      </c>
      <c r="E255" s="46">
        <v>0</v>
      </c>
      <c r="F255" s="46" t="s">
        <v>696</v>
      </c>
      <c r="G255" s="46" t="s">
        <v>1305</v>
      </c>
      <c r="H255" s="46" t="s">
        <v>1832</v>
      </c>
      <c r="I255" s="46" t="str">
        <f ca="1">IFERROR(__xludf.DUMMYFUNCTION("CONCAT(A255,REGEXREPLACE(H255,"".*_L0"",""_L0""))"),"HC_BN0615_MTG_snRNAseq_rep1_L004_I2_001.fastq.gz")</f>
        <v>HC_BN0615_MTG_snRNAseq_rep1_L004_I2_001.fastq.gz</v>
      </c>
      <c r="J255" s="46" t="str">
        <f t="shared" si="0"/>
        <v>/data/neurogen/ASAP/scRNAseq/data/batch5_ASAP_snRNA-seq_*/Raw_Data_and_Processing/cellranger_processing/cellranger_fastqs/outs/fastq_path/H*/BN0615_S1_L004_I2_001.fastq.gz</v>
      </c>
      <c r="K255" s="46" t="s">
        <v>1350</v>
      </c>
      <c r="L255" s="47" t="s">
        <v>1833</v>
      </c>
      <c r="M255" s="46" t="s">
        <v>1309</v>
      </c>
      <c r="N255" s="46" t="s">
        <v>1310</v>
      </c>
      <c r="O255" s="46" t="s">
        <v>1311</v>
      </c>
      <c r="P255" s="46" t="s">
        <v>1312</v>
      </c>
      <c r="Q255" s="46" t="s">
        <v>31</v>
      </c>
      <c r="R255" s="46" t="s">
        <v>31</v>
      </c>
      <c r="S255" s="46" t="s">
        <v>31</v>
      </c>
      <c r="T255" s="46" t="s">
        <v>31</v>
      </c>
      <c r="U255" s="46" t="s">
        <v>49</v>
      </c>
    </row>
    <row r="256" spans="1:21">
      <c r="A256" s="46" t="s">
        <v>695</v>
      </c>
      <c r="B256" s="46" t="s">
        <v>90</v>
      </c>
      <c r="C256" s="46" t="s">
        <v>666</v>
      </c>
      <c r="D256" s="46">
        <v>1</v>
      </c>
      <c r="E256" s="46">
        <v>0</v>
      </c>
      <c r="F256" s="46" t="s">
        <v>696</v>
      </c>
      <c r="G256" s="46" t="s">
        <v>1305</v>
      </c>
      <c r="H256" s="46" t="s">
        <v>1834</v>
      </c>
      <c r="I256" s="46" t="str">
        <f ca="1">IFERROR(__xludf.DUMMYFUNCTION("CONCAT(A256,REGEXREPLACE(H256,"".*_L0"",""_L0""))"),"HC_BN0615_MTG_snRNAseq_rep1_L004_R1_001.fastq.gz")</f>
        <v>HC_BN0615_MTG_snRNAseq_rep1_L004_R1_001.fastq.gz</v>
      </c>
      <c r="J256" s="46" t="str">
        <f t="shared" si="0"/>
        <v>/data/neurogen/ASAP/scRNAseq/data/batch5_ASAP_snRNA-seq_*/Raw_Data_and_Processing/cellranger_processing/cellranger_fastqs/outs/fastq_path/H*/BN0615_S1_L004_R1_001.fastq.gz</v>
      </c>
      <c r="K256" s="46" t="s">
        <v>1353</v>
      </c>
      <c r="L256" s="46" t="s">
        <v>1835</v>
      </c>
      <c r="M256" s="46" t="s">
        <v>1309</v>
      </c>
      <c r="N256" s="46" t="s">
        <v>1310</v>
      </c>
      <c r="O256" s="46" t="s">
        <v>1311</v>
      </c>
      <c r="P256" s="46" t="s">
        <v>1312</v>
      </c>
      <c r="Q256" s="46" t="s">
        <v>31</v>
      </c>
      <c r="R256" s="46" t="s">
        <v>31</v>
      </c>
      <c r="S256" s="46" t="s">
        <v>31</v>
      </c>
      <c r="T256" s="46" t="s">
        <v>31</v>
      </c>
      <c r="U256" s="46" t="s">
        <v>49</v>
      </c>
    </row>
    <row r="257" spans="1:21">
      <c r="A257" s="46" t="s">
        <v>695</v>
      </c>
      <c r="B257" s="46" t="s">
        <v>90</v>
      </c>
      <c r="C257" s="46" t="s">
        <v>666</v>
      </c>
      <c r="D257" s="46">
        <v>1</v>
      </c>
      <c r="E257" s="46">
        <v>0</v>
      </c>
      <c r="F257" s="46" t="s">
        <v>696</v>
      </c>
      <c r="G257" s="46" t="s">
        <v>1305</v>
      </c>
      <c r="H257" s="46" t="s">
        <v>1836</v>
      </c>
      <c r="I257" s="46" t="str">
        <f ca="1">IFERROR(__xludf.DUMMYFUNCTION("CONCAT(A257,REGEXREPLACE(H257,"".*_L0"",""_L0""))"),"HC_BN0615_MTG_snRNAseq_rep1_L004_R2_001.fastq.gz")</f>
        <v>HC_BN0615_MTG_snRNAseq_rep1_L004_R2_001.fastq.gz</v>
      </c>
      <c r="J257" s="46" t="str">
        <f t="shared" ref="J257:J511" si="1">CONCATENATE("/data/neurogen/ASAP/scRNAseq/data/",F257,"_ASAP_snRNA-seq_*/Raw_Data_and_Processing/cellranger_processing/cellranger_fastqs/outs/fastq_path/H*/",H257)</f>
        <v>/data/neurogen/ASAP/scRNAseq/data/batch5_ASAP_snRNA-seq_*/Raw_Data_and_Processing/cellranger_processing/cellranger_fastqs/outs/fastq_path/H*/BN0615_S1_L004_R2_001.fastq.gz</v>
      </c>
      <c r="K257" s="46" t="s">
        <v>1356</v>
      </c>
      <c r="L257" s="46" t="s">
        <v>1837</v>
      </c>
      <c r="M257" s="46" t="s">
        <v>1309</v>
      </c>
      <c r="N257" s="46" t="s">
        <v>1310</v>
      </c>
      <c r="O257" s="46" t="s">
        <v>1311</v>
      </c>
      <c r="P257" s="46" t="s">
        <v>1312</v>
      </c>
      <c r="Q257" s="46" t="s">
        <v>31</v>
      </c>
      <c r="R257" s="46" t="s">
        <v>31</v>
      </c>
      <c r="S257" s="46" t="s">
        <v>31</v>
      </c>
      <c r="T257" s="46" t="s">
        <v>31</v>
      </c>
      <c r="U257" s="46" t="s">
        <v>49</v>
      </c>
    </row>
    <row r="258" spans="1:21">
      <c r="A258" s="46" t="s">
        <v>702</v>
      </c>
      <c r="B258" s="46" t="s">
        <v>99</v>
      </c>
      <c r="C258" s="46" t="s">
        <v>666</v>
      </c>
      <c r="D258" s="46">
        <v>1</v>
      </c>
      <c r="E258" s="46">
        <v>0</v>
      </c>
      <c r="F258" s="46" t="s">
        <v>696</v>
      </c>
      <c r="G258" s="46" t="s">
        <v>1305</v>
      </c>
      <c r="H258" s="46" t="s">
        <v>1838</v>
      </c>
      <c r="I258" s="46" t="str">
        <f ca="1">IFERROR(__xludf.DUMMYFUNCTION("CONCAT(A258,REGEXREPLACE(H258,"".*_L0"",""_L0""))"),"PD_BN0662_MTG_snRNAseq_rep1_L001_I1_001.fastq.gz")</f>
        <v>PD_BN0662_MTG_snRNAseq_rep1_L001_I1_001.fastq.gz</v>
      </c>
      <c r="J258" s="46" t="str">
        <f t="shared" si="1"/>
        <v>/data/neurogen/ASAP/scRNAseq/data/batch5_ASAP_snRNA-seq_*/Raw_Data_and_Processing/cellranger_processing/cellranger_fastqs/outs/fastq_path/H*/BN0662_S2_L001_I1_001.fastq.gz</v>
      </c>
      <c r="K258" s="46" t="s">
        <v>1307</v>
      </c>
      <c r="L258" s="46" t="s">
        <v>1839</v>
      </c>
      <c r="M258" s="46" t="s">
        <v>1309</v>
      </c>
      <c r="N258" s="46" t="s">
        <v>1310</v>
      </c>
      <c r="O258" s="46" t="s">
        <v>1311</v>
      </c>
      <c r="P258" s="46" t="s">
        <v>1312</v>
      </c>
      <c r="Q258" s="46" t="s">
        <v>31</v>
      </c>
      <c r="R258" s="46" t="s">
        <v>31</v>
      </c>
      <c r="S258" s="46" t="s">
        <v>31</v>
      </c>
      <c r="T258" s="46" t="s">
        <v>31</v>
      </c>
      <c r="U258" s="46" t="s">
        <v>49</v>
      </c>
    </row>
    <row r="259" spans="1:21">
      <c r="A259" s="46" t="s">
        <v>702</v>
      </c>
      <c r="B259" s="46" t="s">
        <v>99</v>
      </c>
      <c r="C259" s="46" t="s">
        <v>666</v>
      </c>
      <c r="D259" s="46">
        <v>1</v>
      </c>
      <c r="E259" s="46">
        <v>0</v>
      </c>
      <c r="F259" s="46" t="s">
        <v>696</v>
      </c>
      <c r="G259" s="46" t="s">
        <v>1305</v>
      </c>
      <c r="H259" s="46" t="s">
        <v>1840</v>
      </c>
      <c r="I259" s="46" t="str">
        <f ca="1">IFERROR(__xludf.DUMMYFUNCTION("CONCAT(A259,REGEXREPLACE(H259,"".*_L0"",""_L0""))"),"PD_BN0662_MTG_snRNAseq_rep1_L001_I2_001.fastq.gz")</f>
        <v>PD_BN0662_MTG_snRNAseq_rep1_L001_I2_001.fastq.gz</v>
      </c>
      <c r="J259" s="46" t="str">
        <f t="shared" si="1"/>
        <v>/data/neurogen/ASAP/scRNAseq/data/batch5_ASAP_snRNA-seq_*/Raw_Data_and_Processing/cellranger_processing/cellranger_fastqs/outs/fastq_path/H*/BN0662_S2_L001_I2_001.fastq.gz</v>
      </c>
      <c r="K259" s="46" t="s">
        <v>1314</v>
      </c>
      <c r="L259" s="46" t="s">
        <v>1841</v>
      </c>
      <c r="M259" s="46" t="s">
        <v>1309</v>
      </c>
      <c r="N259" s="46" t="s">
        <v>1310</v>
      </c>
      <c r="O259" s="46" t="s">
        <v>1311</v>
      </c>
      <c r="P259" s="46" t="s">
        <v>1312</v>
      </c>
      <c r="Q259" s="46" t="s">
        <v>31</v>
      </c>
      <c r="R259" s="46" t="s">
        <v>31</v>
      </c>
      <c r="S259" s="46" t="s">
        <v>31</v>
      </c>
      <c r="T259" s="46" t="s">
        <v>31</v>
      </c>
      <c r="U259" s="46" t="s">
        <v>49</v>
      </c>
    </row>
    <row r="260" spans="1:21">
      <c r="A260" s="46" t="s">
        <v>702</v>
      </c>
      <c r="B260" s="46" t="s">
        <v>99</v>
      </c>
      <c r="C260" s="46" t="s">
        <v>666</v>
      </c>
      <c r="D260" s="46">
        <v>1</v>
      </c>
      <c r="E260" s="46">
        <v>0</v>
      </c>
      <c r="F260" s="46" t="s">
        <v>696</v>
      </c>
      <c r="G260" s="46" t="s">
        <v>1305</v>
      </c>
      <c r="H260" s="46" t="s">
        <v>1842</v>
      </c>
      <c r="I260" s="46" t="str">
        <f ca="1">IFERROR(__xludf.DUMMYFUNCTION("CONCAT(A260,REGEXREPLACE(H260,"".*_L0"",""_L0""))"),"PD_BN0662_MTG_snRNAseq_rep1_L001_R1_001.fastq.gz")</f>
        <v>PD_BN0662_MTG_snRNAseq_rep1_L001_R1_001.fastq.gz</v>
      </c>
      <c r="J260" s="46" t="str">
        <f t="shared" si="1"/>
        <v>/data/neurogen/ASAP/scRNAseq/data/batch5_ASAP_snRNA-seq_*/Raw_Data_and_Processing/cellranger_processing/cellranger_fastqs/outs/fastq_path/H*/BN0662_S2_L001_R1_001.fastq.gz</v>
      </c>
      <c r="K260" s="46" t="s">
        <v>1317</v>
      </c>
      <c r="L260" s="46" t="s">
        <v>1843</v>
      </c>
      <c r="M260" s="46" t="s">
        <v>1309</v>
      </c>
      <c r="N260" s="46" t="s">
        <v>1310</v>
      </c>
      <c r="O260" s="46" t="s">
        <v>1311</v>
      </c>
      <c r="P260" s="46" t="s">
        <v>1312</v>
      </c>
      <c r="Q260" s="46" t="s">
        <v>31</v>
      </c>
      <c r="R260" s="46" t="s">
        <v>31</v>
      </c>
      <c r="S260" s="46" t="s">
        <v>31</v>
      </c>
      <c r="T260" s="46" t="s">
        <v>31</v>
      </c>
      <c r="U260" s="46" t="s">
        <v>49</v>
      </c>
    </row>
    <row r="261" spans="1:21">
      <c r="A261" s="46" t="s">
        <v>702</v>
      </c>
      <c r="B261" s="46" t="s">
        <v>99</v>
      </c>
      <c r="C261" s="46" t="s">
        <v>666</v>
      </c>
      <c r="D261" s="46">
        <v>1</v>
      </c>
      <c r="E261" s="46">
        <v>0</v>
      </c>
      <c r="F261" s="46" t="s">
        <v>696</v>
      </c>
      <c r="G261" s="46" t="s">
        <v>1305</v>
      </c>
      <c r="H261" s="46" t="s">
        <v>1844</v>
      </c>
      <c r="I261" s="46" t="str">
        <f ca="1">IFERROR(__xludf.DUMMYFUNCTION("CONCAT(A261,REGEXREPLACE(H261,"".*_L0"",""_L0""))"),"PD_BN0662_MTG_snRNAseq_rep1_L001_R2_001.fastq.gz")</f>
        <v>PD_BN0662_MTG_snRNAseq_rep1_L001_R2_001.fastq.gz</v>
      </c>
      <c r="J261" s="46" t="str">
        <f t="shared" si="1"/>
        <v>/data/neurogen/ASAP/scRNAseq/data/batch5_ASAP_snRNA-seq_*/Raw_Data_and_Processing/cellranger_processing/cellranger_fastqs/outs/fastq_path/H*/BN0662_S2_L001_R2_001.fastq.gz</v>
      </c>
      <c r="K261" s="46" t="s">
        <v>1320</v>
      </c>
      <c r="L261" s="46" t="s">
        <v>1845</v>
      </c>
      <c r="M261" s="46" t="s">
        <v>1309</v>
      </c>
      <c r="N261" s="46" t="s">
        <v>1310</v>
      </c>
      <c r="O261" s="46" t="s">
        <v>1311</v>
      </c>
      <c r="P261" s="46" t="s">
        <v>1312</v>
      </c>
      <c r="Q261" s="46" t="s">
        <v>31</v>
      </c>
      <c r="R261" s="46" t="s">
        <v>31</v>
      </c>
      <c r="S261" s="46" t="s">
        <v>31</v>
      </c>
      <c r="T261" s="46" t="s">
        <v>31</v>
      </c>
      <c r="U261" s="46" t="s">
        <v>49</v>
      </c>
    </row>
    <row r="262" spans="1:21">
      <c r="A262" s="46" t="s">
        <v>702</v>
      </c>
      <c r="B262" s="46" t="s">
        <v>99</v>
      </c>
      <c r="C262" s="46" t="s">
        <v>666</v>
      </c>
      <c r="D262" s="46">
        <v>1</v>
      </c>
      <c r="E262" s="46">
        <v>0</v>
      </c>
      <c r="F262" s="46" t="s">
        <v>696</v>
      </c>
      <c r="G262" s="46" t="s">
        <v>1305</v>
      </c>
      <c r="H262" s="46" t="s">
        <v>1846</v>
      </c>
      <c r="I262" s="46" t="str">
        <f ca="1">IFERROR(__xludf.DUMMYFUNCTION("CONCAT(A262,REGEXREPLACE(H262,"".*_L0"",""_L0""))"),"PD_BN0662_MTG_snRNAseq_rep1_L002_I1_001.fastq.gz")</f>
        <v>PD_BN0662_MTG_snRNAseq_rep1_L002_I1_001.fastq.gz</v>
      </c>
      <c r="J262" s="46" t="str">
        <f t="shared" si="1"/>
        <v>/data/neurogen/ASAP/scRNAseq/data/batch5_ASAP_snRNA-seq_*/Raw_Data_and_Processing/cellranger_processing/cellranger_fastqs/outs/fastq_path/H*/BN0662_S2_L002_I1_001.fastq.gz</v>
      </c>
      <c r="K262" s="46" t="s">
        <v>1323</v>
      </c>
      <c r="L262" s="46" t="s">
        <v>1847</v>
      </c>
      <c r="M262" s="46" t="s">
        <v>1309</v>
      </c>
      <c r="N262" s="46" t="s">
        <v>1310</v>
      </c>
      <c r="O262" s="46" t="s">
        <v>1311</v>
      </c>
      <c r="P262" s="46" t="s">
        <v>1312</v>
      </c>
      <c r="Q262" s="46" t="s">
        <v>31</v>
      </c>
      <c r="R262" s="46" t="s">
        <v>31</v>
      </c>
      <c r="S262" s="46" t="s">
        <v>31</v>
      </c>
      <c r="T262" s="46" t="s">
        <v>31</v>
      </c>
      <c r="U262" s="46" t="s">
        <v>49</v>
      </c>
    </row>
    <row r="263" spans="1:21">
      <c r="A263" s="46" t="s">
        <v>702</v>
      </c>
      <c r="B263" s="46" t="s">
        <v>99</v>
      </c>
      <c r="C263" s="46" t="s">
        <v>666</v>
      </c>
      <c r="D263" s="46">
        <v>1</v>
      </c>
      <c r="E263" s="46">
        <v>0</v>
      </c>
      <c r="F263" s="46" t="s">
        <v>696</v>
      </c>
      <c r="G263" s="46" t="s">
        <v>1305</v>
      </c>
      <c r="H263" s="46" t="s">
        <v>1848</v>
      </c>
      <c r="I263" s="46" t="str">
        <f ca="1">IFERROR(__xludf.DUMMYFUNCTION("CONCAT(A263,REGEXREPLACE(H263,"".*_L0"",""_L0""))"),"PD_BN0662_MTG_snRNAseq_rep1_L002_I2_001.fastq.gz")</f>
        <v>PD_BN0662_MTG_snRNAseq_rep1_L002_I2_001.fastq.gz</v>
      </c>
      <c r="J263" s="46" t="str">
        <f t="shared" si="1"/>
        <v>/data/neurogen/ASAP/scRNAseq/data/batch5_ASAP_snRNA-seq_*/Raw_Data_and_Processing/cellranger_processing/cellranger_fastqs/outs/fastq_path/H*/BN0662_S2_L002_I2_001.fastq.gz</v>
      </c>
      <c r="K263" s="46" t="s">
        <v>1326</v>
      </c>
      <c r="L263" s="46" t="s">
        <v>1849</v>
      </c>
      <c r="M263" s="46" t="s">
        <v>1309</v>
      </c>
      <c r="N263" s="46" t="s">
        <v>1310</v>
      </c>
      <c r="O263" s="46" t="s">
        <v>1311</v>
      </c>
      <c r="P263" s="46" t="s">
        <v>1312</v>
      </c>
      <c r="Q263" s="46" t="s">
        <v>31</v>
      </c>
      <c r="R263" s="46" t="s">
        <v>31</v>
      </c>
      <c r="S263" s="46" t="s">
        <v>31</v>
      </c>
      <c r="T263" s="46" t="s">
        <v>31</v>
      </c>
      <c r="U263" s="46" t="s">
        <v>49</v>
      </c>
    </row>
    <row r="264" spans="1:21">
      <c r="A264" s="46" t="s">
        <v>702</v>
      </c>
      <c r="B264" s="46" t="s">
        <v>99</v>
      </c>
      <c r="C264" s="46" t="s">
        <v>666</v>
      </c>
      <c r="D264" s="46">
        <v>1</v>
      </c>
      <c r="E264" s="46">
        <v>0</v>
      </c>
      <c r="F264" s="46" t="s">
        <v>696</v>
      </c>
      <c r="G264" s="46" t="s">
        <v>1305</v>
      </c>
      <c r="H264" s="46" t="s">
        <v>1850</v>
      </c>
      <c r="I264" s="46" t="str">
        <f ca="1">IFERROR(__xludf.DUMMYFUNCTION("CONCAT(A264,REGEXREPLACE(H264,"".*_L0"",""_L0""))"),"PD_BN0662_MTG_snRNAseq_rep1_L002_R1_001.fastq.gz")</f>
        <v>PD_BN0662_MTG_snRNAseq_rep1_L002_R1_001.fastq.gz</v>
      </c>
      <c r="J264" s="46" t="str">
        <f t="shared" si="1"/>
        <v>/data/neurogen/ASAP/scRNAseq/data/batch5_ASAP_snRNA-seq_*/Raw_Data_and_Processing/cellranger_processing/cellranger_fastqs/outs/fastq_path/H*/BN0662_S2_L002_R1_001.fastq.gz</v>
      </c>
      <c r="K264" s="46" t="s">
        <v>1329</v>
      </c>
      <c r="L264" s="46" t="s">
        <v>1851</v>
      </c>
      <c r="M264" s="46" t="s">
        <v>1309</v>
      </c>
      <c r="N264" s="46" t="s">
        <v>1310</v>
      </c>
      <c r="O264" s="46" t="s">
        <v>1311</v>
      </c>
      <c r="P264" s="46" t="s">
        <v>1312</v>
      </c>
      <c r="Q264" s="46" t="s">
        <v>31</v>
      </c>
      <c r="R264" s="46" t="s">
        <v>31</v>
      </c>
      <c r="S264" s="46" t="s">
        <v>31</v>
      </c>
      <c r="T264" s="46" t="s">
        <v>31</v>
      </c>
      <c r="U264" s="46" t="s">
        <v>49</v>
      </c>
    </row>
    <row r="265" spans="1:21">
      <c r="A265" s="46" t="s">
        <v>702</v>
      </c>
      <c r="B265" s="46" t="s">
        <v>99</v>
      </c>
      <c r="C265" s="46" t="s">
        <v>666</v>
      </c>
      <c r="D265" s="46">
        <v>1</v>
      </c>
      <c r="E265" s="46">
        <v>0</v>
      </c>
      <c r="F265" s="46" t="s">
        <v>696</v>
      </c>
      <c r="G265" s="46" t="s">
        <v>1305</v>
      </c>
      <c r="H265" s="46" t="s">
        <v>1852</v>
      </c>
      <c r="I265" s="46" t="str">
        <f ca="1">IFERROR(__xludf.DUMMYFUNCTION("CONCAT(A265,REGEXREPLACE(H265,"".*_L0"",""_L0""))"),"PD_BN0662_MTG_snRNAseq_rep1_L002_R2_001.fastq.gz")</f>
        <v>PD_BN0662_MTG_snRNAseq_rep1_L002_R2_001.fastq.gz</v>
      </c>
      <c r="J265" s="46" t="str">
        <f t="shared" si="1"/>
        <v>/data/neurogen/ASAP/scRNAseq/data/batch5_ASAP_snRNA-seq_*/Raw_Data_and_Processing/cellranger_processing/cellranger_fastqs/outs/fastq_path/H*/BN0662_S2_L002_R2_001.fastq.gz</v>
      </c>
      <c r="K265" s="46" t="s">
        <v>1332</v>
      </c>
      <c r="L265" s="46" t="s">
        <v>1853</v>
      </c>
      <c r="M265" s="46" t="s">
        <v>1309</v>
      </c>
      <c r="N265" s="46" t="s">
        <v>1310</v>
      </c>
      <c r="O265" s="46" t="s">
        <v>1311</v>
      </c>
      <c r="P265" s="46" t="s">
        <v>1312</v>
      </c>
      <c r="Q265" s="46" t="s">
        <v>31</v>
      </c>
      <c r="R265" s="46" t="s">
        <v>31</v>
      </c>
      <c r="S265" s="46" t="s">
        <v>31</v>
      </c>
      <c r="T265" s="46" t="s">
        <v>31</v>
      </c>
      <c r="U265" s="46" t="s">
        <v>49</v>
      </c>
    </row>
    <row r="266" spans="1:21">
      <c r="A266" s="46" t="s">
        <v>702</v>
      </c>
      <c r="B266" s="46" t="s">
        <v>99</v>
      </c>
      <c r="C266" s="46" t="s">
        <v>666</v>
      </c>
      <c r="D266" s="46">
        <v>1</v>
      </c>
      <c r="E266" s="46">
        <v>0</v>
      </c>
      <c r="F266" s="46" t="s">
        <v>696</v>
      </c>
      <c r="G266" s="46" t="s">
        <v>1305</v>
      </c>
      <c r="H266" s="46" t="s">
        <v>1854</v>
      </c>
      <c r="I266" s="46" t="str">
        <f ca="1">IFERROR(__xludf.DUMMYFUNCTION("CONCAT(A266,REGEXREPLACE(H266,"".*_L0"",""_L0""))"),"PD_BN0662_MTG_snRNAseq_rep1_L003_I1_001.fastq.gz")</f>
        <v>PD_BN0662_MTG_snRNAseq_rep1_L003_I1_001.fastq.gz</v>
      </c>
      <c r="J266" s="46" t="str">
        <f t="shared" si="1"/>
        <v>/data/neurogen/ASAP/scRNAseq/data/batch5_ASAP_snRNA-seq_*/Raw_Data_and_Processing/cellranger_processing/cellranger_fastqs/outs/fastq_path/H*/BN0662_S2_L003_I1_001.fastq.gz</v>
      </c>
      <c r="K266" s="46" t="s">
        <v>1335</v>
      </c>
      <c r="L266" s="47" t="s">
        <v>1855</v>
      </c>
      <c r="M266" s="46" t="s">
        <v>1309</v>
      </c>
      <c r="N266" s="46" t="s">
        <v>1310</v>
      </c>
      <c r="O266" s="46" t="s">
        <v>1311</v>
      </c>
      <c r="P266" s="46" t="s">
        <v>1312</v>
      </c>
      <c r="Q266" s="46" t="s">
        <v>31</v>
      </c>
      <c r="R266" s="46" t="s">
        <v>31</v>
      </c>
      <c r="S266" s="46" t="s">
        <v>31</v>
      </c>
      <c r="T266" s="46" t="s">
        <v>31</v>
      </c>
      <c r="U266" s="46" t="s">
        <v>49</v>
      </c>
    </row>
    <row r="267" spans="1:21">
      <c r="A267" s="46" t="s">
        <v>702</v>
      </c>
      <c r="B267" s="46" t="s">
        <v>99</v>
      </c>
      <c r="C267" s="46" t="s">
        <v>666</v>
      </c>
      <c r="D267" s="46">
        <v>1</v>
      </c>
      <c r="E267" s="46">
        <v>0</v>
      </c>
      <c r="F267" s="46" t="s">
        <v>696</v>
      </c>
      <c r="G267" s="46" t="s">
        <v>1305</v>
      </c>
      <c r="H267" s="46" t="s">
        <v>1856</v>
      </c>
      <c r="I267" s="46" t="str">
        <f ca="1">IFERROR(__xludf.DUMMYFUNCTION("CONCAT(A267,REGEXREPLACE(H267,"".*_L0"",""_L0""))"),"PD_BN0662_MTG_snRNAseq_rep1_L003_I2_001.fastq.gz")</f>
        <v>PD_BN0662_MTG_snRNAseq_rep1_L003_I2_001.fastq.gz</v>
      </c>
      <c r="J267" s="46" t="str">
        <f t="shared" si="1"/>
        <v>/data/neurogen/ASAP/scRNAseq/data/batch5_ASAP_snRNA-seq_*/Raw_Data_and_Processing/cellranger_processing/cellranger_fastqs/outs/fastq_path/H*/BN0662_S2_L003_I2_001.fastq.gz</v>
      </c>
      <c r="K267" s="46" t="s">
        <v>1338</v>
      </c>
      <c r="L267" s="46" t="s">
        <v>1857</v>
      </c>
      <c r="M267" s="46" t="s">
        <v>1309</v>
      </c>
      <c r="N267" s="46" t="s">
        <v>1310</v>
      </c>
      <c r="O267" s="46" t="s">
        <v>1311</v>
      </c>
      <c r="P267" s="46" t="s">
        <v>1312</v>
      </c>
      <c r="Q267" s="46" t="s">
        <v>31</v>
      </c>
      <c r="R267" s="46" t="s">
        <v>31</v>
      </c>
      <c r="S267" s="46" t="s">
        <v>31</v>
      </c>
      <c r="T267" s="46" t="s">
        <v>31</v>
      </c>
      <c r="U267" s="46" t="s">
        <v>49</v>
      </c>
    </row>
    <row r="268" spans="1:21">
      <c r="A268" s="46" t="s">
        <v>702</v>
      </c>
      <c r="B268" s="46" t="s">
        <v>99</v>
      </c>
      <c r="C268" s="46" t="s">
        <v>666</v>
      </c>
      <c r="D268" s="46">
        <v>1</v>
      </c>
      <c r="E268" s="46">
        <v>0</v>
      </c>
      <c r="F268" s="46" t="s">
        <v>696</v>
      </c>
      <c r="G268" s="46" t="s">
        <v>1305</v>
      </c>
      <c r="H268" s="46" t="s">
        <v>1858</v>
      </c>
      <c r="I268" s="46" t="str">
        <f ca="1">IFERROR(__xludf.DUMMYFUNCTION("CONCAT(A268,REGEXREPLACE(H268,"".*_L0"",""_L0""))"),"PD_BN0662_MTG_snRNAseq_rep1_L003_R1_001.fastq.gz")</f>
        <v>PD_BN0662_MTG_snRNAseq_rep1_L003_R1_001.fastq.gz</v>
      </c>
      <c r="J268" s="46" t="str">
        <f t="shared" si="1"/>
        <v>/data/neurogen/ASAP/scRNAseq/data/batch5_ASAP_snRNA-seq_*/Raw_Data_and_Processing/cellranger_processing/cellranger_fastqs/outs/fastq_path/H*/BN0662_S2_L003_R1_001.fastq.gz</v>
      </c>
      <c r="K268" s="46" t="s">
        <v>1341</v>
      </c>
      <c r="L268" s="46" t="s">
        <v>1859</v>
      </c>
      <c r="M268" s="46" t="s">
        <v>1309</v>
      </c>
      <c r="N268" s="46" t="s">
        <v>1310</v>
      </c>
      <c r="O268" s="46" t="s">
        <v>1311</v>
      </c>
      <c r="P268" s="46" t="s">
        <v>1312</v>
      </c>
      <c r="Q268" s="46" t="s">
        <v>31</v>
      </c>
      <c r="R268" s="46" t="s">
        <v>31</v>
      </c>
      <c r="S268" s="46" t="s">
        <v>31</v>
      </c>
      <c r="T268" s="46" t="s">
        <v>31</v>
      </c>
      <c r="U268" s="46" t="s">
        <v>49</v>
      </c>
    </row>
    <row r="269" spans="1:21">
      <c r="A269" s="46" t="s">
        <v>702</v>
      </c>
      <c r="B269" s="46" t="s">
        <v>99</v>
      </c>
      <c r="C269" s="46" t="s">
        <v>666</v>
      </c>
      <c r="D269" s="46">
        <v>1</v>
      </c>
      <c r="E269" s="46">
        <v>0</v>
      </c>
      <c r="F269" s="46" t="s">
        <v>696</v>
      </c>
      <c r="G269" s="46" t="s">
        <v>1305</v>
      </c>
      <c r="H269" s="46" t="s">
        <v>1860</v>
      </c>
      <c r="I269" s="46" t="str">
        <f ca="1">IFERROR(__xludf.DUMMYFUNCTION("CONCAT(A269,REGEXREPLACE(H269,"".*_L0"",""_L0""))"),"PD_BN0662_MTG_snRNAseq_rep1_L003_R2_001.fastq.gz")</f>
        <v>PD_BN0662_MTG_snRNAseq_rep1_L003_R2_001.fastq.gz</v>
      </c>
      <c r="J269" s="46" t="str">
        <f t="shared" si="1"/>
        <v>/data/neurogen/ASAP/scRNAseq/data/batch5_ASAP_snRNA-seq_*/Raw_Data_and_Processing/cellranger_processing/cellranger_fastqs/outs/fastq_path/H*/BN0662_S2_L003_R2_001.fastq.gz</v>
      </c>
      <c r="K269" s="46" t="s">
        <v>1344</v>
      </c>
      <c r="L269" s="46" t="s">
        <v>1861</v>
      </c>
      <c r="M269" s="46" t="s">
        <v>1309</v>
      </c>
      <c r="N269" s="46" t="s">
        <v>1310</v>
      </c>
      <c r="O269" s="46" t="s">
        <v>1311</v>
      </c>
      <c r="P269" s="46" t="s">
        <v>1312</v>
      </c>
      <c r="Q269" s="46" t="s">
        <v>31</v>
      </c>
      <c r="R269" s="46" t="s">
        <v>31</v>
      </c>
      <c r="S269" s="46" t="s">
        <v>31</v>
      </c>
      <c r="T269" s="46" t="s">
        <v>31</v>
      </c>
      <c r="U269" s="46" t="s">
        <v>49</v>
      </c>
    </row>
    <row r="270" spans="1:21">
      <c r="A270" s="46" t="s">
        <v>702</v>
      </c>
      <c r="B270" s="46" t="s">
        <v>99</v>
      </c>
      <c r="C270" s="46" t="s">
        <v>666</v>
      </c>
      <c r="D270" s="46">
        <v>1</v>
      </c>
      <c r="E270" s="46">
        <v>0</v>
      </c>
      <c r="F270" s="46" t="s">
        <v>696</v>
      </c>
      <c r="G270" s="46" t="s">
        <v>1305</v>
      </c>
      <c r="H270" s="46" t="s">
        <v>1862</v>
      </c>
      <c r="I270" s="46" t="str">
        <f ca="1">IFERROR(__xludf.DUMMYFUNCTION("CONCAT(A270,REGEXREPLACE(H270,"".*_L0"",""_L0""))"),"PD_BN0662_MTG_snRNAseq_rep1_L004_I1_001.fastq.gz")</f>
        <v>PD_BN0662_MTG_snRNAseq_rep1_L004_I1_001.fastq.gz</v>
      </c>
      <c r="J270" s="46" t="str">
        <f t="shared" si="1"/>
        <v>/data/neurogen/ASAP/scRNAseq/data/batch5_ASAP_snRNA-seq_*/Raw_Data_and_Processing/cellranger_processing/cellranger_fastqs/outs/fastq_path/H*/BN0662_S2_L004_I1_001.fastq.gz</v>
      </c>
      <c r="K270" s="46" t="s">
        <v>1347</v>
      </c>
      <c r="L270" s="46" t="s">
        <v>1863</v>
      </c>
      <c r="M270" s="46" t="s">
        <v>1309</v>
      </c>
      <c r="N270" s="46" t="s">
        <v>1310</v>
      </c>
      <c r="O270" s="46" t="s">
        <v>1311</v>
      </c>
      <c r="P270" s="46" t="s">
        <v>1312</v>
      </c>
      <c r="Q270" s="46" t="s">
        <v>31</v>
      </c>
      <c r="R270" s="46" t="s">
        <v>31</v>
      </c>
      <c r="S270" s="46" t="s">
        <v>31</v>
      </c>
      <c r="T270" s="46" t="s">
        <v>31</v>
      </c>
      <c r="U270" s="46" t="s">
        <v>49</v>
      </c>
    </row>
    <row r="271" spans="1:21">
      <c r="A271" s="46" t="s">
        <v>702</v>
      </c>
      <c r="B271" s="46" t="s">
        <v>99</v>
      </c>
      <c r="C271" s="46" t="s">
        <v>666</v>
      </c>
      <c r="D271" s="46">
        <v>1</v>
      </c>
      <c r="E271" s="46">
        <v>0</v>
      </c>
      <c r="F271" s="46" t="s">
        <v>696</v>
      </c>
      <c r="G271" s="46" t="s">
        <v>1305</v>
      </c>
      <c r="H271" s="46" t="s">
        <v>1864</v>
      </c>
      <c r="I271" s="46" t="str">
        <f ca="1">IFERROR(__xludf.DUMMYFUNCTION("CONCAT(A271,REGEXREPLACE(H271,"".*_L0"",""_L0""))"),"PD_BN0662_MTG_snRNAseq_rep1_L004_I2_001.fastq.gz")</f>
        <v>PD_BN0662_MTG_snRNAseq_rep1_L004_I2_001.fastq.gz</v>
      </c>
      <c r="J271" s="46" t="str">
        <f t="shared" si="1"/>
        <v>/data/neurogen/ASAP/scRNAseq/data/batch5_ASAP_snRNA-seq_*/Raw_Data_and_Processing/cellranger_processing/cellranger_fastqs/outs/fastq_path/H*/BN0662_S2_L004_I2_001.fastq.gz</v>
      </c>
      <c r="K271" s="46" t="s">
        <v>1350</v>
      </c>
      <c r="L271" s="46" t="s">
        <v>1865</v>
      </c>
      <c r="M271" s="46" t="s">
        <v>1309</v>
      </c>
      <c r="N271" s="46" t="s">
        <v>1310</v>
      </c>
      <c r="O271" s="46" t="s">
        <v>1311</v>
      </c>
      <c r="P271" s="46" t="s">
        <v>1312</v>
      </c>
      <c r="Q271" s="46" t="s">
        <v>31</v>
      </c>
      <c r="R271" s="46" t="s">
        <v>31</v>
      </c>
      <c r="S271" s="46" t="s">
        <v>31</v>
      </c>
      <c r="T271" s="46" t="s">
        <v>31</v>
      </c>
      <c r="U271" s="46" t="s">
        <v>49</v>
      </c>
    </row>
    <row r="272" spans="1:21">
      <c r="A272" s="46" t="s">
        <v>702</v>
      </c>
      <c r="B272" s="46" t="s">
        <v>99</v>
      </c>
      <c r="C272" s="46" t="s">
        <v>666</v>
      </c>
      <c r="D272" s="46">
        <v>1</v>
      </c>
      <c r="E272" s="46">
        <v>0</v>
      </c>
      <c r="F272" s="46" t="s">
        <v>696</v>
      </c>
      <c r="G272" s="46" t="s">
        <v>1305</v>
      </c>
      <c r="H272" s="46" t="s">
        <v>1866</v>
      </c>
      <c r="I272" s="46" t="str">
        <f ca="1">IFERROR(__xludf.DUMMYFUNCTION("CONCAT(A272,REGEXREPLACE(H272,"".*_L0"",""_L0""))"),"PD_BN0662_MTG_snRNAseq_rep1_L004_R1_001.fastq.gz")</f>
        <v>PD_BN0662_MTG_snRNAseq_rep1_L004_R1_001.fastq.gz</v>
      </c>
      <c r="J272" s="46" t="str">
        <f t="shared" si="1"/>
        <v>/data/neurogen/ASAP/scRNAseq/data/batch5_ASAP_snRNA-seq_*/Raw_Data_and_Processing/cellranger_processing/cellranger_fastqs/outs/fastq_path/H*/BN0662_S2_L004_R1_001.fastq.gz</v>
      </c>
      <c r="K272" s="46" t="s">
        <v>1353</v>
      </c>
      <c r="L272" s="46" t="s">
        <v>1867</v>
      </c>
      <c r="M272" s="46" t="s">
        <v>1309</v>
      </c>
      <c r="N272" s="46" t="s">
        <v>1310</v>
      </c>
      <c r="O272" s="46" t="s">
        <v>1311</v>
      </c>
      <c r="P272" s="46" t="s">
        <v>1312</v>
      </c>
      <c r="Q272" s="46" t="s">
        <v>31</v>
      </c>
      <c r="R272" s="46" t="s">
        <v>31</v>
      </c>
      <c r="S272" s="46" t="s">
        <v>31</v>
      </c>
      <c r="T272" s="46" t="s">
        <v>31</v>
      </c>
      <c r="U272" s="46" t="s">
        <v>49</v>
      </c>
    </row>
    <row r="273" spans="1:21">
      <c r="A273" s="46" t="s">
        <v>702</v>
      </c>
      <c r="B273" s="46" t="s">
        <v>99</v>
      </c>
      <c r="C273" s="46" t="s">
        <v>666</v>
      </c>
      <c r="D273" s="46">
        <v>1</v>
      </c>
      <c r="E273" s="46">
        <v>0</v>
      </c>
      <c r="F273" s="46" t="s">
        <v>696</v>
      </c>
      <c r="G273" s="46" t="s">
        <v>1305</v>
      </c>
      <c r="H273" s="46" t="s">
        <v>1868</v>
      </c>
      <c r="I273" s="46" t="str">
        <f ca="1">IFERROR(__xludf.DUMMYFUNCTION("CONCAT(A273,REGEXREPLACE(H273,"".*_L0"",""_L0""))"),"PD_BN0662_MTG_snRNAseq_rep1_L004_R2_001.fastq.gz")</f>
        <v>PD_BN0662_MTG_snRNAseq_rep1_L004_R2_001.fastq.gz</v>
      </c>
      <c r="J273" s="46" t="str">
        <f t="shared" si="1"/>
        <v>/data/neurogen/ASAP/scRNAseq/data/batch5_ASAP_snRNA-seq_*/Raw_Data_and_Processing/cellranger_processing/cellranger_fastqs/outs/fastq_path/H*/BN0662_S2_L004_R2_001.fastq.gz</v>
      </c>
      <c r="K273" s="46" t="s">
        <v>1356</v>
      </c>
      <c r="L273" s="46" t="s">
        <v>1869</v>
      </c>
      <c r="M273" s="46" t="s">
        <v>1309</v>
      </c>
      <c r="N273" s="46" t="s">
        <v>1310</v>
      </c>
      <c r="O273" s="46" t="s">
        <v>1311</v>
      </c>
      <c r="P273" s="46" t="s">
        <v>1312</v>
      </c>
      <c r="Q273" s="46" t="s">
        <v>31</v>
      </c>
      <c r="R273" s="46" t="s">
        <v>31</v>
      </c>
      <c r="S273" s="46" t="s">
        <v>31</v>
      </c>
      <c r="T273" s="46" t="s">
        <v>31</v>
      </c>
      <c r="U273" s="46" t="s">
        <v>49</v>
      </c>
    </row>
    <row r="274" spans="1:21">
      <c r="A274" s="46" t="s">
        <v>709</v>
      </c>
      <c r="B274" s="46" t="s">
        <v>108</v>
      </c>
      <c r="C274" s="46" t="s">
        <v>666</v>
      </c>
      <c r="D274" s="46">
        <v>2</v>
      </c>
      <c r="E274" s="46">
        <v>0</v>
      </c>
      <c r="F274" s="46" t="s">
        <v>696</v>
      </c>
      <c r="G274" s="46" t="s">
        <v>1305</v>
      </c>
      <c r="H274" s="46" t="s">
        <v>1870</v>
      </c>
      <c r="I274" s="46" t="str">
        <f ca="1">IFERROR(__xludf.DUMMYFUNCTION("CONCAT(A274,REGEXREPLACE(H274,"".*_L0"",""_L0""))"),"ILB_BN0934_MTG_snRNAseq_rep1_L001_I1_001.fastq.gz")</f>
        <v>ILB_BN0934_MTG_snRNAseq_rep1_L001_I1_001.fastq.gz</v>
      </c>
      <c r="J274" s="46" t="str">
        <f t="shared" si="1"/>
        <v>/data/neurogen/ASAP/scRNAseq/data/batch5_ASAP_snRNA-seq_*/Raw_Data_and_Processing/cellranger_processing/cellranger_fastqs/outs/fastq_path/H*/BN0934_S3_L001_I1_001.fastq.gz</v>
      </c>
      <c r="K274" s="46" t="s">
        <v>1307</v>
      </c>
      <c r="L274" s="46" t="s">
        <v>1871</v>
      </c>
      <c r="M274" s="46" t="s">
        <v>1309</v>
      </c>
      <c r="N274" s="46" t="s">
        <v>1310</v>
      </c>
      <c r="O274" s="46" t="s">
        <v>1311</v>
      </c>
      <c r="P274" s="46" t="s">
        <v>1312</v>
      </c>
      <c r="Q274" s="46" t="s">
        <v>31</v>
      </c>
      <c r="R274" s="46" t="s">
        <v>31</v>
      </c>
      <c r="S274" s="46" t="s">
        <v>31</v>
      </c>
      <c r="T274" s="46" t="s">
        <v>31</v>
      </c>
      <c r="U274" s="46" t="s">
        <v>49</v>
      </c>
    </row>
    <row r="275" spans="1:21">
      <c r="A275" s="46" t="s">
        <v>709</v>
      </c>
      <c r="B275" s="46" t="s">
        <v>108</v>
      </c>
      <c r="C275" s="46" t="s">
        <v>666</v>
      </c>
      <c r="D275" s="46">
        <v>2</v>
      </c>
      <c r="E275" s="46">
        <v>0</v>
      </c>
      <c r="F275" s="46" t="s">
        <v>696</v>
      </c>
      <c r="G275" s="46" t="s">
        <v>1305</v>
      </c>
      <c r="H275" s="46" t="s">
        <v>1872</v>
      </c>
      <c r="I275" s="46" t="str">
        <f ca="1">IFERROR(__xludf.DUMMYFUNCTION("CONCAT(A275,REGEXREPLACE(H275,"".*_L0"",""_L0""))"),"ILB_BN0934_MTG_snRNAseq_rep1_L001_I2_001.fastq.gz")</f>
        <v>ILB_BN0934_MTG_snRNAseq_rep1_L001_I2_001.fastq.gz</v>
      </c>
      <c r="J275" s="46" t="str">
        <f t="shared" si="1"/>
        <v>/data/neurogen/ASAP/scRNAseq/data/batch5_ASAP_snRNA-seq_*/Raw_Data_and_Processing/cellranger_processing/cellranger_fastqs/outs/fastq_path/H*/BN0934_S3_L001_I2_001.fastq.gz</v>
      </c>
      <c r="K275" s="46" t="s">
        <v>1314</v>
      </c>
      <c r="L275" s="46" t="s">
        <v>1873</v>
      </c>
      <c r="M275" s="46" t="s">
        <v>1309</v>
      </c>
      <c r="N275" s="46" t="s">
        <v>1310</v>
      </c>
      <c r="O275" s="46" t="s">
        <v>1311</v>
      </c>
      <c r="P275" s="46" t="s">
        <v>1312</v>
      </c>
      <c r="Q275" s="46" t="s">
        <v>31</v>
      </c>
      <c r="R275" s="46" t="s">
        <v>31</v>
      </c>
      <c r="S275" s="46" t="s">
        <v>31</v>
      </c>
      <c r="T275" s="46" t="s">
        <v>31</v>
      </c>
      <c r="U275" s="46" t="s">
        <v>49</v>
      </c>
    </row>
    <row r="276" spans="1:21">
      <c r="A276" s="46" t="s">
        <v>709</v>
      </c>
      <c r="B276" s="46" t="s">
        <v>108</v>
      </c>
      <c r="C276" s="46" t="s">
        <v>666</v>
      </c>
      <c r="D276" s="46">
        <v>2</v>
      </c>
      <c r="E276" s="46">
        <v>0</v>
      </c>
      <c r="F276" s="46" t="s">
        <v>696</v>
      </c>
      <c r="G276" s="46" t="s">
        <v>1305</v>
      </c>
      <c r="H276" s="46" t="s">
        <v>1874</v>
      </c>
      <c r="I276" s="46" t="str">
        <f ca="1">IFERROR(__xludf.DUMMYFUNCTION("CONCAT(A276,REGEXREPLACE(H276,"".*_L0"",""_L0""))"),"ILB_BN0934_MTG_snRNAseq_rep1_L001_R1_001.fastq.gz")</f>
        <v>ILB_BN0934_MTG_snRNAseq_rep1_L001_R1_001.fastq.gz</v>
      </c>
      <c r="J276" s="46" t="str">
        <f t="shared" si="1"/>
        <v>/data/neurogen/ASAP/scRNAseq/data/batch5_ASAP_snRNA-seq_*/Raw_Data_and_Processing/cellranger_processing/cellranger_fastqs/outs/fastq_path/H*/BN0934_S3_L001_R1_001.fastq.gz</v>
      </c>
      <c r="K276" s="46" t="s">
        <v>1317</v>
      </c>
      <c r="L276" s="46" t="s">
        <v>1875</v>
      </c>
      <c r="M276" s="46" t="s">
        <v>1309</v>
      </c>
      <c r="N276" s="46" t="s">
        <v>1310</v>
      </c>
      <c r="O276" s="46" t="s">
        <v>1311</v>
      </c>
      <c r="P276" s="46" t="s">
        <v>1312</v>
      </c>
      <c r="Q276" s="46" t="s">
        <v>31</v>
      </c>
      <c r="R276" s="46" t="s">
        <v>31</v>
      </c>
      <c r="S276" s="46" t="s">
        <v>31</v>
      </c>
      <c r="T276" s="46" t="s">
        <v>31</v>
      </c>
      <c r="U276" s="46" t="s">
        <v>49</v>
      </c>
    </row>
    <row r="277" spans="1:21">
      <c r="A277" s="46" t="s">
        <v>709</v>
      </c>
      <c r="B277" s="46" t="s">
        <v>108</v>
      </c>
      <c r="C277" s="46" t="s">
        <v>666</v>
      </c>
      <c r="D277" s="46">
        <v>2</v>
      </c>
      <c r="E277" s="46">
        <v>0</v>
      </c>
      <c r="F277" s="46" t="s">
        <v>696</v>
      </c>
      <c r="G277" s="46" t="s">
        <v>1305</v>
      </c>
      <c r="H277" s="46" t="s">
        <v>1876</v>
      </c>
      <c r="I277" s="46" t="str">
        <f ca="1">IFERROR(__xludf.DUMMYFUNCTION("CONCAT(A277,REGEXREPLACE(H277,"".*_L0"",""_L0""))"),"ILB_BN0934_MTG_snRNAseq_rep1_L001_R2_001.fastq.gz")</f>
        <v>ILB_BN0934_MTG_snRNAseq_rep1_L001_R2_001.fastq.gz</v>
      </c>
      <c r="J277" s="46" t="str">
        <f t="shared" si="1"/>
        <v>/data/neurogen/ASAP/scRNAseq/data/batch5_ASAP_snRNA-seq_*/Raw_Data_and_Processing/cellranger_processing/cellranger_fastqs/outs/fastq_path/H*/BN0934_S3_L001_R2_001.fastq.gz</v>
      </c>
      <c r="K277" s="46" t="s">
        <v>1320</v>
      </c>
      <c r="L277" s="46" t="s">
        <v>1877</v>
      </c>
      <c r="M277" s="46" t="s">
        <v>1309</v>
      </c>
      <c r="N277" s="46" t="s">
        <v>1310</v>
      </c>
      <c r="O277" s="46" t="s">
        <v>1311</v>
      </c>
      <c r="P277" s="46" t="s">
        <v>1312</v>
      </c>
      <c r="Q277" s="46" t="s">
        <v>31</v>
      </c>
      <c r="R277" s="46" t="s">
        <v>31</v>
      </c>
      <c r="S277" s="46" t="s">
        <v>31</v>
      </c>
      <c r="T277" s="46" t="s">
        <v>31</v>
      </c>
      <c r="U277" s="46" t="s">
        <v>49</v>
      </c>
    </row>
    <row r="278" spans="1:21">
      <c r="A278" s="46" t="s">
        <v>709</v>
      </c>
      <c r="B278" s="46" t="s">
        <v>108</v>
      </c>
      <c r="C278" s="46" t="s">
        <v>666</v>
      </c>
      <c r="D278" s="46">
        <v>2</v>
      </c>
      <c r="E278" s="46">
        <v>0</v>
      </c>
      <c r="F278" s="46" t="s">
        <v>696</v>
      </c>
      <c r="G278" s="46" t="s">
        <v>1305</v>
      </c>
      <c r="H278" s="46" t="s">
        <v>1878</v>
      </c>
      <c r="I278" s="46" t="str">
        <f ca="1">IFERROR(__xludf.DUMMYFUNCTION("CONCAT(A278,REGEXREPLACE(H278,"".*_L0"",""_L0""))"),"ILB_BN0934_MTG_snRNAseq_rep1_L002_I1_001.fastq.gz")</f>
        <v>ILB_BN0934_MTG_snRNAseq_rep1_L002_I1_001.fastq.gz</v>
      </c>
      <c r="J278" s="46" t="str">
        <f t="shared" si="1"/>
        <v>/data/neurogen/ASAP/scRNAseq/data/batch5_ASAP_snRNA-seq_*/Raw_Data_and_Processing/cellranger_processing/cellranger_fastqs/outs/fastq_path/H*/BN0934_S3_L002_I1_001.fastq.gz</v>
      </c>
      <c r="K278" s="46" t="s">
        <v>1323</v>
      </c>
      <c r="L278" s="46" t="s">
        <v>1879</v>
      </c>
      <c r="M278" s="46" t="s">
        <v>1309</v>
      </c>
      <c r="N278" s="46" t="s">
        <v>1310</v>
      </c>
      <c r="O278" s="46" t="s">
        <v>1311</v>
      </c>
      <c r="P278" s="46" t="s">
        <v>1312</v>
      </c>
      <c r="Q278" s="46" t="s">
        <v>31</v>
      </c>
      <c r="R278" s="46" t="s">
        <v>31</v>
      </c>
      <c r="S278" s="46" t="s">
        <v>31</v>
      </c>
      <c r="T278" s="46" t="s">
        <v>31</v>
      </c>
      <c r="U278" s="46" t="s">
        <v>49</v>
      </c>
    </row>
    <row r="279" spans="1:21">
      <c r="A279" s="46" t="s">
        <v>709</v>
      </c>
      <c r="B279" s="46" t="s">
        <v>108</v>
      </c>
      <c r="C279" s="46" t="s">
        <v>666</v>
      </c>
      <c r="D279" s="46">
        <v>2</v>
      </c>
      <c r="E279" s="46">
        <v>0</v>
      </c>
      <c r="F279" s="46" t="s">
        <v>696</v>
      </c>
      <c r="G279" s="46" t="s">
        <v>1305</v>
      </c>
      <c r="H279" s="46" t="s">
        <v>1880</v>
      </c>
      <c r="I279" s="46" t="str">
        <f ca="1">IFERROR(__xludf.DUMMYFUNCTION("CONCAT(A279,REGEXREPLACE(H279,"".*_L0"",""_L0""))"),"ILB_BN0934_MTG_snRNAseq_rep1_L002_I2_001.fastq.gz")</f>
        <v>ILB_BN0934_MTG_snRNAseq_rep1_L002_I2_001.fastq.gz</v>
      </c>
      <c r="J279" s="46" t="str">
        <f t="shared" si="1"/>
        <v>/data/neurogen/ASAP/scRNAseq/data/batch5_ASAP_snRNA-seq_*/Raw_Data_and_Processing/cellranger_processing/cellranger_fastqs/outs/fastq_path/H*/BN0934_S3_L002_I2_001.fastq.gz</v>
      </c>
      <c r="K279" s="46" t="s">
        <v>1326</v>
      </c>
      <c r="L279" s="46" t="s">
        <v>1881</v>
      </c>
      <c r="M279" s="46" t="s">
        <v>1309</v>
      </c>
      <c r="N279" s="46" t="s">
        <v>1310</v>
      </c>
      <c r="O279" s="46" t="s">
        <v>1311</v>
      </c>
      <c r="P279" s="46" t="s">
        <v>1312</v>
      </c>
      <c r="Q279" s="46" t="s">
        <v>31</v>
      </c>
      <c r="R279" s="46" t="s">
        <v>31</v>
      </c>
      <c r="S279" s="46" t="s">
        <v>31</v>
      </c>
      <c r="T279" s="46" t="s">
        <v>31</v>
      </c>
      <c r="U279" s="46" t="s">
        <v>49</v>
      </c>
    </row>
    <row r="280" spans="1:21">
      <c r="A280" s="46" t="s">
        <v>709</v>
      </c>
      <c r="B280" s="46" t="s">
        <v>108</v>
      </c>
      <c r="C280" s="46" t="s">
        <v>666</v>
      </c>
      <c r="D280" s="46">
        <v>2</v>
      </c>
      <c r="E280" s="46">
        <v>0</v>
      </c>
      <c r="F280" s="46" t="s">
        <v>696</v>
      </c>
      <c r="G280" s="46" t="s">
        <v>1305</v>
      </c>
      <c r="H280" s="46" t="s">
        <v>1882</v>
      </c>
      <c r="I280" s="46" t="str">
        <f ca="1">IFERROR(__xludf.DUMMYFUNCTION("CONCAT(A280,REGEXREPLACE(H280,"".*_L0"",""_L0""))"),"ILB_BN0934_MTG_snRNAseq_rep1_L002_R1_001.fastq.gz")</f>
        <v>ILB_BN0934_MTG_snRNAseq_rep1_L002_R1_001.fastq.gz</v>
      </c>
      <c r="J280" s="46" t="str">
        <f t="shared" si="1"/>
        <v>/data/neurogen/ASAP/scRNAseq/data/batch5_ASAP_snRNA-seq_*/Raw_Data_and_Processing/cellranger_processing/cellranger_fastqs/outs/fastq_path/H*/BN0934_S3_L002_R1_001.fastq.gz</v>
      </c>
      <c r="K280" s="46" t="s">
        <v>1329</v>
      </c>
      <c r="L280" s="46" t="s">
        <v>1883</v>
      </c>
      <c r="M280" s="46" t="s">
        <v>1309</v>
      </c>
      <c r="N280" s="46" t="s">
        <v>1310</v>
      </c>
      <c r="O280" s="46" t="s">
        <v>1311</v>
      </c>
      <c r="P280" s="46" t="s">
        <v>1312</v>
      </c>
      <c r="Q280" s="46" t="s">
        <v>31</v>
      </c>
      <c r="R280" s="46" t="s">
        <v>31</v>
      </c>
      <c r="S280" s="46" t="s">
        <v>31</v>
      </c>
      <c r="T280" s="46" t="s">
        <v>31</v>
      </c>
      <c r="U280" s="46" t="s">
        <v>49</v>
      </c>
    </row>
    <row r="281" spans="1:21">
      <c r="A281" s="46" t="s">
        <v>709</v>
      </c>
      <c r="B281" s="46" t="s">
        <v>108</v>
      </c>
      <c r="C281" s="46" t="s">
        <v>666</v>
      </c>
      <c r="D281" s="46">
        <v>2</v>
      </c>
      <c r="E281" s="46">
        <v>0</v>
      </c>
      <c r="F281" s="46" t="s">
        <v>696</v>
      </c>
      <c r="G281" s="46" t="s">
        <v>1305</v>
      </c>
      <c r="H281" s="46" t="s">
        <v>1884</v>
      </c>
      <c r="I281" s="46" t="str">
        <f ca="1">IFERROR(__xludf.DUMMYFUNCTION("CONCAT(A281,REGEXREPLACE(H281,"".*_L0"",""_L0""))"),"ILB_BN0934_MTG_snRNAseq_rep1_L002_R2_001.fastq.gz")</f>
        <v>ILB_BN0934_MTG_snRNAseq_rep1_L002_R2_001.fastq.gz</v>
      </c>
      <c r="J281" s="46" t="str">
        <f t="shared" si="1"/>
        <v>/data/neurogen/ASAP/scRNAseq/data/batch5_ASAP_snRNA-seq_*/Raw_Data_and_Processing/cellranger_processing/cellranger_fastqs/outs/fastq_path/H*/BN0934_S3_L002_R2_001.fastq.gz</v>
      </c>
      <c r="K281" s="46" t="s">
        <v>1332</v>
      </c>
      <c r="L281" s="46" t="s">
        <v>1885</v>
      </c>
      <c r="M281" s="46" t="s">
        <v>1309</v>
      </c>
      <c r="N281" s="46" t="s">
        <v>1310</v>
      </c>
      <c r="O281" s="46" t="s">
        <v>1311</v>
      </c>
      <c r="P281" s="46" t="s">
        <v>1312</v>
      </c>
      <c r="Q281" s="46" t="s">
        <v>31</v>
      </c>
      <c r="R281" s="46" t="s">
        <v>31</v>
      </c>
      <c r="S281" s="46" t="s">
        <v>31</v>
      </c>
      <c r="T281" s="46" t="s">
        <v>31</v>
      </c>
      <c r="U281" s="46" t="s">
        <v>49</v>
      </c>
    </row>
    <row r="282" spans="1:21">
      <c r="A282" s="46" t="s">
        <v>709</v>
      </c>
      <c r="B282" s="46" t="s">
        <v>108</v>
      </c>
      <c r="C282" s="46" t="s">
        <v>666</v>
      </c>
      <c r="D282" s="46">
        <v>2</v>
      </c>
      <c r="E282" s="46">
        <v>0</v>
      </c>
      <c r="F282" s="46" t="s">
        <v>696</v>
      </c>
      <c r="G282" s="46" t="s">
        <v>1305</v>
      </c>
      <c r="H282" s="46" t="s">
        <v>1886</v>
      </c>
      <c r="I282" s="46" t="str">
        <f ca="1">IFERROR(__xludf.DUMMYFUNCTION("CONCAT(A282,REGEXREPLACE(H282,"".*_L0"",""_L0""))"),"ILB_BN0934_MTG_snRNAseq_rep1_L003_I1_001.fastq.gz")</f>
        <v>ILB_BN0934_MTG_snRNAseq_rep1_L003_I1_001.fastq.gz</v>
      </c>
      <c r="J282" s="46" t="str">
        <f t="shared" si="1"/>
        <v>/data/neurogen/ASAP/scRNAseq/data/batch5_ASAP_snRNA-seq_*/Raw_Data_and_Processing/cellranger_processing/cellranger_fastqs/outs/fastq_path/H*/BN0934_S3_L003_I1_001.fastq.gz</v>
      </c>
      <c r="K282" s="46" t="s">
        <v>1335</v>
      </c>
      <c r="L282" s="46" t="s">
        <v>1887</v>
      </c>
      <c r="M282" s="46" t="s">
        <v>1309</v>
      </c>
      <c r="N282" s="46" t="s">
        <v>1310</v>
      </c>
      <c r="O282" s="46" t="s">
        <v>1311</v>
      </c>
      <c r="P282" s="46" t="s">
        <v>1312</v>
      </c>
      <c r="Q282" s="46" t="s">
        <v>31</v>
      </c>
      <c r="R282" s="46" t="s">
        <v>31</v>
      </c>
      <c r="S282" s="46" t="s">
        <v>31</v>
      </c>
      <c r="T282" s="46" t="s">
        <v>31</v>
      </c>
      <c r="U282" s="46" t="s">
        <v>49</v>
      </c>
    </row>
    <row r="283" spans="1:21">
      <c r="A283" s="46" t="s">
        <v>709</v>
      </c>
      <c r="B283" s="46" t="s">
        <v>108</v>
      </c>
      <c r="C283" s="46" t="s">
        <v>666</v>
      </c>
      <c r="D283" s="46">
        <v>2</v>
      </c>
      <c r="E283" s="46">
        <v>0</v>
      </c>
      <c r="F283" s="46" t="s">
        <v>696</v>
      </c>
      <c r="G283" s="46" t="s">
        <v>1305</v>
      </c>
      <c r="H283" s="46" t="s">
        <v>1888</v>
      </c>
      <c r="I283" s="46" t="str">
        <f ca="1">IFERROR(__xludf.DUMMYFUNCTION("CONCAT(A283,REGEXREPLACE(H283,"".*_L0"",""_L0""))"),"ILB_BN0934_MTG_snRNAseq_rep1_L003_I2_001.fastq.gz")</f>
        <v>ILB_BN0934_MTG_snRNAseq_rep1_L003_I2_001.fastq.gz</v>
      </c>
      <c r="J283" s="46" t="str">
        <f t="shared" si="1"/>
        <v>/data/neurogen/ASAP/scRNAseq/data/batch5_ASAP_snRNA-seq_*/Raw_Data_and_Processing/cellranger_processing/cellranger_fastqs/outs/fastq_path/H*/BN0934_S3_L003_I2_001.fastq.gz</v>
      </c>
      <c r="K283" s="46" t="s">
        <v>1338</v>
      </c>
      <c r="L283" s="46" t="s">
        <v>1889</v>
      </c>
      <c r="M283" s="46" t="s">
        <v>1309</v>
      </c>
      <c r="N283" s="46" t="s">
        <v>1310</v>
      </c>
      <c r="O283" s="46" t="s">
        <v>1311</v>
      </c>
      <c r="P283" s="46" t="s">
        <v>1312</v>
      </c>
      <c r="Q283" s="46" t="s">
        <v>31</v>
      </c>
      <c r="R283" s="46" t="s">
        <v>31</v>
      </c>
      <c r="S283" s="46" t="s">
        <v>31</v>
      </c>
      <c r="T283" s="46" t="s">
        <v>31</v>
      </c>
      <c r="U283" s="46" t="s">
        <v>49</v>
      </c>
    </row>
    <row r="284" spans="1:21">
      <c r="A284" s="46" t="s">
        <v>709</v>
      </c>
      <c r="B284" s="46" t="s">
        <v>108</v>
      </c>
      <c r="C284" s="46" t="s">
        <v>666</v>
      </c>
      <c r="D284" s="46">
        <v>2</v>
      </c>
      <c r="E284" s="46">
        <v>0</v>
      </c>
      <c r="F284" s="46" t="s">
        <v>696</v>
      </c>
      <c r="G284" s="46" t="s">
        <v>1305</v>
      </c>
      <c r="H284" s="46" t="s">
        <v>1890</v>
      </c>
      <c r="I284" s="46" t="str">
        <f ca="1">IFERROR(__xludf.DUMMYFUNCTION("CONCAT(A284,REGEXREPLACE(H284,"".*_L0"",""_L0""))"),"ILB_BN0934_MTG_snRNAseq_rep1_L003_R1_001.fastq.gz")</f>
        <v>ILB_BN0934_MTG_snRNAseq_rep1_L003_R1_001.fastq.gz</v>
      </c>
      <c r="J284" s="46" t="str">
        <f t="shared" si="1"/>
        <v>/data/neurogen/ASAP/scRNAseq/data/batch5_ASAP_snRNA-seq_*/Raw_Data_and_Processing/cellranger_processing/cellranger_fastqs/outs/fastq_path/H*/BN0934_S3_L003_R1_001.fastq.gz</v>
      </c>
      <c r="K284" s="46" t="s">
        <v>1341</v>
      </c>
      <c r="L284" s="46" t="s">
        <v>1891</v>
      </c>
      <c r="M284" s="46" t="s">
        <v>1309</v>
      </c>
      <c r="N284" s="46" t="s">
        <v>1310</v>
      </c>
      <c r="O284" s="46" t="s">
        <v>1311</v>
      </c>
      <c r="P284" s="46" t="s">
        <v>1312</v>
      </c>
      <c r="Q284" s="46" t="s">
        <v>31</v>
      </c>
      <c r="R284" s="46" t="s">
        <v>31</v>
      </c>
      <c r="S284" s="46" t="s">
        <v>31</v>
      </c>
      <c r="T284" s="46" t="s">
        <v>31</v>
      </c>
      <c r="U284" s="46" t="s">
        <v>49</v>
      </c>
    </row>
    <row r="285" spans="1:21">
      <c r="A285" s="46" t="s">
        <v>709</v>
      </c>
      <c r="B285" s="46" t="s">
        <v>108</v>
      </c>
      <c r="C285" s="46" t="s">
        <v>666</v>
      </c>
      <c r="D285" s="46">
        <v>2</v>
      </c>
      <c r="E285" s="46">
        <v>0</v>
      </c>
      <c r="F285" s="46" t="s">
        <v>696</v>
      </c>
      <c r="G285" s="46" t="s">
        <v>1305</v>
      </c>
      <c r="H285" s="46" t="s">
        <v>1892</v>
      </c>
      <c r="I285" s="46" t="str">
        <f ca="1">IFERROR(__xludf.DUMMYFUNCTION("CONCAT(A285,REGEXREPLACE(H285,"".*_L0"",""_L0""))"),"ILB_BN0934_MTG_snRNAseq_rep1_L003_R2_001.fastq.gz")</f>
        <v>ILB_BN0934_MTG_snRNAseq_rep1_L003_R2_001.fastq.gz</v>
      </c>
      <c r="J285" s="46" t="str">
        <f t="shared" si="1"/>
        <v>/data/neurogen/ASAP/scRNAseq/data/batch5_ASAP_snRNA-seq_*/Raw_Data_and_Processing/cellranger_processing/cellranger_fastqs/outs/fastq_path/H*/BN0934_S3_L003_R2_001.fastq.gz</v>
      </c>
      <c r="K285" s="46" t="s">
        <v>1344</v>
      </c>
      <c r="L285" s="46" t="s">
        <v>1893</v>
      </c>
      <c r="M285" s="46" t="s">
        <v>1309</v>
      </c>
      <c r="N285" s="46" t="s">
        <v>1310</v>
      </c>
      <c r="O285" s="46" t="s">
        <v>1311</v>
      </c>
      <c r="P285" s="46" t="s">
        <v>1312</v>
      </c>
      <c r="Q285" s="46" t="s">
        <v>31</v>
      </c>
      <c r="R285" s="46" t="s">
        <v>31</v>
      </c>
      <c r="S285" s="46" t="s">
        <v>31</v>
      </c>
      <c r="T285" s="46" t="s">
        <v>31</v>
      </c>
      <c r="U285" s="46" t="s">
        <v>49</v>
      </c>
    </row>
    <row r="286" spans="1:21">
      <c r="A286" s="46" t="s">
        <v>709</v>
      </c>
      <c r="B286" s="46" t="s">
        <v>108</v>
      </c>
      <c r="C286" s="46" t="s">
        <v>666</v>
      </c>
      <c r="D286" s="46">
        <v>2</v>
      </c>
      <c r="E286" s="46">
        <v>0</v>
      </c>
      <c r="F286" s="46" t="s">
        <v>696</v>
      </c>
      <c r="G286" s="46" t="s">
        <v>1305</v>
      </c>
      <c r="H286" s="46" t="s">
        <v>1894</v>
      </c>
      <c r="I286" s="46" t="str">
        <f ca="1">IFERROR(__xludf.DUMMYFUNCTION("CONCAT(A286,REGEXREPLACE(H286,"".*_L0"",""_L0""))"),"ILB_BN0934_MTG_snRNAseq_rep1_L004_I1_001.fastq.gz")</f>
        <v>ILB_BN0934_MTG_snRNAseq_rep1_L004_I1_001.fastq.gz</v>
      </c>
      <c r="J286" s="46" t="str">
        <f t="shared" si="1"/>
        <v>/data/neurogen/ASAP/scRNAseq/data/batch5_ASAP_snRNA-seq_*/Raw_Data_and_Processing/cellranger_processing/cellranger_fastqs/outs/fastq_path/H*/BN0934_S3_L004_I1_001.fastq.gz</v>
      </c>
      <c r="K286" s="46" t="s">
        <v>1347</v>
      </c>
      <c r="L286" s="46" t="s">
        <v>1895</v>
      </c>
      <c r="M286" s="46" t="s">
        <v>1309</v>
      </c>
      <c r="N286" s="46" t="s">
        <v>1310</v>
      </c>
      <c r="O286" s="46" t="s">
        <v>1311</v>
      </c>
      <c r="P286" s="46" t="s">
        <v>1312</v>
      </c>
      <c r="Q286" s="46" t="s">
        <v>31</v>
      </c>
      <c r="R286" s="46" t="s">
        <v>31</v>
      </c>
      <c r="S286" s="46" t="s">
        <v>31</v>
      </c>
      <c r="T286" s="46" t="s">
        <v>31</v>
      </c>
      <c r="U286" s="46" t="s">
        <v>49</v>
      </c>
    </row>
    <row r="287" spans="1:21">
      <c r="A287" s="46" t="s">
        <v>709</v>
      </c>
      <c r="B287" s="46" t="s">
        <v>108</v>
      </c>
      <c r="C287" s="46" t="s">
        <v>666</v>
      </c>
      <c r="D287" s="46">
        <v>2</v>
      </c>
      <c r="E287" s="46">
        <v>0</v>
      </c>
      <c r="F287" s="46" t="s">
        <v>696</v>
      </c>
      <c r="G287" s="46" t="s">
        <v>1305</v>
      </c>
      <c r="H287" s="46" t="s">
        <v>1896</v>
      </c>
      <c r="I287" s="46" t="str">
        <f ca="1">IFERROR(__xludf.DUMMYFUNCTION("CONCAT(A287,REGEXREPLACE(H287,"".*_L0"",""_L0""))"),"ILB_BN0934_MTG_snRNAseq_rep1_L004_I2_001.fastq.gz")</f>
        <v>ILB_BN0934_MTG_snRNAseq_rep1_L004_I2_001.fastq.gz</v>
      </c>
      <c r="J287" s="46" t="str">
        <f t="shared" si="1"/>
        <v>/data/neurogen/ASAP/scRNAseq/data/batch5_ASAP_snRNA-seq_*/Raw_Data_and_Processing/cellranger_processing/cellranger_fastqs/outs/fastq_path/H*/BN0934_S3_L004_I2_001.fastq.gz</v>
      </c>
      <c r="K287" s="46" t="s">
        <v>1350</v>
      </c>
      <c r="L287" s="46" t="s">
        <v>1897</v>
      </c>
      <c r="M287" s="46" t="s">
        <v>1309</v>
      </c>
      <c r="N287" s="46" t="s">
        <v>1310</v>
      </c>
      <c r="O287" s="46" t="s">
        <v>1311</v>
      </c>
      <c r="P287" s="46" t="s">
        <v>1312</v>
      </c>
      <c r="Q287" s="46" t="s">
        <v>31</v>
      </c>
      <c r="R287" s="46" t="s">
        <v>31</v>
      </c>
      <c r="S287" s="46" t="s">
        <v>31</v>
      </c>
      <c r="T287" s="46" t="s">
        <v>31</v>
      </c>
      <c r="U287" s="46" t="s">
        <v>49</v>
      </c>
    </row>
    <row r="288" spans="1:21">
      <c r="A288" s="46" t="s">
        <v>709</v>
      </c>
      <c r="B288" s="46" t="s">
        <v>108</v>
      </c>
      <c r="C288" s="46" t="s">
        <v>666</v>
      </c>
      <c r="D288" s="46">
        <v>2</v>
      </c>
      <c r="E288" s="46">
        <v>0</v>
      </c>
      <c r="F288" s="46" t="s">
        <v>696</v>
      </c>
      <c r="G288" s="46" t="s">
        <v>1305</v>
      </c>
      <c r="H288" s="46" t="s">
        <v>1898</v>
      </c>
      <c r="I288" s="46" t="str">
        <f ca="1">IFERROR(__xludf.DUMMYFUNCTION("CONCAT(A288,REGEXREPLACE(H288,"".*_L0"",""_L0""))"),"ILB_BN0934_MTG_snRNAseq_rep1_L004_R1_001.fastq.gz")</f>
        <v>ILB_BN0934_MTG_snRNAseq_rep1_L004_R1_001.fastq.gz</v>
      </c>
      <c r="J288" s="46" t="str">
        <f t="shared" si="1"/>
        <v>/data/neurogen/ASAP/scRNAseq/data/batch5_ASAP_snRNA-seq_*/Raw_Data_and_Processing/cellranger_processing/cellranger_fastqs/outs/fastq_path/H*/BN0934_S3_L004_R1_001.fastq.gz</v>
      </c>
      <c r="K288" s="46" t="s">
        <v>1353</v>
      </c>
      <c r="L288" s="46" t="s">
        <v>1899</v>
      </c>
      <c r="M288" s="46" t="s">
        <v>1309</v>
      </c>
      <c r="N288" s="46" t="s">
        <v>1310</v>
      </c>
      <c r="O288" s="46" t="s">
        <v>1311</v>
      </c>
      <c r="P288" s="46" t="s">
        <v>1312</v>
      </c>
      <c r="Q288" s="46" t="s">
        <v>31</v>
      </c>
      <c r="R288" s="46" t="s">
        <v>31</v>
      </c>
      <c r="S288" s="46" t="s">
        <v>31</v>
      </c>
      <c r="T288" s="46" t="s">
        <v>31</v>
      </c>
      <c r="U288" s="46" t="s">
        <v>49</v>
      </c>
    </row>
    <row r="289" spans="1:21">
      <c r="A289" s="46" t="s">
        <v>709</v>
      </c>
      <c r="B289" s="46" t="s">
        <v>108</v>
      </c>
      <c r="C289" s="46" t="s">
        <v>666</v>
      </c>
      <c r="D289" s="46">
        <v>2</v>
      </c>
      <c r="E289" s="46">
        <v>0</v>
      </c>
      <c r="F289" s="46" t="s">
        <v>696</v>
      </c>
      <c r="G289" s="46" t="s">
        <v>1305</v>
      </c>
      <c r="H289" s="46" t="s">
        <v>1900</v>
      </c>
      <c r="I289" s="46" t="str">
        <f ca="1">IFERROR(__xludf.DUMMYFUNCTION("CONCAT(A289,REGEXREPLACE(H289,"".*_L0"",""_L0""))"),"ILB_BN0934_MTG_snRNAseq_rep1_L004_R2_001.fastq.gz")</f>
        <v>ILB_BN0934_MTG_snRNAseq_rep1_L004_R2_001.fastq.gz</v>
      </c>
      <c r="J289" s="46" t="str">
        <f t="shared" si="1"/>
        <v>/data/neurogen/ASAP/scRNAseq/data/batch5_ASAP_snRNA-seq_*/Raw_Data_and_Processing/cellranger_processing/cellranger_fastqs/outs/fastq_path/H*/BN0934_S3_L004_R2_001.fastq.gz</v>
      </c>
      <c r="K289" s="46" t="s">
        <v>1356</v>
      </c>
      <c r="L289" s="46" t="s">
        <v>1901</v>
      </c>
      <c r="M289" s="46" t="s">
        <v>1309</v>
      </c>
      <c r="N289" s="46" t="s">
        <v>1310</v>
      </c>
      <c r="O289" s="46" t="s">
        <v>1311</v>
      </c>
      <c r="P289" s="46" t="s">
        <v>1312</v>
      </c>
      <c r="Q289" s="46" t="s">
        <v>31</v>
      </c>
      <c r="R289" s="46" t="s">
        <v>31</v>
      </c>
      <c r="S289" s="46" t="s">
        <v>31</v>
      </c>
      <c r="T289" s="46" t="s">
        <v>31</v>
      </c>
      <c r="U289" s="46" t="s">
        <v>49</v>
      </c>
    </row>
    <row r="290" spans="1:21">
      <c r="A290" s="46" t="s">
        <v>716</v>
      </c>
      <c r="B290" s="46" t="s">
        <v>115</v>
      </c>
      <c r="C290" s="46" t="s">
        <v>666</v>
      </c>
      <c r="D290" s="46">
        <v>1</v>
      </c>
      <c r="E290" s="46">
        <v>0</v>
      </c>
      <c r="F290" s="46" t="s">
        <v>696</v>
      </c>
      <c r="G290" s="46" t="s">
        <v>1305</v>
      </c>
      <c r="H290" s="46" t="s">
        <v>1902</v>
      </c>
      <c r="I290" s="46" t="str">
        <f ca="1">IFERROR(__xludf.DUMMYFUNCTION("CONCAT(A290,REGEXREPLACE(H290,"".*_L0"",""_L0""))"),"ILB_BN1128_MTG_snRNAseq_rep1_L001_I1_001.fastq.gz")</f>
        <v>ILB_BN1128_MTG_snRNAseq_rep1_L001_I1_001.fastq.gz</v>
      </c>
      <c r="J290" s="46" t="str">
        <f t="shared" si="1"/>
        <v>/data/neurogen/ASAP/scRNAseq/data/batch5_ASAP_snRNA-seq_*/Raw_Data_and_Processing/cellranger_processing/cellranger_fastqs/outs/fastq_path/H*/BN1128_S4_L001_I1_001.fastq.gz</v>
      </c>
      <c r="K290" s="46" t="s">
        <v>1307</v>
      </c>
      <c r="L290" s="46" t="s">
        <v>1903</v>
      </c>
      <c r="M290" s="46" t="s">
        <v>1309</v>
      </c>
      <c r="N290" s="46" t="s">
        <v>1310</v>
      </c>
      <c r="O290" s="46" t="s">
        <v>1311</v>
      </c>
      <c r="P290" s="46" t="s">
        <v>1312</v>
      </c>
      <c r="Q290" s="46" t="s">
        <v>31</v>
      </c>
      <c r="R290" s="46" t="s">
        <v>31</v>
      </c>
      <c r="S290" s="46" t="s">
        <v>31</v>
      </c>
      <c r="T290" s="46" t="s">
        <v>31</v>
      </c>
      <c r="U290" s="46" t="s">
        <v>49</v>
      </c>
    </row>
    <row r="291" spans="1:21">
      <c r="A291" s="46" t="s">
        <v>716</v>
      </c>
      <c r="B291" s="46" t="s">
        <v>115</v>
      </c>
      <c r="C291" s="46" t="s">
        <v>666</v>
      </c>
      <c r="D291" s="46">
        <v>1</v>
      </c>
      <c r="E291" s="46">
        <v>0</v>
      </c>
      <c r="F291" s="46" t="s">
        <v>696</v>
      </c>
      <c r="G291" s="46" t="s">
        <v>1305</v>
      </c>
      <c r="H291" s="46" t="s">
        <v>1904</v>
      </c>
      <c r="I291" s="46" t="str">
        <f ca="1">IFERROR(__xludf.DUMMYFUNCTION("CONCAT(A291,REGEXREPLACE(H291,"".*_L0"",""_L0""))"),"ILB_BN1128_MTG_snRNAseq_rep1_L001_I2_001.fastq.gz")</f>
        <v>ILB_BN1128_MTG_snRNAseq_rep1_L001_I2_001.fastq.gz</v>
      </c>
      <c r="J291" s="46" t="str">
        <f t="shared" si="1"/>
        <v>/data/neurogen/ASAP/scRNAseq/data/batch5_ASAP_snRNA-seq_*/Raw_Data_and_Processing/cellranger_processing/cellranger_fastqs/outs/fastq_path/H*/BN1128_S4_L001_I2_001.fastq.gz</v>
      </c>
      <c r="K291" s="46" t="s">
        <v>1314</v>
      </c>
      <c r="L291" s="46" t="s">
        <v>1905</v>
      </c>
      <c r="M291" s="46" t="s">
        <v>1309</v>
      </c>
      <c r="N291" s="46" t="s">
        <v>1310</v>
      </c>
      <c r="O291" s="46" t="s">
        <v>1311</v>
      </c>
      <c r="P291" s="46" t="s">
        <v>1312</v>
      </c>
      <c r="Q291" s="46" t="s">
        <v>31</v>
      </c>
      <c r="R291" s="46" t="s">
        <v>31</v>
      </c>
      <c r="S291" s="46" t="s">
        <v>31</v>
      </c>
      <c r="T291" s="46" t="s">
        <v>31</v>
      </c>
      <c r="U291" s="46" t="s">
        <v>49</v>
      </c>
    </row>
    <row r="292" spans="1:21">
      <c r="A292" s="46" t="s">
        <v>716</v>
      </c>
      <c r="B292" s="46" t="s">
        <v>115</v>
      </c>
      <c r="C292" s="46" t="s">
        <v>666</v>
      </c>
      <c r="D292" s="46">
        <v>1</v>
      </c>
      <c r="E292" s="46">
        <v>0</v>
      </c>
      <c r="F292" s="46" t="s">
        <v>696</v>
      </c>
      <c r="G292" s="46" t="s">
        <v>1305</v>
      </c>
      <c r="H292" s="46" t="s">
        <v>1906</v>
      </c>
      <c r="I292" s="46" t="str">
        <f ca="1">IFERROR(__xludf.DUMMYFUNCTION("CONCAT(A292,REGEXREPLACE(H292,"".*_L0"",""_L0""))"),"ILB_BN1128_MTG_snRNAseq_rep1_L001_R1_001.fastq.gz")</f>
        <v>ILB_BN1128_MTG_snRNAseq_rep1_L001_R1_001.fastq.gz</v>
      </c>
      <c r="J292" s="46" t="str">
        <f t="shared" si="1"/>
        <v>/data/neurogen/ASAP/scRNAseq/data/batch5_ASAP_snRNA-seq_*/Raw_Data_and_Processing/cellranger_processing/cellranger_fastqs/outs/fastq_path/H*/BN1128_S4_L001_R1_001.fastq.gz</v>
      </c>
      <c r="K292" s="46" t="s">
        <v>1317</v>
      </c>
      <c r="L292" s="46" t="s">
        <v>1907</v>
      </c>
      <c r="M292" s="46" t="s">
        <v>1309</v>
      </c>
      <c r="N292" s="46" t="s">
        <v>1310</v>
      </c>
      <c r="O292" s="46" t="s">
        <v>1311</v>
      </c>
      <c r="P292" s="46" t="s">
        <v>1312</v>
      </c>
      <c r="Q292" s="46" t="s">
        <v>31</v>
      </c>
      <c r="R292" s="46" t="s">
        <v>31</v>
      </c>
      <c r="S292" s="46" t="s">
        <v>31</v>
      </c>
      <c r="T292" s="46" t="s">
        <v>31</v>
      </c>
      <c r="U292" s="46" t="s">
        <v>49</v>
      </c>
    </row>
    <row r="293" spans="1:21">
      <c r="A293" s="46" t="s">
        <v>716</v>
      </c>
      <c r="B293" s="46" t="s">
        <v>115</v>
      </c>
      <c r="C293" s="46" t="s">
        <v>666</v>
      </c>
      <c r="D293" s="46">
        <v>1</v>
      </c>
      <c r="E293" s="46">
        <v>0</v>
      </c>
      <c r="F293" s="46" t="s">
        <v>696</v>
      </c>
      <c r="G293" s="46" t="s">
        <v>1305</v>
      </c>
      <c r="H293" s="46" t="s">
        <v>1908</v>
      </c>
      <c r="I293" s="46" t="str">
        <f ca="1">IFERROR(__xludf.DUMMYFUNCTION("CONCAT(A293,REGEXREPLACE(H293,"".*_L0"",""_L0""))"),"ILB_BN1128_MTG_snRNAseq_rep1_L001_R2_001.fastq.gz")</f>
        <v>ILB_BN1128_MTG_snRNAseq_rep1_L001_R2_001.fastq.gz</v>
      </c>
      <c r="J293" s="46" t="str">
        <f t="shared" si="1"/>
        <v>/data/neurogen/ASAP/scRNAseq/data/batch5_ASAP_snRNA-seq_*/Raw_Data_and_Processing/cellranger_processing/cellranger_fastqs/outs/fastq_path/H*/BN1128_S4_L001_R2_001.fastq.gz</v>
      </c>
      <c r="K293" s="46" t="s">
        <v>1320</v>
      </c>
      <c r="L293" s="46" t="s">
        <v>1909</v>
      </c>
      <c r="M293" s="46" t="s">
        <v>1309</v>
      </c>
      <c r="N293" s="46" t="s">
        <v>1310</v>
      </c>
      <c r="O293" s="46" t="s">
        <v>1311</v>
      </c>
      <c r="P293" s="46" t="s">
        <v>1312</v>
      </c>
      <c r="Q293" s="46" t="s">
        <v>31</v>
      </c>
      <c r="R293" s="46" t="s">
        <v>31</v>
      </c>
      <c r="S293" s="46" t="s">
        <v>31</v>
      </c>
      <c r="T293" s="46" t="s">
        <v>31</v>
      </c>
      <c r="U293" s="46" t="s">
        <v>49</v>
      </c>
    </row>
    <row r="294" spans="1:21">
      <c r="A294" s="46" t="s">
        <v>716</v>
      </c>
      <c r="B294" s="46" t="s">
        <v>115</v>
      </c>
      <c r="C294" s="46" t="s">
        <v>666</v>
      </c>
      <c r="D294" s="46">
        <v>1</v>
      </c>
      <c r="E294" s="46">
        <v>0</v>
      </c>
      <c r="F294" s="46" t="s">
        <v>696</v>
      </c>
      <c r="G294" s="46" t="s">
        <v>1305</v>
      </c>
      <c r="H294" s="46" t="s">
        <v>1910</v>
      </c>
      <c r="I294" s="46" t="str">
        <f ca="1">IFERROR(__xludf.DUMMYFUNCTION("CONCAT(A294,REGEXREPLACE(H294,"".*_L0"",""_L0""))"),"ILB_BN1128_MTG_snRNAseq_rep1_L002_I1_001.fastq.gz")</f>
        <v>ILB_BN1128_MTG_snRNAseq_rep1_L002_I1_001.fastq.gz</v>
      </c>
      <c r="J294" s="46" t="str">
        <f t="shared" si="1"/>
        <v>/data/neurogen/ASAP/scRNAseq/data/batch5_ASAP_snRNA-seq_*/Raw_Data_and_Processing/cellranger_processing/cellranger_fastqs/outs/fastq_path/H*/BN1128_S4_L002_I1_001.fastq.gz</v>
      </c>
      <c r="K294" s="46" t="s">
        <v>1323</v>
      </c>
      <c r="L294" s="46" t="s">
        <v>1911</v>
      </c>
      <c r="M294" s="46" t="s">
        <v>1309</v>
      </c>
      <c r="N294" s="46" t="s">
        <v>1310</v>
      </c>
      <c r="O294" s="46" t="s">
        <v>1311</v>
      </c>
      <c r="P294" s="46" t="s">
        <v>1312</v>
      </c>
      <c r="Q294" s="46" t="s">
        <v>31</v>
      </c>
      <c r="R294" s="46" t="s">
        <v>31</v>
      </c>
      <c r="S294" s="46" t="s">
        <v>31</v>
      </c>
      <c r="T294" s="46" t="s">
        <v>31</v>
      </c>
      <c r="U294" s="46" t="s">
        <v>49</v>
      </c>
    </row>
    <row r="295" spans="1:21">
      <c r="A295" s="46" t="s">
        <v>716</v>
      </c>
      <c r="B295" s="46" t="s">
        <v>115</v>
      </c>
      <c r="C295" s="46" t="s">
        <v>666</v>
      </c>
      <c r="D295" s="46">
        <v>1</v>
      </c>
      <c r="E295" s="46">
        <v>0</v>
      </c>
      <c r="F295" s="46" t="s">
        <v>696</v>
      </c>
      <c r="G295" s="46" t="s">
        <v>1305</v>
      </c>
      <c r="H295" s="46" t="s">
        <v>1912</v>
      </c>
      <c r="I295" s="46" t="str">
        <f ca="1">IFERROR(__xludf.DUMMYFUNCTION("CONCAT(A295,REGEXREPLACE(H295,"".*_L0"",""_L0""))"),"ILB_BN1128_MTG_snRNAseq_rep1_L002_I2_001.fastq.gz")</f>
        <v>ILB_BN1128_MTG_snRNAseq_rep1_L002_I2_001.fastq.gz</v>
      </c>
      <c r="J295" s="46" t="str">
        <f t="shared" si="1"/>
        <v>/data/neurogen/ASAP/scRNAseq/data/batch5_ASAP_snRNA-seq_*/Raw_Data_and_Processing/cellranger_processing/cellranger_fastqs/outs/fastq_path/H*/BN1128_S4_L002_I2_001.fastq.gz</v>
      </c>
      <c r="K295" s="46" t="s">
        <v>1326</v>
      </c>
      <c r="L295" s="46" t="s">
        <v>1913</v>
      </c>
      <c r="M295" s="46" t="s">
        <v>1309</v>
      </c>
      <c r="N295" s="46" t="s">
        <v>1310</v>
      </c>
      <c r="O295" s="46" t="s">
        <v>1311</v>
      </c>
      <c r="P295" s="46" t="s">
        <v>1312</v>
      </c>
      <c r="Q295" s="46" t="s">
        <v>31</v>
      </c>
      <c r="R295" s="46" t="s">
        <v>31</v>
      </c>
      <c r="S295" s="46" t="s">
        <v>31</v>
      </c>
      <c r="T295" s="46" t="s">
        <v>31</v>
      </c>
      <c r="U295" s="46" t="s">
        <v>49</v>
      </c>
    </row>
    <row r="296" spans="1:21">
      <c r="A296" s="46" t="s">
        <v>716</v>
      </c>
      <c r="B296" s="46" t="s">
        <v>115</v>
      </c>
      <c r="C296" s="46" t="s">
        <v>666</v>
      </c>
      <c r="D296" s="46">
        <v>1</v>
      </c>
      <c r="E296" s="46">
        <v>0</v>
      </c>
      <c r="F296" s="46" t="s">
        <v>696</v>
      </c>
      <c r="G296" s="46" t="s">
        <v>1305</v>
      </c>
      <c r="H296" s="46" t="s">
        <v>1914</v>
      </c>
      <c r="I296" s="46" t="str">
        <f ca="1">IFERROR(__xludf.DUMMYFUNCTION("CONCAT(A296,REGEXREPLACE(H296,"".*_L0"",""_L0""))"),"ILB_BN1128_MTG_snRNAseq_rep1_L002_R1_001.fastq.gz")</f>
        <v>ILB_BN1128_MTG_snRNAseq_rep1_L002_R1_001.fastq.gz</v>
      </c>
      <c r="J296" s="46" t="str">
        <f t="shared" si="1"/>
        <v>/data/neurogen/ASAP/scRNAseq/data/batch5_ASAP_snRNA-seq_*/Raw_Data_and_Processing/cellranger_processing/cellranger_fastqs/outs/fastq_path/H*/BN1128_S4_L002_R1_001.fastq.gz</v>
      </c>
      <c r="K296" s="46" t="s">
        <v>1329</v>
      </c>
      <c r="L296" s="46" t="s">
        <v>1915</v>
      </c>
      <c r="M296" s="46" t="s">
        <v>1309</v>
      </c>
      <c r="N296" s="46" t="s">
        <v>1310</v>
      </c>
      <c r="O296" s="46" t="s">
        <v>1311</v>
      </c>
      <c r="P296" s="46" t="s">
        <v>1312</v>
      </c>
      <c r="Q296" s="46" t="s">
        <v>31</v>
      </c>
      <c r="R296" s="46" t="s">
        <v>31</v>
      </c>
      <c r="S296" s="46" t="s">
        <v>31</v>
      </c>
      <c r="T296" s="46" t="s">
        <v>31</v>
      </c>
      <c r="U296" s="46" t="s">
        <v>49</v>
      </c>
    </row>
    <row r="297" spans="1:21">
      <c r="A297" s="46" t="s">
        <v>716</v>
      </c>
      <c r="B297" s="46" t="s">
        <v>115</v>
      </c>
      <c r="C297" s="46" t="s">
        <v>666</v>
      </c>
      <c r="D297" s="46">
        <v>1</v>
      </c>
      <c r="E297" s="46">
        <v>0</v>
      </c>
      <c r="F297" s="46" t="s">
        <v>696</v>
      </c>
      <c r="G297" s="46" t="s">
        <v>1305</v>
      </c>
      <c r="H297" s="46" t="s">
        <v>1916</v>
      </c>
      <c r="I297" s="46" t="str">
        <f ca="1">IFERROR(__xludf.DUMMYFUNCTION("CONCAT(A297,REGEXREPLACE(H297,"".*_L0"",""_L0""))"),"ILB_BN1128_MTG_snRNAseq_rep1_L002_R2_001.fastq.gz")</f>
        <v>ILB_BN1128_MTG_snRNAseq_rep1_L002_R2_001.fastq.gz</v>
      </c>
      <c r="J297" s="46" t="str">
        <f t="shared" si="1"/>
        <v>/data/neurogen/ASAP/scRNAseq/data/batch5_ASAP_snRNA-seq_*/Raw_Data_and_Processing/cellranger_processing/cellranger_fastqs/outs/fastq_path/H*/BN1128_S4_L002_R2_001.fastq.gz</v>
      </c>
      <c r="K297" s="46" t="s">
        <v>1332</v>
      </c>
      <c r="L297" s="46" t="s">
        <v>1917</v>
      </c>
      <c r="M297" s="46" t="s">
        <v>1309</v>
      </c>
      <c r="N297" s="46" t="s">
        <v>1310</v>
      </c>
      <c r="O297" s="46" t="s">
        <v>1311</v>
      </c>
      <c r="P297" s="46" t="s">
        <v>1312</v>
      </c>
      <c r="Q297" s="46" t="s">
        <v>31</v>
      </c>
      <c r="R297" s="46" t="s">
        <v>31</v>
      </c>
      <c r="S297" s="46" t="s">
        <v>31</v>
      </c>
      <c r="T297" s="46" t="s">
        <v>31</v>
      </c>
      <c r="U297" s="46" t="s">
        <v>49</v>
      </c>
    </row>
    <row r="298" spans="1:21">
      <c r="A298" s="46" t="s">
        <v>716</v>
      </c>
      <c r="B298" s="46" t="s">
        <v>115</v>
      </c>
      <c r="C298" s="46" t="s">
        <v>666</v>
      </c>
      <c r="D298" s="46">
        <v>1</v>
      </c>
      <c r="E298" s="46">
        <v>0</v>
      </c>
      <c r="F298" s="46" t="s">
        <v>696</v>
      </c>
      <c r="G298" s="46" t="s">
        <v>1305</v>
      </c>
      <c r="H298" s="46" t="s">
        <v>1918</v>
      </c>
      <c r="I298" s="46" t="str">
        <f ca="1">IFERROR(__xludf.DUMMYFUNCTION("CONCAT(A298,REGEXREPLACE(H298,"".*_L0"",""_L0""))"),"ILB_BN1128_MTG_snRNAseq_rep1_L003_I1_001.fastq.gz")</f>
        <v>ILB_BN1128_MTG_snRNAseq_rep1_L003_I1_001.fastq.gz</v>
      </c>
      <c r="J298" s="46" t="str">
        <f t="shared" si="1"/>
        <v>/data/neurogen/ASAP/scRNAseq/data/batch5_ASAP_snRNA-seq_*/Raw_Data_and_Processing/cellranger_processing/cellranger_fastqs/outs/fastq_path/H*/BN1128_S4_L003_I1_001.fastq.gz</v>
      </c>
      <c r="K298" s="46" t="s">
        <v>1335</v>
      </c>
      <c r="L298" s="46" t="s">
        <v>1919</v>
      </c>
      <c r="M298" s="46" t="s">
        <v>1309</v>
      </c>
      <c r="N298" s="46" t="s">
        <v>1310</v>
      </c>
      <c r="O298" s="46" t="s">
        <v>1311</v>
      </c>
      <c r="P298" s="46" t="s">
        <v>1312</v>
      </c>
      <c r="Q298" s="46" t="s">
        <v>31</v>
      </c>
      <c r="R298" s="46" t="s">
        <v>31</v>
      </c>
      <c r="S298" s="46" t="s">
        <v>31</v>
      </c>
      <c r="T298" s="46" t="s">
        <v>31</v>
      </c>
      <c r="U298" s="46" t="s">
        <v>49</v>
      </c>
    </row>
    <row r="299" spans="1:21">
      <c r="A299" s="46" t="s">
        <v>716</v>
      </c>
      <c r="B299" s="46" t="s">
        <v>115</v>
      </c>
      <c r="C299" s="46" t="s">
        <v>666</v>
      </c>
      <c r="D299" s="46">
        <v>1</v>
      </c>
      <c r="E299" s="46">
        <v>0</v>
      </c>
      <c r="F299" s="46" t="s">
        <v>696</v>
      </c>
      <c r="G299" s="46" t="s">
        <v>1305</v>
      </c>
      <c r="H299" s="46" t="s">
        <v>1920</v>
      </c>
      <c r="I299" s="46" t="str">
        <f ca="1">IFERROR(__xludf.DUMMYFUNCTION("CONCAT(A299,REGEXREPLACE(H299,"".*_L0"",""_L0""))"),"ILB_BN1128_MTG_snRNAseq_rep1_L003_I2_001.fastq.gz")</f>
        <v>ILB_BN1128_MTG_snRNAseq_rep1_L003_I2_001.fastq.gz</v>
      </c>
      <c r="J299" s="46" t="str">
        <f t="shared" si="1"/>
        <v>/data/neurogen/ASAP/scRNAseq/data/batch5_ASAP_snRNA-seq_*/Raw_Data_and_Processing/cellranger_processing/cellranger_fastqs/outs/fastq_path/H*/BN1128_S4_L003_I2_001.fastq.gz</v>
      </c>
      <c r="K299" s="46" t="s">
        <v>1338</v>
      </c>
      <c r="L299" s="46" t="s">
        <v>1921</v>
      </c>
      <c r="M299" s="46" t="s">
        <v>1309</v>
      </c>
      <c r="N299" s="46" t="s">
        <v>1310</v>
      </c>
      <c r="O299" s="46" t="s">
        <v>1311</v>
      </c>
      <c r="P299" s="46" t="s">
        <v>1312</v>
      </c>
      <c r="Q299" s="46" t="s">
        <v>31</v>
      </c>
      <c r="R299" s="46" t="s">
        <v>31</v>
      </c>
      <c r="S299" s="46" t="s">
        <v>31</v>
      </c>
      <c r="T299" s="46" t="s">
        <v>31</v>
      </c>
      <c r="U299" s="46" t="s">
        <v>49</v>
      </c>
    </row>
    <row r="300" spans="1:21">
      <c r="A300" s="46" t="s">
        <v>716</v>
      </c>
      <c r="B300" s="46" t="s">
        <v>115</v>
      </c>
      <c r="C300" s="46" t="s">
        <v>666</v>
      </c>
      <c r="D300" s="46">
        <v>1</v>
      </c>
      <c r="E300" s="46">
        <v>0</v>
      </c>
      <c r="F300" s="46" t="s">
        <v>696</v>
      </c>
      <c r="G300" s="46" t="s">
        <v>1305</v>
      </c>
      <c r="H300" s="46" t="s">
        <v>1922</v>
      </c>
      <c r="I300" s="46" t="str">
        <f ca="1">IFERROR(__xludf.DUMMYFUNCTION("CONCAT(A300,REGEXREPLACE(H300,"".*_L0"",""_L0""))"),"ILB_BN1128_MTG_snRNAseq_rep1_L003_R1_001.fastq.gz")</f>
        <v>ILB_BN1128_MTG_snRNAseq_rep1_L003_R1_001.fastq.gz</v>
      </c>
      <c r="J300" s="46" t="str">
        <f t="shared" si="1"/>
        <v>/data/neurogen/ASAP/scRNAseq/data/batch5_ASAP_snRNA-seq_*/Raw_Data_and_Processing/cellranger_processing/cellranger_fastqs/outs/fastq_path/H*/BN1128_S4_L003_R1_001.fastq.gz</v>
      </c>
      <c r="K300" s="46" t="s">
        <v>1341</v>
      </c>
      <c r="L300" s="46" t="s">
        <v>1923</v>
      </c>
      <c r="M300" s="46" t="s">
        <v>1309</v>
      </c>
      <c r="N300" s="46" t="s">
        <v>1310</v>
      </c>
      <c r="O300" s="46" t="s">
        <v>1311</v>
      </c>
      <c r="P300" s="46" t="s">
        <v>1312</v>
      </c>
      <c r="Q300" s="46" t="s">
        <v>31</v>
      </c>
      <c r="R300" s="46" t="s">
        <v>31</v>
      </c>
      <c r="S300" s="46" t="s">
        <v>31</v>
      </c>
      <c r="T300" s="46" t="s">
        <v>31</v>
      </c>
      <c r="U300" s="46" t="s">
        <v>49</v>
      </c>
    </row>
    <row r="301" spans="1:21">
      <c r="A301" s="46" t="s">
        <v>716</v>
      </c>
      <c r="B301" s="46" t="s">
        <v>115</v>
      </c>
      <c r="C301" s="46" t="s">
        <v>666</v>
      </c>
      <c r="D301" s="46">
        <v>1</v>
      </c>
      <c r="E301" s="46">
        <v>0</v>
      </c>
      <c r="F301" s="46" t="s">
        <v>696</v>
      </c>
      <c r="G301" s="46" t="s">
        <v>1305</v>
      </c>
      <c r="H301" s="46" t="s">
        <v>1924</v>
      </c>
      <c r="I301" s="46" t="str">
        <f ca="1">IFERROR(__xludf.DUMMYFUNCTION("CONCAT(A301,REGEXREPLACE(H301,"".*_L0"",""_L0""))"),"ILB_BN1128_MTG_snRNAseq_rep1_L003_R2_001.fastq.gz")</f>
        <v>ILB_BN1128_MTG_snRNAseq_rep1_L003_R2_001.fastq.gz</v>
      </c>
      <c r="J301" s="46" t="str">
        <f t="shared" si="1"/>
        <v>/data/neurogen/ASAP/scRNAseq/data/batch5_ASAP_snRNA-seq_*/Raw_Data_and_Processing/cellranger_processing/cellranger_fastqs/outs/fastq_path/H*/BN1128_S4_L003_R2_001.fastq.gz</v>
      </c>
      <c r="K301" s="46" t="s">
        <v>1344</v>
      </c>
      <c r="L301" s="46" t="s">
        <v>1925</v>
      </c>
      <c r="M301" s="46" t="s">
        <v>1309</v>
      </c>
      <c r="N301" s="46" t="s">
        <v>1310</v>
      </c>
      <c r="O301" s="46" t="s">
        <v>1311</v>
      </c>
      <c r="P301" s="46" t="s">
        <v>1312</v>
      </c>
      <c r="Q301" s="46" t="s">
        <v>31</v>
      </c>
      <c r="R301" s="46" t="s">
        <v>31</v>
      </c>
      <c r="S301" s="46" t="s">
        <v>31</v>
      </c>
      <c r="T301" s="46" t="s">
        <v>31</v>
      </c>
      <c r="U301" s="46" t="s">
        <v>49</v>
      </c>
    </row>
    <row r="302" spans="1:21">
      <c r="A302" s="46" t="s">
        <v>716</v>
      </c>
      <c r="B302" s="46" t="s">
        <v>115</v>
      </c>
      <c r="C302" s="46" t="s">
        <v>666</v>
      </c>
      <c r="D302" s="46">
        <v>1</v>
      </c>
      <c r="E302" s="46">
        <v>0</v>
      </c>
      <c r="F302" s="46" t="s">
        <v>696</v>
      </c>
      <c r="G302" s="46" t="s">
        <v>1305</v>
      </c>
      <c r="H302" s="46" t="s">
        <v>1926</v>
      </c>
      <c r="I302" s="46" t="str">
        <f ca="1">IFERROR(__xludf.DUMMYFUNCTION("CONCAT(A302,REGEXREPLACE(H302,"".*_L0"",""_L0""))"),"ILB_BN1128_MTG_snRNAseq_rep1_L004_I1_001.fastq.gz")</f>
        <v>ILB_BN1128_MTG_snRNAseq_rep1_L004_I1_001.fastq.gz</v>
      </c>
      <c r="J302" s="46" t="str">
        <f t="shared" si="1"/>
        <v>/data/neurogen/ASAP/scRNAseq/data/batch5_ASAP_snRNA-seq_*/Raw_Data_and_Processing/cellranger_processing/cellranger_fastqs/outs/fastq_path/H*/BN1128_S4_L004_I1_001.fastq.gz</v>
      </c>
      <c r="K302" s="46" t="s">
        <v>1347</v>
      </c>
      <c r="L302" s="46" t="s">
        <v>1927</v>
      </c>
      <c r="M302" s="46" t="s">
        <v>1309</v>
      </c>
      <c r="N302" s="46" t="s">
        <v>1310</v>
      </c>
      <c r="O302" s="46" t="s">
        <v>1311</v>
      </c>
      <c r="P302" s="46" t="s">
        <v>1312</v>
      </c>
      <c r="Q302" s="46" t="s">
        <v>31</v>
      </c>
      <c r="R302" s="46" t="s">
        <v>31</v>
      </c>
      <c r="S302" s="46" t="s">
        <v>31</v>
      </c>
      <c r="T302" s="46" t="s">
        <v>31</v>
      </c>
      <c r="U302" s="46" t="s">
        <v>49</v>
      </c>
    </row>
    <row r="303" spans="1:21">
      <c r="A303" s="46" t="s">
        <v>716</v>
      </c>
      <c r="B303" s="46" t="s">
        <v>115</v>
      </c>
      <c r="C303" s="46" t="s">
        <v>666</v>
      </c>
      <c r="D303" s="46">
        <v>1</v>
      </c>
      <c r="E303" s="46">
        <v>0</v>
      </c>
      <c r="F303" s="46" t="s">
        <v>696</v>
      </c>
      <c r="G303" s="46" t="s">
        <v>1305</v>
      </c>
      <c r="H303" s="46" t="s">
        <v>1928</v>
      </c>
      <c r="I303" s="46" t="str">
        <f ca="1">IFERROR(__xludf.DUMMYFUNCTION("CONCAT(A303,REGEXREPLACE(H303,"".*_L0"",""_L0""))"),"ILB_BN1128_MTG_snRNAseq_rep1_L004_I2_001.fastq.gz")</f>
        <v>ILB_BN1128_MTG_snRNAseq_rep1_L004_I2_001.fastq.gz</v>
      </c>
      <c r="J303" s="46" t="str">
        <f t="shared" si="1"/>
        <v>/data/neurogen/ASAP/scRNAseq/data/batch5_ASAP_snRNA-seq_*/Raw_Data_and_Processing/cellranger_processing/cellranger_fastqs/outs/fastq_path/H*/BN1128_S4_L004_I2_001.fastq.gz</v>
      </c>
      <c r="K303" s="46" t="s">
        <v>1350</v>
      </c>
      <c r="L303" s="46" t="s">
        <v>1929</v>
      </c>
      <c r="M303" s="46" t="s">
        <v>1309</v>
      </c>
      <c r="N303" s="46" t="s">
        <v>1310</v>
      </c>
      <c r="O303" s="46" t="s">
        <v>1311</v>
      </c>
      <c r="P303" s="46" t="s">
        <v>1312</v>
      </c>
      <c r="Q303" s="46" t="s">
        <v>31</v>
      </c>
      <c r="R303" s="46" t="s">
        <v>31</v>
      </c>
      <c r="S303" s="46" t="s">
        <v>31</v>
      </c>
      <c r="T303" s="46" t="s">
        <v>31</v>
      </c>
      <c r="U303" s="46" t="s">
        <v>49</v>
      </c>
    </row>
    <row r="304" spans="1:21">
      <c r="A304" s="46" t="s">
        <v>716</v>
      </c>
      <c r="B304" s="46" t="s">
        <v>115</v>
      </c>
      <c r="C304" s="46" t="s">
        <v>666</v>
      </c>
      <c r="D304" s="46">
        <v>1</v>
      </c>
      <c r="E304" s="46">
        <v>0</v>
      </c>
      <c r="F304" s="46" t="s">
        <v>696</v>
      </c>
      <c r="G304" s="46" t="s">
        <v>1305</v>
      </c>
      <c r="H304" s="46" t="s">
        <v>1930</v>
      </c>
      <c r="I304" s="46" t="str">
        <f ca="1">IFERROR(__xludf.DUMMYFUNCTION("CONCAT(A304,REGEXREPLACE(H304,"".*_L0"",""_L0""))"),"ILB_BN1128_MTG_snRNAseq_rep1_L004_R1_001.fastq.gz")</f>
        <v>ILB_BN1128_MTG_snRNAseq_rep1_L004_R1_001.fastq.gz</v>
      </c>
      <c r="J304" s="46" t="str">
        <f t="shared" si="1"/>
        <v>/data/neurogen/ASAP/scRNAseq/data/batch5_ASAP_snRNA-seq_*/Raw_Data_and_Processing/cellranger_processing/cellranger_fastqs/outs/fastq_path/H*/BN1128_S4_L004_R1_001.fastq.gz</v>
      </c>
      <c r="K304" s="46" t="s">
        <v>1353</v>
      </c>
      <c r="L304" s="47" t="s">
        <v>1931</v>
      </c>
      <c r="M304" s="46" t="s">
        <v>1309</v>
      </c>
      <c r="N304" s="46" t="s">
        <v>1310</v>
      </c>
      <c r="O304" s="46" t="s">
        <v>1311</v>
      </c>
      <c r="P304" s="46" t="s">
        <v>1312</v>
      </c>
      <c r="Q304" s="46" t="s">
        <v>31</v>
      </c>
      <c r="R304" s="46" t="s">
        <v>31</v>
      </c>
      <c r="S304" s="46" t="s">
        <v>31</v>
      </c>
      <c r="T304" s="46" t="s">
        <v>31</v>
      </c>
      <c r="U304" s="46" t="s">
        <v>49</v>
      </c>
    </row>
    <row r="305" spans="1:21">
      <c r="A305" s="46" t="s">
        <v>716</v>
      </c>
      <c r="B305" s="46" t="s">
        <v>115</v>
      </c>
      <c r="C305" s="46" t="s">
        <v>666</v>
      </c>
      <c r="D305" s="46">
        <v>1</v>
      </c>
      <c r="E305" s="46">
        <v>0</v>
      </c>
      <c r="F305" s="46" t="s">
        <v>696</v>
      </c>
      <c r="G305" s="46" t="s">
        <v>1305</v>
      </c>
      <c r="H305" s="46" t="s">
        <v>1932</v>
      </c>
      <c r="I305" s="46" t="str">
        <f ca="1">IFERROR(__xludf.DUMMYFUNCTION("CONCAT(A305,REGEXREPLACE(H305,"".*_L0"",""_L0""))"),"ILB_BN1128_MTG_snRNAseq_rep1_L004_R2_001.fastq.gz")</f>
        <v>ILB_BN1128_MTG_snRNAseq_rep1_L004_R2_001.fastq.gz</v>
      </c>
      <c r="J305" s="46" t="str">
        <f t="shared" si="1"/>
        <v>/data/neurogen/ASAP/scRNAseq/data/batch5_ASAP_snRNA-seq_*/Raw_Data_and_Processing/cellranger_processing/cellranger_fastqs/outs/fastq_path/H*/BN1128_S4_L004_R2_001.fastq.gz</v>
      </c>
      <c r="K305" s="46" t="s">
        <v>1356</v>
      </c>
      <c r="L305" s="46" t="s">
        <v>1933</v>
      </c>
      <c r="M305" s="46" t="s">
        <v>1309</v>
      </c>
      <c r="N305" s="46" t="s">
        <v>1310</v>
      </c>
      <c r="O305" s="46" t="s">
        <v>1311</v>
      </c>
      <c r="P305" s="46" t="s">
        <v>1312</v>
      </c>
      <c r="Q305" s="46" t="s">
        <v>31</v>
      </c>
      <c r="R305" s="46" t="s">
        <v>31</v>
      </c>
      <c r="S305" s="46" t="s">
        <v>31</v>
      </c>
      <c r="T305" s="46" t="s">
        <v>31</v>
      </c>
      <c r="U305" s="46" t="s">
        <v>49</v>
      </c>
    </row>
    <row r="306" spans="1:21">
      <c r="A306" s="46" t="s">
        <v>697</v>
      </c>
      <c r="B306" s="46" t="s">
        <v>91</v>
      </c>
      <c r="C306" s="46" t="s">
        <v>666</v>
      </c>
      <c r="D306" s="46">
        <v>1</v>
      </c>
      <c r="E306" s="46">
        <v>0</v>
      </c>
      <c r="F306" s="46" t="s">
        <v>698</v>
      </c>
      <c r="G306" s="46" t="s">
        <v>1305</v>
      </c>
      <c r="H306" s="46" t="s">
        <v>1934</v>
      </c>
      <c r="I306" s="46" t="str">
        <f ca="1">IFERROR(__xludf.DUMMYFUNCTION("CONCAT(A306,REGEXREPLACE(H306,"".*_L0"",""_L0""))"),"HC_BN0635_MTG_snRNAseq_rep1_L001_I1_001.fastq.gz")</f>
        <v>HC_BN0635_MTG_snRNAseq_rep1_L001_I1_001.fastq.gz</v>
      </c>
      <c r="J306" s="46" t="str">
        <f t="shared" si="1"/>
        <v>/data/neurogen/ASAP/scRNAseq/data/batch6_ASAP_snRNA-seq_*/Raw_Data_and_Processing/cellranger_processing/cellranger_fastqs/outs/fastq_path/H*/BN0635_S4_L001_I1_001.fastq.gz</v>
      </c>
      <c r="K306" s="46" t="s">
        <v>1307</v>
      </c>
      <c r="L306" s="46" t="s">
        <v>1935</v>
      </c>
      <c r="M306" s="46" t="s">
        <v>1309</v>
      </c>
      <c r="N306" s="46" t="s">
        <v>1310</v>
      </c>
      <c r="O306" s="46" t="s">
        <v>1311</v>
      </c>
      <c r="P306" s="46" t="s">
        <v>1312</v>
      </c>
      <c r="Q306" s="46" t="s">
        <v>31</v>
      </c>
      <c r="R306" s="46" t="s">
        <v>31</v>
      </c>
      <c r="S306" s="46" t="s">
        <v>31</v>
      </c>
      <c r="T306" s="46" t="s">
        <v>31</v>
      </c>
      <c r="U306" s="46" t="s">
        <v>49</v>
      </c>
    </row>
    <row r="307" spans="1:21">
      <c r="A307" s="46" t="s">
        <v>697</v>
      </c>
      <c r="B307" s="46" t="s">
        <v>91</v>
      </c>
      <c r="C307" s="46" t="s">
        <v>666</v>
      </c>
      <c r="D307" s="46">
        <v>1</v>
      </c>
      <c r="E307" s="46">
        <v>0</v>
      </c>
      <c r="F307" s="46" t="s">
        <v>698</v>
      </c>
      <c r="G307" s="46" t="s">
        <v>1305</v>
      </c>
      <c r="H307" s="46" t="s">
        <v>1936</v>
      </c>
      <c r="I307" s="46" t="str">
        <f ca="1">IFERROR(__xludf.DUMMYFUNCTION("CONCAT(A307,REGEXREPLACE(H307,"".*_L0"",""_L0""))"),"HC_BN0635_MTG_snRNAseq_rep1_L001_I2_001.fastq.gz")</f>
        <v>HC_BN0635_MTG_snRNAseq_rep1_L001_I2_001.fastq.gz</v>
      </c>
      <c r="J307" s="46" t="str">
        <f t="shared" si="1"/>
        <v>/data/neurogen/ASAP/scRNAseq/data/batch6_ASAP_snRNA-seq_*/Raw_Data_and_Processing/cellranger_processing/cellranger_fastqs/outs/fastq_path/H*/BN0635_S4_L001_I2_001.fastq.gz</v>
      </c>
      <c r="K307" s="46" t="s">
        <v>1314</v>
      </c>
      <c r="L307" s="46" t="s">
        <v>1937</v>
      </c>
      <c r="M307" s="46" t="s">
        <v>1309</v>
      </c>
      <c r="N307" s="46" t="s">
        <v>1310</v>
      </c>
      <c r="O307" s="46" t="s">
        <v>1311</v>
      </c>
      <c r="P307" s="46" t="s">
        <v>1312</v>
      </c>
      <c r="Q307" s="46" t="s">
        <v>31</v>
      </c>
      <c r="R307" s="46" t="s">
        <v>31</v>
      </c>
      <c r="S307" s="46" t="s">
        <v>31</v>
      </c>
      <c r="T307" s="46" t="s">
        <v>31</v>
      </c>
      <c r="U307" s="46" t="s">
        <v>49</v>
      </c>
    </row>
    <row r="308" spans="1:21">
      <c r="A308" s="46" t="s">
        <v>697</v>
      </c>
      <c r="B308" s="46" t="s">
        <v>91</v>
      </c>
      <c r="C308" s="46" t="s">
        <v>666</v>
      </c>
      <c r="D308" s="46">
        <v>1</v>
      </c>
      <c r="E308" s="46">
        <v>0</v>
      </c>
      <c r="F308" s="46" t="s">
        <v>698</v>
      </c>
      <c r="G308" s="46" t="s">
        <v>1305</v>
      </c>
      <c r="H308" s="46" t="s">
        <v>1938</v>
      </c>
      <c r="I308" s="46" t="str">
        <f ca="1">IFERROR(__xludf.DUMMYFUNCTION("CONCAT(A308,REGEXREPLACE(H308,"".*_L0"",""_L0""))"),"HC_BN0635_MTG_snRNAseq_rep1_L001_R1_001.fastq.gz")</f>
        <v>HC_BN0635_MTG_snRNAseq_rep1_L001_R1_001.fastq.gz</v>
      </c>
      <c r="J308" s="46" t="str">
        <f t="shared" si="1"/>
        <v>/data/neurogen/ASAP/scRNAseq/data/batch6_ASAP_snRNA-seq_*/Raw_Data_and_Processing/cellranger_processing/cellranger_fastqs/outs/fastq_path/H*/BN0635_S4_L001_R1_001.fastq.gz</v>
      </c>
      <c r="K308" s="46" t="s">
        <v>1317</v>
      </c>
      <c r="L308" s="46" t="s">
        <v>1939</v>
      </c>
      <c r="M308" s="46" t="s">
        <v>1309</v>
      </c>
      <c r="N308" s="46" t="s">
        <v>1310</v>
      </c>
      <c r="O308" s="46" t="s">
        <v>1311</v>
      </c>
      <c r="P308" s="46" t="s">
        <v>1312</v>
      </c>
      <c r="Q308" s="46" t="s">
        <v>31</v>
      </c>
      <c r="R308" s="46" t="s">
        <v>31</v>
      </c>
      <c r="S308" s="46" t="s">
        <v>31</v>
      </c>
      <c r="T308" s="46" t="s">
        <v>31</v>
      </c>
      <c r="U308" s="46" t="s">
        <v>49</v>
      </c>
    </row>
    <row r="309" spans="1:21">
      <c r="A309" s="46" t="s">
        <v>697</v>
      </c>
      <c r="B309" s="46" t="s">
        <v>91</v>
      </c>
      <c r="C309" s="46" t="s">
        <v>666</v>
      </c>
      <c r="D309" s="46">
        <v>1</v>
      </c>
      <c r="E309" s="46">
        <v>0</v>
      </c>
      <c r="F309" s="46" t="s">
        <v>698</v>
      </c>
      <c r="G309" s="46" t="s">
        <v>1305</v>
      </c>
      <c r="H309" s="46" t="s">
        <v>1940</v>
      </c>
      <c r="I309" s="46" t="str">
        <f ca="1">IFERROR(__xludf.DUMMYFUNCTION("CONCAT(A309,REGEXREPLACE(H309,"".*_L0"",""_L0""))"),"HC_BN0635_MTG_snRNAseq_rep1_L001_R2_001.fastq.gz")</f>
        <v>HC_BN0635_MTG_snRNAseq_rep1_L001_R2_001.fastq.gz</v>
      </c>
      <c r="J309" s="46" t="str">
        <f t="shared" si="1"/>
        <v>/data/neurogen/ASAP/scRNAseq/data/batch6_ASAP_snRNA-seq_*/Raw_Data_and_Processing/cellranger_processing/cellranger_fastqs/outs/fastq_path/H*/BN0635_S4_L001_R2_001.fastq.gz</v>
      </c>
      <c r="K309" s="46" t="s">
        <v>1320</v>
      </c>
      <c r="L309" s="46" t="s">
        <v>1941</v>
      </c>
      <c r="M309" s="46" t="s">
        <v>1309</v>
      </c>
      <c r="N309" s="46" t="s">
        <v>1310</v>
      </c>
      <c r="O309" s="46" t="s">
        <v>1311</v>
      </c>
      <c r="P309" s="46" t="s">
        <v>1312</v>
      </c>
      <c r="Q309" s="46" t="s">
        <v>31</v>
      </c>
      <c r="R309" s="46" t="s">
        <v>31</v>
      </c>
      <c r="S309" s="46" t="s">
        <v>31</v>
      </c>
      <c r="T309" s="46" t="s">
        <v>31</v>
      </c>
      <c r="U309" s="46" t="s">
        <v>49</v>
      </c>
    </row>
    <row r="310" spans="1:21">
      <c r="A310" s="46" t="s">
        <v>697</v>
      </c>
      <c r="B310" s="46" t="s">
        <v>91</v>
      </c>
      <c r="C310" s="46" t="s">
        <v>666</v>
      </c>
      <c r="D310" s="46">
        <v>1</v>
      </c>
      <c r="E310" s="46">
        <v>0</v>
      </c>
      <c r="F310" s="46" t="s">
        <v>698</v>
      </c>
      <c r="G310" s="46" t="s">
        <v>1305</v>
      </c>
      <c r="H310" s="46" t="s">
        <v>1942</v>
      </c>
      <c r="I310" s="46" t="str">
        <f ca="1">IFERROR(__xludf.DUMMYFUNCTION("CONCAT(A310,REGEXREPLACE(H310,"".*_L0"",""_L0""))"),"HC_BN0635_MTG_snRNAseq_rep1_L002_I1_001.fastq.gz")</f>
        <v>HC_BN0635_MTG_snRNAseq_rep1_L002_I1_001.fastq.gz</v>
      </c>
      <c r="J310" s="46" t="str">
        <f t="shared" si="1"/>
        <v>/data/neurogen/ASAP/scRNAseq/data/batch6_ASAP_snRNA-seq_*/Raw_Data_and_Processing/cellranger_processing/cellranger_fastqs/outs/fastq_path/H*/BN0635_S4_L002_I1_001.fastq.gz</v>
      </c>
      <c r="K310" s="46" t="s">
        <v>1323</v>
      </c>
      <c r="L310" s="46" t="s">
        <v>1943</v>
      </c>
      <c r="M310" s="46" t="s">
        <v>1309</v>
      </c>
      <c r="N310" s="46" t="s">
        <v>1310</v>
      </c>
      <c r="O310" s="46" t="s">
        <v>1311</v>
      </c>
      <c r="P310" s="46" t="s">
        <v>1312</v>
      </c>
      <c r="Q310" s="46" t="s">
        <v>31</v>
      </c>
      <c r="R310" s="46" t="s">
        <v>31</v>
      </c>
      <c r="S310" s="46" t="s">
        <v>31</v>
      </c>
      <c r="T310" s="46" t="s">
        <v>31</v>
      </c>
      <c r="U310" s="46" t="s">
        <v>49</v>
      </c>
    </row>
    <row r="311" spans="1:21">
      <c r="A311" s="46" t="s">
        <v>697</v>
      </c>
      <c r="B311" s="46" t="s">
        <v>91</v>
      </c>
      <c r="C311" s="46" t="s">
        <v>666</v>
      </c>
      <c r="D311" s="46">
        <v>1</v>
      </c>
      <c r="E311" s="46">
        <v>0</v>
      </c>
      <c r="F311" s="46" t="s">
        <v>698</v>
      </c>
      <c r="G311" s="46" t="s">
        <v>1305</v>
      </c>
      <c r="H311" s="46" t="s">
        <v>1944</v>
      </c>
      <c r="I311" s="46" t="str">
        <f ca="1">IFERROR(__xludf.DUMMYFUNCTION("CONCAT(A311,REGEXREPLACE(H311,"".*_L0"",""_L0""))"),"HC_BN0635_MTG_snRNAseq_rep1_L002_I2_001.fastq.gz")</f>
        <v>HC_BN0635_MTG_snRNAseq_rep1_L002_I2_001.fastq.gz</v>
      </c>
      <c r="J311" s="46" t="str">
        <f t="shared" si="1"/>
        <v>/data/neurogen/ASAP/scRNAseq/data/batch6_ASAP_snRNA-seq_*/Raw_Data_and_Processing/cellranger_processing/cellranger_fastqs/outs/fastq_path/H*/BN0635_S4_L002_I2_001.fastq.gz</v>
      </c>
      <c r="K311" s="46" t="s">
        <v>1326</v>
      </c>
      <c r="L311" s="46" t="s">
        <v>1945</v>
      </c>
      <c r="M311" s="46" t="s">
        <v>1309</v>
      </c>
      <c r="N311" s="46" t="s">
        <v>1310</v>
      </c>
      <c r="O311" s="46" t="s">
        <v>1311</v>
      </c>
      <c r="P311" s="46" t="s">
        <v>1312</v>
      </c>
      <c r="Q311" s="46" t="s">
        <v>31</v>
      </c>
      <c r="R311" s="46" t="s">
        <v>31</v>
      </c>
      <c r="S311" s="46" t="s">
        <v>31</v>
      </c>
      <c r="T311" s="46" t="s">
        <v>31</v>
      </c>
      <c r="U311" s="46" t="s">
        <v>49</v>
      </c>
    </row>
    <row r="312" spans="1:21">
      <c r="A312" s="46" t="s">
        <v>697</v>
      </c>
      <c r="B312" s="46" t="s">
        <v>91</v>
      </c>
      <c r="C312" s="46" t="s">
        <v>666</v>
      </c>
      <c r="D312" s="46">
        <v>1</v>
      </c>
      <c r="E312" s="46">
        <v>0</v>
      </c>
      <c r="F312" s="46" t="s">
        <v>698</v>
      </c>
      <c r="G312" s="46" t="s">
        <v>1305</v>
      </c>
      <c r="H312" s="46" t="s">
        <v>1946</v>
      </c>
      <c r="I312" s="46" t="str">
        <f ca="1">IFERROR(__xludf.DUMMYFUNCTION("CONCAT(A312,REGEXREPLACE(H312,"".*_L0"",""_L0""))"),"HC_BN0635_MTG_snRNAseq_rep1_L002_R1_001.fastq.gz")</f>
        <v>HC_BN0635_MTG_snRNAseq_rep1_L002_R1_001.fastq.gz</v>
      </c>
      <c r="J312" s="46" t="str">
        <f t="shared" si="1"/>
        <v>/data/neurogen/ASAP/scRNAseq/data/batch6_ASAP_snRNA-seq_*/Raw_Data_and_Processing/cellranger_processing/cellranger_fastqs/outs/fastq_path/H*/BN0635_S4_L002_R1_001.fastq.gz</v>
      </c>
      <c r="K312" s="46" t="s">
        <v>1329</v>
      </c>
      <c r="L312" s="46" t="s">
        <v>1947</v>
      </c>
      <c r="M312" s="46" t="s">
        <v>1309</v>
      </c>
      <c r="N312" s="46" t="s">
        <v>1310</v>
      </c>
      <c r="O312" s="46" t="s">
        <v>1311</v>
      </c>
      <c r="P312" s="46" t="s">
        <v>1312</v>
      </c>
      <c r="Q312" s="46" t="s">
        <v>31</v>
      </c>
      <c r="R312" s="46" t="s">
        <v>31</v>
      </c>
      <c r="S312" s="46" t="s">
        <v>31</v>
      </c>
      <c r="T312" s="46" t="s">
        <v>31</v>
      </c>
      <c r="U312" s="46" t="s">
        <v>49</v>
      </c>
    </row>
    <row r="313" spans="1:21">
      <c r="A313" s="46" t="s">
        <v>697</v>
      </c>
      <c r="B313" s="46" t="s">
        <v>91</v>
      </c>
      <c r="C313" s="46" t="s">
        <v>666</v>
      </c>
      <c r="D313" s="46">
        <v>1</v>
      </c>
      <c r="E313" s="46">
        <v>0</v>
      </c>
      <c r="F313" s="46" t="s">
        <v>698</v>
      </c>
      <c r="G313" s="46" t="s">
        <v>1305</v>
      </c>
      <c r="H313" s="46" t="s">
        <v>1948</v>
      </c>
      <c r="I313" s="46" t="str">
        <f ca="1">IFERROR(__xludf.DUMMYFUNCTION("CONCAT(A313,REGEXREPLACE(H313,"".*_L0"",""_L0""))"),"HC_BN0635_MTG_snRNAseq_rep1_L002_R2_001.fastq.gz")</f>
        <v>HC_BN0635_MTG_snRNAseq_rep1_L002_R2_001.fastq.gz</v>
      </c>
      <c r="J313" s="46" t="str">
        <f t="shared" si="1"/>
        <v>/data/neurogen/ASAP/scRNAseq/data/batch6_ASAP_snRNA-seq_*/Raw_Data_and_Processing/cellranger_processing/cellranger_fastqs/outs/fastq_path/H*/BN0635_S4_L002_R2_001.fastq.gz</v>
      </c>
      <c r="K313" s="46" t="s">
        <v>1332</v>
      </c>
      <c r="L313" s="46" t="s">
        <v>1949</v>
      </c>
      <c r="M313" s="46" t="s">
        <v>1309</v>
      </c>
      <c r="N313" s="46" t="s">
        <v>1310</v>
      </c>
      <c r="O313" s="46" t="s">
        <v>1311</v>
      </c>
      <c r="P313" s="46" t="s">
        <v>1312</v>
      </c>
      <c r="Q313" s="46" t="s">
        <v>31</v>
      </c>
      <c r="R313" s="46" t="s">
        <v>31</v>
      </c>
      <c r="S313" s="46" t="s">
        <v>31</v>
      </c>
      <c r="T313" s="46" t="s">
        <v>31</v>
      </c>
      <c r="U313" s="46" t="s">
        <v>49</v>
      </c>
    </row>
    <row r="314" spans="1:21">
      <c r="A314" s="46" t="s">
        <v>697</v>
      </c>
      <c r="B314" s="46" t="s">
        <v>91</v>
      </c>
      <c r="C314" s="46" t="s">
        <v>666</v>
      </c>
      <c r="D314" s="46">
        <v>1</v>
      </c>
      <c r="E314" s="46">
        <v>0</v>
      </c>
      <c r="F314" s="46" t="s">
        <v>698</v>
      </c>
      <c r="G314" s="46" t="s">
        <v>1305</v>
      </c>
      <c r="H314" s="46" t="s">
        <v>1950</v>
      </c>
      <c r="I314" s="46" t="str">
        <f ca="1">IFERROR(__xludf.DUMMYFUNCTION("CONCAT(A314,REGEXREPLACE(H314,"".*_L0"",""_L0""))"),"HC_BN0635_MTG_snRNAseq_rep1_L003_I1_001.fastq.gz")</f>
        <v>HC_BN0635_MTG_snRNAseq_rep1_L003_I1_001.fastq.gz</v>
      </c>
      <c r="J314" s="46" t="str">
        <f t="shared" si="1"/>
        <v>/data/neurogen/ASAP/scRNAseq/data/batch6_ASAP_snRNA-seq_*/Raw_Data_and_Processing/cellranger_processing/cellranger_fastqs/outs/fastq_path/H*/BN0635_S4_L003_I1_001.fastq.gz</v>
      </c>
      <c r="K314" s="46" t="s">
        <v>1335</v>
      </c>
      <c r="L314" s="46" t="s">
        <v>1951</v>
      </c>
      <c r="M314" s="46" t="s">
        <v>1309</v>
      </c>
      <c r="N314" s="46" t="s">
        <v>1310</v>
      </c>
      <c r="O314" s="46" t="s">
        <v>1311</v>
      </c>
      <c r="P314" s="46" t="s">
        <v>1312</v>
      </c>
      <c r="Q314" s="46" t="s">
        <v>31</v>
      </c>
      <c r="R314" s="46" t="s">
        <v>31</v>
      </c>
      <c r="S314" s="46" t="s">
        <v>31</v>
      </c>
      <c r="T314" s="46" t="s">
        <v>31</v>
      </c>
      <c r="U314" s="46" t="s">
        <v>49</v>
      </c>
    </row>
    <row r="315" spans="1:21">
      <c r="A315" s="46" t="s">
        <v>697</v>
      </c>
      <c r="B315" s="46" t="s">
        <v>91</v>
      </c>
      <c r="C315" s="46" t="s">
        <v>666</v>
      </c>
      <c r="D315" s="46">
        <v>1</v>
      </c>
      <c r="E315" s="46">
        <v>0</v>
      </c>
      <c r="F315" s="46" t="s">
        <v>698</v>
      </c>
      <c r="G315" s="46" t="s">
        <v>1305</v>
      </c>
      <c r="H315" s="46" t="s">
        <v>1952</v>
      </c>
      <c r="I315" s="46" t="str">
        <f ca="1">IFERROR(__xludf.DUMMYFUNCTION("CONCAT(A315,REGEXREPLACE(H315,"".*_L0"",""_L0""))"),"HC_BN0635_MTG_snRNAseq_rep1_L003_I2_001.fastq.gz")</f>
        <v>HC_BN0635_MTG_snRNAseq_rep1_L003_I2_001.fastq.gz</v>
      </c>
      <c r="J315" s="46" t="str">
        <f t="shared" si="1"/>
        <v>/data/neurogen/ASAP/scRNAseq/data/batch6_ASAP_snRNA-seq_*/Raw_Data_and_Processing/cellranger_processing/cellranger_fastqs/outs/fastq_path/H*/BN0635_S4_L003_I2_001.fastq.gz</v>
      </c>
      <c r="K315" s="46" t="s">
        <v>1338</v>
      </c>
      <c r="L315" s="46" t="s">
        <v>1953</v>
      </c>
      <c r="M315" s="46" t="s">
        <v>1309</v>
      </c>
      <c r="N315" s="46" t="s">
        <v>1310</v>
      </c>
      <c r="O315" s="46" t="s">
        <v>1311</v>
      </c>
      <c r="P315" s="46" t="s">
        <v>1312</v>
      </c>
      <c r="Q315" s="46" t="s">
        <v>31</v>
      </c>
      <c r="R315" s="46" t="s">
        <v>31</v>
      </c>
      <c r="S315" s="46" t="s">
        <v>31</v>
      </c>
      <c r="T315" s="46" t="s">
        <v>31</v>
      </c>
      <c r="U315" s="46" t="s">
        <v>49</v>
      </c>
    </row>
    <row r="316" spans="1:21">
      <c r="A316" s="46" t="s">
        <v>697</v>
      </c>
      <c r="B316" s="46" t="s">
        <v>91</v>
      </c>
      <c r="C316" s="46" t="s">
        <v>666</v>
      </c>
      <c r="D316" s="46">
        <v>1</v>
      </c>
      <c r="E316" s="46">
        <v>0</v>
      </c>
      <c r="F316" s="46" t="s">
        <v>698</v>
      </c>
      <c r="G316" s="46" t="s">
        <v>1305</v>
      </c>
      <c r="H316" s="46" t="s">
        <v>1954</v>
      </c>
      <c r="I316" s="46" t="str">
        <f ca="1">IFERROR(__xludf.DUMMYFUNCTION("CONCAT(A316,REGEXREPLACE(H316,"".*_L0"",""_L0""))"),"HC_BN0635_MTG_snRNAseq_rep1_L003_R1_001.fastq.gz")</f>
        <v>HC_BN0635_MTG_snRNAseq_rep1_L003_R1_001.fastq.gz</v>
      </c>
      <c r="J316" s="46" t="str">
        <f t="shared" si="1"/>
        <v>/data/neurogen/ASAP/scRNAseq/data/batch6_ASAP_snRNA-seq_*/Raw_Data_and_Processing/cellranger_processing/cellranger_fastqs/outs/fastq_path/H*/BN0635_S4_L003_R1_001.fastq.gz</v>
      </c>
      <c r="K316" s="46" t="s">
        <v>1341</v>
      </c>
      <c r="L316" s="46" t="s">
        <v>1955</v>
      </c>
      <c r="M316" s="46" t="s">
        <v>1309</v>
      </c>
      <c r="N316" s="46" t="s">
        <v>1310</v>
      </c>
      <c r="O316" s="46" t="s">
        <v>1311</v>
      </c>
      <c r="P316" s="46" t="s">
        <v>1312</v>
      </c>
      <c r="Q316" s="46" t="s">
        <v>31</v>
      </c>
      <c r="R316" s="46" t="s">
        <v>31</v>
      </c>
      <c r="S316" s="46" t="s">
        <v>31</v>
      </c>
      <c r="T316" s="46" t="s">
        <v>31</v>
      </c>
      <c r="U316" s="46" t="s">
        <v>49</v>
      </c>
    </row>
    <row r="317" spans="1:21">
      <c r="A317" s="46" t="s">
        <v>697</v>
      </c>
      <c r="B317" s="46" t="s">
        <v>91</v>
      </c>
      <c r="C317" s="46" t="s">
        <v>666</v>
      </c>
      <c r="D317" s="46">
        <v>1</v>
      </c>
      <c r="E317" s="46">
        <v>0</v>
      </c>
      <c r="F317" s="46" t="s">
        <v>698</v>
      </c>
      <c r="G317" s="46" t="s">
        <v>1305</v>
      </c>
      <c r="H317" s="46" t="s">
        <v>1956</v>
      </c>
      <c r="I317" s="46" t="str">
        <f ca="1">IFERROR(__xludf.DUMMYFUNCTION("CONCAT(A317,REGEXREPLACE(H317,"".*_L0"",""_L0""))"),"HC_BN0635_MTG_snRNAseq_rep1_L003_R2_001.fastq.gz")</f>
        <v>HC_BN0635_MTG_snRNAseq_rep1_L003_R2_001.fastq.gz</v>
      </c>
      <c r="J317" s="46" t="str">
        <f t="shared" si="1"/>
        <v>/data/neurogen/ASAP/scRNAseq/data/batch6_ASAP_snRNA-seq_*/Raw_Data_and_Processing/cellranger_processing/cellranger_fastqs/outs/fastq_path/H*/BN0635_S4_L003_R2_001.fastq.gz</v>
      </c>
      <c r="K317" s="46" t="s">
        <v>1344</v>
      </c>
      <c r="L317" s="46" t="s">
        <v>1957</v>
      </c>
      <c r="M317" s="46" t="s">
        <v>1309</v>
      </c>
      <c r="N317" s="46" t="s">
        <v>1310</v>
      </c>
      <c r="O317" s="46" t="s">
        <v>1311</v>
      </c>
      <c r="P317" s="46" t="s">
        <v>1312</v>
      </c>
      <c r="Q317" s="46" t="s">
        <v>31</v>
      </c>
      <c r="R317" s="46" t="s">
        <v>31</v>
      </c>
      <c r="S317" s="46" t="s">
        <v>31</v>
      </c>
      <c r="T317" s="46" t="s">
        <v>31</v>
      </c>
      <c r="U317" s="46" t="s">
        <v>49</v>
      </c>
    </row>
    <row r="318" spans="1:21">
      <c r="A318" s="46" t="s">
        <v>697</v>
      </c>
      <c r="B318" s="46" t="s">
        <v>91</v>
      </c>
      <c r="C318" s="46" t="s">
        <v>666</v>
      </c>
      <c r="D318" s="46">
        <v>1</v>
      </c>
      <c r="E318" s="46">
        <v>0</v>
      </c>
      <c r="F318" s="46" t="s">
        <v>698</v>
      </c>
      <c r="G318" s="46" t="s">
        <v>1305</v>
      </c>
      <c r="H318" s="46" t="s">
        <v>1958</v>
      </c>
      <c r="I318" s="46" t="str">
        <f ca="1">IFERROR(__xludf.DUMMYFUNCTION("CONCAT(A318,REGEXREPLACE(H318,"".*_L0"",""_L0""))"),"HC_BN0635_MTG_snRNAseq_rep1_L004_I1_001.fastq.gz")</f>
        <v>HC_BN0635_MTG_snRNAseq_rep1_L004_I1_001.fastq.gz</v>
      </c>
      <c r="J318" s="46" t="str">
        <f t="shared" si="1"/>
        <v>/data/neurogen/ASAP/scRNAseq/data/batch6_ASAP_snRNA-seq_*/Raw_Data_and_Processing/cellranger_processing/cellranger_fastqs/outs/fastq_path/H*/BN0635_S4_L004_I1_001.fastq.gz</v>
      </c>
      <c r="K318" s="46" t="s">
        <v>1347</v>
      </c>
      <c r="L318" s="46" t="s">
        <v>1959</v>
      </c>
      <c r="M318" s="46" t="s">
        <v>1309</v>
      </c>
      <c r="N318" s="46" t="s">
        <v>1310</v>
      </c>
      <c r="O318" s="46" t="s">
        <v>1311</v>
      </c>
      <c r="P318" s="46" t="s">
        <v>1312</v>
      </c>
      <c r="Q318" s="46" t="s">
        <v>31</v>
      </c>
      <c r="R318" s="46" t="s">
        <v>31</v>
      </c>
      <c r="S318" s="46" t="s">
        <v>31</v>
      </c>
      <c r="T318" s="46" t="s">
        <v>31</v>
      </c>
      <c r="U318" s="46" t="s">
        <v>49</v>
      </c>
    </row>
    <row r="319" spans="1:21">
      <c r="A319" s="46" t="s">
        <v>697</v>
      </c>
      <c r="B319" s="46" t="s">
        <v>91</v>
      </c>
      <c r="C319" s="46" t="s">
        <v>666</v>
      </c>
      <c r="D319" s="46">
        <v>1</v>
      </c>
      <c r="E319" s="46">
        <v>0</v>
      </c>
      <c r="F319" s="46" t="s">
        <v>698</v>
      </c>
      <c r="G319" s="46" t="s">
        <v>1305</v>
      </c>
      <c r="H319" s="46" t="s">
        <v>1960</v>
      </c>
      <c r="I319" s="46" t="str">
        <f ca="1">IFERROR(__xludf.DUMMYFUNCTION("CONCAT(A319,REGEXREPLACE(H319,"".*_L0"",""_L0""))"),"HC_BN0635_MTG_snRNAseq_rep1_L004_I2_001.fastq.gz")</f>
        <v>HC_BN0635_MTG_snRNAseq_rep1_L004_I2_001.fastq.gz</v>
      </c>
      <c r="J319" s="46" t="str">
        <f t="shared" si="1"/>
        <v>/data/neurogen/ASAP/scRNAseq/data/batch6_ASAP_snRNA-seq_*/Raw_Data_and_Processing/cellranger_processing/cellranger_fastqs/outs/fastq_path/H*/BN0635_S4_L004_I2_001.fastq.gz</v>
      </c>
      <c r="K319" s="46" t="s">
        <v>1350</v>
      </c>
      <c r="L319" s="46" t="s">
        <v>1961</v>
      </c>
      <c r="M319" s="46" t="s">
        <v>1309</v>
      </c>
      <c r="N319" s="46" t="s">
        <v>1310</v>
      </c>
      <c r="O319" s="46" t="s">
        <v>1311</v>
      </c>
      <c r="P319" s="46" t="s">
        <v>1312</v>
      </c>
      <c r="Q319" s="46" t="s">
        <v>31</v>
      </c>
      <c r="R319" s="46" t="s">
        <v>31</v>
      </c>
      <c r="S319" s="46" t="s">
        <v>31</v>
      </c>
      <c r="T319" s="46" t="s">
        <v>31</v>
      </c>
      <c r="U319" s="46" t="s">
        <v>49</v>
      </c>
    </row>
    <row r="320" spans="1:21">
      <c r="A320" s="46" t="s">
        <v>697</v>
      </c>
      <c r="B320" s="46" t="s">
        <v>91</v>
      </c>
      <c r="C320" s="46" t="s">
        <v>666</v>
      </c>
      <c r="D320" s="46">
        <v>1</v>
      </c>
      <c r="E320" s="46">
        <v>0</v>
      </c>
      <c r="F320" s="46" t="s">
        <v>698</v>
      </c>
      <c r="G320" s="46" t="s">
        <v>1305</v>
      </c>
      <c r="H320" s="46" t="s">
        <v>1962</v>
      </c>
      <c r="I320" s="46" t="str">
        <f ca="1">IFERROR(__xludf.DUMMYFUNCTION("CONCAT(A320,REGEXREPLACE(H320,"".*_L0"",""_L0""))"),"HC_BN0635_MTG_snRNAseq_rep1_L004_R1_001.fastq.gz")</f>
        <v>HC_BN0635_MTG_snRNAseq_rep1_L004_R1_001.fastq.gz</v>
      </c>
      <c r="J320" s="46" t="str">
        <f t="shared" si="1"/>
        <v>/data/neurogen/ASAP/scRNAseq/data/batch6_ASAP_snRNA-seq_*/Raw_Data_and_Processing/cellranger_processing/cellranger_fastqs/outs/fastq_path/H*/BN0635_S4_L004_R1_001.fastq.gz</v>
      </c>
      <c r="K320" s="46" t="s">
        <v>1353</v>
      </c>
      <c r="L320" s="46" t="s">
        <v>1963</v>
      </c>
      <c r="M320" s="46" t="s">
        <v>1309</v>
      </c>
      <c r="N320" s="46" t="s">
        <v>1310</v>
      </c>
      <c r="O320" s="46" t="s">
        <v>1311</v>
      </c>
      <c r="P320" s="46" t="s">
        <v>1312</v>
      </c>
      <c r="Q320" s="46" t="s">
        <v>31</v>
      </c>
      <c r="R320" s="46" t="s">
        <v>31</v>
      </c>
      <c r="S320" s="46" t="s">
        <v>31</v>
      </c>
      <c r="T320" s="46" t="s">
        <v>31</v>
      </c>
      <c r="U320" s="46" t="s">
        <v>49</v>
      </c>
    </row>
    <row r="321" spans="1:21">
      <c r="A321" s="46" t="s">
        <v>697</v>
      </c>
      <c r="B321" s="46" t="s">
        <v>91</v>
      </c>
      <c r="C321" s="46" t="s">
        <v>666</v>
      </c>
      <c r="D321" s="46">
        <v>1</v>
      </c>
      <c r="E321" s="46">
        <v>0</v>
      </c>
      <c r="F321" s="46" t="s">
        <v>698</v>
      </c>
      <c r="G321" s="46" t="s">
        <v>1305</v>
      </c>
      <c r="H321" s="46" t="s">
        <v>1964</v>
      </c>
      <c r="I321" s="46" t="str">
        <f ca="1">IFERROR(__xludf.DUMMYFUNCTION("CONCAT(A321,REGEXREPLACE(H321,"".*_L0"",""_L0""))"),"HC_BN0635_MTG_snRNAseq_rep1_L004_R2_001.fastq.gz")</f>
        <v>HC_BN0635_MTG_snRNAseq_rep1_L004_R2_001.fastq.gz</v>
      </c>
      <c r="J321" s="46" t="str">
        <f t="shared" si="1"/>
        <v>/data/neurogen/ASAP/scRNAseq/data/batch6_ASAP_snRNA-seq_*/Raw_Data_and_Processing/cellranger_processing/cellranger_fastqs/outs/fastq_path/H*/BN0635_S4_L004_R2_001.fastq.gz</v>
      </c>
      <c r="K321" s="46" t="s">
        <v>1356</v>
      </c>
      <c r="L321" s="47" t="s">
        <v>1965</v>
      </c>
      <c r="M321" s="46" t="s">
        <v>1309</v>
      </c>
      <c r="N321" s="46" t="s">
        <v>1310</v>
      </c>
      <c r="O321" s="46" t="s">
        <v>1311</v>
      </c>
      <c r="P321" s="46" t="s">
        <v>1312</v>
      </c>
      <c r="Q321" s="46" t="s">
        <v>31</v>
      </c>
      <c r="R321" s="46" t="s">
        <v>31</v>
      </c>
      <c r="S321" s="46" t="s">
        <v>31</v>
      </c>
      <c r="T321" s="46" t="s">
        <v>31</v>
      </c>
      <c r="U321" s="46" t="s">
        <v>49</v>
      </c>
    </row>
    <row r="322" spans="1:21">
      <c r="A322" s="46" t="s">
        <v>703</v>
      </c>
      <c r="B322" s="46" t="s">
        <v>101</v>
      </c>
      <c r="C322" s="46" t="s">
        <v>666</v>
      </c>
      <c r="D322" s="46">
        <v>1</v>
      </c>
      <c r="E322" s="46">
        <v>0</v>
      </c>
      <c r="F322" s="46" t="s">
        <v>698</v>
      </c>
      <c r="G322" s="46" t="s">
        <v>1305</v>
      </c>
      <c r="H322" s="46" t="s">
        <v>1966</v>
      </c>
      <c r="I322" s="46" t="str">
        <f ca="1">IFERROR(__xludf.DUMMYFUNCTION("CONCAT(A322,REGEXREPLACE(H322,"".*_L0"",""_L0""))"),"HC_BN0704_MTG_snRNAseq_rep1_L001_I1_001.fastq.gz")</f>
        <v>HC_BN0704_MTG_snRNAseq_rep1_L001_I1_001.fastq.gz</v>
      </c>
      <c r="J322" s="46" t="str">
        <f t="shared" si="1"/>
        <v>/data/neurogen/ASAP/scRNAseq/data/batch6_ASAP_snRNA-seq_*/Raw_Data_and_Processing/cellranger_processing/cellranger_fastqs/outs/fastq_path/H*/BN0704_S1_L001_I1_001.fastq.gz</v>
      </c>
      <c r="K322" s="46" t="s">
        <v>1307</v>
      </c>
      <c r="L322" s="46" t="s">
        <v>1967</v>
      </c>
      <c r="M322" s="46" t="s">
        <v>1309</v>
      </c>
      <c r="N322" s="46" t="s">
        <v>1310</v>
      </c>
      <c r="O322" s="46" t="s">
        <v>1311</v>
      </c>
      <c r="P322" s="46" t="s">
        <v>1312</v>
      </c>
      <c r="Q322" s="46" t="s">
        <v>31</v>
      </c>
      <c r="R322" s="46" t="s">
        <v>31</v>
      </c>
      <c r="S322" s="46" t="s">
        <v>31</v>
      </c>
      <c r="T322" s="46" t="s">
        <v>31</v>
      </c>
      <c r="U322" s="46" t="s">
        <v>49</v>
      </c>
    </row>
    <row r="323" spans="1:21">
      <c r="A323" s="46" t="s">
        <v>703</v>
      </c>
      <c r="B323" s="46" t="s">
        <v>101</v>
      </c>
      <c r="C323" s="46" t="s">
        <v>666</v>
      </c>
      <c r="D323" s="46">
        <v>1</v>
      </c>
      <c r="E323" s="46">
        <v>0</v>
      </c>
      <c r="F323" s="46" t="s">
        <v>698</v>
      </c>
      <c r="G323" s="46" t="s">
        <v>1305</v>
      </c>
      <c r="H323" s="46" t="s">
        <v>1968</v>
      </c>
      <c r="I323" s="46" t="str">
        <f ca="1">IFERROR(__xludf.DUMMYFUNCTION("CONCAT(A323,REGEXREPLACE(H323,"".*_L0"",""_L0""))"),"HC_BN0704_MTG_snRNAseq_rep1_L001_I2_001.fastq.gz")</f>
        <v>HC_BN0704_MTG_snRNAseq_rep1_L001_I2_001.fastq.gz</v>
      </c>
      <c r="J323" s="46" t="str">
        <f t="shared" si="1"/>
        <v>/data/neurogen/ASAP/scRNAseq/data/batch6_ASAP_snRNA-seq_*/Raw_Data_and_Processing/cellranger_processing/cellranger_fastqs/outs/fastq_path/H*/BN0704_S1_L001_I2_001.fastq.gz</v>
      </c>
      <c r="K323" s="46" t="s">
        <v>1314</v>
      </c>
      <c r="L323" s="46" t="s">
        <v>1969</v>
      </c>
      <c r="M323" s="46" t="s">
        <v>1309</v>
      </c>
      <c r="N323" s="46" t="s">
        <v>1310</v>
      </c>
      <c r="O323" s="46" t="s">
        <v>1311</v>
      </c>
      <c r="P323" s="46" t="s">
        <v>1312</v>
      </c>
      <c r="Q323" s="46" t="s">
        <v>31</v>
      </c>
      <c r="R323" s="46" t="s">
        <v>31</v>
      </c>
      <c r="S323" s="46" t="s">
        <v>31</v>
      </c>
      <c r="T323" s="46" t="s">
        <v>31</v>
      </c>
      <c r="U323" s="46" t="s">
        <v>49</v>
      </c>
    </row>
    <row r="324" spans="1:21">
      <c r="A324" s="46" t="s">
        <v>703</v>
      </c>
      <c r="B324" s="46" t="s">
        <v>101</v>
      </c>
      <c r="C324" s="46" t="s">
        <v>666</v>
      </c>
      <c r="D324" s="46">
        <v>1</v>
      </c>
      <c r="E324" s="46">
        <v>0</v>
      </c>
      <c r="F324" s="46" t="s">
        <v>698</v>
      </c>
      <c r="G324" s="46" t="s">
        <v>1305</v>
      </c>
      <c r="H324" s="46" t="s">
        <v>1970</v>
      </c>
      <c r="I324" s="46" t="str">
        <f ca="1">IFERROR(__xludf.DUMMYFUNCTION("CONCAT(A324,REGEXREPLACE(H324,"".*_L0"",""_L0""))"),"HC_BN0704_MTG_snRNAseq_rep1_L001_R1_001.fastq.gz")</f>
        <v>HC_BN0704_MTG_snRNAseq_rep1_L001_R1_001.fastq.gz</v>
      </c>
      <c r="J324" s="46" t="str">
        <f t="shared" si="1"/>
        <v>/data/neurogen/ASAP/scRNAseq/data/batch6_ASAP_snRNA-seq_*/Raw_Data_and_Processing/cellranger_processing/cellranger_fastqs/outs/fastq_path/H*/BN0704_S1_L001_R1_001.fastq.gz</v>
      </c>
      <c r="K324" s="46" t="s">
        <v>1317</v>
      </c>
      <c r="L324" s="46" t="s">
        <v>1971</v>
      </c>
      <c r="M324" s="46" t="s">
        <v>1309</v>
      </c>
      <c r="N324" s="46" t="s">
        <v>1310</v>
      </c>
      <c r="O324" s="46" t="s">
        <v>1311</v>
      </c>
      <c r="P324" s="46" t="s">
        <v>1312</v>
      </c>
      <c r="Q324" s="46" t="s">
        <v>31</v>
      </c>
      <c r="R324" s="46" t="s">
        <v>31</v>
      </c>
      <c r="S324" s="46" t="s">
        <v>31</v>
      </c>
      <c r="T324" s="46" t="s">
        <v>31</v>
      </c>
      <c r="U324" s="46" t="s">
        <v>49</v>
      </c>
    </row>
    <row r="325" spans="1:21">
      <c r="A325" s="46" t="s">
        <v>703</v>
      </c>
      <c r="B325" s="46" t="s">
        <v>101</v>
      </c>
      <c r="C325" s="46" t="s">
        <v>666</v>
      </c>
      <c r="D325" s="46">
        <v>1</v>
      </c>
      <c r="E325" s="46">
        <v>0</v>
      </c>
      <c r="F325" s="46" t="s">
        <v>698</v>
      </c>
      <c r="G325" s="46" t="s">
        <v>1305</v>
      </c>
      <c r="H325" s="46" t="s">
        <v>1972</v>
      </c>
      <c r="I325" s="46" t="str">
        <f ca="1">IFERROR(__xludf.DUMMYFUNCTION("CONCAT(A325,REGEXREPLACE(H325,"".*_L0"",""_L0""))"),"HC_BN0704_MTG_snRNAseq_rep1_L001_R2_001.fastq.gz")</f>
        <v>HC_BN0704_MTG_snRNAseq_rep1_L001_R2_001.fastq.gz</v>
      </c>
      <c r="J325" s="46" t="str">
        <f t="shared" si="1"/>
        <v>/data/neurogen/ASAP/scRNAseq/data/batch6_ASAP_snRNA-seq_*/Raw_Data_and_Processing/cellranger_processing/cellranger_fastqs/outs/fastq_path/H*/BN0704_S1_L001_R2_001.fastq.gz</v>
      </c>
      <c r="K325" s="46" t="s">
        <v>1320</v>
      </c>
      <c r="L325" s="46" t="s">
        <v>1973</v>
      </c>
      <c r="M325" s="46" t="s">
        <v>1309</v>
      </c>
      <c r="N325" s="46" t="s">
        <v>1310</v>
      </c>
      <c r="O325" s="46" t="s">
        <v>1311</v>
      </c>
      <c r="P325" s="46" t="s">
        <v>1312</v>
      </c>
      <c r="Q325" s="46" t="s">
        <v>31</v>
      </c>
      <c r="R325" s="46" t="s">
        <v>31</v>
      </c>
      <c r="S325" s="46" t="s">
        <v>31</v>
      </c>
      <c r="T325" s="46" t="s">
        <v>31</v>
      </c>
      <c r="U325" s="46" t="s">
        <v>49</v>
      </c>
    </row>
    <row r="326" spans="1:21">
      <c r="A326" s="46" t="s">
        <v>703</v>
      </c>
      <c r="B326" s="46" t="s">
        <v>101</v>
      </c>
      <c r="C326" s="46" t="s">
        <v>666</v>
      </c>
      <c r="D326" s="46">
        <v>1</v>
      </c>
      <c r="E326" s="46">
        <v>0</v>
      </c>
      <c r="F326" s="46" t="s">
        <v>698</v>
      </c>
      <c r="G326" s="46" t="s">
        <v>1305</v>
      </c>
      <c r="H326" s="46" t="s">
        <v>1974</v>
      </c>
      <c r="I326" s="46" t="str">
        <f ca="1">IFERROR(__xludf.DUMMYFUNCTION("CONCAT(A326,REGEXREPLACE(H326,"".*_L0"",""_L0""))"),"HC_BN0704_MTG_snRNAseq_rep1_L002_I1_001.fastq.gz")</f>
        <v>HC_BN0704_MTG_snRNAseq_rep1_L002_I1_001.fastq.gz</v>
      </c>
      <c r="J326" s="46" t="str">
        <f t="shared" si="1"/>
        <v>/data/neurogen/ASAP/scRNAseq/data/batch6_ASAP_snRNA-seq_*/Raw_Data_and_Processing/cellranger_processing/cellranger_fastqs/outs/fastq_path/H*/BN0704_S1_L002_I1_001.fastq.gz</v>
      </c>
      <c r="K326" s="46" t="s">
        <v>1323</v>
      </c>
      <c r="L326" s="46" t="s">
        <v>1975</v>
      </c>
      <c r="M326" s="46" t="s">
        <v>1309</v>
      </c>
      <c r="N326" s="46" t="s">
        <v>1310</v>
      </c>
      <c r="O326" s="46" t="s">
        <v>1311</v>
      </c>
      <c r="P326" s="46" t="s">
        <v>1312</v>
      </c>
      <c r="Q326" s="46" t="s">
        <v>31</v>
      </c>
      <c r="R326" s="46" t="s">
        <v>31</v>
      </c>
      <c r="S326" s="46" t="s">
        <v>31</v>
      </c>
      <c r="T326" s="46" t="s">
        <v>31</v>
      </c>
      <c r="U326" s="46" t="s">
        <v>49</v>
      </c>
    </row>
    <row r="327" spans="1:21">
      <c r="A327" s="46" t="s">
        <v>703</v>
      </c>
      <c r="B327" s="46" t="s">
        <v>101</v>
      </c>
      <c r="C327" s="46" t="s">
        <v>666</v>
      </c>
      <c r="D327" s="46">
        <v>1</v>
      </c>
      <c r="E327" s="46">
        <v>0</v>
      </c>
      <c r="F327" s="46" t="s">
        <v>698</v>
      </c>
      <c r="G327" s="46" t="s">
        <v>1305</v>
      </c>
      <c r="H327" s="46" t="s">
        <v>1976</v>
      </c>
      <c r="I327" s="46" t="str">
        <f ca="1">IFERROR(__xludf.DUMMYFUNCTION("CONCAT(A327,REGEXREPLACE(H327,"".*_L0"",""_L0""))"),"HC_BN0704_MTG_snRNAseq_rep1_L002_I2_001.fastq.gz")</f>
        <v>HC_BN0704_MTG_snRNAseq_rep1_L002_I2_001.fastq.gz</v>
      </c>
      <c r="J327" s="46" t="str">
        <f t="shared" si="1"/>
        <v>/data/neurogen/ASAP/scRNAseq/data/batch6_ASAP_snRNA-seq_*/Raw_Data_and_Processing/cellranger_processing/cellranger_fastqs/outs/fastq_path/H*/BN0704_S1_L002_I2_001.fastq.gz</v>
      </c>
      <c r="K327" s="46" t="s">
        <v>1326</v>
      </c>
      <c r="L327" s="46" t="s">
        <v>1977</v>
      </c>
      <c r="M327" s="46" t="s">
        <v>1309</v>
      </c>
      <c r="N327" s="46" t="s">
        <v>1310</v>
      </c>
      <c r="O327" s="46" t="s">
        <v>1311</v>
      </c>
      <c r="P327" s="46" t="s">
        <v>1312</v>
      </c>
      <c r="Q327" s="46" t="s">
        <v>31</v>
      </c>
      <c r="R327" s="46" t="s">
        <v>31</v>
      </c>
      <c r="S327" s="46" t="s">
        <v>31</v>
      </c>
      <c r="T327" s="46" t="s">
        <v>31</v>
      </c>
      <c r="U327" s="46" t="s">
        <v>49</v>
      </c>
    </row>
    <row r="328" spans="1:21">
      <c r="A328" s="46" t="s">
        <v>703</v>
      </c>
      <c r="B328" s="46" t="s">
        <v>101</v>
      </c>
      <c r="C328" s="46" t="s">
        <v>666</v>
      </c>
      <c r="D328" s="46">
        <v>1</v>
      </c>
      <c r="E328" s="46">
        <v>0</v>
      </c>
      <c r="F328" s="46" t="s">
        <v>698</v>
      </c>
      <c r="G328" s="46" t="s">
        <v>1305</v>
      </c>
      <c r="H328" s="46" t="s">
        <v>1978</v>
      </c>
      <c r="I328" s="46" t="str">
        <f ca="1">IFERROR(__xludf.DUMMYFUNCTION("CONCAT(A328,REGEXREPLACE(H328,"".*_L0"",""_L0""))"),"HC_BN0704_MTG_snRNAseq_rep1_L002_R1_001.fastq.gz")</f>
        <v>HC_BN0704_MTG_snRNAseq_rep1_L002_R1_001.fastq.gz</v>
      </c>
      <c r="J328" s="46" t="str">
        <f t="shared" si="1"/>
        <v>/data/neurogen/ASAP/scRNAseq/data/batch6_ASAP_snRNA-seq_*/Raw_Data_and_Processing/cellranger_processing/cellranger_fastqs/outs/fastq_path/H*/BN0704_S1_L002_R1_001.fastq.gz</v>
      </c>
      <c r="K328" s="46" t="s">
        <v>1329</v>
      </c>
      <c r="L328" s="46" t="s">
        <v>1979</v>
      </c>
      <c r="M328" s="46" t="s">
        <v>1309</v>
      </c>
      <c r="N328" s="46" t="s">
        <v>1310</v>
      </c>
      <c r="O328" s="46" t="s">
        <v>1311</v>
      </c>
      <c r="P328" s="46" t="s">
        <v>1312</v>
      </c>
      <c r="Q328" s="46" t="s">
        <v>31</v>
      </c>
      <c r="R328" s="46" t="s">
        <v>31</v>
      </c>
      <c r="S328" s="46" t="s">
        <v>31</v>
      </c>
      <c r="T328" s="46" t="s">
        <v>31</v>
      </c>
      <c r="U328" s="46" t="s">
        <v>49</v>
      </c>
    </row>
    <row r="329" spans="1:21">
      <c r="A329" s="46" t="s">
        <v>703</v>
      </c>
      <c r="B329" s="46" t="s">
        <v>101</v>
      </c>
      <c r="C329" s="46" t="s">
        <v>666</v>
      </c>
      <c r="D329" s="46">
        <v>1</v>
      </c>
      <c r="E329" s="46">
        <v>0</v>
      </c>
      <c r="F329" s="46" t="s">
        <v>698</v>
      </c>
      <c r="G329" s="46" t="s">
        <v>1305</v>
      </c>
      <c r="H329" s="46" t="s">
        <v>1980</v>
      </c>
      <c r="I329" s="46" t="str">
        <f ca="1">IFERROR(__xludf.DUMMYFUNCTION("CONCAT(A329,REGEXREPLACE(H329,"".*_L0"",""_L0""))"),"HC_BN0704_MTG_snRNAseq_rep1_L002_R2_001.fastq.gz")</f>
        <v>HC_BN0704_MTG_snRNAseq_rep1_L002_R2_001.fastq.gz</v>
      </c>
      <c r="J329" s="46" t="str">
        <f t="shared" si="1"/>
        <v>/data/neurogen/ASAP/scRNAseq/data/batch6_ASAP_snRNA-seq_*/Raw_Data_and_Processing/cellranger_processing/cellranger_fastqs/outs/fastq_path/H*/BN0704_S1_L002_R2_001.fastq.gz</v>
      </c>
      <c r="K329" s="46" t="s">
        <v>1332</v>
      </c>
      <c r="L329" s="46" t="s">
        <v>1981</v>
      </c>
      <c r="M329" s="46" t="s">
        <v>1309</v>
      </c>
      <c r="N329" s="46" t="s">
        <v>1310</v>
      </c>
      <c r="O329" s="46" t="s">
        <v>1311</v>
      </c>
      <c r="P329" s="46" t="s">
        <v>1312</v>
      </c>
      <c r="Q329" s="46" t="s">
        <v>31</v>
      </c>
      <c r="R329" s="46" t="s">
        <v>31</v>
      </c>
      <c r="S329" s="46" t="s">
        <v>31</v>
      </c>
      <c r="T329" s="46" t="s">
        <v>31</v>
      </c>
      <c r="U329" s="46" t="s">
        <v>49</v>
      </c>
    </row>
    <row r="330" spans="1:21">
      <c r="A330" s="46" t="s">
        <v>703</v>
      </c>
      <c r="B330" s="46" t="s">
        <v>101</v>
      </c>
      <c r="C330" s="46" t="s">
        <v>666</v>
      </c>
      <c r="D330" s="46">
        <v>1</v>
      </c>
      <c r="E330" s="46">
        <v>0</v>
      </c>
      <c r="F330" s="46" t="s">
        <v>698</v>
      </c>
      <c r="G330" s="46" t="s">
        <v>1305</v>
      </c>
      <c r="H330" s="46" t="s">
        <v>1982</v>
      </c>
      <c r="I330" s="46" t="str">
        <f ca="1">IFERROR(__xludf.DUMMYFUNCTION("CONCAT(A330,REGEXREPLACE(H330,"".*_L0"",""_L0""))"),"HC_BN0704_MTG_snRNAseq_rep1_L003_I1_001.fastq.gz")</f>
        <v>HC_BN0704_MTG_snRNAseq_rep1_L003_I1_001.fastq.gz</v>
      </c>
      <c r="J330" s="46" t="str">
        <f t="shared" si="1"/>
        <v>/data/neurogen/ASAP/scRNAseq/data/batch6_ASAP_snRNA-seq_*/Raw_Data_and_Processing/cellranger_processing/cellranger_fastqs/outs/fastq_path/H*/BN0704_S1_L003_I1_001.fastq.gz</v>
      </c>
      <c r="K330" s="46" t="s">
        <v>1335</v>
      </c>
      <c r="L330" s="46" t="s">
        <v>1983</v>
      </c>
      <c r="M330" s="46" t="s">
        <v>1309</v>
      </c>
      <c r="N330" s="46" t="s">
        <v>1310</v>
      </c>
      <c r="O330" s="46" t="s">
        <v>1311</v>
      </c>
      <c r="P330" s="46" t="s">
        <v>1312</v>
      </c>
      <c r="Q330" s="46" t="s">
        <v>31</v>
      </c>
      <c r="R330" s="46" t="s">
        <v>31</v>
      </c>
      <c r="S330" s="46" t="s">
        <v>31</v>
      </c>
      <c r="T330" s="46" t="s">
        <v>31</v>
      </c>
      <c r="U330" s="46" t="s">
        <v>49</v>
      </c>
    </row>
    <row r="331" spans="1:21">
      <c r="A331" s="46" t="s">
        <v>703</v>
      </c>
      <c r="B331" s="46" t="s">
        <v>101</v>
      </c>
      <c r="C331" s="46" t="s">
        <v>666</v>
      </c>
      <c r="D331" s="46">
        <v>1</v>
      </c>
      <c r="E331" s="46">
        <v>0</v>
      </c>
      <c r="F331" s="46" t="s">
        <v>698</v>
      </c>
      <c r="G331" s="46" t="s">
        <v>1305</v>
      </c>
      <c r="H331" s="46" t="s">
        <v>1984</v>
      </c>
      <c r="I331" s="46" t="str">
        <f ca="1">IFERROR(__xludf.DUMMYFUNCTION("CONCAT(A331,REGEXREPLACE(H331,"".*_L0"",""_L0""))"),"HC_BN0704_MTG_snRNAseq_rep1_L003_I2_001.fastq.gz")</f>
        <v>HC_BN0704_MTG_snRNAseq_rep1_L003_I2_001.fastq.gz</v>
      </c>
      <c r="J331" s="46" t="str">
        <f t="shared" si="1"/>
        <v>/data/neurogen/ASAP/scRNAseq/data/batch6_ASAP_snRNA-seq_*/Raw_Data_and_Processing/cellranger_processing/cellranger_fastqs/outs/fastq_path/H*/BN0704_S1_L003_I2_001.fastq.gz</v>
      </c>
      <c r="K331" s="46" t="s">
        <v>1338</v>
      </c>
      <c r="L331" s="46" t="s">
        <v>1985</v>
      </c>
      <c r="M331" s="46" t="s">
        <v>1309</v>
      </c>
      <c r="N331" s="46" t="s">
        <v>1310</v>
      </c>
      <c r="O331" s="46" t="s">
        <v>1311</v>
      </c>
      <c r="P331" s="46" t="s">
        <v>1312</v>
      </c>
      <c r="Q331" s="46" t="s">
        <v>31</v>
      </c>
      <c r="R331" s="46" t="s">
        <v>31</v>
      </c>
      <c r="S331" s="46" t="s">
        <v>31</v>
      </c>
      <c r="T331" s="46" t="s">
        <v>31</v>
      </c>
      <c r="U331" s="46" t="s">
        <v>49</v>
      </c>
    </row>
    <row r="332" spans="1:21">
      <c r="A332" s="46" t="s">
        <v>703</v>
      </c>
      <c r="B332" s="46" t="s">
        <v>101</v>
      </c>
      <c r="C332" s="46" t="s">
        <v>666</v>
      </c>
      <c r="D332" s="46">
        <v>1</v>
      </c>
      <c r="E332" s="46">
        <v>0</v>
      </c>
      <c r="F332" s="46" t="s">
        <v>698</v>
      </c>
      <c r="G332" s="46" t="s">
        <v>1305</v>
      </c>
      <c r="H332" s="46" t="s">
        <v>1986</v>
      </c>
      <c r="I332" s="46" t="str">
        <f ca="1">IFERROR(__xludf.DUMMYFUNCTION("CONCAT(A332,REGEXREPLACE(H332,"".*_L0"",""_L0""))"),"HC_BN0704_MTG_snRNAseq_rep1_L003_R1_001.fastq.gz")</f>
        <v>HC_BN0704_MTG_snRNAseq_rep1_L003_R1_001.fastq.gz</v>
      </c>
      <c r="J332" s="46" t="str">
        <f t="shared" si="1"/>
        <v>/data/neurogen/ASAP/scRNAseq/data/batch6_ASAP_snRNA-seq_*/Raw_Data_and_Processing/cellranger_processing/cellranger_fastqs/outs/fastq_path/H*/BN0704_S1_L003_R1_001.fastq.gz</v>
      </c>
      <c r="K332" s="46" t="s">
        <v>1341</v>
      </c>
      <c r="L332" s="46" t="s">
        <v>1987</v>
      </c>
      <c r="M332" s="46" t="s">
        <v>1309</v>
      </c>
      <c r="N332" s="46" t="s">
        <v>1310</v>
      </c>
      <c r="O332" s="46" t="s">
        <v>1311</v>
      </c>
      <c r="P332" s="46" t="s">
        <v>1312</v>
      </c>
      <c r="Q332" s="46" t="s">
        <v>31</v>
      </c>
      <c r="R332" s="46" t="s">
        <v>31</v>
      </c>
      <c r="S332" s="46" t="s">
        <v>31</v>
      </c>
      <c r="T332" s="46" t="s">
        <v>31</v>
      </c>
      <c r="U332" s="46" t="s">
        <v>49</v>
      </c>
    </row>
    <row r="333" spans="1:21">
      <c r="A333" s="46" t="s">
        <v>703</v>
      </c>
      <c r="B333" s="46" t="s">
        <v>101</v>
      </c>
      <c r="C333" s="46" t="s">
        <v>666</v>
      </c>
      <c r="D333" s="46">
        <v>1</v>
      </c>
      <c r="E333" s="46">
        <v>0</v>
      </c>
      <c r="F333" s="46" t="s">
        <v>698</v>
      </c>
      <c r="G333" s="46" t="s">
        <v>1305</v>
      </c>
      <c r="H333" s="46" t="s">
        <v>1988</v>
      </c>
      <c r="I333" s="46" t="str">
        <f ca="1">IFERROR(__xludf.DUMMYFUNCTION("CONCAT(A333,REGEXREPLACE(H333,"".*_L0"",""_L0""))"),"HC_BN0704_MTG_snRNAseq_rep1_L003_R2_001.fastq.gz")</f>
        <v>HC_BN0704_MTG_snRNAseq_rep1_L003_R2_001.fastq.gz</v>
      </c>
      <c r="J333" s="46" t="str">
        <f t="shared" si="1"/>
        <v>/data/neurogen/ASAP/scRNAseq/data/batch6_ASAP_snRNA-seq_*/Raw_Data_and_Processing/cellranger_processing/cellranger_fastqs/outs/fastq_path/H*/BN0704_S1_L003_R2_001.fastq.gz</v>
      </c>
      <c r="K333" s="46" t="s">
        <v>1344</v>
      </c>
      <c r="L333" s="46" t="s">
        <v>1989</v>
      </c>
      <c r="M333" s="46" t="s">
        <v>1309</v>
      </c>
      <c r="N333" s="46" t="s">
        <v>1310</v>
      </c>
      <c r="O333" s="46" t="s">
        <v>1311</v>
      </c>
      <c r="P333" s="46" t="s">
        <v>1312</v>
      </c>
      <c r="Q333" s="46" t="s">
        <v>31</v>
      </c>
      <c r="R333" s="46" t="s">
        <v>31</v>
      </c>
      <c r="S333" s="46" t="s">
        <v>31</v>
      </c>
      <c r="T333" s="46" t="s">
        <v>31</v>
      </c>
      <c r="U333" s="46" t="s">
        <v>49</v>
      </c>
    </row>
    <row r="334" spans="1:21">
      <c r="A334" s="46" t="s">
        <v>703</v>
      </c>
      <c r="B334" s="46" t="s">
        <v>101</v>
      </c>
      <c r="C334" s="46" t="s">
        <v>666</v>
      </c>
      <c r="D334" s="46">
        <v>1</v>
      </c>
      <c r="E334" s="46">
        <v>0</v>
      </c>
      <c r="F334" s="46" t="s">
        <v>698</v>
      </c>
      <c r="G334" s="46" t="s">
        <v>1305</v>
      </c>
      <c r="H334" s="46" t="s">
        <v>1990</v>
      </c>
      <c r="I334" s="46" t="str">
        <f ca="1">IFERROR(__xludf.DUMMYFUNCTION("CONCAT(A334,REGEXREPLACE(H334,"".*_L0"",""_L0""))"),"HC_BN0704_MTG_snRNAseq_rep1_L004_I1_001.fastq.gz")</f>
        <v>HC_BN0704_MTG_snRNAseq_rep1_L004_I1_001.fastq.gz</v>
      </c>
      <c r="J334" s="46" t="str">
        <f t="shared" si="1"/>
        <v>/data/neurogen/ASAP/scRNAseq/data/batch6_ASAP_snRNA-seq_*/Raw_Data_and_Processing/cellranger_processing/cellranger_fastqs/outs/fastq_path/H*/BN0704_S1_L004_I1_001.fastq.gz</v>
      </c>
      <c r="K334" s="46" t="s">
        <v>1347</v>
      </c>
      <c r="L334" s="46" t="s">
        <v>1991</v>
      </c>
      <c r="M334" s="46" t="s">
        <v>1309</v>
      </c>
      <c r="N334" s="46" t="s">
        <v>1310</v>
      </c>
      <c r="O334" s="46" t="s">
        <v>1311</v>
      </c>
      <c r="P334" s="46" t="s">
        <v>1312</v>
      </c>
      <c r="Q334" s="46" t="s">
        <v>31</v>
      </c>
      <c r="R334" s="46" t="s">
        <v>31</v>
      </c>
      <c r="S334" s="46" t="s">
        <v>31</v>
      </c>
      <c r="T334" s="46" t="s">
        <v>31</v>
      </c>
      <c r="U334" s="46" t="s">
        <v>49</v>
      </c>
    </row>
    <row r="335" spans="1:21">
      <c r="A335" s="46" t="s">
        <v>703</v>
      </c>
      <c r="B335" s="46" t="s">
        <v>101</v>
      </c>
      <c r="C335" s="46" t="s">
        <v>666</v>
      </c>
      <c r="D335" s="46">
        <v>1</v>
      </c>
      <c r="E335" s="46">
        <v>0</v>
      </c>
      <c r="F335" s="46" t="s">
        <v>698</v>
      </c>
      <c r="G335" s="46" t="s">
        <v>1305</v>
      </c>
      <c r="H335" s="46" t="s">
        <v>1992</v>
      </c>
      <c r="I335" s="46" t="str">
        <f ca="1">IFERROR(__xludf.DUMMYFUNCTION("CONCAT(A335,REGEXREPLACE(H335,"".*_L0"",""_L0""))"),"HC_BN0704_MTG_snRNAseq_rep1_L004_I2_001.fastq.gz")</f>
        <v>HC_BN0704_MTG_snRNAseq_rep1_L004_I2_001.fastq.gz</v>
      </c>
      <c r="J335" s="46" t="str">
        <f t="shared" si="1"/>
        <v>/data/neurogen/ASAP/scRNAseq/data/batch6_ASAP_snRNA-seq_*/Raw_Data_and_Processing/cellranger_processing/cellranger_fastqs/outs/fastq_path/H*/BN0704_S1_L004_I2_001.fastq.gz</v>
      </c>
      <c r="K335" s="46" t="s">
        <v>1350</v>
      </c>
      <c r="L335" s="46" t="s">
        <v>1993</v>
      </c>
      <c r="M335" s="46" t="s">
        <v>1309</v>
      </c>
      <c r="N335" s="46" t="s">
        <v>1310</v>
      </c>
      <c r="O335" s="46" t="s">
        <v>1311</v>
      </c>
      <c r="P335" s="46" t="s">
        <v>1312</v>
      </c>
      <c r="Q335" s="46" t="s">
        <v>31</v>
      </c>
      <c r="R335" s="46" t="s">
        <v>31</v>
      </c>
      <c r="S335" s="46" t="s">
        <v>31</v>
      </c>
      <c r="T335" s="46" t="s">
        <v>31</v>
      </c>
      <c r="U335" s="46" t="s">
        <v>49</v>
      </c>
    </row>
    <row r="336" spans="1:21">
      <c r="A336" s="46" t="s">
        <v>703</v>
      </c>
      <c r="B336" s="46" t="s">
        <v>101</v>
      </c>
      <c r="C336" s="46" t="s">
        <v>666</v>
      </c>
      <c r="D336" s="46">
        <v>1</v>
      </c>
      <c r="E336" s="46">
        <v>0</v>
      </c>
      <c r="F336" s="46" t="s">
        <v>698</v>
      </c>
      <c r="G336" s="46" t="s">
        <v>1305</v>
      </c>
      <c r="H336" s="46" t="s">
        <v>1994</v>
      </c>
      <c r="I336" s="46" t="str">
        <f ca="1">IFERROR(__xludf.DUMMYFUNCTION("CONCAT(A336,REGEXREPLACE(H336,"".*_L0"",""_L0""))"),"HC_BN0704_MTG_snRNAseq_rep1_L004_R1_001.fastq.gz")</f>
        <v>HC_BN0704_MTG_snRNAseq_rep1_L004_R1_001.fastq.gz</v>
      </c>
      <c r="J336" s="46" t="str">
        <f t="shared" si="1"/>
        <v>/data/neurogen/ASAP/scRNAseq/data/batch6_ASAP_snRNA-seq_*/Raw_Data_and_Processing/cellranger_processing/cellranger_fastqs/outs/fastq_path/H*/BN0704_S1_L004_R1_001.fastq.gz</v>
      </c>
      <c r="K336" s="46" t="s">
        <v>1353</v>
      </c>
      <c r="L336" s="46" t="s">
        <v>1995</v>
      </c>
      <c r="M336" s="46" t="s">
        <v>1309</v>
      </c>
      <c r="N336" s="46" t="s">
        <v>1310</v>
      </c>
      <c r="O336" s="46" t="s">
        <v>1311</v>
      </c>
      <c r="P336" s="46" t="s">
        <v>1312</v>
      </c>
      <c r="Q336" s="46" t="s">
        <v>31</v>
      </c>
      <c r="R336" s="46" t="s">
        <v>31</v>
      </c>
      <c r="S336" s="46" t="s">
        <v>31</v>
      </c>
      <c r="T336" s="46" t="s">
        <v>31</v>
      </c>
      <c r="U336" s="46" t="s">
        <v>49</v>
      </c>
    </row>
    <row r="337" spans="1:21">
      <c r="A337" s="46" t="s">
        <v>703</v>
      </c>
      <c r="B337" s="46" t="s">
        <v>101</v>
      </c>
      <c r="C337" s="46" t="s">
        <v>666</v>
      </c>
      <c r="D337" s="46">
        <v>1</v>
      </c>
      <c r="E337" s="46">
        <v>0</v>
      </c>
      <c r="F337" s="46" t="s">
        <v>698</v>
      </c>
      <c r="G337" s="46" t="s">
        <v>1305</v>
      </c>
      <c r="H337" s="46" t="s">
        <v>1996</v>
      </c>
      <c r="I337" s="46" t="str">
        <f ca="1">IFERROR(__xludf.DUMMYFUNCTION("CONCAT(A337,REGEXREPLACE(H337,"".*_L0"",""_L0""))"),"HC_BN0704_MTG_snRNAseq_rep1_L004_R2_001.fastq.gz")</f>
        <v>HC_BN0704_MTG_snRNAseq_rep1_L004_R2_001.fastq.gz</v>
      </c>
      <c r="J337" s="46" t="str">
        <f t="shared" si="1"/>
        <v>/data/neurogen/ASAP/scRNAseq/data/batch6_ASAP_snRNA-seq_*/Raw_Data_and_Processing/cellranger_processing/cellranger_fastqs/outs/fastq_path/H*/BN0704_S1_L004_R2_001.fastq.gz</v>
      </c>
      <c r="K337" s="46" t="s">
        <v>1356</v>
      </c>
      <c r="L337" s="46" t="s">
        <v>1997</v>
      </c>
      <c r="M337" s="46" t="s">
        <v>1309</v>
      </c>
      <c r="N337" s="46" t="s">
        <v>1310</v>
      </c>
      <c r="O337" s="46" t="s">
        <v>1311</v>
      </c>
      <c r="P337" s="46" t="s">
        <v>1312</v>
      </c>
      <c r="Q337" s="46" t="s">
        <v>31</v>
      </c>
      <c r="R337" s="46" t="s">
        <v>31</v>
      </c>
      <c r="S337" s="46" t="s">
        <v>31</v>
      </c>
      <c r="T337" s="46" t="s">
        <v>31</v>
      </c>
      <c r="U337" s="46" t="s">
        <v>49</v>
      </c>
    </row>
    <row r="338" spans="1:21">
      <c r="A338" s="46" t="s">
        <v>719</v>
      </c>
      <c r="B338" s="46" t="s">
        <v>119</v>
      </c>
      <c r="C338" s="46" t="s">
        <v>666</v>
      </c>
      <c r="D338" s="46">
        <v>1</v>
      </c>
      <c r="E338" s="46">
        <v>0</v>
      </c>
      <c r="F338" s="46" t="s">
        <v>698</v>
      </c>
      <c r="G338" s="46" t="s">
        <v>1305</v>
      </c>
      <c r="H338" s="46" t="s">
        <v>1998</v>
      </c>
      <c r="I338" s="46" t="str">
        <f ca="1">IFERROR(__xludf.DUMMYFUNCTION("CONCAT(A338,REGEXREPLACE(H338,"".*_L0"",""_L0""))"),"ILB_BN1160_MTG_snRNAseq_rep1_L001_I1_001.fastq.gz")</f>
        <v>ILB_BN1160_MTG_snRNAseq_rep1_L001_I1_001.fastq.gz</v>
      </c>
      <c r="J338" s="46" t="str">
        <f t="shared" si="1"/>
        <v>/data/neurogen/ASAP/scRNAseq/data/batch6_ASAP_snRNA-seq_*/Raw_Data_and_Processing/cellranger_processing/cellranger_fastqs/outs/fastq_path/H*/BN1160_S3_L001_I1_001.fastq.gz</v>
      </c>
      <c r="K338" s="46" t="s">
        <v>1307</v>
      </c>
      <c r="L338" s="46" t="s">
        <v>1999</v>
      </c>
      <c r="M338" s="46" t="s">
        <v>1309</v>
      </c>
      <c r="N338" s="46" t="s">
        <v>1310</v>
      </c>
      <c r="O338" s="46" t="s">
        <v>1311</v>
      </c>
      <c r="P338" s="46" t="s">
        <v>1312</v>
      </c>
      <c r="Q338" s="46" t="s">
        <v>31</v>
      </c>
      <c r="R338" s="46" t="s">
        <v>31</v>
      </c>
      <c r="S338" s="46" t="s">
        <v>31</v>
      </c>
      <c r="T338" s="46" t="s">
        <v>31</v>
      </c>
      <c r="U338" s="46" t="s">
        <v>49</v>
      </c>
    </row>
    <row r="339" spans="1:21">
      <c r="A339" s="46" t="s">
        <v>719</v>
      </c>
      <c r="B339" s="46" t="s">
        <v>119</v>
      </c>
      <c r="C339" s="46" t="s">
        <v>666</v>
      </c>
      <c r="D339" s="46">
        <v>1</v>
      </c>
      <c r="E339" s="46">
        <v>0</v>
      </c>
      <c r="F339" s="46" t="s">
        <v>698</v>
      </c>
      <c r="G339" s="46" t="s">
        <v>1305</v>
      </c>
      <c r="H339" s="46" t="s">
        <v>2000</v>
      </c>
      <c r="I339" s="46" t="str">
        <f ca="1">IFERROR(__xludf.DUMMYFUNCTION("CONCAT(A339,REGEXREPLACE(H339,"".*_L0"",""_L0""))"),"ILB_BN1160_MTG_snRNAseq_rep1_L001_I2_001.fastq.gz")</f>
        <v>ILB_BN1160_MTG_snRNAseq_rep1_L001_I2_001.fastq.gz</v>
      </c>
      <c r="J339" s="46" t="str">
        <f t="shared" si="1"/>
        <v>/data/neurogen/ASAP/scRNAseq/data/batch6_ASAP_snRNA-seq_*/Raw_Data_and_Processing/cellranger_processing/cellranger_fastqs/outs/fastq_path/H*/BN1160_S3_L001_I2_001.fastq.gz</v>
      </c>
      <c r="K339" s="46" t="s">
        <v>1314</v>
      </c>
      <c r="L339" s="46" t="s">
        <v>2001</v>
      </c>
      <c r="M339" s="46" t="s">
        <v>1309</v>
      </c>
      <c r="N339" s="46" t="s">
        <v>1310</v>
      </c>
      <c r="O339" s="46" t="s">
        <v>1311</v>
      </c>
      <c r="P339" s="46" t="s">
        <v>1312</v>
      </c>
      <c r="Q339" s="46" t="s">
        <v>31</v>
      </c>
      <c r="R339" s="46" t="s">
        <v>31</v>
      </c>
      <c r="S339" s="46" t="s">
        <v>31</v>
      </c>
      <c r="T339" s="46" t="s">
        <v>31</v>
      </c>
      <c r="U339" s="46" t="s">
        <v>49</v>
      </c>
    </row>
    <row r="340" spans="1:21">
      <c r="A340" s="46" t="s">
        <v>719</v>
      </c>
      <c r="B340" s="46" t="s">
        <v>119</v>
      </c>
      <c r="C340" s="46" t="s">
        <v>666</v>
      </c>
      <c r="D340" s="46">
        <v>1</v>
      </c>
      <c r="E340" s="46">
        <v>0</v>
      </c>
      <c r="F340" s="46" t="s">
        <v>698</v>
      </c>
      <c r="G340" s="46" t="s">
        <v>1305</v>
      </c>
      <c r="H340" s="46" t="s">
        <v>2002</v>
      </c>
      <c r="I340" s="46" t="str">
        <f ca="1">IFERROR(__xludf.DUMMYFUNCTION("CONCAT(A340,REGEXREPLACE(H340,"".*_L0"",""_L0""))"),"ILB_BN1160_MTG_snRNAseq_rep1_L001_R1_001.fastq.gz")</f>
        <v>ILB_BN1160_MTG_snRNAseq_rep1_L001_R1_001.fastq.gz</v>
      </c>
      <c r="J340" s="46" t="str">
        <f t="shared" si="1"/>
        <v>/data/neurogen/ASAP/scRNAseq/data/batch6_ASAP_snRNA-seq_*/Raw_Data_and_Processing/cellranger_processing/cellranger_fastqs/outs/fastq_path/H*/BN1160_S3_L001_R1_001.fastq.gz</v>
      </c>
      <c r="K340" s="46" t="s">
        <v>1317</v>
      </c>
      <c r="L340" s="46" t="s">
        <v>2003</v>
      </c>
      <c r="M340" s="46" t="s">
        <v>1309</v>
      </c>
      <c r="N340" s="46" t="s">
        <v>1310</v>
      </c>
      <c r="O340" s="46" t="s">
        <v>1311</v>
      </c>
      <c r="P340" s="46" t="s">
        <v>1312</v>
      </c>
      <c r="Q340" s="46" t="s">
        <v>31</v>
      </c>
      <c r="R340" s="46" t="s">
        <v>31</v>
      </c>
      <c r="S340" s="46" t="s">
        <v>31</v>
      </c>
      <c r="T340" s="46" t="s">
        <v>31</v>
      </c>
      <c r="U340" s="46" t="s">
        <v>49</v>
      </c>
    </row>
    <row r="341" spans="1:21">
      <c r="A341" s="46" t="s">
        <v>719</v>
      </c>
      <c r="B341" s="46" t="s">
        <v>119</v>
      </c>
      <c r="C341" s="46" t="s">
        <v>666</v>
      </c>
      <c r="D341" s="46">
        <v>1</v>
      </c>
      <c r="E341" s="46">
        <v>0</v>
      </c>
      <c r="F341" s="46" t="s">
        <v>698</v>
      </c>
      <c r="G341" s="46" t="s">
        <v>1305</v>
      </c>
      <c r="H341" s="46" t="s">
        <v>2004</v>
      </c>
      <c r="I341" s="46" t="str">
        <f ca="1">IFERROR(__xludf.DUMMYFUNCTION("CONCAT(A341,REGEXREPLACE(H341,"".*_L0"",""_L0""))"),"ILB_BN1160_MTG_snRNAseq_rep1_L001_R2_001.fastq.gz")</f>
        <v>ILB_BN1160_MTG_snRNAseq_rep1_L001_R2_001.fastq.gz</v>
      </c>
      <c r="J341" s="46" t="str">
        <f t="shared" si="1"/>
        <v>/data/neurogen/ASAP/scRNAseq/data/batch6_ASAP_snRNA-seq_*/Raw_Data_and_Processing/cellranger_processing/cellranger_fastqs/outs/fastq_path/H*/BN1160_S3_L001_R2_001.fastq.gz</v>
      </c>
      <c r="K341" s="46" t="s">
        <v>1320</v>
      </c>
      <c r="L341" s="46" t="s">
        <v>2005</v>
      </c>
      <c r="M341" s="46" t="s">
        <v>1309</v>
      </c>
      <c r="N341" s="46" t="s">
        <v>1310</v>
      </c>
      <c r="O341" s="46" t="s">
        <v>1311</v>
      </c>
      <c r="P341" s="46" t="s">
        <v>1312</v>
      </c>
      <c r="Q341" s="46" t="s">
        <v>31</v>
      </c>
      <c r="R341" s="46" t="s">
        <v>31</v>
      </c>
      <c r="S341" s="46" t="s">
        <v>31</v>
      </c>
      <c r="T341" s="46" t="s">
        <v>31</v>
      </c>
      <c r="U341" s="46" t="s">
        <v>49</v>
      </c>
    </row>
    <row r="342" spans="1:21">
      <c r="A342" s="46" t="s">
        <v>719</v>
      </c>
      <c r="B342" s="46" t="s">
        <v>119</v>
      </c>
      <c r="C342" s="46" t="s">
        <v>666</v>
      </c>
      <c r="D342" s="46">
        <v>1</v>
      </c>
      <c r="E342" s="46">
        <v>0</v>
      </c>
      <c r="F342" s="46" t="s">
        <v>698</v>
      </c>
      <c r="G342" s="46" t="s">
        <v>1305</v>
      </c>
      <c r="H342" s="46" t="s">
        <v>2006</v>
      </c>
      <c r="I342" s="46" t="str">
        <f ca="1">IFERROR(__xludf.DUMMYFUNCTION("CONCAT(A342,REGEXREPLACE(H342,"".*_L0"",""_L0""))"),"ILB_BN1160_MTG_snRNAseq_rep1_L002_I1_001.fastq.gz")</f>
        <v>ILB_BN1160_MTG_snRNAseq_rep1_L002_I1_001.fastq.gz</v>
      </c>
      <c r="J342" s="46" t="str">
        <f t="shared" si="1"/>
        <v>/data/neurogen/ASAP/scRNAseq/data/batch6_ASAP_snRNA-seq_*/Raw_Data_and_Processing/cellranger_processing/cellranger_fastqs/outs/fastq_path/H*/BN1160_S3_L002_I1_001.fastq.gz</v>
      </c>
      <c r="K342" s="46" t="s">
        <v>1323</v>
      </c>
      <c r="L342" s="47" t="s">
        <v>2007</v>
      </c>
      <c r="M342" s="46" t="s">
        <v>1309</v>
      </c>
      <c r="N342" s="46" t="s">
        <v>1310</v>
      </c>
      <c r="O342" s="46" t="s">
        <v>1311</v>
      </c>
      <c r="P342" s="46" t="s">
        <v>1312</v>
      </c>
      <c r="Q342" s="46" t="s">
        <v>31</v>
      </c>
      <c r="R342" s="46" t="s">
        <v>31</v>
      </c>
      <c r="S342" s="46" t="s">
        <v>31</v>
      </c>
      <c r="T342" s="46" t="s">
        <v>31</v>
      </c>
      <c r="U342" s="46" t="s">
        <v>49</v>
      </c>
    </row>
    <row r="343" spans="1:21">
      <c r="A343" s="46" t="s">
        <v>719</v>
      </c>
      <c r="B343" s="46" t="s">
        <v>119</v>
      </c>
      <c r="C343" s="46" t="s">
        <v>666</v>
      </c>
      <c r="D343" s="46">
        <v>1</v>
      </c>
      <c r="E343" s="46">
        <v>0</v>
      </c>
      <c r="F343" s="46" t="s">
        <v>698</v>
      </c>
      <c r="G343" s="46" t="s">
        <v>1305</v>
      </c>
      <c r="H343" s="46" t="s">
        <v>2008</v>
      </c>
      <c r="I343" s="46" t="str">
        <f ca="1">IFERROR(__xludf.DUMMYFUNCTION("CONCAT(A343,REGEXREPLACE(H343,"".*_L0"",""_L0""))"),"ILB_BN1160_MTG_snRNAseq_rep1_L002_I2_001.fastq.gz")</f>
        <v>ILB_BN1160_MTG_snRNAseq_rep1_L002_I2_001.fastq.gz</v>
      </c>
      <c r="J343" s="46" t="str">
        <f t="shared" si="1"/>
        <v>/data/neurogen/ASAP/scRNAseq/data/batch6_ASAP_snRNA-seq_*/Raw_Data_and_Processing/cellranger_processing/cellranger_fastqs/outs/fastq_path/H*/BN1160_S3_L002_I2_001.fastq.gz</v>
      </c>
      <c r="K343" s="46" t="s">
        <v>1326</v>
      </c>
      <c r="L343" s="46" t="s">
        <v>2009</v>
      </c>
      <c r="M343" s="46" t="s">
        <v>1309</v>
      </c>
      <c r="N343" s="46" t="s">
        <v>1310</v>
      </c>
      <c r="O343" s="46" t="s">
        <v>1311</v>
      </c>
      <c r="P343" s="46" t="s">
        <v>1312</v>
      </c>
      <c r="Q343" s="46" t="s">
        <v>31</v>
      </c>
      <c r="R343" s="46" t="s">
        <v>31</v>
      </c>
      <c r="S343" s="46" t="s">
        <v>31</v>
      </c>
      <c r="T343" s="46" t="s">
        <v>31</v>
      </c>
      <c r="U343" s="46" t="s">
        <v>49</v>
      </c>
    </row>
    <row r="344" spans="1:21">
      <c r="A344" s="46" t="s">
        <v>719</v>
      </c>
      <c r="B344" s="46" t="s">
        <v>119</v>
      </c>
      <c r="C344" s="46" t="s">
        <v>666</v>
      </c>
      <c r="D344" s="46">
        <v>1</v>
      </c>
      <c r="E344" s="46">
        <v>0</v>
      </c>
      <c r="F344" s="46" t="s">
        <v>698</v>
      </c>
      <c r="G344" s="46" t="s">
        <v>1305</v>
      </c>
      <c r="H344" s="46" t="s">
        <v>2010</v>
      </c>
      <c r="I344" s="46" t="str">
        <f ca="1">IFERROR(__xludf.DUMMYFUNCTION("CONCAT(A344,REGEXREPLACE(H344,"".*_L0"",""_L0""))"),"ILB_BN1160_MTG_snRNAseq_rep1_L002_R1_001.fastq.gz")</f>
        <v>ILB_BN1160_MTG_snRNAseq_rep1_L002_R1_001.fastq.gz</v>
      </c>
      <c r="J344" s="46" t="str">
        <f t="shared" si="1"/>
        <v>/data/neurogen/ASAP/scRNAseq/data/batch6_ASAP_snRNA-seq_*/Raw_Data_and_Processing/cellranger_processing/cellranger_fastqs/outs/fastq_path/H*/BN1160_S3_L002_R1_001.fastq.gz</v>
      </c>
      <c r="K344" s="46" t="s">
        <v>1329</v>
      </c>
      <c r="L344" s="46" t="s">
        <v>2011</v>
      </c>
      <c r="M344" s="46" t="s">
        <v>1309</v>
      </c>
      <c r="N344" s="46" t="s">
        <v>1310</v>
      </c>
      <c r="O344" s="46" t="s">
        <v>1311</v>
      </c>
      <c r="P344" s="46" t="s">
        <v>1312</v>
      </c>
      <c r="Q344" s="46" t="s">
        <v>31</v>
      </c>
      <c r="R344" s="46" t="s">
        <v>31</v>
      </c>
      <c r="S344" s="46" t="s">
        <v>31</v>
      </c>
      <c r="T344" s="46" t="s">
        <v>31</v>
      </c>
      <c r="U344" s="46" t="s">
        <v>49</v>
      </c>
    </row>
    <row r="345" spans="1:21">
      <c r="A345" s="46" t="s">
        <v>719</v>
      </c>
      <c r="B345" s="46" t="s">
        <v>119</v>
      </c>
      <c r="C345" s="46" t="s">
        <v>666</v>
      </c>
      <c r="D345" s="46">
        <v>1</v>
      </c>
      <c r="E345" s="46">
        <v>0</v>
      </c>
      <c r="F345" s="46" t="s">
        <v>698</v>
      </c>
      <c r="G345" s="46" t="s">
        <v>1305</v>
      </c>
      <c r="H345" s="46" t="s">
        <v>2012</v>
      </c>
      <c r="I345" s="46" t="str">
        <f ca="1">IFERROR(__xludf.DUMMYFUNCTION("CONCAT(A345,REGEXREPLACE(H345,"".*_L0"",""_L0""))"),"ILB_BN1160_MTG_snRNAseq_rep1_L002_R2_001.fastq.gz")</f>
        <v>ILB_BN1160_MTG_snRNAseq_rep1_L002_R2_001.fastq.gz</v>
      </c>
      <c r="J345" s="46" t="str">
        <f t="shared" si="1"/>
        <v>/data/neurogen/ASAP/scRNAseq/data/batch6_ASAP_snRNA-seq_*/Raw_Data_and_Processing/cellranger_processing/cellranger_fastqs/outs/fastq_path/H*/BN1160_S3_L002_R2_001.fastq.gz</v>
      </c>
      <c r="K345" s="46" t="s">
        <v>1332</v>
      </c>
      <c r="L345" s="46" t="s">
        <v>2013</v>
      </c>
      <c r="M345" s="46" t="s">
        <v>1309</v>
      </c>
      <c r="N345" s="46" t="s">
        <v>1310</v>
      </c>
      <c r="O345" s="46" t="s">
        <v>1311</v>
      </c>
      <c r="P345" s="46" t="s">
        <v>1312</v>
      </c>
      <c r="Q345" s="46" t="s">
        <v>31</v>
      </c>
      <c r="R345" s="46" t="s">
        <v>31</v>
      </c>
      <c r="S345" s="46" t="s">
        <v>31</v>
      </c>
      <c r="T345" s="46" t="s">
        <v>31</v>
      </c>
      <c r="U345" s="46" t="s">
        <v>49</v>
      </c>
    </row>
    <row r="346" spans="1:21">
      <c r="A346" s="46" t="s">
        <v>719</v>
      </c>
      <c r="B346" s="46" t="s">
        <v>119</v>
      </c>
      <c r="C346" s="46" t="s">
        <v>666</v>
      </c>
      <c r="D346" s="46">
        <v>1</v>
      </c>
      <c r="E346" s="46">
        <v>0</v>
      </c>
      <c r="F346" s="46" t="s">
        <v>698</v>
      </c>
      <c r="G346" s="46" t="s">
        <v>1305</v>
      </c>
      <c r="H346" s="46" t="s">
        <v>2014</v>
      </c>
      <c r="I346" s="46" t="str">
        <f ca="1">IFERROR(__xludf.DUMMYFUNCTION("CONCAT(A346,REGEXREPLACE(H346,"".*_L0"",""_L0""))"),"ILB_BN1160_MTG_snRNAseq_rep1_L003_I1_001.fastq.gz")</f>
        <v>ILB_BN1160_MTG_snRNAseq_rep1_L003_I1_001.fastq.gz</v>
      </c>
      <c r="J346" s="46" t="str">
        <f t="shared" si="1"/>
        <v>/data/neurogen/ASAP/scRNAseq/data/batch6_ASAP_snRNA-seq_*/Raw_Data_and_Processing/cellranger_processing/cellranger_fastqs/outs/fastq_path/H*/BN1160_S3_L003_I1_001.fastq.gz</v>
      </c>
      <c r="K346" s="46" t="s">
        <v>1335</v>
      </c>
      <c r="L346" s="46" t="s">
        <v>2015</v>
      </c>
      <c r="M346" s="46" t="s">
        <v>1309</v>
      </c>
      <c r="N346" s="46" t="s">
        <v>1310</v>
      </c>
      <c r="O346" s="46" t="s">
        <v>1311</v>
      </c>
      <c r="P346" s="46" t="s">
        <v>1312</v>
      </c>
      <c r="Q346" s="46" t="s">
        <v>31</v>
      </c>
      <c r="R346" s="46" t="s">
        <v>31</v>
      </c>
      <c r="S346" s="46" t="s">
        <v>31</v>
      </c>
      <c r="T346" s="46" t="s">
        <v>31</v>
      </c>
      <c r="U346" s="46" t="s">
        <v>49</v>
      </c>
    </row>
    <row r="347" spans="1:21">
      <c r="A347" s="46" t="s">
        <v>719</v>
      </c>
      <c r="B347" s="46" t="s">
        <v>119</v>
      </c>
      <c r="C347" s="46" t="s">
        <v>666</v>
      </c>
      <c r="D347" s="46">
        <v>1</v>
      </c>
      <c r="E347" s="46">
        <v>0</v>
      </c>
      <c r="F347" s="46" t="s">
        <v>698</v>
      </c>
      <c r="G347" s="46" t="s">
        <v>1305</v>
      </c>
      <c r="H347" s="46" t="s">
        <v>2016</v>
      </c>
      <c r="I347" s="46" t="str">
        <f ca="1">IFERROR(__xludf.DUMMYFUNCTION("CONCAT(A347,REGEXREPLACE(H347,"".*_L0"",""_L0""))"),"ILB_BN1160_MTG_snRNAseq_rep1_L003_I2_001.fastq.gz")</f>
        <v>ILB_BN1160_MTG_snRNAseq_rep1_L003_I2_001.fastq.gz</v>
      </c>
      <c r="J347" s="46" t="str">
        <f t="shared" si="1"/>
        <v>/data/neurogen/ASAP/scRNAseq/data/batch6_ASAP_snRNA-seq_*/Raw_Data_and_Processing/cellranger_processing/cellranger_fastqs/outs/fastq_path/H*/BN1160_S3_L003_I2_001.fastq.gz</v>
      </c>
      <c r="K347" s="46" t="s">
        <v>1338</v>
      </c>
      <c r="L347" s="46" t="s">
        <v>2017</v>
      </c>
      <c r="M347" s="46" t="s">
        <v>1309</v>
      </c>
      <c r="N347" s="46" t="s">
        <v>1310</v>
      </c>
      <c r="O347" s="46" t="s">
        <v>1311</v>
      </c>
      <c r="P347" s="46" t="s">
        <v>1312</v>
      </c>
      <c r="Q347" s="46" t="s">
        <v>31</v>
      </c>
      <c r="R347" s="46" t="s">
        <v>31</v>
      </c>
      <c r="S347" s="46" t="s">
        <v>31</v>
      </c>
      <c r="T347" s="46" t="s">
        <v>31</v>
      </c>
      <c r="U347" s="46" t="s">
        <v>49</v>
      </c>
    </row>
    <row r="348" spans="1:21">
      <c r="A348" s="46" t="s">
        <v>719</v>
      </c>
      <c r="B348" s="46" t="s">
        <v>119</v>
      </c>
      <c r="C348" s="46" t="s">
        <v>666</v>
      </c>
      <c r="D348" s="46">
        <v>1</v>
      </c>
      <c r="E348" s="46">
        <v>0</v>
      </c>
      <c r="F348" s="46" t="s">
        <v>698</v>
      </c>
      <c r="G348" s="46" t="s">
        <v>1305</v>
      </c>
      <c r="H348" s="46" t="s">
        <v>2018</v>
      </c>
      <c r="I348" s="46" t="str">
        <f ca="1">IFERROR(__xludf.DUMMYFUNCTION("CONCAT(A348,REGEXREPLACE(H348,"".*_L0"",""_L0""))"),"ILB_BN1160_MTG_snRNAseq_rep1_L003_R1_001.fastq.gz")</f>
        <v>ILB_BN1160_MTG_snRNAseq_rep1_L003_R1_001.fastq.gz</v>
      </c>
      <c r="J348" s="46" t="str">
        <f t="shared" si="1"/>
        <v>/data/neurogen/ASAP/scRNAseq/data/batch6_ASAP_snRNA-seq_*/Raw_Data_and_Processing/cellranger_processing/cellranger_fastqs/outs/fastq_path/H*/BN1160_S3_L003_R1_001.fastq.gz</v>
      </c>
      <c r="K348" s="46" t="s">
        <v>1341</v>
      </c>
      <c r="L348" s="46" t="s">
        <v>2019</v>
      </c>
      <c r="M348" s="46" t="s">
        <v>1309</v>
      </c>
      <c r="N348" s="46" t="s">
        <v>1310</v>
      </c>
      <c r="O348" s="46" t="s">
        <v>1311</v>
      </c>
      <c r="P348" s="46" t="s">
        <v>1312</v>
      </c>
      <c r="Q348" s="46" t="s">
        <v>31</v>
      </c>
      <c r="R348" s="46" t="s">
        <v>31</v>
      </c>
      <c r="S348" s="46" t="s">
        <v>31</v>
      </c>
      <c r="T348" s="46" t="s">
        <v>31</v>
      </c>
      <c r="U348" s="46" t="s">
        <v>49</v>
      </c>
    </row>
    <row r="349" spans="1:21">
      <c r="A349" s="46" t="s">
        <v>719</v>
      </c>
      <c r="B349" s="46" t="s">
        <v>119</v>
      </c>
      <c r="C349" s="46" t="s">
        <v>666</v>
      </c>
      <c r="D349" s="46">
        <v>1</v>
      </c>
      <c r="E349" s="46">
        <v>0</v>
      </c>
      <c r="F349" s="46" t="s">
        <v>698</v>
      </c>
      <c r="G349" s="46" t="s">
        <v>1305</v>
      </c>
      <c r="H349" s="46" t="s">
        <v>2020</v>
      </c>
      <c r="I349" s="46" t="str">
        <f ca="1">IFERROR(__xludf.DUMMYFUNCTION("CONCAT(A349,REGEXREPLACE(H349,"".*_L0"",""_L0""))"),"ILB_BN1160_MTG_snRNAseq_rep1_L003_R2_001.fastq.gz")</f>
        <v>ILB_BN1160_MTG_snRNAseq_rep1_L003_R2_001.fastq.gz</v>
      </c>
      <c r="J349" s="46" t="str">
        <f t="shared" si="1"/>
        <v>/data/neurogen/ASAP/scRNAseq/data/batch6_ASAP_snRNA-seq_*/Raw_Data_and_Processing/cellranger_processing/cellranger_fastqs/outs/fastq_path/H*/BN1160_S3_L003_R2_001.fastq.gz</v>
      </c>
      <c r="K349" s="46" t="s">
        <v>1344</v>
      </c>
      <c r="L349" s="46" t="s">
        <v>2021</v>
      </c>
      <c r="M349" s="46" t="s">
        <v>1309</v>
      </c>
      <c r="N349" s="46" t="s">
        <v>1310</v>
      </c>
      <c r="O349" s="46" t="s">
        <v>1311</v>
      </c>
      <c r="P349" s="46" t="s">
        <v>1312</v>
      </c>
      <c r="Q349" s="46" t="s">
        <v>31</v>
      </c>
      <c r="R349" s="46" t="s">
        <v>31</v>
      </c>
      <c r="S349" s="46" t="s">
        <v>31</v>
      </c>
      <c r="T349" s="46" t="s">
        <v>31</v>
      </c>
      <c r="U349" s="46" t="s">
        <v>49</v>
      </c>
    </row>
    <row r="350" spans="1:21">
      <c r="A350" s="46" t="s">
        <v>719</v>
      </c>
      <c r="B350" s="46" t="s">
        <v>119</v>
      </c>
      <c r="C350" s="46" t="s">
        <v>666</v>
      </c>
      <c r="D350" s="46">
        <v>1</v>
      </c>
      <c r="E350" s="46">
        <v>0</v>
      </c>
      <c r="F350" s="46" t="s">
        <v>698</v>
      </c>
      <c r="G350" s="46" t="s">
        <v>1305</v>
      </c>
      <c r="H350" s="46" t="s">
        <v>2022</v>
      </c>
      <c r="I350" s="46" t="str">
        <f ca="1">IFERROR(__xludf.DUMMYFUNCTION("CONCAT(A350,REGEXREPLACE(H350,"".*_L0"",""_L0""))"),"ILB_BN1160_MTG_snRNAseq_rep1_L004_I1_001.fastq.gz")</f>
        <v>ILB_BN1160_MTG_snRNAseq_rep1_L004_I1_001.fastq.gz</v>
      </c>
      <c r="J350" s="46" t="str">
        <f t="shared" si="1"/>
        <v>/data/neurogen/ASAP/scRNAseq/data/batch6_ASAP_snRNA-seq_*/Raw_Data_and_Processing/cellranger_processing/cellranger_fastqs/outs/fastq_path/H*/BN1160_S3_L004_I1_001.fastq.gz</v>
      </c>
      <c r="K350" s="46" t="s">
        <v>1347</v>
      </c>
      <c r="L350" s="46" t="s">
        <v>2023</v>
      </c>
      <c r="M350" s="46" t="s">
        <v>1309</v>
      </c>
      <c r="N350" s="46" t="s">
        <v>1310</v>
      </c>
      <c r="O350" s="46" t="s">
        <v>1311</v>
      </c>
      <c r="P350" s="46" t="s">
        <v>1312</v>
      </c>
      <c r="Q350" s="46" t="s">
        <v>31</v>
      </c>
      <c r="R350" s="46" t="s">
        <v>31</v>
      </c>
      <c r="S350" s="46" t="s">
        <v>31</v>
      </c>
      <c r="T350" s="46" t="s">
        <v>31</v>
      </c>
      <c r="U350" s="46" t="s">
        <v>49</v>
      </c>
    </row>
    <row r="351" spans="1:21">
      <c r="A351" s="46" t="s">
        <v>719</v>
      </c>
      <c r="B351" s="46" t="s">
        <v>119</v>
      </c>
      <c r="C351" s="46" t="s">
        <v>666</v>
      </c>
      <c r="D351" s="46">
        <v>1</v>
      </c>
      <c r="E351" s="46">
        <v>0</v>
      </c>
      <c r="F351" s="46" t="s">
        <v>698</v>
      </c>
      <c r="G351" s="46" t="s">
        <v>1305</v>
      </c>
      <c r="H351" s="46" t="s">
        <v>2024</v>
      </c>
      <c r="I351" s="46" t="str">
        <f ca="1">IFERROR(__xludf.DUMMYFUNCTION("CONCAT(A351,REGEXREPLACE(H351,"".*_L0"",""_L0""))"),"ILB_BN1160_MTG_snRNAseq_rep1_L004_I2_001.fastq.gz")</f>
        <v>ILB_BN1160_MTG_snRNAseq_rep1_L004_I2_001.fastq.gz</v>
      </c>
      <c r="J351" s="46" t="str">
        <f t="shared" si="1"/>
        <v>/data/neurogen/ASAP/scRNAseq/data/batch6_ASAP_snRNA-seq_*/Raw_Data_and_Processing/cellranger_processing/cellranger_fastqs/outs/fastq_path/H*/BN1160_S3_L004_I2_001.fastq.gz</v>
      </c>
      <c r="K351" s="46" t="s">
        <v>1350</v>
      </c>
      <c r="L351" s="46" t="s">
        <v>2025</v>
      </c>
      <c r="M351" s="46" t="s">
        <v>1309</v>
      </c>
      <c r="N351" s="46" t="s">
        <v>1310</v>
      </c>
      <c r="O351" s="46" t="s">
        <v>1311</v>
      </c>
      <c r="P351" s="46" t="s">
        <v>1312</v>
      </c>
      <c r="Q351" s="46" t="s">
        <v>31</v>
      </c>
      <c r="R351" s="46" t="s">
        <v>31</v>
      </c>
      <c r="S351" s="46" t="s">
        <v>31</v>
      </c>
      <c r="T351" s="46" t="s">
        <v>31</v>
      </c>
      <c r="U351" s="46" t="s">
        <v>49</v>
      </c>
    </row>
    <row r="352" spans="1:21">
      <c r="A352" s="46" t="s">
        <v>719</v>
      </c>
      <c r="B352" s="46" t="s">
        <v>119</v>
      </c>
      <c r="C352" s="46" t="s">
        <v>666</v>
      </c>
      <c r="D352" s="46">
        <v>1</v>
      </c>
      <c r="E352" s="46">
        <v>0</v>
      </c>
      <c r="F352" s="46" t="s">
        <v>698</v>
      </c>
      <c r="G352" s="46" t="s">
        <v>1305</v>
      </c>
      <c r="H352" s="46" t="s">
        <v>2026</v>
      </c>
      <c r="I352" s="46" t="str">
        <f ca="1">IFERROR(__xludf.DUMMYFUNCTION("CONCAT(A352,REGEXREPLACE(H352,"".*_L0"",""_L0""))"),"ILB_BN1160_MTG_snRNAseq_rep1_L004_R1_001.fastq.gz")</f>
        <v>ILB_BN1160_MTG_snRNAseq_rep1_L004_R1_001.fastq.gz</v>
      </c>
      <c r="J352" s="46" t="str">
        <f t="shared" si="1"/>
        <v>/data/neurogen/ASAP/scRNAseq/data/batch6_ASAP_snRNA-seq_*/Raw_Data_and_Processing/cellranger_processing/cellranger_fastqs/outs/fastq_path/H*/BN1160_S3_L004_R1_001.fastq.gz</v>
      </c>
      <c r="K352" s="46" t="s">
        <v>1353</v>
      </c>
      <c r="L352" s="46" t="s">
        <v>2027</v>
      </c>
      <c r="M352" s="46" t="s">
        <v>1309</v>
      </c>
      <c r="N352" s="46" t="s">
        <v>1310</v>
      </c>
      <c r="O352" s="46" t="s">
        <v>1311</v>
      </c>
      <c r="P352" s="46" t="s">
        <v>1312</v>
      </c>
      <c r="Q352" s="46" t="s">
        <v>31</v>
      </c>
      <c r="R352" s="46" t="s">
        <v>31</v>
      </c>
      <c r="S352" s="46" t="s">
        <v>31</v>
      </c>
      <c r="T352" s="46" t="s">
        <v>31</v>
      </c>
      <c r="U352" s="46" t="s">
        <v>49</v>
      </c>
    </row>
    <row r="353" spans="1:21">
      <c r="A353" s="46" t="s">
        <v>719</v>
      </c>
      <c r="B353" s="46" t="s">
        <v>119</v>
      </c>
      <c r="C353" s="46" t="s">
        <v>666</v>
      </c>
      <c r="D353" s="46">
        <v>1</v>
      </c>
      <c r="E353" s="46">
        <v>0</v>
      </c>
      <c r="F353" s="46" t="s">
        <v>698</v>
      </c>
      <c r="G353" s="46" t="s">
        <v>1305</v>
      </c>
      <c r="H353" s="46" t="s">
        <v>2028</v>
      </c>
      <c r="I353" s="46" t="str">
        <f ca="1">IFERROR(__xludf.DUMMYFUNCTION("CONCAT(A353,REGEXREPLACE(H353,"".*_L0"",""_L0""))"),"ILB_BN1160_MTG_snRNAseq_rep1_L004_R2_001.fastq.gz")</f>
        <v>ILB_BN1160_MTG_snRNAseq_rep1_L004_R2_001.fastq.gz</v>
      </c>
      <c r="J353" s="46" t="str">
        <f t="shared" si="1"/>
        <v>/data/neurogen/ASAP/scRNAseq/data/batch6_ASAP_snRNA-seq_*/Raw_Data_and_Processing/cellranger_processing/cellranger_fastqs/outs/fastq_path/H*/BN1160_S3_L004_R2_001.fastq.gz</v>
      </c>
      <c r="K353" s="46" t="s">
        <v>1356</v>
      </c>
      <c r="L353" s="46" t="s">
        <v>2029</v>
      </c>
      <c r="M353" s="46" t="s">
        <v>1309</v>
      </c>
      <c r="N353" s="46" t="s">
        <v>1310</v>
      </c>
      <c r="O353" s="46" t="s">
        <v>1311</v>
      </c>
      <c r="P353" s="46" t="s">
        <v>1312</v>
      </c>
      <c r="Q353" s="46" t="s">
        <v>31</v>
      </c>
      <c r="R353" s="46" t="s">
        <v>31</v>
      </c>
      <c r="S353" s="46" t="s">
        <v>31</v>
      </c>
      <c r="T353" s="46" t="s">
        <v>31</v>
      </c>
      <c r="U353" s="46" t="s">
        <v>49</v>
      </c>
    </row>
    <row r="354" spans="1:21">
      <c r="A354" s="46" t="s">
        <v>741</v>
      </c>
      <c r="B354" s="46" t="s">
        <v>147</v>
      </c>
      <c r="C354" s="46" t="s">
        <v>666</v>
      </c>
      <c r="D354" s="46">
        <v>1</v>
      </c>
      <c r="E354" s="46">
        <v>0</v>
      </c>
      <c r="F354" s="46" t="s">
        <v>698</v>
      </c>
      <c r="G354" s="46" t="s">
        <v>1305</v>
      </c>
      <c r="H354" s="46" t="s">
        <v>2030</v>
      </c>
      <c r="I354" s="46" t="str">
        <f ca="1">IFERROR(__xludf.DUMMYFUNCTION("CONCAT(A354,REGEXREPLACE(H354,"".*_L0"",""_L0""))"),"PD_BN1504_MTG_snRNAseq_rep1_L001_I1_001.fastq.gz")</f>
        <v>PD_BN1504_MTG_snRNAseq_rep1_L001_I1_001.fastq.gz</v>
      </c>
      <c r="J354" s="46" t="str">
        <f t="shared" si="1"/>
        <v>/data/neurogen/ASAP/scRNAseq/data/batch6_ASAP_snRNA-seq_*/Raw_Data_and_Processing/cellranger_processing/cellranger_fastqs/outs/fastq_path/H*/BN1504_S2_L001_I1_001.fastq.gz</v>
      </c>
      <c r="K354" s="46" t="s">
        <v>1307</v>
      </c>
      <c r="L354" s="46" t="s">
        <v>2031</v>
      </c>
      <c r="M354" s="46" t="s">
        <v>1309</v>
      </c>
      <c r="N354" s="46" t="s">
        <v>1310</v>
      </c>
      <c r="O354" s="46" t="s">
        <v>1311</v>
      </c>
      <c r="P354" s="46" t="s">
        <v>1312</v>
      </c>
      <c r="Q354" s="46" t="s">
        <v>31</v>
      </c>
      <c r="R354" s="46" t="s">
        <v>31</v>
      </c>
      <c r="S354" s="46" t="s">
        <v>31</v>
      </c>
      <c r="T354" s="46" t="s">
        <v>31</v>
      </c>
      <c r="U354" s="46" t="s">
        <v>49</v>
      </c>
    </row>
    <row r="355" spans="1:21">
      <c r="A355" s="46" t="s">
        <v>741</v>
      </c>
      <c r="B355" s="46" t="s">
        <v>147</v>
      </c>
      <c r="C355" s="46" t="s">
        <v>666</v>
      </c>
      <c r="D355" s="46">
        <v>1</v>
      </c>
      <c r="E355" s="46">
        <v>0</v>
      </c>
      <c r="F355" s="46" t="s">
        <v>698</v>
      </c>
      <c r="G355" s="46" t="s">
        <v>1305</v>
      </c>
      <c r="H355" s="46" t="s">
        <v>2032</v>
      </c>
      <c r="I355" s="46" t="str">
        <f ca="1">IFERROR(__xludf.DUMMYFUNCTION("CONCAT(A355,REGEXREPLACE(H355,"".*_L0"",""_L0""))"),"PD_BN1504_MTG_snRNAseq_rep1_L001_I2_001.fastq.gz")</f>
        <v>PD_BN1504_MTG_snRNAseq_rep1_L001_I2_001.fastq.gz</v>
      </c>
      <c r="J355" s="46" t="str">
        <f t="shared" si="1"/>
        <v>/data/neurogen/ASAP/scRNAseq/data/batch6_ASAP_snRNA-seq_*/Raw_Data_and_Processing/cellranger_processing/cellranger_fastqs/outs/fastq_path/H*/BN1504_S2_L001_I2_001.fastq.gz</v>
      </c>
      <c r="K355" s="46" t="s">
        <v>1314</v>
      </c>
      <c r="L355" s="46" t="s">
        <v>2033</v>
      </c>
      <c r="M355" s="46" t="s">
        <v>1309</v>
      </c>
      <c r="N355" s="46" t="s">
        <v>1310</v>
      </c>
      <c r="O355" s="46" t="s">
        <v>1311</v>
      </c>
      <c r="P355" s="46" t="s">
        <v>1312</v>
      </c>
      <c r="Q355" s="46" t="s">
        <v>31</v>
      </c>
      <c r="R355" s="46" t="s">
        <v>31</v>
      </c>
      <c r="S355" s="46" t="s">
        <v>31</v>
      </c>
      <c r="T355" s="46" t="s">
        <v>31</v>
      </c>
      <c r="U355" s="46" t="s">
        <v>49</v>
      </c>
    </row>
    <row r="356" spans="1:21">
      <c r="A356" s="46" t="s">
        <v>741</v>
      </c>
      <c r="B356" s="46" t="s">
        <v>147</v>
      </c>
      <c r="C356" s="46" t="s">
        <v>666</v>
      </c>
      <c r="D356" s="46">
        <v>1</v>
      </c>
      <c r="E356" s="46">
        <v>0</v>
      </c>
      <c r="F356" s="46" t="s">
        <v>698</v>
      </c>
      <c r="G356" s="46" t="s">
        <v>1305</v>
      </c>
      <c r="H356" s="46" t="s">
        <v>2034</v>
      </c>
      <c r="I356" s="46" t="str">
        <f ca="1">IFERROR(__xludf.DUMMYFUNCTION("CONCAT(A356,REGEXREPLACE(H356,"".*_L0"",""_L0""))"),"PD_BN1504_MTG_snRNAseq_rep1_L001_R1_001.fastq.gz")</f>
        <v>PD_BN1504_MTG_snRNAseq_rep1_L001_R1_001.fastq.gz</v>
      </c>
      <c r="J356" s="46" t="str">
        <f t="shared" si="1"/>
        <v>/data/neurogen/ASAP/scRNAseq/data/batch6_ASAP_snRNA-seq_*/Raw_Data_and_Processing/cellranger_processing/cellranger_fastqs/outs/fastq_path/H*/BN1504_S2_L001_R1_001.fastq.gz</v>
      </c>
      <c r="K356" s="46" t="s">
        <v>1317</v>
      </c>
      <c r="L356" s="46" t="s">
        <v>2035</v>
      </c>
      <c r="M356" s="46" t="s">
        <v>1309</v>
      </c>
      <c r="N356" s="46" t="s">
        <v>1310</v>
      </c>
      <c r="O356" s="46" t="s">
        <v>1311</v>
      </c>
      <c r="P356" s="46" t="s">
        <v>1312</v>
      </c>
      <c r="Q356" s="46" t="s">
        <v>31</v>
      </c>
      <c r="R356" s="46" t="s">
        <v>31</v>
      </c>
      <c r="S356" s="46" t="s">
        <v>31</v>
      </c>
      <c r="T356" s="46" t="s">
        <v>31</v>
      </c>
      <c r="U356" s="46" t="s">
        <v>49</v>
      </c>
    </row>
    <row r="357" spans="1:21">
      <c r="A357" s="46" t="s">
        <v>741</v>
      </c>
      <c r="B357" s="46" t="s">
        <v>147</v>
      </c>
      <c r="C357" s="46" t="s">
        <v>666</v>
      </c>
      <c r="D357" s="46">
        <v>1</v>
      </c>
      <c r="E357" s="46">
        <v>0</v>
      </c>
      <c r="F357" s="46" t="s">
        <v>698</v>
      </c>
      <c r="G357" s="46" t="s">
        <v>1305</v>
      </c>
      <c r="H357" s="46" t="s">
        <v>2036</v>
      </c>
      <c r="I357" s="46" t="str">
        <f ca="1">IFERROR(__xludf.DUMMYFUNCTION("CONCAT(A357,REGEXREPLACE(H357,"".*_L0"",""_L0""))"),"PD_BN1504_MTG_snRNAseq_rep1_L001_R2_001.fastq.gz")</f>
        <v>PD_BN1504_MTG_snRNAseq_rep1_L001_R2_001.fastq.gz</v>
      </c>
      <c r="J357" s="46" t="str">
        <f t="shared" si="1"/>
        <v>/data/neurogen/ASAP/scRNAseq/data/batch6_ASAP_snRNA-seq_*/Raw_Data_and_Processing/cellranger_processing/cellranger_fastqs/outs/fastq_path/H*/BN1504_S2_L001_R2_001.fastq.gz</v>
      </c>
      <c r="K357" s="46" t="s">
        <v>1320</v>
      </c>
      <c r="L357" s="46" t="s">
        <v>2037</v>
      </c>
      <c r="M357" s="46" t="s">
        <v>1309</v>
      </c>
      <c r="N357" s="46" t="s">
        <v>1310</v>
      </c>
      <c r="O357" s="46" t="s">
        <v>1311</v>
      </c>
      <c r="P357" s="46" t="s">
        <v>1312</v>
      </c>
      <c r="Q357" s="46" t="s">
        <v>31</v>
      </c>
      <c r="R357" s="46" t="s">
        <v>31</v>
      </c>
      <c r="S357" s="46" t="s">
        <v>31</v>
      </c>
      <c r="T357" s="46" t="s">
        <v>31</v>
      </c>
      <c r="U357" s="46" t="s">
        <v>49</v>
      </c>
    </row>
    <row r="358" spans="1:21">
      <c r="A358" s="46" t="s">
        <v>741</v>
      </c>
      <c r="B358" s="46" t="s">
        <v>147</v>
      </c>
      <c r="C358" s="46" t="s">
        <v>666</v>
      </c>
      <c r="D358" s="46">
        <v>1</v>
      </c>
      <c r="E358" s="46">
        <v>0</v>
      </c>
      <c r="F358" s="46" t="s">
        <v>698</v>
      </c>
      <c r="G358" s="46" t="s">
        <v>1305</v>
      </c>
      <c r="H358" s="46" t="s">
        <v>2038</v>
      </c>
      <c r="I358" s="46" t="str">
        <f ca="1">IFERROR(__xludf.DUMMYFUNCTION("CONCAT(A358,REGEXREPLACE(H358,"".*_L0"",""_L0""))"),"PD_BN1504_MTG_snRNAseq_rep1_L002_I1_001.fastq.gz")</f>
        <v>PD_BN1504_MTG_snRNAseq_rep1_L002_I1_001.fastq.gz</v>
      </c>
      <c r="J358" s="46" t="str">
        <f t="shared" si="1"/>
        <v>/data/neurogen/ASAP/scRNAseq/data/batch6_ASAP_snRNA-seq_*/Raw_Data_and_Processing/cellranger_processing/cellranger_fastqs/outs/fastq_path/H*/BN1504_S2_L002_I1_001.fastq.gz</v>
      </c>
      <c r="K358" s="46" t="s">
        <v>1323</v>
      </c>
      <c r="L358" s="46" t="s">
        <v>2039</v>
      </c>
      <c r="M358" s="46" t="s">
        <v>1309</v>
      </c>
      <c r="N358" s="46" t="s">
        <v>1310</v>
      </c>
      <c r="O358" s="46" t="s">
        <v>1311</v>
      </c>
      <c r="P358" s="46" t="s">
        <v>1312</v>
      </c>
      <c r="Q358" s="46" t="s">
        <v>31</v>
      </c>
      <c r="R358" s="46" t="s">
        <v>31</v>
      </c>
      <c r="S358" s="46" t="s">
        <v>31</v>
      </c>
      <c r="T358" s="46" t="s">
        <v>31</v>
      </c>
      <c r="U358" s="46" t="s">
        <v>49</v>
      </c>
    </row>
    <row r="359" spans="1:21">
      <c r="A359" s="46" t="s">
        <v>741</v>
      </c>
      <c r="B359" s="46" t="s">
        <v>147</v>
      </c>
      <c r="C359" s="46" t="s">
        <v>666</v>
      </c>
      <c r="D359" s="46">
        <v>1</v>
      </c>
      <c r="E359" s="46">
        <v>0</v>
      </c>
      <c r="F359" s="46" t="s">
        <v>698</v>
      </c>
      <c r="G359" s="46" t="s">
        <v>1305</v>
      </c>
      <c r="H359" s="46" t="s">
        <v>2040</v>
      </c>
      <c r="I359" s="46" t="str">
        <f ca="1">IFERROR(__xludf.DUMMYFUNCTION("CONCAT(A359,REGEXREPLACE(H359,"".*_L0"",""_L0""))"),"PD_BN1504_MTG_snRNAseq_rep1_L002_I2_001.fastq.gz")</f>
        <v>PD_BN1504_MTG_snRNAseq_rep1_L002_I2_001.fastq.gz</v>
      </c>
      <c r="J359" s="46" t="str">
        <f t="shared" si="1"/>
        <v>/data/neurogen/ASAP/scRNAseq/data/batch6_ASAP_snRNA-seq_*/Raw_Data_and_Processing/cellranger_processing/cellranger_fastqs/outs/fastq_path/H*/BN1504_S2_L002_I2_001.fastq.gz</v>
      </c>
      <c r="K359" s="46" t="s">
        <v>1326</v>
      </c>
      <c r="L359" s="46" t="s">
        <v>2041</v>
      </c>
      <c r="M359" s="46" t="s">
        <v>1309</v>
      </c>
      <c r="N359" s="46" t="s">
        <v>1310</v>
      </c>
      <c r="O359" s="46" t="s">
        <v>1311</v>
      </c>
      <c r="P359" s="46" t="s">
        <v>1312</v>
      </c>
      <c r="Q359" s="46" t="s">
        <v>31</v>
      </c>
      <c r="R359" s="46" t="s">
        <v>31</v>
      </c>
      <c r="S359" s="46" t="s">
        <v>31</v>
      </c>
      <c r="T359" s="46" t="s">
        <v>31</v>
      </c>
      <c r="U359" s="46" t="s">
        <v>49</v>
      </c>
    </row>
    <row r="360" spans="1:21">
      <c r="A360" s="46" t="s">
        <v>741</v>
      </c>
      <c r="B360" s="46" t="s">
        <v>147</v>
      </c>
      <c r="C360" s="46" t="s">
        <v>666</v>
      </c>
      <c r="D360" s="46">
        <v>1</v>
      </c>
      <c r="E360" s="46">
        <v>0</v>
      </c>
      <c r="F360" s="46" t="s">
        <v>698</v>
      </c>
      <c r="G360" s="46" t="s">
        <v>1305</v>
      </c>
      <c r="H360" s="46" t="s">
        <v>2042</v>
      </c>
      <c r="I360" s="46" t="str">
        <f ca="1">IFERROR(__xludf.DUMMYFUNCTION("CONCAT(A360,REGEXREPLACE(H360,"".*_L0"",""_L0""))"),"PD_BN1504_MTG_snRNAseq_rep1_L002_R1_001.fastq.gz")</f>
        <v>PD_BN1504_MTG_snRNAseq_rep1_L002_R1_001.fastq.gz</v>
      </c>
      <c r="J360" s="46" t="str">
        <f t="shared" si="1"/>
        <v>/data/neurogen/ASAP/scRNAseq/data/batch6_ASAP_snRNA-seq_*/Raw_Data_and_Processing/cellranger_processing/cellranger_fastqs/outs/fastq_path/H*/BN1504_S2_L002_R1_001.fastq.gz</v>
      </c>
      <c r="K360" s="46" t="s">
        <v>1329</v>
      </c>
      <c r="L360" s="46" t="s">
        <v>2043</v>
      </c>
      <c r="M360" s="46" t="s">
        <v>1309</v>
      </c>
      <c r="N360" s="46" t="s">
        <v>1310</v>
      </c>
      <c r="O360" s="46" t="s">
        <v>1311</v>
      </c>
      <c r="P360" s="46" t="s">
        <v>1312</v>
      </c>
      <c r="Q360" s="46" t="s">
        <v>31</v>
      </c>
      <c r="R360" s="46" t="s">
        <v>31</v>
      </c>
      <c r="S360" s="46" t="s">
        <v>31</v>
      </c>
      <c r="T360" s="46" t="s">
        <v>31</v>
      </c>
      <c r="U360" s="46" t="s">
        <v>49</v>
      </c>
    </row>
    <row r="361" spans="1:21">
      <c r="A361" s="46" t="s">
        <v>741</v>
      </c>
      <c r="B361" s="46" t="s">
        <v>147</v>
      </c>
      <c r="C361" s="46" t="s">
        <v>666</v>
      </c>
      <c r="D361" s="46">
        <v>1</v>
      </c>
      <c r="E361" s="46">
        <v>0</v>
      </c>
      <c r="F361" s="46" t="s">
        <v>698</v>
      </c>
      <c r="G361" s="46" t="s">
        <v>1305</v>
      </c>
      <c r="H361" s="46" t="s">
        <v>2044</v>
      </c>
      <c r="I361" s="46" t="str">
        <f ca="1">IFERROR(__xludf.DUMMYFUNCTION("CONCAT(A361,REGEXREPLACE(H361,"".*_L0"",""_L0""))"),"PD_BN1504_MTG_snRNAseq_rep1_L002_R2_001.fastq.gz")</f>
        <v>PD_BN1504_MTG_snRNAseq_rep1_L002_R2_001.fastq.gz</v>
      </c>
      <c r="J361" s="46" t="str">
        <f t="shared" si="1"/>
        <v>/data/neurogen/ASAP/scRNAseq/data/batch6_ASAP_snRNA-seq_*/Raw_Data_and_Processing/cellranger_processing/cellranger_fastqs/outs/fastq_path/H*/BN1504_S2_L002_R2_001.fastq.gz</v>
      </c>
      <c r="K361" s="46" t="s">
        <v>1332</v>
      </c>
      <c r="L361" s="46" t="s">
        <v>2045</v>
      </c>
      <c r="M361" s="46" t="s">
        <v>1309</v>
      </c>
      <c r="N361" s="46" t="s">
        <v>1310</v>
      </c>
      <c r="O361" s="46" t="s">
        <v>1311</v>
      </c>
      <c r="P361" s="46" t="s">
        <v>1312</v>
      </c>
      <c r="Q361" s="46" t="s">
        <v>31</v>
      </c>
      <c r="R361" s="46" t="s">
        <v>31</v>
      </c>
      <c r="S361" s="46" t="s">
        <v>31</v>
      </c>
      <c r="T361" s="46" t="s">
        <v>31</v>
      </c>
      <c r="U361" s="46" t="s">
        <v>49</v>
      </c>
    </row>
    <row r="362" spans="1:21">
      <c r="A362" s="46" t="s">
        <v>741</v>
      </c>
      <c r="B362" s="46" t="s">
        <v>147</v>
      </c>
      <c r="C362" s="46" t="s">
        <v>666</v>
      </c>
      <c r="D362" s="46">
        <v>1</v>
      </c>
      <c r="E362" s="46">
        <v>0</v>
      </c>
      <c r="F362" s="46" t="s">
        <v>698</v>
      </c>
      <c r="G362" s="46" t="s">
        <v>1305</v>
      </c>
      <c r="H362" s="46" t="s">
        <v>2046</v>
      </c>
      <c r="I362" s="46" t="str">
        <f ca="1">IFERROR(__xludf.DUMMYFUNCTION("CONCAT(A362,REGEXREPLACE(H362,"".*_L0"",""_L0""))"),"PD_BN1504_MTG_snRNAseq_rep1_L003_I1_001.fastq.gz")</f>
        <v>PD_BN1504_MTG_snRNAseq_rep1_L003_I1_001.fastq.gz</v>
      </c>
      <c r="J362" s="46" t="str">
        <f t="shared" si="1"/>
        <v>/data/neurogen/ASAP/scRNAseq/data/batch6_ASAP_snRNA-seq_*/Raw_Data_and_Processing/cellranger_processing/cellranger_fastqs/outs/fastq_path/H*/BN1504_S2_L003_I1_001.fastq.gz</v>
      </c>
      <c r="K362" s="46" t="s">
        <v>1335</v>
      </c>
      <c r="L362" s="46" t="s">
        <v>2047</v>
      </c>
      <c r="M362" s="46" t="s">
        <v>1309</v>
      </c>
      <c r="N362" s="46" t="s">
        <v>1310</v>
      </c>
      <c r="O362" s="46" t="s">
        <v>1311</v>
      </c>
      <c r="P362" s="46" t="s">
        <v>1312</v>
      </c>
      <c r="Q362" s="46" t="s">
        <v>31</v>
      </c>
      <c r="R362" s="46" t="s">
        <v>31</v>
      </c>
      <c r="S362" s="46" t="s">
        <v>31</v>
      </c>
      <c r="T362" s="46" t="s">
        <v>31</v>
      </c>
      <c r="U362" s="46" t="s">
        <v>49</v>
      </c>
    </row>
    <row r="363" spans="1:21">
      <c r="A363" s="46" t="s">
        <v>741</v>
      </c>
      <c r="B363" s="46" t="s">
        <v>147</v>
      </c>
      <c r="C363" s="46" t="s">
        <v>666</v>
      </c>
      <c r="D363" s="46">
        <v>1</v>
      </c>
      <c r="E363" s="46">
        <v>0</v>
      </c>
      <c r="F363" s="46" t="s">
        <v>698</v>
      </c>
      <c r="G363" s="46" t="s">
        <v>1305</v>
      </c>
      <c r="H363" s="46" t="s">
        <v>2048</v>
      </c>
      <c r="I363" s="46" t="str">
        <f ca="1">IFERROR(__xludf.DUMMYFUNCTION("CONCAT(A363,REGEXREPLACE(H363,"".*_L0"",""_L0""))"),"PD_BN1504_MTG_snRNAseq_rep1_L003_I2_001.fastq.gz")</f>
        <v>PD_BN1504_MTG_snRNAseq_rep1_L003_I2_001.fastq.gz</v>
      </c>
      <c r="J363" s="46" t="str">
        <f t="shared" si="1"/>
        <v>/data/neurogen/ASAP/scRNAseq/data/batch6_ASAP_snRNA-seq_*/Raw_Data_and_Processing/cellranger_processing/cellranger_fastqs/outs/fastq_path/H*/BN1504_S2_L003_I2_001.fastq.gz</v>
      </c>
      <c r="K363" s="46" t="s">
        <v>1338</v>
      </c>
      <c r="L363" s="46" t="s">
        <v>2049</v>
      </c>
      <c r="M363" s="46" t="s">
        <v>1309</v>
      </c>
      <c r="N363" s="46" t="s">
        <v>1310</v>
      </c>
      <c r="O363" s="46" t="s">
        <v>1311</v>
      </c>
      <c r="P363" s="46" t="s">
        <v>1312</v>
      </c>
      <c r="Q363" s="46" t="s">
        <v>31</v>
      </c>
      <c r="R363" s="46" t="s">
        <v>31</v>
      </c>
      <c r="S363" s="46" t="s">
        <v>31</v>
      </c>
      <c r="T363" s="46" t="s">
        <v>31</v>
      </c>
      <c r="U363" s="46" t="s">
        <v>49</v>
      </c>
    </row>
    <row r="364" spans="1:21">
      <c r="A364" s="46" t="s">
        <v>741</v>
      </c>
      <c r="B364" s="46" t="s">
        <v>147</v>
      </c>
      <c r="C364" s="46" t="s">
        <v>666</v>
      </c>
      <c r="D364" s="46">
        <v>1</v>
      </c>
      <c r="E364" s="46">
        <v>0</v>
      </c>
      <c r="F364" s="46" t="s">
        <v>698</v>
      </c>
      <c r="G364" s="46" t="s">
        <v>1305</v>
      </c>
      <c r="H364" s="46" t="s">
        <v>2050</v>
      </c>
      <c r="I364" s="46" t="str">
        <f ca="1">IFERROR(__xludf.DUMMYFUNCTION("CONCAT(A364,REGEXREPLACE(H364,"".*_L0"",""_L0""))"),"PD_BN1504_MTG_snRNAseq_rep1_L003_R1_001.fastq.gz")</f>
        <v>PD_BN1504_MTG_snRNAseq_rep1_L003_R1_001.fastq.gz</v>
      </c>
      <c r="J364" s="46" t="str">
        <f t="shared" si="1"/>
        <v>/data/neurogen/ASAP/scRNAseq/data/batch6_ASAP_snRNA-seq_*/Raw_Data_and_Processing/cellranger_processing/cellranger_fastqs/outs/fastq_path/H*/BN1504_S2_L003_R1_001.fastq.gz</v>
      </c>
      <c r="K364" s="46" t="s">
        <v>1341</v>
      </c>
      <c r="L364" s="46" t="s">
        <v>2051</v>
      </c>
      <c r="M364" s="46" t="s">
        <v>1309</v>
      </c>
      <c r="N364" s="46" t="s">
        <v>1310</v>
      </c>
      <c r="O364" s="46" t="s">
        <v>1311</v>
      </c>
      <c r="P364" s="46" t="s">
        <v>1312</v>
      </c>
      <c r="Q364" s="46" t="s">
        <v>31</v>
      </c>
      <c r="R364" s="46" t="s">
        <v>31</v>
      </c>
      <c r="S364" s="46" t="s">
        <v>31</v>
      </c>
      <c r="T364" s="46" t="s">
        <v>31</v>
      </c>
      <c r="U364" s="46" t="s">
        <v>49</v>
      </c>
    </row>
    <row r="365" spans="1:21">
      <c r="A365" s="46" t="s">
        <v>741</v>
      </c>
      <c r="B365" s="46" t="s">
        <v>147</v>
      </c>
      <c r="C365" s="46" t="s">
        <v>666</v>
      </c>
      <c r="D365" s="46">
        <v>1</v>
      </c>
      <c r="E365" s="46">
        <v>0</v>
      </c>
      <c r="F365" s="46" t="s">
        <v>698</v>
      </c>
      <c r="G365" s="46" t="s">
        <v>1305</v>
      </c>
      <c r="H365" s="46" t="s">
        <v>2052</v>
      </c>
      <c r="I365" s="46" t="str">
        <f ca="1">IFERROR(__xludf.DUMMYFUNCTION("CONCAT(A365,REGEXREPLACE(H365,"".*_L0"",""_L0""))"),"PD_BN1504_MTG_snRNAseq_rep1_L003_R2_001.fastq.gz")</f>
        <v>PD_BN1504_MTG_snRNAseq_rep1_L003_R2_001.fastq.gz</v>
      </c>
      <c r="J365" s="46" t="str">
        <f t="shared" si="1"/>
        <v>/data/neurogen/ASAP/scRNAseq/data/batch6_ASAP_snRNA-seq_*/Raw_Data_and_Processing/cellranger_processing/cellranger_fastqs/outs/fastq_path/H*/BN1504_S2_L003_R2_001.fastq.gz</v>
      </c>
      <c r="K365" s="46" t="s">
        <v>1344</v>
      </c>
      <c r="L365" s="47" t="s">
        <v>2053</v>
      </c>
      <c r="M365" s="46" t="s">
        <v>1309</v>
      </c>
      <c r="N365" s="46" t="s">
        <v>1310</v>
      </c>
      <c r="O365" s="46" t="s">
        <v>1311</v>
      </c>
      <c r="P365" s="46" t="s">
        <v>1312</v>
      </c>
      <c r="Q365" s="46" t="s">
        <v>31</v>
      </c>
      <c r="R365" s="46" t="s">
        <v>31</v>
      </c>
      <c r="S365" s="46" t="s">
        <v>31</v>
      </c>
      <c r="T365" s="46" t="s">
        <v>31</v>
      </c>
      <c r="U365" s="46" t="s">
        <v>49</v>
      </c>
    </row>
    <row r="366" spans="1:21">
      <c r="A366" s="46" t="s">
        <v>741</v>
      </c>
      <c r="B366" s="46" t="s">
        <v>147</v>
      </c>
      <c r="C366" s="46" t="s">
        <v>666</v>
      </c>
      <c r="D366" s="46">
        <v>1</v>
      </c>
      <c r="E366" s="46">
        <v>0</v>
      </c>
      <c r="F366" s="46" t="s">
        <v>698</v>
      </c>
      <c r="G366" s="46" t="s">
        <v>1305</v>
      </c>
      <c r="H366" s="46" t="s">
        <v>2054</v>
      </c>
      <c r="I366" s="46" t="str">
        <f ca="1">IFERROR(__xludf.DUMMYFUNCTION("CONCAT(A366,REGEXREPLACE(H366,"".*_L0"",""_L0""))"),"PD_BN1504_MTG_snRNAseq_rep1_L004_I1_001.fastq.gz")</f>
        <v>PD_BN1504_MTG_snRNAseq_rep1_L004_I1_001.fastq.gz</v>
      </c>
      <c r="J366" s="46" t="str">
        <f t="shared" si="1"/>
        <v>/data/neurogen/ASAP/scRNAseq/data/batch6_ASAP_snRNA-seq_*/Raw_Data_and_Processing/cellranger_processing/cellranger_fastqs/outs/fastq_path/H*/BN1504_S2_L004_I1_001.fastq.gz</v>
      </c>
      <c r="K366" s="46" t="s">
        <v>1347</v>
      </c>
      <c r="L366" s="46" t="s">
        <v>2055</v>
      </c>
      <c r="M366" s="46" t="s">
        <v>1309</v>
      </c>
      <c r="N366" s="46" t="s">
        <v>1310</v>
      </c>
      <c r="O366" s="46" t="s">
        <v>1311</v>
      </c>
      <c r="P366" s="46" t="s">
        <v>1312</v>
      </c>
      <c r="Q366" s="46" t="s">
        <v>31</v>
      </c>
      <c r="R366" s="46" t="s">
        <v>31</v>
      </c>
      <c r="S366" s="46" t="s">
        <v>31</v>
      </c>
      <c r="T366" s="46" t="s">
        <v>31</v>
      </c>
      <c r="U366" s="46" t="s">
        <v>49</v>
      </c>
    </row>
    <row r="367" spans="1:21">
      <c r="A367" s="46" t="s">
        <v>741</v>
      </c>
      <c r="B367" s="46" t="s">
        <v>147</v>
      </c>
      <c r="C367" s="46" t="s">
        <v>666</v>
      </c>
      <c r="D367" s="46">
        <v>1</v>
      </c>
      <c r="E367" s="46">
        <v>0</v>
      </c>
      <c r="F367" s="46" t="s">
        <v>698</v>
      </c>
      <c r="G367" s="46" t="s">
        <v>1305</v>
      </c>
      <c r="H367" s="46" t="s">
        <v>2056</v>
      </c>
      <c r="I367" s="46" t="str">
        <f ca="1">IFERROR(__xludf.DUMMYFUNCTION("CONCAT(A367,REGEXREPLACE(H367,"".*_L0"",""_L0""))"),"PD_BN1504_MTG_snRNAseq_rep1_L004_I2_001.fastq.gz")</f>
        <v>PD_BN1504_MTG_snRNAseq_rep1_L004_I2_001.fastq.gz</v>
      </c>
      <c r="J367" s="46" t="str">
        <f t="shared" si="1"/>
        <v>/data/neurogen/ASAP/scRNAseq/data/batch6_ASAP_snRNA-seq_*/Raw_Data_and_Processing/cellranger_processing/cellranger_fastqs/outs/fastq_path/H*/BN1504_S2_L004_I2_001.fastq.gz</v>
      </c>
      <c r="K367" s="46" t="s">
        <v>1350</v>
      </c>
      <c r="L367" s="46" t="s">
        <v>2057</v>
      </c>
      <c r="M367" s="46" t="s">
        <v>1309</v>
      </c>
      <c r="N367" s="46" t="s">
        <v>1310</v>
      </c>
      <c r="O367" s="46" t="s">
        <v>1311</v>
      </c>
      <c r="P367" s="46" t="s">
        <v>1312</v>
      </c>
      <c r="Q367" s="46" t="s">
        <v>31</v>
      </c>
      <c r="R367" s="46" t="s">
        <v>31</v>
      </c>
      <c r="S367" s="46" t="s">
        <v>31</v>
      </c>
      <c r="T367" s="46" t="s">
        <v>31</v>
      </c>
      <c r="U367" s="46" t="s">
        <v>49</v>
      </c>
    </row>
    <row r="368" spans="1:21">
      <c r="A368" s="46" t="s">
        <v>741</v>
      </c>
      <c r="B368" s="46" t="s">
        <v>147</v>
      </c>
      <c r="C368" s="46" t="s">
        <v>666</v>
      </c>
      <c r="D368" s="46">
        <v>1</v>
      </c>
      <c r="E368" s="46">
        <v>0</v>
      </c>
      <c r="F368" s="46" t="s">
        <v>698</v>
      </c>
      <c r="G368" s="46" t="s">
        <v>1305</v>
      </c>
      <c r="H368" s="46" t="s">
        <v>2058</v>
      </c>
      <c r="I368" s="46" t="str">
        <f ca="1">IFERROR(__xludf.DUMMYFUNCTION("CONCAT(A368,REGEXREPLACE(H368,"".*_L0"",""_L0""))"),"PD_BN1504_MTG_snRNAseq_rep1_L004_R1_001.fastq.gz")</f>
        <v>PD_BN1504_MTG_snRNAseq_rep1_L004_R1_001.fastq.gz</v>
      </c>
      <c r="J368" s="46" t="str">
        <f t="shared" si="1"/>
        <v>/data/neurogen/ASAP/scRNAseq/data/batch6_ASAP_snRNA-seq_*/Raw_Data_and_Processing/cellranger_processing/cellranger_fastqs/outs/fastq_path/H*/BN1504_S2_L004_R1_001.fastq.gz</v>
      </c>
      <c r="K368" s="46" t="s">
        <v>1353</v>
      </c>
      <c r="L368" s="46" t="s">
        <v>2059</v>
      </c>
      <c r="M368" s="46" t="s">
        <v>1309</v>
      </c>
      <c r="N368" s="46" t="s">
        <v>1310</v>
      </c>
      <c r="O368" s="46" t="s">
        <v>1311</v>
      </c>
      <c r="P368" s="46" t="s">
        <v>1312</v>
      </c>
      <c r="Q368" s="46" t="s">
        <v>31</v>
      </c>
      <c r="R368" s="46" t="s">
        <v>31</v>
      </c>
      <c r="S368" s="46" t="s">
        <v>31</v>
      </c>
      <c r="T368" s="46" t="s">
        <v>31</v>
      </c>
      <c r="U368" s="46" t="s">
        <v>49</v>
      </c>
    </row>
    <row r="369" spans="1:21">
      <c r="A369" s="46" t="s">
        <v>741</v>
      </c>
      <c r="B369" s="46" t="s">
        <v>147</v>
      </c>
      <c r="C369" s="46" t="s">
        <v>666</v>
      </c>
      <c r="D369" s="46">
        <v>1</v>
      </c>
      <c r="E369" s="46">
        <v>0</v>
      </c>
      <c r="F369" s="46" t="s">
        <v>698</v>
      </c>
      <c r="G369" s="46" t="s">
        <v>1305</v>
      </c>
      <c r="H369" s="46" t="s">
        <v>2060</v>
      </c>
      <c r="I369" s="46" t="str">
        <f ca="1">IFERROR(__xludf.DUMMYFUNCTION("CONCAT(A369,REGEXREPLACE(H369,"".*_L0"",""_L0""))"),"PD_BN1504_MTG_snRNAseq_rep1_L004_R2_001.fastq.gz")</f>
        <v>PD_BN1504_MTG_snRNAseq_rep1_L004_R2_001.fastq.gz</v>
      </c>
      <c r="J369" s="46" t="str">
        <f t="shared" si="1"/>
        <v>/data/neurogen/ASAP/scRNAseq/data/batch6_ASAP_snRNA-seq_*/Raw_Data_and_Processing/cellranger_processing/cellranger_fastqs/outs/fastq_path/H*/BN1504_S2_L004_R2_001.fastq.gz</v>
      </c>
      <c r="K369" s="46" t="s">
        <v>1356</v>
      </c>
      <c r="L369" s="46" t="s">
        <v>2061</v>
      </c>
      <c r="M369" s="46" t="s">
        <v>1309</v>
      </c>
      <c r="N369" s="46" t="s">
        <v>1310</v>
      </c>
      <c r="O369" s="46" t="s">
        <v>1311</v>
      </c>
      <c r="P369" s="46" t="s">
        <v>1312</v>
      </c>
      <c r="Q369" s="46" t="s">
        <v>31</v>
      </c>
      <c r="R369" s="46" t="s">
        <v>31</v>
      </c>
      <c r="S369" s="46" t="s">
        <v>31</v>
      </c>
      <c r="T369" s="46" t="s">
        <v>31</v>
      </c>
      <c r="U369" s="46" t="s">
        <v>49</v>
      </c>
    </row>
    <row r="370" spans="1:21">
      <c r="A370" s="46" t="s">
        <v>685</v>
      </c>
      <c r="B370" s="46" t="s">
        <v>83</v>
      </c>
      <c r="C370" s="46" t="s">
        <v>666</v>
      </c>
      <c r="D370" s="46">
        <v>1</v>
      </c>
      <c r="E370" s="46">
        <v>0</v>
      </c>
      <c r="F370" s="46" t="s">
        <v>686</v>
      </c>
      <c r="G370" s="46" t="s">
        <v>1305</v>
      </c>
      <c r="H370" s="46" t="s">
        <v>2062</v>
      </c>
      <c r="I370" s="46" t="str">
        <f ca="1">IFERROR(__xludf.DUMMYFUNCTION("CONCAT(A370,REGEXREPLACE(H370,"".*_L0"",""_L0""))"),"HC_BN0452_MTG_snRNAseq_rep1_L001_I1_001.fastq.gz")</f>
        <v>HC_BN0452_MTG_snRNAseq_rep1_L001_I1_001.fastq.gz</v>
      </c>
      <c r="J370" s="46" t="str">
        <f t="shared" si="1"/>
        <v>/data/neurogen/ASAP/scRNAseq/data/batch7_ASAP_snRNA-seq_*/Raw_Data_and_Processing/cellranger_processing/cellranger_fastqs/outs/fastq_path/H*/BN0452_S1_L001_I1_001.fastq.gz</v>
      </c>
      <c r="K370" s="46" t="s">
        <v>1307</v>
      </c>
      <c r="L370" s="46" t="s">
        <v>2063</v>
      </c>
      <c r="M370" s="46" t="s">
        <v>1309</v>
      </c>
      <c r="N370" s="46" t="s">
        <v>1310</v>
      </c>
      <c r="O370" s="46" t="s">
        <v>1311</v>
      </c>
      <c r="P370" s="46" t="s">
        <v>1312</v>
      </c>
      <c r="Q370" s="46" t="s">
        <v>31</v>
      </c>
      <c r="R370" s="46" t="s">
        <v>31</v>
      </c>
      <c r="S370" s="46" t="s">
        <v>31</v>
      </c>
      <c r="T370" s="46" t="s">
        <v>31</v>
      </c>
      <c r="U370" s="46" t="s">
        <v>49</v>
      </c>
    </row>
    <row r="371" spans="1:21">
      <c r="A371" s="46" t="s">
        <v>685</v>
      </c>
      <c r="B371" s="46" t="s">
        <v>83</v>
      </c>
      <c r="C371" s="46" t="s">
        <v>666</v>
      </c>
      <c r="D371" s="46">
        <v>1</v>
      </c>
      <c r="E371" s="46">
        <v>0</v>
      </c>
      <c r="F371" s="46" t="s">
        <v>686</v>
      </c>
      <c r="G371" s="46" t="s">
        <v>1305</v>
      </c>
      <c r="H371" s="46" t="s">
        <v>2064</v>
      </c>
      <c r="I371" s="46" t="str">
        <f ca="1">IFERROR(__xludf.DUMMYFUNCTION("CONCAT(A371,REGEXREPLACE(H371,"".*_L0"",""_L0""))"),"HC_BN0452_MTG_snRNAseq_rep1_L001_I2_001.fastq.gz")</f>
        <v>HC_BN0452_MTG_snRNAseq_rep1_L001_I2_001.fastq.gz</v>
      </c>
      <c r="J371" s="46" t="str">
        <f t="shared" si="1"/>
        <v>/data/neurogen/ASAP/scRNAseq/data/batch7_ASAP_snRNA-seq_*/Raw_Data_and_Processing/cellranger_processing/cellranger_fastqs/outs/fastq_path/H*/BN0452_S1_L001_I2_001.fastq.gz</v>
      </c>
      <c r="K371" s="46" t="s">
        <v>1314</v>
      </c>
      <c r="L371" s="46" t="s">
        <v>2065</v>
      </c>
      <c r="M371" s="46" t="s">
        <v>1309</v>
      </c>
      <c r="N371" s="46" t="s">
        <v>1310</v>
      </c>
      <c r="O371" s="46" t="s">
        <v>1311</v>
      </c>
      <c r="P371" s="46" t="s">
        <v>1312</v>
      </c>
      <c r="Q371" s="46" t="s">
        <v>31</v>
      </c>
      <c r="R371" s="46" t="s">
        <v>31</v>
      </c>
      <c r="S371" s="46" t="s">
        <v>31</v>
      </c>
      <c r="T371" s="46" t="s">
        <v>31</v>
      </c>
      <c r="U371" s="46" t="s">
        <v>49</v>
      </c>
    </row>
    <row r="372" spans="1:21">
      <c r="A372" s="46" t="s">
        <v>685</v>
      </c>
      <c r="B372" s="46" t="s">
        <v>83</v>
      </c>
      <c r="C372" s="46" t="s">
        <v>666</v>
      </c>
      <c r="D372" s="46">
        <v>1</v>
      </c>
      <c r="E372" s="46">
        <v>0</v>
      </c>
      <c r="F372" s="46" t="s">
        <v>686</v>
      </c>
      <c r="G372" s="46" t="s">
        <v>1305</v>
      </c>
      <c r="H372" s="46" t="s">
        <v>2066</v>
      </c>
      <c r="I372" s="46" t="str">
        <f ca="1">IFERROR(__xludf.DUMMYFUNCTION("CONCAT(A372,REGEXREPLACE(H372,"".*_L0"",""_L0""))"),"HC_BN0452_MTG_snRNAseq_rep1_L001_R1_001.fastq.gz")</f>
        <v>HC_BN0452_MTG_snRNAseq_rep1_L001_R1_001.fastq.gz</v>
      </c>
      <c r="J372" s="46" t="str">
        <f t="shared" si="1"/>
        <v>/data/neurogen/ASAP/scRNAseq/data/batch7_ASAP_snRNA-seq_*/Raw_Data_and_Processing/cellranger_processing/cellranger_fastqs/outs/fastq_path/H*/BN0452_S1_L001_R1_001.fastq.gz</v>
      </c>
      <c r="K372" s="46" t="s">
        <v>1317</v>
      </c>
      <c r="L372" s="46" t="s">
        <v>2067</v>
      </c>
      <c r="M372" s="46" t="s">
        <v>1309</v>
      </c>
      <c r="N372" s="46" t="s">
        <v>1310</v>
      </c>
      <c r="O372" s="46" t="s">
        <v>1311</v>
      </c>
      <c r="P372" s="46" t="s">
        <v>1312</v>
      </c>
      <c r="Q372" s="46" t="s">
        <v>31</v>
      </c>
      <c r="R372" s="46" t="s">
        <v>31</v>
      </c>
      <c r="S372" s="46" t="s">
        <v>31</v>
      </c>
      <c r="T372" s="46" t="s">
        <v>31</v>
      </c>
      <c r="U372" s="46" t="s">
        <v>49</v>
      </c>
    </row>
    <row r="373" spans="1:21">
      <c r="A373" s="46" t="s">
        <v>685</v>
      </c>
      <c r="B373" s="46" t="s">
        <v>83</v>
      </c>
      <c r="C373" s="46" t="s">
        <v>666</v>
      </c>
      <c r="D373" s="46">
        <v>1</v>
      </c>
      <c r="E373" s="46">
        <v>0</v>
      </c>
      <c r="F373" s="46" t="s">
        <v>686</v>
      </c>
      <c r="G373" s="46" t="s">
        <v>1305</v>
      </c>
      <c r="H373" s="46" t="s">
        <v>2068</v>
      </c>
      <c r="I373" s="46" t="str">
        <f ca="1">IFERROR(__xludf.DUMMYFUNCTION("CONCAT(A373,REGEXREPLACE(H373,"".*_L0"",""_L0""))"),"HC_BN0452_MTG_snRNAseq_rep1_L001_R2_001.fastq.gz")</f>
        <v>HC_BN0452_MTG_snRNAseq_rep1_L001_R2_001.fastq.gz</v>
      </c>
      <c r="J373" s="46" t="str">
        <f t="shared" si="1"/>
        <v>/data/neurogen/ASAP/scRNAseq/data/batch7_ASAP_snRNA-seq_*/Raw_Data_and_Processing/cellranger_processing/cellranger_fastqs/outs/fastq_path/H*/BN0452_S1_L001_R2_001.fastq.gz</v>
      </c>
      <c r="K373" s="46" t="s">
        <v>1320</v>
      </c>
      <c r="L373" s="46" t="s">
        <v>2069</v>
      </c>
      <c r="M373" s="46" t="s">
        <v>1309</v>
      </c>
      <c r="N373" s="46" t="s">
        <v>1310</v>
      </c>
      <c r="O373" s="46" t="s">
        <v>1311</v>
      </c>
      <c r="P373" s="46" t="s">
        <v>1312</v>
      </c>
      <c r="Q373" s="46" t="s">
        <v>31</v>
      </c>
      <c r="R373" s="46" t="s">
        <v>31</v>
      </c>
      <c r="S373" s="46" t="s">
        <v>31</v>
      </c>
      <c r="T373" s="46" t="s">
        <v>31</v>
      </c>
      <c r="U373" s="46" t="s">
        <v>49</v>
      </c>
    </row>
    <row r="374" spans="1:21">
      <c r="A374" s="46" t="s">
        <v>685</v>
      </c>
      <c r="B374" s="46" t="s">
        <v>83</v>
      </c>
      <c r="C374" s="46" t="s">
        <v>666</v>
      </c>
      <c r="D374" s="46">
        <v>1</v>
      </c>
      <c r="E374" s="46">
        <v>0</v>
      </c>
      <c r="F374" s="46" t="s">
        <v>686</v>
      </c>
      <c r="G374" s="46" t="s">
        <v>1305</v>
      </c>
      <c r="H374" s="46" t="s">
        <v>2070</v>
      </c>
      <c r="I374" s="46" t="str">
        <f ca="1">IFERROR(__xludf.DUMMYFUNCTION("CONCAT(A374,REGEXREPLACE(H374,"".*_L0"",""_L0""))"),"HC_BN0452_MTG_snRNAseq_rep1_L002_I1_001.fastq.gz")</f>
        <v>HC_BN0452_MTG_snRNAseq_rep1_L002_I1_001.fastq.gz</v>
      </c>
      <c r="J374" s="46" t="str">
        <f t="shared" si="1"/>
        <v>/data/neurogen/ASAP/scRNAseq/data/batch7_ASAP_snRNA-seq_*/Raw_Data_and_Processing/cellranger_processing/cellranger_fastqs/outs/fastq_path/H*/BN0452_S1_L002_I1_001.fastq.gz</v>
      </c>
      <c r="K374" s="46" t="s">
        <v>1323</v>
      </c>
      <c r="L374" s="46" t="s">
        <v>2071</v>
      </c>
      <c r="M374" s="46" t="s">
        <v>1309</v>
      </c>
      <c r="N374" s="46" t="s">
        <v>1310</v>
      </c>
      <c r="O374" s="46" t="s">
        <v>1311</v>
      </c>
      <c r="P374" s="46" t="s">
        <v>1312</v>
      </c>
      <c r="Q374" s="46" t="s">
        <v>31</v>
      </c>
      <c r="R374" s="46" t="s">
        <v>31</v>
      </c>
      <c r="S374" s="46" t="s">
        <v>31</v>
      </c>
      <c r="T374" s="46" t="s">
        <v>31</v>
      </c>
      <c r="U374" s="46" t="s">
        <v>49</v>
      </c>
    </row>
    <row r="375" spans="1:21">
      <c r="A375" s="46" t="s">
        <v>685</v>
      </c>
      <c r="B375" s="46" t="s">
        <v>83</v>
      </c>
      <c r="C375" s="46" t="s">
        <v>666</v>
      </c>
      <c r="D375" s="46">
        <v>1</v>
      </c>
      <c r="E375" s="46">
        <v>0</v>
      </c>
      <c r="F375" s="46" t="s">
        <v>686</v>
      </c>
      <c r="G375" s="46" t="s">
        <v>1305</v>
      </c>
      <c r="H375" s="46" t="s">
        <v>2072</v>
      </c>
      <c r="I375" s="46" t="str">
        <f ca="1">IFERROR(__xludf.DUMMYFUNCTION("CONCAT(A375,REGEXREPLACE(H375,"".*_L0"",""_L0""))"),"HC_BN0452_MTG_snRNAseq_rep1_L002_I2_001.fastq.gz")</f>
        <v>HC_BN0452_MTG_snRNAseq_rep1_L002_I2_001.fastq.gz</v>
      </c>
      <c r="J375" s="46" t="str">
        <f t="shared" si="1"/>
        <v>/data/neurogen/ASAP/scRNAseq/data/batch7_ASAP_snRNA-seq_*/Raw_Data_and_Processing/cellranger_processing/cellranger_fastqs/outs/fastq_path/H*/BN0452_S1_L002_I2_001.fastq.gz</v>
      </c>
      <c r="K375" s="46" t="s">
        <v>1326</v>
      </c>
      <c r="L375" s="46" t="s">
        <v>2073</v>
      </c>
      <c r="M375" s="46" t="s">
        <v>1309</v>
      </c>
      <c r="N375" s="46" t="s">
        <v>1310</v>
      </c>
      <c r="O375" s="46" t="s">
        <v>1311</v>
      </c>
      <c r="P375" s="46" t="s">
        <v>1312</v>
      </c>
      <c r="Q375" s="46" t="s">
        <v>31</v>
      </c>
      <c r="R375" s="46" t="s">
        <v>31</v>
      </c>
      <c r="S375" s="46" t="s">
        <v>31</v>
      </c>
      <c r="T375" s="46" t="s">
        <v>31</v>
      </c>
      <c r="U375" s="46" t="s">
        <v>49</v>
      </c>
    </row>
    <row r="376" spans="1:21">
      <c r="A376" s="46" t="s">
        <v>685</v>
      </c>
      <c r="B376" s="46" t="s">
        <v>83</v>
      </c>
      <c r="C376" s="46" t="s">
        <v>666</v>
      </c>
      <c r="D376" s="46">
        <v>1</v>
      </c>
      <c r="E376" s="46">
        <v>0</v>
      </c>
      <c r="F376" s="46" t="s">
        <v>686</v>
      </c>
      <c r="G376" s="46" t="s">
        <v>1305</v>
      </c>
      <c r="H376" s="46" t="s">
        <v>2074</v>
      </c>
      <c r="I376" s="46" t="str">
        <f ca="1">IFERROR(__xludf.DUMMYFUNCTION("CONCAT(A376,REGEXREPLACE(H376,"".*_L0"",""_L0""))"),"HC_BN0452_MTG_snRNAseq_rep1_L002_R1_001.fastq.gz")</f>
        <v>HC_BN0452_MTG_snRNAseq_rep1_L002_R1_001.fastq.gz</v>
      </c>
      <c r="J376" s="46" t="str">
        <f t="shared" si="1"/>
        <v>/data/neurogen/ASAP/scRNAseq/data/batch7_ASAP_snRNA-seq_*/Raw_Data_and_Processing/cellranger_processing/cellranger_fastqs/outs/fastq_path/H*/BN0452_S1_L002_R1_001.fastq.gz</v>
      </c>
      <c r="K376" s="46" t="s">
        <v>1329</v>
      </c>
      <c r="L376" s="46" t="s">
        <v>2075</v>
      </c>
      <c r="M376" s="46" t="s">
        <v>1309</v>
      </c>
      <c r="N376" s="46" t="s">
        <v>1310</v>
      </c>
      <c r="O376" s="46" t="s">
        <v>1311</v>
      </c>
      <c r="P376" s="46" t="s">
        <v>1312</v>
      </c>
      <c r="Q376" s="46" t="s">
        <v>31</v>
      </c>
      <c r="R376" s="46" t="s">
        <v>31</v>
      </c>
      <c r="S376" s="46" t="s">
        <v>31</v>
      </c>
      <c r="T376" s="46" t="s">
        <v>31</v>
      </c>
      <c r="U376" s="46" t="s">
        <v>49</v>
      </c>
    </row>
    <row r="377" spans="1:21">
      <c r="A377" s="46" t="s">
        <v>685</v>
      </c>
      <c r="B377" s="46" t="s">
        <v>83</v>
      </c>
      <c r="C377" s="46" t="s">
        <v>666</v>
      </c>
      <c r="D377" s="46">
        <v>1</v>
      </c>
      <c r="E377" s="46">
        <v>0</v>
      </c>
      <c r="F377" s="46" t="s">
        <v>686</v>
      </c>
      <c r="G377" s="46" t="s">
        <v>1305</v>
      </c>
      <c r="H377" s="46" t="s">
        <v>2076</v>
      </c>
      <c r="I377" s="46" t="str">
        <f ca="1">IFERROR(__xludf.DUMMYFUNCTION("CONCAT(A377,REGEXREPLACE(H377,"".*_L0"",""_L0""))"),"HC_BN0452_MTG_snRNAseq_rep1_L002_R2_001.fastq.gz")</f>
        <v>HC_BN0452_MTG_snRNAseq_rep1_L002_R2_001.fastq.gz</v>
      </c>
      <c r="J377" s="46" t="str">
        <f t="shared" si="1"/>
        <v>/data/neurogen/ASAP/scRNAseq/data/batch7_ASAP_snRNA-seq_*/Raw_Data_and_Processing/cellranger_processing/cellranger_fastqs/outs/fastq_path/H*/BN0452_S1_L002_R2_001.fastq.gz</v>
      </c>
      <c r="K377" s="46" t="s">
        <v>1332</v>
      </c>
      <c r="L377" s="46" t="s">
        <v>2077</v>
      </c>
      <c r="M377" s="46" t="s">
        <v>1309</v>
      </c>
      <c r="N377" s="46" t="s">
        <v>1310</v>
      </c>
      <c r="O377" s="46" t="s">
        <v>1311</v>
      </c>
      <c r="P377" s="46" t="s">
        <v>1312</v>
      </c>
      <c r="Q377" s="46" t="s">
        <v>31</v>
      </c>
      <c r="R377" s="46" t="s">
        <v>31</v>
      </c>
      <c r="S377" s="46" t="s">
        <v>31</v>
      </c>
      <c r="T377" s="46" t="s">
        <v>31</v>
      </c>
      <c r="U377" s="46" t="s">
        <v>49</v>
      </c>
    </row>
    <row r="378" spans="1:21">
      <c r="A378" s="46" t="s">
        <v>685</v>
      </c>
      <c r="B378" s="46" t="s">
        <v>83</v>
      </c>
      <c r="C378" s="46" t="s">
        <v>666</v>
      </c>
      <c r="D378" s="46">
        <v>1</v>
      </c>
      <c r="E378" s="46">
        <v>0</v>
      </c>
      <c r="F378" s="46" t="s">
        <v>686</v>
      </c>
      <c r="G378" s="46" t="s">
        <v>1305</v>
      </c>
      <c r="H378" s="46" t="s">
        <v>2078</v>
      </c>
      <c r="I378" s="46" t="str">
        <f ca="1">IFERROR(__xludf.DUMMYFUNCTION("CONCAT(A378,REGEXREPLACE(H378,"".*_L0"",""_L0""))"),"HC_BN0452_MTG_snRNAseq_rep1_L003_I1_001.fastq.gz")</f>
        <v>HC_BN0452_MTG_snRNAseq_rep1_L003_I1_001.fastq.gz</v>
      </c>
      <c r="J378" s="46" t="str">
        <f t="shared" si="1"/>
        <v>/data/neurogen/ASAP/scRNAseq/data/batch7_ASAP_snRNA-seq_*/Raw_Data_and_Processing/cellranger_processing/cellranger_fastqs/outs/fastq_path/H*/BN0452_S1_L003_I1_001.fastq.gz</v>
      </c>
      <c r="K378" s="46" t="s">
        <v>1335</v>
      </c>
      <c r="L378" s="46" t="s">
        <v>2079</v>
      </c>
      <c r="M378" s="46" t="s">
        <v>1309</v>
      </c>
      <c r="N378" s="46" t="s">
        <v>1310</v>
      </c>
      <c r="O378" s="46" t="s">
        <v>1311</v>
      </c>
      <c r="P378" s="46" t="s">
        <v>1312</v>
      </c>
      <c r="Q378" s="46" t="s">
        <v>31</v>
      </c>
      <c r="R378" s="46" t="s">
        <v>31</v>
      </c>
      <c r="S378" s="46" t="s">
        <v>31</v>
      </c>
      <c r="T378" s="46" t="s">
        <v>31</v>
      </c>
      <c r="U378" s="46" t="s">
        <v>49</v>
      </c>
    </row>
    <row r="379" spans="1:21">
      <c r="A379" s="46" t="s">
        <v>685</v>
      </c>
      <c r="B379" s="46" t="s">
        <v>83</v>
      </c>
      <c r="C379" s="46" t="s">
        <v>666</v>
      </c>
      <c r="D379" s="46">
        <v>1</v>
      </c>
      <c r="E379" s="46">
        <v>0</v>
      </c>
      <c r="F379" s="46" t="s">
        <v>686</v>
      </c>
      <c r="G379" s="46" t="s">
        <v>1305</v>
      </c>
      <c r="H379" s="46" t="s">
        <v>2080</v>
      </c>
      <c r="I379" s="46" t="str">
        <f ca="1">IFERROR(__xludf.DUMMYFUNCTION("CONCAT(A379,REGEXREPLACE(H379,"".*_L0"",""_L0""))"),"HC_BN0452_MTG_snRNAseq_rep1_L003_I2_001.fastq.gz")</f>
        <v>HC_BN0452_MTG_snRNAseq_rep1_L003_I2_001.fastq.gz</v>
      </c>
      <c r="J379" s="46" t="str">
        <f t="shared" si="1"/>
        <v>/data/neurogen/ASAP/scRNAseq/data/batch7_ASAP_snRNA-seq_*/Raw_Data_and_Processing/cellranger_processing/cellranger_fastqs/outs/fastq_path/H*/BN0452_S1_L003_I2_001.fastq.gz</v>
      </c>
      <c r="K379" s="46" t="s">
        <v>1338</v>
      </c>
      <c r="L379" s="46" t="s">
        <v>2081</v>
      </c>
      <c r="M379" s="46" t="s">
        <v>1309</v>
      </c>
      <c r="N379" s="46" t="s">
        <v>1310</v>
      </c>
      <c r="O379" s="46" t="s">
        <v>1311</v>
      </c>
      <c r="P379" s="46" t="s">
        <v>1312</v>
      </c>
      <c r="Q379" s="46" t="s">
        <v>31</v>
      </c>
      <c r="R379" s="46" t="s">
        <v>31</v>
      </c>
      <c r="S379" s="46" t="s">
        <v>31</v>
      </c>
      <c r="T379" s="46" t="s">
        <v>31</v>
      </c>
      <c r="U379" s="46" t="s">
        <v>49</v>
      </c>
    </row>
    <row r="380" spans="1:21">
      <c r="A380" s="46" t="s">
        <v>685</v>
      </c>
      <c r="B380" s="46" t="s">
        <v>83</v>
      </c>
      <c r="C380" s="46" t="s">
        <v>666</v>
      </c>
      <c r="D380" s="46">
        <v>1</v>
      </c>
      <c r="E380" s="46">
        <v>0</v>
      </c>
      <c r="F380" s="46" t="s">
        <v>686</v>
      </c>
      <c r="G380" s="46" t="s">
        <v>1305</v>
      </c>
      <c r="H380" s="46" t="s">
        <v>2082</v>
      </c>
      <c r="I380" s="46" t="str">
        <f ca="1">IFERROR(__xludf.DUMMYFUNCTION("CONCAT(A380,REGEXREPLACE(H380,"".*_L0"",""_L0""))"),"HC_BN0452_MTG_snRNAseq_rep1_L003_R1_001.fastq.gz")</f>
        <v>HC_BN0452_MTG_snRNAseq_rep1_L003_R1_001.fastq.gz</v>
      </c>
      <c r="J380" s="46" t="str">
        <f t="shared" si="1"/>
        <v>/data/neurogen/ASAP/scRNAseq/data/batch7_ASAP_snRNA-seq_*/Raw_Data_and_Processing/cellranger_processing/cellranger_fastqs/outs/fastq_path/H*/BN0452_S1_L003_R1_001.fastq.gz</v>
      </c>
      <c r="K380" s="46" t="s">
        <v>1341</v>
      </c>
      <c r="L380" s="46" t="s">
        <v>2083</v>
      </c>
      <c r="M380" s="46" t="s">
        <v>1309</v>
      </c>
      <c r="N380" s="46" t="s">
        <v>1310</v>
      </c>
      <c r="O380" s="46" t="s">
        <v>1311</v>
      </c>
      <c r="P380" s="46" t="s">
        <v>1312</v>
      </c>
      <c r="Q380" s="46" t="s">
        <v>31</v>
      </c>
      <c r="R380" s="46" t="s">
        <v>31</v>
      </c>
      <c r="S380" s="46" t="s">
        <v>31</v>
      </c>
      <c r="T380" s="46" t="s">
        <v>31</v>
      </c>
      <c r="U380" s="46" t="s">
        <v>49</v>
      </c>
    </row>
    <row r="381" spans="1:21">
      <c r="A381" s="46" t="s">
        <v>685</v>
      </c>
      <c r="B381" s="46" t="s">
        <v>83</v>
      </c>
      <c r="C381" s="46" t="s">
        <v>666</v>
      </c>
      <c r="D381" s="46">
        <v>1</v>
      </c>
      <c r="E381" s="46">
        <v>0</v>
      </c>
      <c r="F381" s="46" t="s">
        <v>686</v>
      </c>
      <c r="G381" s="46" t="s">
        <v>1305</v>
      </c>
      <c r="H381" s="46" t="s">
        <v>2084</v>
      </c>
      <c r="I381" s="46" t="str">
        <f ca="1">IFERROR(__xludf.DUMMYFUNCTION("CONCAT(A381,REGEXREPLACE(H381,"".*_L0"",""_L0""))"),"HC_BN0452_MTG_snRNAseq_rep1_L003_R2_001.fastq.gz")</f>
        <v>HC_BN0452_MTG_snRNAseq_rep1_L003_R2_001.fastq.gz</v>
      </c>
      <c r="J381" s="46" t="str">
        <f t="shared" si="1"/>
        <v>/data/neurogen/ASAP/scRNAseq/data/batch7_ASAP_snRNA-seq_*/Raw_Data_and_Processing/cellranger_processing/cellranger_fastqs/outs/fastq_path/H*/BN0452_S1_L003_R2_001.fastq.gz</v>
      </c>
      <c r="K381" s="46" t="s">
        <v>1344</v>
      </c>
      <c r="L381" s="46" t="s">
        <v>2085</v>
      </c>
      <c r="M381" s="46" t="s">
        <v>1309</v>
      </c>
      <c r="N381" s="46" t="s">
        <v>1310</v>
      </c>
      <c r="O381" s="46" t="s">
        <v>1311</v>
      </c>
      <c r="P381" s="46" t="s">
        <v>1312</v>
      </c>
      <c r="Q381" s="46" t="s">
        <v>31</v>
      </c>
      <c r="R381" s="46" t="s">
        <v>31</v>
      </c>
      <c r="S381" s="46" t="s">
        <v>31</v>
      </c>
      <c r="T381" s="46" t="s">
        <v>31</v>
      </c>
      <c r="U381" s="46" t="s">
        <v>49</v>
      </c>
    </row>
    <row r="382" spans="1:21">
      <c r="A382" s="46" t="s">
        <v>685</v>
      </c>
      <c r="B382" s="46" t="s">
        <v>83</v>
      </c>
      <c r="C382" s="46" t="s">
        <v>666</v>
      </c>
      <c r="D382" s="46">
        <v>1</v>
      </c>
      <c r="E382" s="46">
        <v>0</v>
      </c>
      <c r="F382" s="46" t="s">
        <v>686</v>
      </c>
      <c r="G382" s="46" t="s">
        <v>1305</v>
      </c>
      <c r="H382" s="46" t="s">
        <v>2086</v>
      </c>
      <c r="I382" s="46" t="str">
        <f ca="1">IFERROR(__xludf.DUMMYFUNCTION("CONCAT(A382,REGEXREPLACE(H382,"".*_L0"",""_L0""))"),"HC_BN0452_MTG_snRNAseq_rep1_L004_I1_001.fastq.gz")</f>
        <v>HC_BN0452_MTG_snRNAseq_rep1_L004_I1_001.fastq.gz</v>
      </c>
      <c r="J382" s="46" t="str">
        <f t="shared" si="1"/>
        <v>/data/neurogen/ASAP/scRNAseq/data/batch7_ASAP_snRNA-seq_*/Raw_Data_and_Processing/cellranger_processing/cellranger_fastqs/outs/fastq_path/H*/BN0452_S1_L004_I1_001.fastq.gz</v>
      </c>
      <c r="K382" s="46" t="s">
        <v>1347</v>
      </c>
      <c r="L382" s="46" t="s">
        <v>2087</v>
      </c>
      <c r="M382" s="46" t="s">
        <v>1309</v>
      </c>
      <c r="N382" s="46" t="s">
        <v>1310</v>
      </c>
      <c r="O382" s="46" t="s">
        <v>1311</v>
      </c>
      <c r="P382" s="46" t="s">
        <v>1312</v>
      </c>
      <c r="Q382" s="46" t="s">
        <v>31</v>
      </c>
      <c r="R382" s="46" t="s">
        <v>31</v>
      </c>
      <c r="S382" s="46" t="s">
        <v>31</v>
      </c>
      <c r="T382" s="46" t="s">
        <v>31</v>
      </c>
      <c r="U382" s="46" t="s">
        <v>49</v>
      </c>
    </row>
    <row r="383" spans="1:21">
      <c r="A383" s="46" t="s">
        <v>685</v>
      </c>
      <c r="B383" s="46" t="s">
        <v>83</v>
      </c>
      <c r="C383" s="46" t="s">
        <v>666</v>
      </c>
      <c r="D383" s="46">
        <v>1</v>
      </c>
      <c r="E383" s="46">
        <v>0</v>
      </c>
      <c r="F383" s="46" t="s">
        <v>686</v>
      </c>
      <c r="G383" s="46" t="s">
        <v>1305</v>
      </c>
      <c r="H383" s="46" t="s">
        <v>2088</v>
      </c>
      <c r="I383" s="46" t="str">
        <f ca="1">IFERROR(__xludf.DUMMYFUNCTION("CONCAT(A383,REGEXREPLACE(H383,"".*_L0"",""_L0""))"),"HC_BN0452_MTG_snRNAseq_rep1_L004_I2_001.fastq.gz")</f>
        <v>HC_BN0452_MTG_snRNAseq_rep1_L004_I2_001.fastq.gz</v>
      </c>
      <c r="J383" s="46" t="str">
        <f t="shared" si="1"/>
        <v>/data/neurogen/ASAP/scRNAseq/data/batch7_ASAP_snRNA-seq_*/Raw_Data_and_Processing/cellranger_processing/cellranger_fastqs/outs/fastq_path/H*/BN0452_S1_L004_I2_001.fastq.gz</v>
      </c>
      <c r="K383" s="46" t="s">
        <v>1350</v>
      </c>
      <c r="L383" s="46" t="s">
        <v>2089</v>
      </c>
      <c r="M383" s="46" t="s">
        <v>1309</v>
      </c>
      <c r="N383" s="46" t="s">
        <v>1310</v>
      </c>
      <c r="O383" s="46" t="s">
        <v>1311</v>
      </c>
      <c r="P383" s="46" t="s">
        <v>1312</v>
      </c>
      <c r="Q383" s="46" t="s">
        <v>31</v>
      </c>
      <c r="R383" s="46" t="s">
        <v>31</v>
      </c>
      <c r="S383" s="46" t="s">
        <v>31</v>
      </c>
      <c r="T383" s="46" t="s">
        <v>31</v>
      </c>
      <c r="U383" s="46" t="s">
        <v>49</v>
      </c>
    </row>
    <row r="384" spans="1:21">
      <c r="A384" s="46" t="s">
        <v>685</v>
      </c>
      <c r="B384" s="46" t="s">
        <v>83</v>
      </c>
      <c r="C384" s="46" t="s">
        <v>666</v>
      </c>
      <c r="D384" s="46">
        <v>1</v>
      </c>
      <c r="E384" s="46">
        <v>0</v>
      </c>
      <c r="F384" s="46" t="s">
        <v>686</v>
      </c>
      <c r="G384" s="46" t="s">
        <v>1305</v>
      </c>
      <c r="H384" s="46" t="s">
        <v>2090</v>
      </c>
      <c r="I384" s="46" t="str">
        <f ca="1">IFERROR(__xludf.DUMMYFUNCTION("CONCAT(A384,REGEXREPLACE(H384,"".*_L0"",""_L0""))"),"HC_BN0452_MTG_snRNAseq_rep1_L004_R1_001.fastq.gz")</f>
        <v>HC_BN0452_MTG_snRNAseq_rep1_L004_R1_001.fastq.gz</v>
      </c>
      <c r="J384" s="46" t="str">
        <f t="shared" si="1"/>
        <v>/data/neurogen/ASAP/scRNAseq/data/batch7_ASAP_snRNA-seq_*/Raw_Data_and_Processing/cellranger_processing/cellranger_fastqs/outs/fastq_path/H*/BN0452_S1_L004_R1_001.fastq.gz</v>
      </c>
      <c r="K384" s="46" t="s">
        <v>1353</v>
      </c>
      <c r="L384" s="46" t="s">
        <v>2091</v>
      </c>
      <c r="M384" s="46" t="s">
        <v>1309</v>
      </c>
      <c r="N384" s="46" t="s">
        <v>1310</v>
      </c>
      <c r="O384" s="46" t="s">
        <v>1311</v>
      </c>
      <c r="P384" s="46" t="s">
        <v>1312</v>
      </c>
      <c r="Q384" s="46" t="s">
        <v>31</v>
      </c>
      <c r="R384" s="46" t="s">
        <v>31</v>
      </c>
      <c r="S384" s="46" t="s">
        <v>31</v>
      </c>
      <c r="T384" s="46" t="s">
        <v>31</v>
      </c>
      <c r="U384" s="46" t="s">
        <v>49</v>
      </c>
    </row>
    <row r="385" spans="1:21">
      <c r="A385" s="46" t="s">
        <v>685</v>
      </c>
      <c r="B385" s="46" t="s">
        <v>83</v>
      </c>
      <c r="C385" s="46" t="s">
        <v>666</v>
      </c>
      <c r="D385" s="46">
        <v>1</v>
      </c>
      <c r="E385" s="46">
        <v>0</v>
      </c>
      <c r="F385" s="46" t="s">
        <v>686</v>
      </c>
      <c r="G385" s="46" t="s">
        <v>1305</v>
      </c>
      <c r="H385" s="46" t="s">
        <v>2092</v>
      </c>
      <c r="I385" s="46" t="str">
        <f ca="1">IFERROR(__xludf.DUMMYFUNCTION("CONCAT(A385,REGEXREPLACE(H385,"".*_L0"",""_L0""))"),"HC_BN0452_MTG_snRNAseq_rep1_L004_R2_001.fastq.gz")</f>
        <v>HC_BN0452_MTG_snRNAseq_rep1_L004_R2_001.fastq.gz</v>
      </c>
      <c r="J385" s="46" t="str">
        <f t="shared" si="1"/>
        <v>/data/neurogen/ASAP/scRNAseq/data/batch7_ASAP_snRNA-seq_*/Raw_Data_and_Processing/cellranger_processing/cellranger_fastqs/outs/fastq_path/H*/BN0452_S1_L004_R2_001.fastq.gz</v>
      </c>
      <c r="K385" s="46" t="s">
        <v>1356</v>
      </c>
      <c r="L385" s="46" t="s">
        <v>2093</v>
      </c>
      <c r="M385" s="46" t="s">
        <v>1309</v>
      </c>
      <c r="N385" s="46" t="s">
        <v>1310</v>
      </c>
      <c r="O385" s="46" t="s">
        <v>1311</v>
      </c>
      <c r="P385" s="46" t="s">
        <v>1312</v>
      </c>
      <c r="Q385" s="46" t="s">
        <v>31</v>
      </c>
      <c r="R385" s="46" t="s">
        <v>31</v>
      </c>
      <c r="S385" s="46" t="s">
        <v>31</v>
      </c>
      <c r="T385" s="46" t="s">
        <v>31</v>
      </c>
      <c r="U385" s="46" t="s">
        <v>49</v>
      </c>
    </row>
    <row r="386" spans="1:21">
      <c r="A386" s="46" t="s">
        <v>704</v>
      </c>
      <c r="B386" s="46" t="s">
        <v>102</v>
      </c>
      <c r="C386" s="46" t="s">
        <v>666</v>
      </c>
      <c r="D386" s="46">
        <v>1</v>
      </c>
      <c r="E386" s="46">
        <v>0</v>
      </c>
      <c r="F386" s="46" t="s">
        <v>686</v>
      </c>
      <c r="G386" s="46" t="s">
        <v>1305</v>
      </c>
      <c r="H386" s="46" t="s">
        <v>2094</v>
      </c>
      <c r="I386" s="46" t="str">
        <f ca="1">IFERROR(__xludf.DUMMYFUNCTION("CONCAT(A386,REGEXREPLACE(H386,"".*_L0"",""_L0""))"),"HC_BN0737_MTG_snRNAseq_rep1_L001_I1_001.fastq.gz")</f>
        <v>HC_BN0737_MTG_snRNAseq_rep1_L001_I1_001.fastq.gz</v>
      </c>
      <c r="J386" s="46" t="str">
        <f t="shared" si="1"/>
        <v>/data/neurogen/ASAP/scRNAseq/data/batch7_ASAP_snRNA-seq_*/Raw_Data_and_Processing/cellranger_processing/cellranger_fastqs/outs/fastq_path/H*/BN0737_S3_L001_I1_001.fastq.gz</v>
      </c>
      <c r="K386" s="46" t="s">
        <v>1307</v>
      </c>
      <c r="L386" s="46" t="s">
        <v>2095</v>
      </c>
      <c r="M386" s="46" t="s">
        <v>1309</v>
      </c>
      <c r="N386" s="46" t="s">
        <v>1310</v>
      </c>
      <c r="O386" s="46" t="s">
        <v>1311</v>
      </c>
      <c r="P386" s="46" t="s">
        <v>1312</v>
      </c>
      <c r="Q386" s="46" t="s">
        <v>31</v>
      </c>
      <c r="R386" s="46" t="s">
        <v>31</v>
      </c>
      <c r="S386" s="46" t="s">
        <v>31</v>
      </c>
      <c r="T386" s="46" t="s">
        <v>31</v>
      </c>
      <c r="U386" s="46" t="s">
        <v>49</v>
      </c>
    </row>
    <row r="387" spans="1:21">
      <c r="A387" s="46" t="s">
        <v>704</v>
      </c>
      <c r="B387" s="46" t="s">
        <v>102</v>
      </c>
      <c r="C387" s="46" t="s">
        <v>666</v>
      </c>
      <c r="D387" s="46">
        <v>1</v>
      </c>
      <c r="E387" s="46">
        <v>0</v>
      </c>
      <c r="F387" s="46" t="s">
        <v>686</v>
      </c>
      <c r="G387" s="46" t="s">
        <v>1305</v>
      </c>
      <c r="H387" s="46" t="s">
        <v>2096</v>
      </c>
      <c r="I387" s="46" t="str">
        <f ca="1">IFERROR(__xludf.DUMMYFUNCTION("CONCAT(A387,REGEXREPLACE(H387,"".*_L0"",""_L0""))"),"HC_BN0737_MTG_snRNAseq_rep1_L001_I2_001.fastq.gz")</f>
        <v>HC_BN0737_MTG_snRNAseq_rep1_L001_I2_001.fastq.gz</v>
      </c>
      <c r="J387" s="46" t="str">
        <f t="shared" si="1"/>
        <v>/data/neurogen/ASAP/scRNAseq/data/batch7_ASAP_snRNA-seq_*/Raw_Data_and_Processing/cellranger_processing/cellranger_fastqs/outs/fastq_path/H*/BN0737_S3_L001_I2_001.fastq.gz</v>
      </c>
      <c r="K387" s="46" t="s">
        <v>1314</v>
      </c>
      <c r="L387" s="46" t="s">
        <v>2097</v>
      </c>
      <c r="M387" s="46" t="s">
        <v>1309</v>
      </c>
      <c r="N387" s="46" t="s">
        <v>1310</v>
      </c>
      <c r="O387" s="46" t="s">
        <v>1311</v>
      </c>
      <c r="P387" s="46" t="s">
        <v>1312</v>
      </c>
      <c r="Q387" s="46" t="s">
        <v>31</v>
      </c>
      <c r="R387" s="46" t="s">
        <v>31</v>
      </c>
      <c r="S387" s="46" t="s">
        <v>31</v>
      </c>
      <c r="T387" s="46" t="s">
        <v>31</v>
      </c>
      <c r="U387" s="46" t="s">
        <v>49</v>
      </c>
    </row>
    <row r="388" spans="1:21">
      <c r="A388" s="46" t="s">
        <v>704</v>
      </c>
      <c r="B388" s="46" t="s">
        <v>102</v>
      </c>
      <c r="C388" s="46" t="s">
        <v>666</v>
      </c>
      <c r="D388" s="46">
        <v>1</v>
      </c>
      <c r="E388" s="46">
        <v>0</v>
      </c>
      <c r="F388" s="46" t="s">
        <v>686</v>
      </c>
      <c r="G388" s="46" t="s">
        <v>1305</v>
      </c>
      <c r="H388" s="46" t="s">
        <v>2098</v>
      </c>
      <c r="I388" s="46" t="str">
        <f ca="1">IFERROR(__xludf.DUMMYFUNCTION("CONCAT(A388,REGEXREPLACE(H388,"".*_L0"",""_L0""))"),"HC_BN0737_MTG_snRNAseq_rep1_L001_R1_001.fastq.gz")</f>
        <v>HC_BN0737_MTG_snRNAseq_rep1_L001_R1_001.fastq.gz</v>
      </c>
      <c r="J388" s="46" t="str">
        <f t="shared" si="1"/>
        <v>/data/neurogen/ASAP/scRNAseq/data/batch7_ASAP_snRNA-seq_*/Raw_Data_and_Processing/cellranger_processing/cellranger_fastqs/outs/fastq_path/H*/BN0737_S3_L001_R1_001.fastq.gz</v>
      </c>
      <c r="K388" s="46" t="s">
        <v>1317</v>
      </c>
      <c r="L388" s="46" t="s">
        <v>2099</v>
      </c>
      <c r="M388" s="46" t="s">
        <v>1309</v>
      </c>
      <c r="N388" s="46" t="s">
        <v>1310</v>
      </c>
      <c r="O388" s="46" t="s">
        <v>1311</v>
      </c>
      <c r="P388" s="46" t="s">
        <v>1312</v>
      </c>
      <c r="Q388" s="46" t="s">
        <v>31</v>
      </c>
      <c r="R388" s="46" t="s">
        <v>31</v>
      </c>
      <c r="S388" s="46" t="s">
        <v>31</v>
      </c>
      <c r="T388" s="46" t="s">
        <v>31</v>
      </c>
      <c r="U388" s="46" t="s">
        <v>49</v>
      </c>
    </row>
    <row r="389" spans="1:21">
      <c r="A389" s="46" t="s">
        <v>704</v>
      </c>
      <c r="B389" s="46" t="s">
        <v>102</v>
      </c>
      <c r="C389" s="46" t="s">
        <v>666</v>
      </c>
      <c r="D389" s="46">
        <v>1</v>
      </c>
      <c r="E389" s="46">
        <v>0</v>
      </c>
      <c r="F389" s="46" t="s">
        <v>686</v>
      </c>
      <c r="G389" s="46" t="s">
        <v>1305</v>
      </c>
      <c r="H389" s="46" t="s">
        <v>2100</v>
      </c>
      <c r="I389" s="46" t="str">
        <f ca="1">IFERROR(__xludf.DUMMYFUNCTION("CONCAT(A389,REGEXREPLACE(H389,"".*_L0"",""_L0""))"),"HC_BN0737_MTG_snRNAseq_rep1_L001_R2_001.fastq.gz")</f>
        <v>HC_BN0737_MTG_snRNAseq_rep1_L001_R2_001.fastq.gz</v>
      </c>
      <c r="J389" s="46" t="str">
        <f t="shared" si="1"/>
        <v>/data/neurogen/ASAP/scRNAseq/data/batch7_ASAP_snRNA-seq_*/Raw_Data_and_Processing/cellranger_processing/cellranger_fastqs/outs/fastq_path/H*/BN0737_S3_L001_R2_001.fastq.gz</v>
      </c>
      <c r="K389" s="46" t="s">
        <v>1320</v>
      </c>
      <c r="L389" s="46" t="s">
        <v>2101</v>
      </c>
      <c r="M389" s="46" t="s">
        <v>1309</v>
      </c>
      <c r="N389" s="46" t="s">
        <v>1310</v>
      </c>
      <c r="O389" s="46" t="s">
        <v>1311</v>
      </c>
      <c r="P389" s="46" t="s">
        <v>1312</v>
      </c>
      <c r="Q389" s="46" t="s">
        <v>31</v>
      </c>
      <c r="R389" s="46" t="s">
        <v>31</v>
      </c>
      <c r="S389" s="46" t="s">
        <v>31</v>
      </c>
      <c r="T389" s="46" t="s">
        <v>31</v>
      </c>
      <c r="U389" s="46" t="s">
        <v>49</v>
      </c>
    </row>
    <row r="390" spans="1:21">
      <c r="A390" s="46" t="s">
        <v>704</v>
      </c>
      <c r="B390" s="46" t="s">
        <v>102</v>
      </c>
      <c r="C390" s="46" t="s">
        <v>666</v>
      </c>
      <c r="D390" s="46">
        <v>1</v>
      </c>
      <c r="E390" s="46">
        <v>0</v>
      </c>
      <c r="F390" s="46" t="s">
        <v>686</v>
      </c>
      <c r="G390" s="46" t="s">
        <v>1305</v>
      </c>
      <c r="H390" s="46" t="s">
        <v>2102</v>
      </c>
      <c r="I390" s="46" t="str">
        <f ca="1">IFERROR(__xludf.DUMMYFUNCTION("CONCAT(A390,REGEXREPLACE(H390,"".*_L0"",""_L0""))"),"HC_BN0737_MTG_snRNAseq_rep1_L002_I1_001.fastq.gz")</f>
        <v>HC_BN0737_MTG_snRNAseq_rep1_L002_I1_001.fastq.gz</v>
      </c>
      <c r="J390" s="46" t="str">
        <f t="shared" si="1"/>
        <v>/data/neurogen/ASAP/scRNAseq/data/batch7_ASAP_snRNA-seq_*/Raw_Data_and_Processing/cellranger_processing/cellranger_fastqs/outs/fastq_path/H*/BN0737_S3_L002_I1_001.fastq.gz</v>
      </c>
      <c r="K390" s="46" t="s">
        <v>1323</v>
      </c>
      <c r="L390" s="46" t="s">
        <v>2103</v>
      </c>
      <c r="M390" s="46" t="s">
        <v>1309</v>
      </c>
      <c r="N390" s="46" t="s">
        <v>1310</v>
      </c>
      <c r="O390" s="46" t="s">
        <v>1311</v>
      </c>
      <c r="P390" s="46" t="s">
        <v>1312</v>
      </c>
      <c r="Q390" s="46" t="s">
        <v>31</v>
      </c>
      <c r="R390" s="46" t="s">
        <v>31</v>
      </c>
      <c r="S390" s="46" t="s">
        <v>31</v>
      </c>
      <c r="T390" s="46" t="s">
        <v>31</v>
      </c>
      <c r="U390" s="46" t="s">
        <v>49</v>
      </c>
    </row>
    <row r="391" spans="1:21">
      <c r="A391" s="46" t="s">
        <v>704</v>
      </c>
      <c r="B391" s="46" t="s">
        <v>102</v>
      </c>
      <c r="C391" s="46" t="s">
        <v>666</v>
      </c>
      <c r="D391" s="46">
        <v>1</v>
      </c>
      <c r="E391" s="46">
        <v>0</v>
      </c>
      <c r="F391" s="46" t="s">
        <v>686</v>
      </c>
      <c r="G391" s="46" t="s">
        <v>1305</v>
      </c>
      <c r="H391" s="46" t="s">
        <v>2104</v>
      </c>
      <c r="I391" s="46" t="str">
        <f ca="1">IFERROR(__xludf.DUMMYFUNCTION("CONCAT(A391,REGEXREPLACE(H391,"".*_L0"",""_L0""))"),"HC_BN0737_MTG_snRNAseq_rep1_L002_I2_001.fastq.gz")</f>
        <v>HC_BN0737_MTG_snRNAseq_rep1_L002_I2_001.fastq.gz</v>
      </c>
      <c r="J391" s="46" t="str">
        <f t="shared" si="1"/>
        <v>/data/neurogen/ASAP/scRNAseq/data/batch7_ASAP_snRNA-seq_*/Raw_Data_and_Processing/cellranger_processing/cellranger_fastqs/outs/fastq_path/H*/BN0737_S3_L002_I2_001.fastq.gz</v>
      </c>
      <c r="K391" s="46" t="s">
        <v>1326</v>
      </c>
      <c r="L391" s="46" t="s">
        <v>2105</v>
      </c>
      <c r="M391" s="46" t="s">
        <v>1309</v>
      </c>
      <c r="N391" s="46" t="s">
        <v>1310</v>
      </c>
      <c r="O391" s="46" t="s">
        <v>1311</v>
      </c>
      <c r="P391" s="46" t="s">
        <v>1312</v>
      </c>
      <c r="Q391" s="46" t="s">
        <v>31</v>
      </c>
      <c r="R391" s="46" t="s">
        <v>31</v>
      </c>
      <c r="S391" s="46" t="s">
        <v>31</v>
      </c>
      <c r="T391" s="46" t="s">
        <v>31</v>
      </c>
      <c r="U391" s="46" t="s">
        <v>49</v>
      </c>
    </row>
    <row r="392" spans="1:21">
      <c r="A392" s="46" t="s">
        <v>704</v>
      </c>
      <c r="B392" s="46" t="s">
        <v>102</v>
      </c>
      <c r="C392" s="46" t="s">
        <v>666</v>
      </c>
      <c r="D392" s="46">
        <v>1</v>
      </c>
      <c r="E392" s="46">
        <v>0</v>
      </c>
      <c r="F392" s="46" t="s">
        <v>686</v>
      </c>
      <c r="G392" s="46" t="s">
        <v>1305</v>
      </c>
      <c r="H392" s="46" t="s">
        <v>2106</v>
      </c>
      <c r="I392" s="46" t="str">
        <f ca="1">IFERROR(__xludf.DUMMYFUNCTION("CONCAT(A392,REGEXREPLACE(H392,"".*_L0"",""_L0""))"),"HC_BN0737_MTG_snRNAseq_rep1_L002_R1_001.fastq.gz")</f>
        <v>HC_BN0737_MTG_snRNAseq_rep1_L002_R1_001.fastq.gz</v>
      </c>
      <c r="J392" s="46" t="str">
        <f t="shared" si="1"/>
        <v>/data/neurogen/ASAP/scRNAseq/data/batch7_ASAP_snRNA-seq_*/Raw_Data_and_Processing/cellranger_processing/cellranger_fastqs/outs/fastq_path/H*/BN0737_S3_L002_R1_001.fastq.gz</v>
      </c>
      <c r="K392" s="46" t="s">
        <v>1329</v>
      </c>
      <c r="L392" s="46" t="s">
        <v>2107</v>
      </c>
      <c r="M392" s="46" t="s">
        <v>1309</v>
      </c>
      <c r="N392" s="46" t="s">
        <v>1310</v>
      </c>
      <c r="O392" s="46" t="s">
        <v>1311</v>
      </c>
      <c r="P392" s="46" t="s">
        <v>1312</v>
      </c>
      <c r="Q392" s="46" t="s">
        <v>31</v>
      </c>
      <c r="R392" s="46" t="s">
        <v>31</v>
      </c>
      <c r="S392" s="46" t="s">
        <v>31</v>
      </c>
      <c r="T392" s="46" t="s">
        <v>31</v>
      </c>
      <c r="U392" s="46" t="s">
        <v>49</v>
      </c>
    </row>
    <row r="393" spans="1:21">
      <c r="A393" s="46" t="s">
        <v>704</v>
      </c>
      <c r="B393" s="46" t="s">
        <v>102</v>
      </c>
      <c r="C393" s="46" t="s">
        <v>666</v>
      </c>
      <c r="D393" s="46">
        <v>1</v>
      </c>
      <c r="E393" s="46">
        <v>0</v>
      </c>
      <c r="F393" s="46" t="s">
        <v>686</v>
      </c>
      <c r="G393" s="46" t="s">
        <v>1305</v>
      </c>
      <c r="H393" s="46" t="s">
        <v>2108</v>
      </c>
      <c r="I393" s="46" t="str">
        <f ca="1">IFERROR(__xludf.DUMMYFUNCTION("CONCAT(A393,REGEXREPLACE(H393,"".*_L0"",""_L0""))"),"HC_BN0737_MTG_snRNAseq_rep1_L002_R2_001.fastq.gz")</f>
        <v>HC_BN0737_MTG_snRNAseq_rep1_L002_R2_001.fastq.gz</v>
      </c>
      <c r="J393" s="46" t="str">
        <f t="shared" si="1"/>
        <v>/data/neurogen/ASAP/scRNAseq/data/batch7_ASAP_snRNA-seq_*/Raw_Data_and_Processing/cellranger_processing/cellranger_fastqs/outs/fastq_path/H*/BN0737_S3_L002_R2_001.fastq.gz</v>
      </c>
      <c r="K393" s="46" t="s">
        <v>1332</v>
      </c>
      <c r="L393" s="46" t="s">
        <v>2109</v>
      </c>
      <c r="M393" s="46" t="s">
        <v>1309</v>
      </c>
      <c r="N393" s="46" t="s">
        <v>1310</v>
      </c>
      <c r="O393" s="46" t="s">
        <v>1311</v>
      </c>
      <c r="P393" s="46" t="s">
        <v>1312</v>
      </c>
      <c r="Q393" s="46" t="s">
        <v>31</v>
      </c>
      <c r="R393" s="46" t="s">
        <v>31</v>
      </c>
      <c r="S393" s="46" t="s">
        <v>31</v>
      </c>
      <c r="T393" s="46" t="s">
        <v>31</v>
      </c>
      <c r="U393" s="46" t="s">
        <v>49</v>
      </c>
    </row>
    <row r="394" spans="1:21">
      <c r="A394" s="46" t="s">
        <v>704</v>
      </c>
      <c r="B394" s="46" t="s">
        <v>102</v>
      </c>
      <c r="C394" s="46" t="s">
        <v>666</v>
      </c>
      <c r="D394" s="46">
        <v>1</v>
      </c>
      <c r="E394" s="46">
        <v>0</v>
      </c>
      <c r="F394" s="46" t="s">
        <v>686</v>
      </c>
      <c r="G394" s="46" t="s">
        <v>1305</v>
      </c>
      <c r="H394" s="46" t="s">
        <v>2110</v>
      </c>
      <c r="I394" s="46" t="str">
        <f ca="1">IFERROR(__xludf.DUMMYFUNCTION("CONCAT(A394,REGEXREPLACE(H394,"".*_L0"",""_L0""))"),"HC_BN0737_MTG_snRNAseq_rep1_L003_I1_001.fastq.gz")</f>
        <v>HC_BN0737_MTG_snRNAseq_rep1_L003_I1_001.fastq.gz</v>
      </c>
      <c r="J394" s="46" t="str">
        <f t="shared" si="1"/>
        <v>/data/neurogen/ASAP/scRNAseq/data/batch7_ASAP_snRNA-seq_*/Raw_Data_and_Processing/cellranger_processing/cellranger_fastqs/outs/fastq_path/H*/BN0737_S3_L003_I1_001.fastq.gz</v>
      </c>
      <c r="K394" s="46" t="s">
        <v>1335</v>
      </c>
      <c r="L394" s="46" t="s">
        <v>2111</v>
      </c>
      <c r="M394" s="46" t="s">
        <v>1309</v>
      </c>
      <c r="N394" s="46" t="s">
        <v>1310</v>
      </c>
      <c r="O394" s="46" t="s">
        <v>1311</v>
      </c>
      <c r="P394" s="46" t="s">
        <v>1312</v>
      </c>
      <c r="Q394" s="46" t="s">
        <v>31</v>
      </c>
      <c r="R394" s="46" t="s">
        <v>31</v>
      </c>
      <c r="S394" s="46" t="s">
        <v>31</v>
      </c>
      <c r="T394" s="46" t="s">
        <v>31</v>
      </c>
      <c r="U394" s="46" t="s">
        <v>49</v>
      </c>
    </row>
    <row r="395" spans="1:21">
      <c r="A395" s="46" t="s">
        <v>704</v>
      </c>
      <c r="B395" s="46" t="s">
        <v>102</v>
      </c>
      <c r="C395" s="46" t="s">
        <v>666</v>
      </c>
      <c r="D395" s="46">
        <v>1</v>
      </c>
      <c r="E395" s="46">
        <v>0</v>
      </c>
      <c r="F395" s="46" t="s">
        <v>686</v>
      </c>
      <c r="G395" s="46" t="s">
        <v>1305</v>
      </c>
      <c r="H395" s="46" t="s">
        <v>2112</v>
      </c>
      <c r="I395" s="46" t="str">
        <f ca="1">IFERROR(__xludf.DUMMYFUNCTION("CONCAT(A395,REGEXREPLACE(H395,"".*_L0"",""_L0""))"),"HC_BN0737_MTG_snRNAseq_rep1_L003_I2_001.fastq.gz")</f>
        <v>HC_BN0737_MTG_snRNAseq_rep1_L003_I2_001.fastq.gz</v>
      </c>
      <c r="J395" s="46" t="str">
        <f t="shared" si="1"/>
        <v>/data/neurogen/ASAP/scRNAseq/data/batch7_ASAP_snRNA-seq_*/Raw_Data_and_Processing/cellranger_processing/cellranger_fastqs/outs/fastq_path/H*/BN0737_S3_L003_I2_001.fastq.gz</v>
      </c>
      <c r="K395" s="46" t="s">
        <v>1338</v>
      </c>
      <c r="L395" s="46" t="s">
        <v>2113</v>
      </c>
      <c r="M395" s="46" t="s">
        <v>1309</v>
      </c>
      <c r="N395" s="46" t="s">
        <v>1310</v>
      </c>
      <c r="O395" s="46" t="s">
        <v>1311</v>
      </c>
      <c r="P395" s="46" t="s">
        <v>1312</v>
      </c>
      <c r="Q395" s="46" t="s">
        <v>31</v>
      </c>
      <c r="R395" s="46" t="s">
        <v>31</v>
      </c>
      <c r="S395" s="46" t="s">
        <v>31</v>
      </c>
      <c r="T395" s="46" t="s">
        <v>31</v>
      </c>
      <c r="U395" s="46" t="s">
        <v>49</v>
      </c>
    </row>
    <row r="396" spans="1:21">
      <c r="A396" s="46" t="s">
        <v>704</v>
      </c>
      <c r="B396" s="46" t="s">
        <v>102</v>
      </c>
      <c r="C396" s="46" t="s">
        <v>666</v>
      </c>
      <c r="D396" s="46">
        <v>1</v>
      </c>
      <c r="E396" s="46">
        <v>0</v>
      </c>
      <c r="F396" s="46" t="s">
        <v>686</v>
      </c>
      <c r="G396" s="46" t="s">
        <v>1305</v>
      </c>
      <c r="H396" s="46" t="s">
        <v>2114</v>
      </c>
      <c r="I396" s="46" t="str">
        <f ca="1">IFERROR(__xludf.DUMMYFUNCTION("CONCAT(A396,REGEXREPLACE(H396,"".*_L0"",""_L0""))"),"HC_BN0737_MTG_snRNAseq_rep1_L003_R1_001.fastq.gz")</f>
        <v>HC_BN0737_MTG_snRNAseq_rep1_L003_R1_001.fastq.gz</v>
      </c>
      <c r="J396" s="46" t="str">
        <f t="shared" si="1"/>
        <v>/data/neurogen/ASAP/scRNAseq/data/batch7_ASAP_snRNA-seq_*/Raw_Data_and_Processing/cellranger_processing/cellranger_fastqs/outs/fastq_path/H*/BN0737_S3_L003_R1_001.fastq.gz</v>
      </c>
      <c r="K396" s="46" t="s">
        <v>1341</v>
      </c>
      <c r="L396" s="46" t="s">
        <v>2115</v>
      </c>
      <c r="M396" s="46" t="s">
        <v>1309</v>
      </c>
      <c r="N396" s="46" t="s">
        <v>1310</v>
      </c>
      <c r="O396" s="46" t="s">
        <v>1311</v>
      </c>
      <c r="P396" s="46" t="s">
        <v>1312</v>
      </c>
      <c r="Q396" s="46" t="s">
        <v>31</v>
      </c>
      <c r="R396" s="46" t="s">
        <v>31</v>
      </c>
      <c r="S396" s="46" t="s">
        <v>31</v>
      </c>
      <c r="T396" s="46" t="s">
        <v>31</v>
      </c>
      <c r="U396" s="46" t="s">
        <v>49</v>
      </c>
    </row>
    <row r="397" spans="1:21">
      <c r="A397" s="46" t="s">
        <v>704</v>
      </c>
      <c r="B397" s="46" t="s">
        <v>102</v>
      </c>
      <c r="C397" s="46" t="s">
        <v>666</v>
      </c>
      <c r="D397" s="46">
        <v>1</v>
      </c>
      <c r="E397" s="46">
        <v>0</v>
      </c>
      <c r="F397" s="46" t="s">
        <v>686</v>
      </c>
      <c r="G397" s="46" t="s">
        <v>1305</v>
      </c>
      <c r="H397" s="46" t="s">
        <v>2116</v>
      </c>
      <c r="I397" s="46" t="str">
        <f ca="1">IFERROR(__xludf.DUMMYFUNCTION("CONCAT(A397,REGEXREPLACE(H397,"".*_L0"",""_L0""))"),"HC_BN0737_MTG_snRNAseq_rep1_L003_R2_001.fastq.gz")</f>
        <v>HC_BN0737_MTG_snRNAseq_rep1_L003_R2_001.fastq.gz</v>
      </c>
      <c r="J397" s="46" t="str">
        <f t="shared" si="1"/>
        <v>/data/neurogen/ASAP/scRNAseq/data/batch7_ASAP_snRNA-seq_*/Raw_Data_and_Processing/cellranger_processing/cellranger_fastqs/outs/fastq_path/H*/BN0737_S3_L003_R2_001.fastq.gz</v>
      </c>
      <c r="K397" s="46" t="s">
        <v>1344</v>
      </c>
      <c r="L397" s="46" t="s">
        <v>2117</v>
      </c>
      <c r="M397" s="46" t="s">
        <v>1309</v>
      </c>
      <c r="N397" s="46" t="s">
        <v>1310</v>
      </c>
      <c r="O397" s="46" t="s">
        <v>1311</v>
      </c>
      <c r="P397" s="46" t="s">
        <v>1312</v>
      </c>
      <c r="Q397" s="46" t="s">
        <v>31</v>
      </c>
      <c r="R397" s="46" t="s">
        <v>31</v>
      </c>
      <c r="S397" s="46" t="s">
        <v>31</v>
      </c>
      <c r="T397" s="46" t="s">
        <v>31</v>
      </c>
      <c r="U397" s="46" t="s">
        <v>49</v>
      </c>
    </row>
    <row r="398" spans="1:21">
      <c r="A398" s="46" t="s">
        <v>704</v>
      </c>
      <c r="B398" s="46" t="s">
        <v>102</v>
      </c>
      <c r="C398" s="46" t="s">
        <v>666</v>
      </c>
      <c r="D398" s="46">
        <v>1</v>
      </c>
      <c r="E398" s="46">
        <v>0</v>
      </c>
      <c r="F398" s="46" t="s">
        <v>686</v>
      </c>
      <c r="G398" s="46" t="s">
        <v>1305</v>
      </c>
      <c r="H398" s="46" t="s">
        <v>2118</v>
      </c>
      <c r="I398" s="46" t="str">
        <f ca="1">IFERROR(__xludf.DUMMYFUNCTION("CONCAT(A398,REGEXREPLACE(H398,"".*_L0"",""_L0""))"),"HC_BN0737_MTG_snRNAseq_rep1_L004_I1_001.fastq.gz")</f>
        <v>HC_BN0737_MTG_snRNAseq_rep1_L004_I1_001.fastq.gz</v>
      </c>
      <c r="J398" s="46" t="str">
        <f t="shared" si="1"/>
        <v>/data/neurogen/ASAP/scRNAseq/data/batch7_ASAP_snRNA-seq_*/Raw_Data_and_Processing/cellranger_processing/cellranger_fastqs/outs/fastq_path/H*/BN0737_S3_L004_I1_001.fastq.gz</v>
      </c>
      <c r="K398" s="46" t="s">
        <v>1347</v>
      </c>
      <c r="L398" s="46" t="s">
        <v>2119</v>
      </c>
      <c r="M398" s="46" t="s">
        <v>1309</v>
      </c>
      <c r="N398" s="46" t="s">
        <v>1310</v>
      </c>
      <c r="O398" s="46" t="s">
        <v>1311</v>
      </c>
      <c r="P398" s="46" t="s">
        <v>1312</v>
      </c>
      <c r="Q398" s="46" t="s">
        <v>31</v>
      </c>
      <c r="R398" s="46" t="s">
        <v>31</v>
      </c>
      <c r="S398" s="46" t="s">
        <v>31</v>
      </c>
      <c r="T398" s="46" t="s">
        <v>31</v>
      </c>
      <c r="U398" s="46" t="s">
        <v>49</v>
      </c>
    </row>
    <row r="399" spans="1:21">
      <c r="A399" s="46" t="s">
        <v>704</v>
      </c>
      <c r="B399" s="46" t="s">
        <v>102</v>
      </c>
      <c r="C399" s="46" t="s">
        <v>666</v>
      </c>
      <c r="D399" s="46">
        <v>1</v>
      </c>
      <c r="E399" s="46">
        <v>0</v>
      </c>
      <c r="F399" s="46" t="s">
        <v>686</v>
      </c>
      <c r="G399" s="46" t="s">
        <v>1305</v>
      </c>
      <c r="H399" s="46" t="s">
        <v>2120</v>
      </c>
      <c r="I399" s="46" t="str">
        <f ca="1">IFERROR(__xludf.DUMMYFUNCTION("CONCAT(A399,REGEXREPLACE(H399,"".*_L0"",""_L0""))"),"HC_BN0737_MTG_snRNAseq_rep1_L004_I2_001.fastq.gz")</f>
        <v>HC_BN0737_MTG_snRNAseq_rep1_L004_I2_001.fastq.gz</v>
      </c>
      <c r="J399" s="46" t="str">
        <f t="shared" si="1"/>
        <v>/data/neurogen/ASAP/scRNAseq/data/batch7_ASAP_snRNA-seq_*/Raw_Data_and_Processing/cellranger_processing/cellranger_fastqs/outs/fastq_path/H*/BN0737_S3_L004_I2_001.fastq.gz</v>
      </c>
      <c r="K399" s="46" t="s">
        <v>1350</v>
      </c>
      <c r="L399" s="46" t="s">
        <v>2121</v>
      </c>
      <c r="M399" s="46" t="s">
        <v>1309</v>
      </c>
      <c r="N399" s="46" t="s">
        <v>1310</v>
      </c>
      <c r="O399" s="46" t="s">
        <v>1311</v>
      </c>
      <c r="P399" s="46" t="s">
        <v>1312</v>
      </c>
      <c r="Q399" s="46" t="s">
        <v>31</v>
      </c>
      <c r="R399" s="46" t="s">
        <v>31</v>
      </c>
      <c r="S399" s="46" t="s">
        <v>31</v>
      </c>
      <c r="T399" s="46" t="s">
        <v>31</v>
      </c>
      <c r="U399" s="46" t="s">
        <v>49</v>
      </c>
    </row>
    <row r="400" spans="1:21">
      <c r="A400" s="46" t="s">
        <v>704</v>
      </c>
      <c r="B400" s="46" t="s">
        <v>102</v>
      </c>
      <c r="C400" s="46" t="s">
        <v>666</v>
      </c>
      <c r="D400" s="46">
        <v>1</v>
      </c>
      <c r="E400" s="46">
        <v>0</v>
      </c>
      <c r="F400" s="46" t="s">
        <v>686</v>
      </c>
      <c r="G400" s="46" t="s">
        <v>1305</v>
      </c>
      <c r="H400" s="46" t="s">
        <v>2122</v>
      </c>
      <c r="I400" s="46" t="str">
        <f ca="1">IFERROR(__xludf.DUMMYFUNCTION("CONCAT(A400,REGEXREPLACE(H400,"".*_L0"",""_L0""))"),"HC_BN0737_MTG_snRNAseq_rep1_L004_R1_001.fastq.gz")</f>
        <v>HC_BN0737_MTG_snRNAseq_rep1_L004_R1_001.fastq.gz</v>
      </c>
      <c r="J400" s="46" t="str">
        <f t="shared" si="1"/>
        <v>/data/neurogen/ASAP/scRNAseq/data/batch7_ASAP_snRNA-seq_*/Raw_Data_and_Processing/cellranger_processing/cellranger_fastqs/outs/fastq_path/H*/BN0737_S3_L004_R1_001.fastq.gz</v>
      </c>
      <c r="K400" s="46" t="s">
        <v>1353</v>
      </c>
      <c r="L400" s="46" t="s">
        <v>2123</v>
      </c>
      <c r="M400" s="46" t="s">
        <v>1309</v>
      </c>
      <c r="N400" s="46" t="s">
        <v>1310</v>
      </c>
      <c r="O400" s="46" t="s">
        <v>1311</v>
      </c>
      <c r="P400" s="46" t="s">
        <v>1312</v>
      </c>
      <c r="Q400" s="46" t="s">
        <v>31</v>
      </c>
      <c r="R400" s="46" t="s">
        <v>31</v>
      </c>
      <c r="S400" s="46" t="s">
        <v>31</v>
      </c>
      <c r="T400" s="46" t="s">
        <v>31</v>
      </c>
      <c r="U400" s="46" t="s">
        <v>49</v>
      </c>
    </row>
    <row r="401" spans="1:21">
      <c r="A401" s="46" t="s">
        <v>704</v>
      </c>
      <c r="B401" s="46" t="s">
        <v>102</v>
      </c>
      <c r="C401" s="46" t="s">
        <v>666</v>
      </c>
      <c r="D401" s="46">
        <v>1</v>
      </c>
      <c r="E401" s="46">
        <v>0</v>
      </c>
      <c r="F401" s="46" t="s">
        <v>686</v>
      </c>
      <c r="G401" s="46" t="s">
        <v>1305</v>
      </c>
      <c r="H401" s="46" t="s">
        <v>2124</v>
      </c>
      <c r="I401" s="46" t="str">
        <f ca="1">IFERROR(__xludf.DUMMYFUNCTION("CONCAT(A401,REGEXREPLACE(H401,"".*_L0"",""_L0""))"),"HC_BN0737_MTG_snRNAseq_rep1_L004_R2_001.fastq.gz")</f>
        <v>HC_BN0737_MTG_snRNAseq_rep1_L004_R2_001.fastq.gz</v>
      </c>
      <c r="J401" s="46" t="str">
        <f t="shared" si="1"/>
        <v>/data/neurogen/ASAP/scRNAseq/data/batch7_ASAP_snRNA-seq_*/Raw_Data_and_Processing/cellranger_processing/cellranger_fastqs/outs/fastq_path/H*/BN0737_S3_L004_R2_001.fastq.gz</v>
      </c>
      <c r="K401" s="46" t="s">
        <v>1356</v>
      </c>
      <c r="L401" s="46" t="s">
        <v>2125</v>
      </c>
      <c r="M401" s="46" t="s">
        <v>1309</v>
      </c>
      <c r="N401" s="46" t="s">
        <v>1310</v>
      </c>
      <c r="O401" s="46" t="s">
        <v>1311</v>
      </c>
      <c r="P401" s="46" t="s">
        <v>1312</v>
      </c>
      <c r="Q401" s="46" t="s">
        <v>31</v>
      </c>
      <c r="R401" s="46" t="s">
        <v>31</v>
      </c>
      <c r="S401" s="46" t="s">
        <v>31</v>
      </c>
      <c r="T401" s="46" t="s">
        <v>31</v>
      </c>
      <c r="U401" s="46" t="s">
        <v>49</v>
      </c>
    </row>
    <row r="402" spans="1:21">
      <c r="A402" s="46" t="s">
        <v>711</v>
      </c>
      <c r="B402" s="46" t="s">
        <v>110</v>
      </c>
      <c r="C402" s="46" t="s">
        <v>666</v>
      </c>
      <c r="D402" s="46">
        <v>1</v>
      </c>
      <c r="E402" s="46">
        <v>0</v>
      </c>
      <c r="F402" s="46" t="s">
        <v>686</v>
      </c>
      <c r="G402" s="46" t="s">
        <v>1305</v>
      </c>
      <c r="H402" s="46" t="s">
        <v>2126</v>
      </c>
      <c r="I402" s="46" t="str">
        <f ca="1">IFERROR(__xludf.DUMMYFUNCTION("CONCAT(A402,REGEXREPLACE(H402,"".*_L0"",""_L0""))"),"PD_BN0952_MTG_snRNAseq_rep1_L001_I1_001.fastq.gz")</f>
        <v>PD_BN0952_MTG_snRNAseq_rep1_L001_I1_001.fastq.gz</v>
      </c>
      <c r="J402" s="46" t="str">
        <f t="shared" si="1"/>
        <v>/data/neurogen/ASAP/scRNAseq/data/batch7_ASAP_snRNA-seq_*/Raw_Data_and_Processing/cellranger_processing/cellranger_fastqs/outs/fastq_path/H*/BN0952_S2_L001_I1_001.fastq.gz</v>
      </c>
      <c r="K402" s="46" t="s">
        <v>1307</v>
      </c>
      <c r="L402" s="46" t="s">
        <v>2127</v>
      </c>
      <c r="M402" s="46" t="s">
        <v>1309</v>
      </c>
      <c r="N402" s="46" t="s">
        <v>1310</v>
      </c>
      <c r="O402" s="46" t="s">
        <v>1311</v>
      </c>
      <c r="P402" s="46" t="s">
        <v>1312</v>
      </c>
      <c r="Q402" s="46" t="s">
        <v>31</v>
      </c>
      <c r="R402" s="46" t="s">
        <v>31</v>
      </c>
      <c r="S402" s="46" t="s">
        <v>31</v>
      </c>
      <c r="T402" s="46" t="s">
        <v>31</v>
      </c>
      <c r="U402" s="46" t="s">
        <v>49</v>
      </c>
    </row>
    <row r="403" spans="1:21">
      <c r="A403" s="46" t="s">
        <v>711</v>
      </c>
      <c r="B403" s="46" t="s">
        <v>110</v>
      </c>
      <c r="C403" s="46" t="s">
        <v>666</v>
      </c>
      <c r="D403" s="46">
        <v>1</v>
      </c>
      <c r="E403" s="46">
        <v>0</v>
      </c>
      <c r="F403" s="46" t="s">
        <v>686</v>
      </c>
      <c r="G403" s="46" t="s">
        <v>1305</v>
      </c>
      <c r="H403" s="46" t="s">
        <v>2128</v>
      </c>
      <c r="I403" s="46" t="str">
        <f ca="1">IFERROR(__xludf.DUMMYFUNCTION("CONCAT(A403,REGEXREPLACE(H403,"".*_L0"",""_L0""))"),"PD_BN0952_MTG_snRNAseq_rep1_L001_I2_001.fastq.gz")</f>
        <v>PD_BN0952_MTG_snRNAseq_rep1_L001_I2_001.fastq.gz</v>
      </c>
      <c r="J403" s="46" t="str">
        <f t="shared" si="1"/>
        <v>/data/neurogen/ASAP/scRNAseq/data/batch7_ASAP_snRNA-seq_*/Raw_Data_and_Processing/cellranger_processing/cellranger_fastqs/outs/fastq_path/H*/BN0952_S2_L001_I2_001.fastq.gz</v>
      </c>
      <c r="K403" s="46" t="s">
        <v>1314</v>
      </c>
      <c r="L403" s="46" t="s">
        <v>2129</v>
      </c>
      <c r="M403" s="46" t="s">
        <v>1309</v>
      </c>
      <c r="N403" s="46" t="s">
        <v>1310</v>
      </c>
      <c r="O403" s="46" t="s">
        <v>1311</v>
      </c>
      <c r="P403" s="46" t="s">
        <v>1312</v>
      </c>
      <c r="Q403" s="46" t="s">
        <v>31</v>
      </c>
      <c r="R403" s="46" t="s">
        <v>31</v>
      </c>
      <c r="S403" s="46" t="s">
        <v>31</v>
      </c>
      <c r="T403" s="46" t="s">
        <v>31</v>
      </c>
      <c r="U403" s="46" t="s">
        <v>49</v>
      </c>
    </row>
    <row r="404" spans="1:21">
      <c r="A404" s="46" t="s">
        <v>711</v>
      </c>
      <c r="B404" s="46" t="s">
        <v>110</v>
      </c>
      <c r="C404" s="46" t="s">
        <v>666</v>
      </c>
      <c r="D404" s="46">
        <v>1</v>
      </c>
      <c r="E404" s="46">
        <v>0</v>
      </c>
      <c r="F404" s="46" t="s">
        <v>686</v>
      </c>
      <c r="G404" s="46" t="s">
        <v>1305</v>
      </c>
      <c r="H404" s="46" t="s">
        <v>2130</v>
      </c>
      <c r="I404" s="46" t="str">
        <f ca="1">IFERROR(__xludf.DUMMYFUNCTION("CONCAT(A404,REGEXREPLACE(H404,"".*_L0"",""_L0""))"),"PD_BN0952_MTG_snRNAseq_rep1_L001_R1_001.fastq.gz")</f>
        <v>PD_BN0952_MTG_snRNAseq_rep1_L001_R1_001.fastq.gz</v>
      </c>
      <c r="J404" s="46" t="str">
        <f t="shared" si="1"/>
        <v>/data/neurogen/ASAP/scRNAseq/data/batch7_ASAP_snRNA-seq_*/Raw_Data_and_Processing/cellranger_processing/cellranger_fastqs/outs/fastq_path/H*/BN0952_S2_L001_R1_001.fastq.gz</v>
      </c>
      <c r="K404" s="46" t="s">
        <v>1317</v>
      </c>
      <c r="L404" s="46" t="s">
        <v>2131</v>
      </c>
      <c r="M404" s="46" t="s">
        <v>1309</v>
      </c>
      <c r="N404" s="46" t="s">
        <v>1310</v>
      </c>
      <c r="O404" s="46" t="s">
        <v>1311</v>
      </c>
      <c r="P404" s="46" t="s">
        <v>1312</v>
      </c>
      <c r="Q404" s="46" t="s">
        <v>31</v>
      </c>
      <c r="R404" s="46" t="s">
        <v>31</v>
      </c>
      <c r="S404" s="46" t="s">
        <v>31</v>
      </c>
      <c r="T404" s="46" t="s">
        <v>31</v>
      </c>
      <c r="U404" s="46" t="s">
        <v>49</v>
      </c>
    </row>
    <row r="405" spans="1:21">
      <c r="A405" s="46" t="s">
        <v>711</v>
      </c>
      <c r="B405" s="46" t="s">
        <v>110</v>
      </c>
      <c r="C405" s="46" t="s">
        <v>666</v>
      </c>
      <c r="D405" s="46">
        <v>1</v>
      </c>
      <c r="E405" s="46">
        <v>0</v>
      </c>
      <c r="F405" s="46" t="s">
        <v>686</v>
      </c>
      <c r="G405" s="46" t="s">
        <v>1305</v>
      </c>
      <c r="H405" s="46" t="s">
        <v>2132</v>
      </c>
      <c r="I405" s="46" t="str">
        <f ca="1">IFERROR(__xludf.DUMMYFUNCTION("CONCAT(A405,REGEXREPLACE(H405,"".*_L0"",""_L0""))"),"PD_BN0952_MTG_snRNAseq_rep1_L001_R2_001.fastq.gz")</f>
        <v>PD_BN0952_MTG_snRNAseq_rep1_L001_R2_001.fastq.gz</v>
      </c>
      <c r="J405" s="46" t="str">
        <f t="shared" si="1"/>
        <v>/data/neurogen/ASAP/scRNAseq/data/batch7_ASAP_snRNA-seq_*/Raw_Data_and_Processing/cellranger_processing/cellranger_fastqs/outs/fastq_path/H*/BN0952_S2_L001_R2_001.fastq.gz</v>
      </c>
      <c r="K405" s="46" t="s">
        <v>1320</v>
      </c>
      <c r="L405" s="46" t="s">
        <v>2133</v>
      </c>
      <c r="M405" s="46" t="s">
        <v>1309</v>
      </c>
      <c r="N405" s="46" t="s">
        <v>1310</v>
      </c>
      <c r="O405" s="46" t="s">
        <v>1311</v>
      </c>
      <c r="P405" s="46" t="s">
        <v>1312</v>
      </c>
      <c r="Q405" s="46" t="s">
        <v>31</v>
      </c>
      <c r="R405" s="46" t="s">
        <v>31</v>
      </c>
      <c r="S405" s="46" t="s">
        <v>31</v>
      </c>
      <c r="T405" s="46" t="s">
        <v>31</v>
      </c>
      <c r="U405" s="46" t="s">
        <v>49</v>
      </c>
    </row>
    <row r="406" spans="1:21">
      <c r="A406" s="46" t="s">
        <v>711</v>
      </c>
      <c r="B406" s="46" t="s">
        <v>110</v>
      </c>
      <c r="C406" s="46" t="s">
        <v>666</v>
      </c>
      <c r="D406" s="46">
        <v>1</v>
      </c>
      <c r="E406" s="46">
        <v>0</v>
      </c>
      <c r="F406" s="46" t="s">
        <v>686</v>
      </c>
      <c r="G406" s="46" t="s">
        <v>1305</v>
      </c>
      <c r="H406" s="46" t="s">
        <v>2134</v>
      </c>
      <c r="I406" s="46" t="str">
        <f ca="1">IFERROR(__xludf.DUMMYFUNCTION("CONCAT(A406,REGEXREPLACE(H406,"".*_L0"",""_L0""))"),"PD_BN0952_MTG_snRNAseq_rep1_L002_I1_001.fastq.gz")</f>
        <v>PD_BN0952_MTG_snRNAseq_rep1_L002_I1_001.fastq.gz</v>
      </c>
      <c r="J406" s="46" t="str">
        <f t="shared" si="1"/>
        <v>/data/neurogen/ASAP/scRNAseq/data/batch7_ASAP_snRNA-seq_*/Raw_Data_and_Processing/cellranger_processing/cellranger_fastqs/outs/fastq_path/H*/BN0952_S2_L002_I1_001.fastq.gz</v>
      </c>
      <c r="K406" s="46" t="s">
        <v>1323</v>
      </c>
      <c r="L406" s="46" t="s">
        <v>2135</v>
      </c>
      <c r="M406" s="46" t="s">
        <v>1309</v>
      </c>
      <c r="N406" s="46" t="s">
        <v>1310</v>
      </c>
      <c r="O406" s="46" t="s">
        <v>1311</v>
      </c>
      <c r="P406" s="46" t="s">
        <v>1312</v>
      </c>
      <c r="Q406" s="46" t="s">
        <v>31</v>
      </c>
      <c r="R406" s="46" t="s">
        <v>31</v>
      </c>
      <c r="S406" s="46" t="s">
        <v>31</v>
      </c>
      <c r="T406" s="46" t="s">
        <v>31</v>
      </c>
      <c r="U406" s="46" t="s">
        <v>49</v>
      </c>
    </row>
    <row r="407" spans="1:21">
      <c r="A407" s="46" t="s">
        <v>711</v>
      </c>
      <c r="B407" s="46" t="s">
        <v>110</v>
      </c>
      <c r="C407" s="46" t="s">
        <v>666</v>
      </c>
      <c r="D407" s="46">
        <v>1</v>
      </c>
      <c r="E407" s="46">
        <v>0</v>
      </c>
      <c r="F407" s="46" t="s">
        <v>686</v>
      </c>
      <c r="G407" s="46" t="s">
        <v>1305</v>
      </c>
      <c r="H407" s="46" t="s">
        <v>2136</v>
      </c>
      <c r="I407" s="46" t="str">
        <f ca="1">IFERROR(__xludf.DUMMYFUNCTION("CONCAT(A407,REGEXREPLACE(H407,"".*_L0"",""_L0""))"),"PD_BN0952_MTG_snRNAseq_rep1_L002_I2_001.fastq.gz")</f>
        <v>PD_BN0952_MTG_snRNAseq_rep1_L002_I2_001.fastq.gz</v>
      </c>
      <c r="J407" s="46" t="str">
        <f t="shared" si="1"/>
        <v>/data/neurogen/ASAP/scRNAseq/data/batch7_ASAP_snRNA-seq_*/Raw_Data_and_Processing/cellranger_processing/cellranger_fastqs/outs/fastq_path/H*/BN0952_S2_L002_I2_001.fastq.gz</v>
      </c>
      <c r="K407" s="46" t="s">
        <v>1326</v>
      </c>
      <c r="L407" s="46" t="s">
        <v>2137</v>
      </c>
      <c r="M407" s="46" t="s">
        <v>1309</v>
      </c>
      <c r="N407" s="46" t="s">
        <v>1310</v>
      </c>
      <c r="O407" s="46" t="s">
        <v>1311</v>
      </c>
      <c r="P407" s="46" t="s">
        <v>1312</v>
      </c>
      <c r="Q407" s="46" t="s">
        <v>31</v>
      </c>
      <c r="R407" s="46" t="s">
        <v>31</v>
      </c>
      <c r="S407" s="46" t="s">
        <v>31</v>
      </c>
      <c r="T407" s="46" t="s">
        <v>31</v>
      </c>
      <c r="U407" s="46" t="s">
        <v>49</v>
      </c>
    </row>
    <row r="408" spans="1:21">
      <c r="A408" s="46" t="s">
        <v>711</v>
      </c>
      <c r="B408" s="46" t="s">
        <v>110</v>
      </c>
      <c r="C408" s="46" t="s">
        <v>666</v>
      </c>
      <c r="D408" s="46">
        <v>1</v>
      </c>
      <c r="E408" s="46">
        <v>0</v>
      </c>
      <c r="F408" s="46" t="s">
        <v>686</v>
      </c>
      <c r="G408" s="46" t="s">
        <v>1305</v>
      </c>
      <c r="H408" s="46" t="s">
        <v>2138</v>
      </c>
      <c r="I408" s="46" t="str">
        <f ca="1">IFERROR(__xludf.DUMMYFUNCTION("CONCAT(A408,REGEXREPLACE(H408,"".*_L0"",""_L0""))"),"PD_BN0952_MTG_snRNAseq_rep1_L002_R1_001.fastq.gz")</f>
        <v>PD_BN0952_MTG_snRNAseq_rep1_L002_R1_001.fastq.gz</v>
      </c>
      <c r="J408" s="46" t="str">
        <f t="shared" si="1"/>
        <v>/data/neurogen/ASAP/scRNAseq/data/batch7_ASAP_snRNA-seq_*/Raw_Data_and_Processing/cellranger_processing/cellranger_fastqs/outs/fastq_path/H*/BN0952_S2_L002_R1_001.fastq.gz</v>
      </c>
      <c r="K408" s="46" t="s">
        <v>1329</v>
      </c>
      <c r="L408" s="46" t="s">
        <v>2139</v>
      </c>
      <c r="M408" s="46" t="s">
        <v>1309</v>
      </c>
      <c r="N408" s="46" t="s">
        <v>1310</v>
      </c>
      <c r="O408" s="46" t="s">
        <v>1311</v>
      </c>
      <c r="P408" s="46" t="s">
        <v>1312</v>
      </c>
      <c r="Q408" s="46" t="s">
        <v>31</v>
      </c>
      <c r="R408" s="46" t="s">
        <v>31</v>
      </c>
      <c r="S408" s="46" t="s">
        <v>31</v>
      </c>
      <c r="T408" s="46" t="s">
        <v>31</v>
      </c>
      <c r="U408" s="46" t="s">
        <v>49</v>
      </c>
    </row>
    <row r="409" spans="1:21">
      <c r="A409" s="46" t="s">
        <v>711</v>
      </c>
      <c r="B409" s="46" t="s">
        <v>110</v>
      </c>
      <c r="C409" s="46" t="s">
        <v>666</v>
      </c>
      <c r="D409" s="46">
        <v>1</v>
      </c>
      <c r="E409" s="46">
        <v>0</v>
      </c>
      <c r="F409" s="46" t="s">
        <v>686</v>
      </c>
      <c r="G409" s="46" t="s">
        <v>1305</v>
      </c>
      <c r="H409" s="46" t="s">
        <v>2140</v>
      </c>
      <c r="I409" s="46" t="str">
        <f ca="1">IFERROR(__xludf.DUMMYFUNCTION("CONCAT(A409,REGEXREPLACE(H409,"".*_L0"",""_L0""))"),"PD_BN0952_MTG_snRNAseq_rep1_L002_R2_001.fastq.gz")</f>
        <v>PD_BN0952_MTG_snRNAseq_rep1_L002_R2_001.fastq.gz</v>
      </c>
      <c r="J409" s="46" t="str">
        <f t="shared" si="1"/>
        <v>/data/neurogen/ASAP/scRNAseq/data/batch7_ASAP_snRNA-seq_*/Raw_Data_and_Processing/cellranger_processing/cellranger_fastqs/outs/fastq_path/H*/BN0952_S2_L002_R2_001.fastq.gz</v>
      </c>
      <c r="K409" s="46" t="s">
        <v>1332</v>
      </c>
      <c r="L409" s="46" t="s">
        <v>2141</v>
      </c>
      <c r="M409" s="46" t="s">
        <v>1309</v>
      </c>
      <c r="N409" s="46" t="s">
        <v>1310</v>
      </c>
      <c r="O409" s="46" t="s">
        <v>1311</v>
      </c>
      <c r="P409" s="46" t="s">
        <v>1312</v>
      </c>
      <c r="Q409" s="46" t="s">
        <v>31</v>
      </c>
      <c r="R409" s="46" t="s">
        <v>31</v>
      </c>
      <c r="S409" s="46" t="s">
        <v>31</v>
      </c>
      <c r="T409" s="46" t="s">
        <v>31</v>
      </c>
      <c r="U409" s="46" t="s">
        <v>49</v>
      </c>
    </row>
    <row r="410" spans="1:21">
      <c r="A410" s="46" t="s">
        <v>711</v>
      </c>
      <c r="B410" s="46" t="s">
        <v>110</v>
      </c>
      <c r="C410" s="46" t="s">
        <v>666</v>
      </c>
      <c r="D410" s="46">
        <v>1</v>
      </c>
      <c r="E410" s="46">
        <v>0</v>
      </c>
      <c r="F410" s="46" t="s">
        <v>686</v>
      </c>
      <c r="G410" s="46" t="s">
        <v>1305</v>
      </c>
      <c r="H410" s="46" t="s">
        <v>2142</v>
      </c>
      <c r="I410" s="46" t="str">
        <f ca="1">IFERROR(__xludf.DUMMYFUNCTION("CONCAT(A410,REGEXREPLACE(H410,"".*_L0"",""_L0""))"),"PD_BN0952_MTG_snRNAseq_rep1_L003_I1_001.fastq.gz")</f>
        <v>PD_BN0952_MTG_snRNAseq_rep1_L003_I1_001.fastq.gz</v>
      </c>
      <c r="J410" s="46" t="str">
        <f t="shared" si="1"/>
        <v>/data/neurogen/ASAP/scRNAseq/data/batch7_ASAP_snRNA-seq_*/Raw_Data_and_Processing/cellranger_processing/cellranger_fastqs/outs/fastq_path/H*/BN0952_S2_L003_I1_001.fastq.gz</v>
      </c>
      <c r="K410" s="46" t="s">
        <v>1335</v>
      </c>
      <c r="L410" s="46" t="s">
        <v>2143</v>
      </c>
      <c r="M410" s="46" t="s">
        <v>1309</v>
      </c>
      <c r="N410" s="46" t="s">
        <v>1310</v>
      </c>
      <c r="O410" s="46" t="s">
        <v>1311</v>
      </c>
      <c r="P410" s="46" t="s">
        <v>1312</v>
      </c>
      <c r="Q410" s="46" t="s">
        <v>31</v>
      </c>
      <c r="R410" s="46" t="s">
        <v>31</v>
      </c>
      <c r="S410" s="46" t="s">
        <v>31</v>
      </c>
      <c r="T410" s="46" t="s">
        <v>31</v>
      </c>
      <c r="U410" s="46" t="s">
        <v>49</v>
      </c>
    </row>
    <row r="411" spans="1:21">
      <c r="A411" s="46" t="s">
        <v>711</v>
      </c>
      <c r="B411" s="46" t="s">
        <v>110</v>
      </c>
      <c r="C411" s="46" t="s">
        <v>666</v>
      </c>
      <c r="D411" s="46">
        <v>1</v>
      </c>
      <c r="E411" s="46">
        <v>0</v>
      </c>
      <c r="F411" s="46" t="s">
        <v>686</v>
      </c>
      <c r="G411" s="46" t="s">
        <v>1305</v>
      </c>
      <c r="H411" s="46" t="s">
        <v>2144</v>
      </c>
      <c r="I411" s="46" t="str">
        <f ca="1">IFERROR(__xludf.DUMMYFUNCTION("CONCAT(A411,REGEXREPLACE(H411,"".*_L0"",""_L0""))"),"PD_BN0952_MTG_snRNAseq_rep1_L003_I2_001.fastq.gz")</f>
        <v>PD_BN0952_MTG_snRNAseq_rep1_L003_I2_001.fastq.gz</v>
      </c>
      <c r="J411" s="46" t="str">
        <f t="shared" si="1"/>
        <v>/data/neurogen/ASAP/scRNAseq/data/batch7_ASAP_snRNA-seq_*/Raw_Data_and_Processing/cellranger_processing/cellranger_fastqs/outs/fastq_path/H*/BN0952_S2_L003_I2_001.fastq.gz</v>
      </c>
      <c r="K411" s="46" t="s">
        <v>1338</v>
      </c>
      <c r="L411" s="46" t="s">
        <v>2145</v>
      </c>
      <c r="M411" s="46" t="s">
        <v>1309</v>
      </c>
      <c r="N411" s="46" t="s">
        <v>1310</v>
      </c>
      <c r="O411" s="46" t="s">
        <v>1311</v>
      </c>
      <c r="P411" s="46" t="s">
        <v>1312</v>
      </c>
      <c r="Q411" s="46" t="s">
        <v>31</v>
      </c>
      <c r="R411" s="46" t="s">
        <v>31</v>
      </c>
      <c r="S411" s="46" t="s">
        <v>31</v>
      </c>
      <c r="T411" s="46" t="s">
        <v>31</v>
      </c>
      <c r="U411" s="46" t="s">
        <v>49</v>
      </c>
    </row>
    <row r="412" spans="1:21">
      <c r="A412" s="46" t="s">
        <v>711</v>
      </c>
      <c r="B412" s="46" t="s">
        <v>110</v>
      </c>
      <c r="C412" s="46" t="s">
        <v>666</v>
      </c>
      <c r="D412" s="46">
        <v>1</v>
      </c>
      <c r="E412" s="46">
        <v>0</v>
      </c>
      <c r="F412" s="46" t="s">
        <v>686</v>
      </c>
      <c r="G412" s="46" t="s">
        <v>1305</v>
      </c>
      <c r="H412" s="46" t="s">
        <v>2146</v>
      </c>
      <c r="I412" s="46" t="str">
        <f ca="1">IFERROR(__xludf.DUMMYFUNCTION("CONCAT(A412,REGEXREPLACE(H412,"".*_L0"",""_L0""))"),"PD_BN0952_MTG_snRNAseq_rep1_L003_R1_001.fastq.gz")</f>
        <v>PD_BN0952_MTG_snRNAseq_rep1_L003_R1_001.fastq.gz</v>
      </c>
      <c r="J412" s="46" t="str">
        <f t="shared" si="1"/>
        <v>/data/neurogen/ASAP/scRNAseq/data/batch7_ASAP_snRNA-seq_*/Raw_Data_and_Processing/cellranger_processing/cellranger_fastqs/outs/fastq_path/H*/BN0952_S2_L003_R1_001.fastq.gz</v>
      </c>
      <c r="K412" s="46" t="s">
        <v>1341</v>
      </c>
      <c r="L412" s="46" t="s">
        <v>2147</v>
      </c>
      <c r="M412" s="46" t="s">
        <v>1309</v>
      </c>
      <c r="N412" s="46" t="s">
        <v>1310</v>
      </c>
      <c r="O412" s="46" t="s">
        <v>1311</v>
      </c>
      <c r="P412" s="46" t="s">
        <v>1312</v>
      </c>
      <c r="Q412" s="46" t="s">
        <v>31</v>
      </c>
      <c r="R412" s="46" t="s">
        <v>31</v>
      </c>
      <c r="S412" s="46" t="s">
        <v>31</v>
      </c>
      <c r="T412" s="46" t="s">
        <v>31</v>
      </c>
      <c r="U412" s="46" t="s">
        <v>49</v>
      </c>
    </row>
    <row r="413" spans="1:21">
      <c r="A413" s="46" t="s">
        <v>711</v>
      </c>
      <c r="B413" s="46" t="s">
        <v>110</v>
      </c>
      <c r="C413" s="46" t="s">
        <v>666</v>
      </c>
      <c r="D413" s="46">
        <v>1</v>
      </c>
      <c r="E413" s="46">
        <v>0</v>
      </c>
      <c r="F413" s="46" t="s">
        <v>686</v>
      </c>
      <c r="G413" s="46" t="s">
        <v>1305</v>
      </c>
      <c r="H413" s="46" t="s">
        <v>2148</v>
      </c>
      <c r="I413" s="46" t="str">
        <f ca="1">IFERROR(__xludf.DUMMYFUNCTION("CONCAT(A413,REGEXREPLACE(H413,"".*_L0"",""_L0""))"),"PD_BN0952_MTG_snRNAseq_rep1_L003_R2_001.fastq.gz")</f>
        <v>PD_BN0952_MTG_snRNAseq_rep1_L003_R2_001.fastq.gz</v>
      </c>
      <c r="J413" s="46" t="str">
        <f t="shared" si="1"/>
        <v>/data/neurogen/ASAP/scRNAseq/data/batch7_ASAP_snRNA-seq_*/Raw_Data_and_Processing/cellranger_processing/cellranger_fastqs/outs/fastq_path/H*/BN0952_S2_L003_R2_001.fastq.gz</v>
      </c>
      <c r="K413" s="46" t="s">
        <v>1344</v>
      </c>
      <c r="L413" s="46" t="s">
        <v>2149</v>
      </c>
      <c r="M413" s="46" t="s">
        <v>1309</v>
      </c>
      <c r="N413" s="46" t="s">
        <v>1310</v>
      </c>
      <c r="O413" s="46" t="s">
        <v>1311</v>
      </c>
      <c r="P413" s="46" t="s">
        <v>1312</v>
      </c>
      <c r="Q413" s="46" t="s">
        <v>31</v>
      </c>
      <c r="R413" s="46" t="s">
        <v>31</v>
      </c>
      <c r="S413" s="46" t="s">
        <v>31</v>
      </c>
      <c r="T413" s="46" t="s">
        <v>31</v>
      </c>
      <c r="U413" s="46" t="s">
        <v>49</v>
      </c>
    </row>
    <row r="414" spans="1:21">
      <c r="A414" s="46" t="s">
        <v>711</v>
      </c>
      <c r="B414" s="46" t="s">
        <v>110</v>
      </c>
      <c r="C414" s="46" t="s">
        <v>666</v>
      </c>
      <c r="D414" s="46">
        <v>1</v>
      </c>
      <c r="E414" s="46">
        <v>0</v>
      </c>
      <c r="F414" s="46" t="s">
        <v>686</v>
      </c>
      <c r="G414" s="46" t="s">
        <v>1305</v>
      </c>
      <c r="H414" s="46" t="s">
        <v>2150</v>
      </c>
      <c r="I414" s="46" t="str">
        <f ca="1">IFERROR(__xludf.DUMMYFUNCTION("CONCAT(A414,REGEXREPLACE(H414,"".*_L0"",""_L0""))"),"PD_BN0952_MTG_snRNAseq_rep1_L004_I1_001.fastq.gz")</f>
        <v>PD_BN0952_MTG_snRNAseq_rep1_L004_I1_001.fastq.gz</v>
      </c>
      <c r="J414" s="46" t="str">
        <f t="shared" si="1"/>
        <v>/data/neurogen/ASAP/scRNAseq/data/batch7_ASAP_snRNA-seq_*/Raw_Data_and_Processing/cellranger_processing/cellranger_fastqs/outs/fastq_path/H*/BN0952_S2_L004_I1_001.fastq.gz</v>
      </c>
      <c r="K414" s="46" t="s">
        <v>1347</v>
      </c>
      <c r="L414" s="46" t="s">
        <v>2151</v>
      </c>
      <c r="M414" s="46" t="s">
        <v>1309</v>
      </c>
      <c r="N414" s="46" t="s">
        <v>1310</v>
      </c>
      <c r="O414" s="46" t="s">
        <v>1311</v>
      </c>
      <c r="P414" s="46" t="s">
        <v>1312</v>
      </c>
      <c r="Q414" s="46" t="s">
        <v>31</v>
      </c>
      <c r="R414" s="46" t="s">
        <v>31</v>
      </c>
      <c r="S414" s="46" t="s">
        <v>31</v>
      </c>
      <c r="T414" s="46" t="s">
        <v>31</v>
      </c>
      <c r="U414" s="46" t="s">
        <v>49</v>
      </c>
    </row>
    <row r="415" spans="1:21">
      <c r="A415" s="46" t="s">
        <v>711</v>
      </c>
      <c r="B415" s="46" t="s">
        <v>110</v>
      </c>
      <c r="C415" s="46" t="s">
        <v>666</v>
      </c>
      <c r="D415" s="46">
        <v>1</v>
      </c>
      <c r="E415" s="46">
        <v>0</v>
      </c>
      <c r="F415" s="46" t="s">
        <v>686</v>
      </c>
      <c r="G415" s="46" t="s">
        <v>1305</v>
      </c>
      <c r="H415" s="46" t="s">
        <v>2152</v>
      </c>
      <c r="I415" s="46" t="str">
        <f ca="1">IFERROR(__xludf.DUMMYFUNCTION("CONCAT(A415,REGEXREPLACE(H415,"".*_L0"",""_L0""))"),"PD_BN0952_MTG_snRNAseq_rep1_L004_I2_001.fastq.gz")</f>
        <v>PD_BN0952_MTG_snRNAseq_rep1_L004_I2_001.fastq.gz</v>
      </c>
      <c r="J415" s="46" t="str">
        <f t="shared" si="1"/>
        <v>/data/neurogen/ASAP/scRNAseq/data/batch7_ASAP_snRNA-seq_*/Raw_Data_and_Processing/cellranger_processing/cellranger_fastqs/outs/fastq_path/H*/BN0952_S2_L004_I2_001.fastq.gz</v>
      </c>
      <c r="K415" s="46" t="s">
        <v>1350</v>
      </c>
      <c r="L415" s="46" t="s">
        <v>2153</v>
      </c>
      <c r="M415" s="46" t="s">
        <v>1309</v>
      </c>
      <c r="N415" s="46" t="s">
        <v>1310</v>
      </c>
      <c r="O415" s="46" t="s">
        <v>1311</v>
      </c>
      <c r="P415" s="46" t="s">
        <v>1312</v>
      </c>
      <c r="Q415" s="46" t="s">
        <v>31</v>
      </c>
      <c r="R415" s="46" t="s">
        <v>31</v>
      </c>
      <c r="S415" s="46" t="s">
        <v>31</v>
      </c>
      <c r="T415" s="46" t="s">
        <v>31</v>
      </c>
      <c r="U415" s="46" t="s">
        <v>49</v>
      </c>
    </row>
    <row r="416" spans="1:21">
      <c r="A416" s="46" t="s">
        <v>711</v>
      </c>
      <c r="B416" s="46" t="s">
        <v>110</v>
      </c>
      <c r="C416" s="46" t="s">
        <v>666</v>
      </c>
      <c r="D416" s="46">
        <v>1</v>
      </c>
      <c r="E416" s="46">
        <v>0</v>
      </c>
      <c r="F416" s="46" t="s">
        <v>686</v>
      </c>
      <c r="G416" s="46" t="s">
        <v>1305</v>
      </c>
      <c r="H416" s="46" t="s">
        <v>2154</v>
      </c>
      <c r="I416" s="46" t="str">
        <f ca="1">IFERROR(__xludf.DUMMYFUNCTION("CONCAT(A416,REGEXREPLACE(H416,"".*_L0"",""_L0""))"),"PD_BN0952_MTG_snRNAseq_rep1_L004_R1_001.fastq.gz")</f>
        <v>PD_BN0952_MTG_snRNAseq_rep1_L004_R1_001.fastq.gz</v>
      </c>
      <c r="J416" s="46" t="str">
        <f t="shared" si="1"/>
        <v>/data/neurogen/ASAP/scRNAseq/data/batch7_ASAP_snRNA-seq_*/Raw_Data_and_Processing/cellranger_processing/cellranger_fastqs/outs/fastq_path/H*/BN0952_S2_L004_R1_001.fastq.gz</v>
      </c>
      <c r="K416" s="46" t="s">
        <v>1353</v>
      </c>
      <c r="L416" s="46" t="s">
        <v>2155</v>
      </c>
      <c r="M416" s="46" t="s">
        <v>1309</v>
      </c>
      <c r="N416" s="46" t="s">
        <v>1310</v>
      </c>
      <c r="O416" s="46" t="s">
        <v>1311</v>
      </c>
      <c r="P416" s="46" t="s">
        <v>1312</v>
      </c>
      <c r="Q416" s="46" t="s">
        <v>31</v>
      </c>
      <c r="R416" s="46" t="s">
        <v>31</v>
      </c>
      <c r="S416" s="46" t="s">
        <v>31</v>
      </c>
      <c r="T416" s="46" t="s">
        <v>31</v>
      </c>
      <c r="U416" s="46" t="s">
        <v>49</v>
      </c>
    </row>
    <row r="417" spans="1:21">
      <c r="A417" s="46" t="s">
        <v>711</v>
      </c>
      <c r="B417" s="46" t="s">
        <v>110</v>
      </c>
      <c r="C417" s="46" t="s">
        <v>666</v>
      </c>
      <c r="D417" s="46">
        <v>1</v>
      </c>
      <c r="E417" s="46">
        <v>0</v>
      </c>
      <c r="F417" s="46" t="s">
        <v>686</v>
      </c>
      <c r="G417" s="46" t="s">
        <v>1305</v>
      </c>
      <c r="H417" s="46" t="s">
        <v>2156</v>
      </c>
      <c r="I417" s="46" t="str">
        <f ca="1">IFERROR(__xludf.DUMMYFUNCTION("CONCAT(A417,REGEXREPLACE(H417,"".*_L0"",""_L0""))"),"PD_BN0952_MTG_snRNAseq_rep1_L004_R2_001.fastq.gz")</f>
        <v>PD_BN0952_MTG_snRNAseq_rep1_L004_R2_001.fastq.gz</v>
      </c>
      <c r="J417" s="46" t="str">
        <f t="shared" si="1"/>
        <v>/data/neurogen/ASAP/scRNAseq/data/batch7_ASAP_snRNA-seq_*/Raw_Data_and_Processing/cellranger_processing/cellranger_fastqs/outs/fastq_path/H*/BN0952_S2_L004_R2_001.fastq.gz</v>
      </c>
      <c r="K417" s="46" t="s">
        <v>1356</v>
      </c>
      <c r="L417" s="46" t="s">
        <v>2157</v>
      </c>
      <c r="M417" s="46" t="s">
        <v>1309</v>
      </c>
      <c r="N417" s="46" t="s">
        <v>1310</v>
      </c>
      <c r="O417" s="46" t="s">
        <v>1311</v>
      </c>
      <c r="P417" s="46" t="s">
        <v>1312</v>
      </c>
      <c r="Q417" s="46" t="s">
        <v>31</v>
      </c>
      <c r="R417" s="46" t="s">
        <v>31</v>
      </c>
      <c r="S417" s="46" t="s">
        <v>31</v>
      </c>
      <c r="T417" s="46" t="s">
        <v>31</v>
      </c>
      <c r="U417" s="46" t="s">
        <v>49</v>
      </c>
    </row>
    <row r="418" spans="1:21">
      <c r="A418" s="46" t="s">
        <v>714</v>
      </c>
      <c r="B418" s="46" t="s">
        <v>113</v>
      </c>
      <c r="C418" s="46" t="s">
        <v>666</v>
      </c>
      <c r="D418" s="46">
        <v>2</v>
      </c>
      <c r="E418" s="46">
        <v>0</v>
      </c>
      <c r="F418" s="46" t="s">
        <v>686</v>
      </c>
      <c r="G418" s="46" t="s">
        <v>1305</v>
      </c>
      <c r="H418" s="46" t="s">
        <v>2158</v>
      </c>
      <c r="I418" s="46" t="str">
        <f ca="1">IFERROR(__xludf.DUMMYFUNCTION("CONCAT(A418,REGEXREPLACE(H418,"".*_L0"",""_L0""))"),"PD_BN1076_MTG_snRNAseq_rep1_L001_I1_001.fastq.gz")</f>
        <v>PD_BN1076_MTG_snRNAseq_rep1_L001_I1_001.fastq.gz</v>
      </c>
      <c r="J418" s="46" t="str">
        <f t="shared" si="1"/>
        <v>/data/neurogen/ASAP/scRNAseq/data/batch7_ASAP_snRNA-seq_*/Raw_Data_and_Processing/cellranger_processing/cellranger_fastqs/outs/fastq_path/H*/BN1076_S4_L001_I1_001.fastq.gz</v>
      </c>
      <c r="K418" s="46" t="s">
        <v>1307</v>
      </c>
      <c r="L418" s="46" t="s">
        <v>2159</v>
      </c>
      <c r="M418" s="46" t="s">
        <v>1309</v>
      </c>
      <c r="N418" s="46" t="s">
        <v>1310</v>
      </c>
      <c r="O418" s="46" t="s">
        <v>1311</v>
      </c>
      <c r="P418" s="46" t="s">
        <v>1312</v>
      </c>
      <c r="Q418" s="46" t="s">
        <v>31</v>
      </c>
      <c r="R418" s="46" t="s">
        <v>31</v>
      </c>
      <c r="S418" s="46" t="s">
        <v>31</v>
      </c>
      <c r="T418" s="46" t="s">
        <v>31</v>
      </c>
      <c r="U418" s="46" t="s">
        <v>49</v>
      </c>
    </row>
    <row r="419" spans="1:21">
      <c r="A419" s="46" t="s">
        <v>714</v>
      </c>
      <c r="B419" s="46" t="s">
        <v>113</v>
      </c>
      <c r="C419" s="46" t="s">
        <v>666</v>
      </c>
      <c r="D419" s="46">
        <v>2</v>
      </c>
      <c r="E419" s="46">
        <v>0</v>
      </c>
      <c r="F419" s="46" t="s">
        <v>686</v>
      </c>
      <c r="G419" s="46" t="s">
        <v>1305</v>
      </c>
      <c r="H419" s="46" t="s">
        <v>2160</v>
      </c>
      <c r="I419" s="46" t="str">
        <f ca="1">IFERROR(__xludf.DUMMYFUNCTION("CONCAT(A419,REGEXREPLACE(H419,"".*_L0"",""_L0""))"),"PD_BN1076_MTG_snRNAseq_rep1_L001_I2_001.fastq.gz")</f>
        <v>PD_BN1076_MTG_snRNAseq_rep1_L001_I2_001.fastq.gz</v>
      </c>
      <c r="J419" s="46" t="str">
        <f t="shared" si="1"/>
        <v>/data/neurogen/ASAP/scRNAseq/data/batch7_ASAP_snRNA-seq_*/Raw_Data_and_Processing/cellranger_processing/cellranger_fastqs/outs/fastq_path/H*/BN1076_S4_L001_I2_001.fastq.gz</v>
      </c>
      <c r="K419" s="46" t="s">
        <v>1314</v>
      </c>
      <c r="L419" s="46" t="s">
        <v>2161</v>
      </c>
      <c r="M419" s="46" t="s">
        <v>1309</v>
      </c>
      <c r="N419" s="46" t="s">
        <v>1310</v>
      </c>
      <c r="O419" s="46" t="s">
        <v>1311</v>
      </c>
      <c r="P419" s="46" t="s">
        <v>1312</v>
      </c>
      <c r="Q419" s="46" t="s">
        <v>31</v>
      </c>
      <c r="R419" s="46" t="s">
        <v>31</v>
      </c>
      <c r="S419" s="46" t="s">
        <v>31</v>
      </c>
      <c r="T419" s="46" t="s">
        <v>31</v>
      </c>
      <c r="U419" s="46" t="s">
        <v>49</v>
      </c>
    </row>
    <row r="420" spans="1:21">
      <c r="A420" s="46" t="s">
        <v>714</v>
      </c>
      <c r="B420" s="46" t="s">
        <v>113</v>
      </c>
      <c r="C420" s="46" t="s">
        <v>666</v>
      </c>
      <c r="D420" s="46">
        <v>2</v>
      </c>
      <c r="E420" s="46">
        <v>0</v>
      </c>
      <c r="F420" s="46" t="s">
        <v>686</v>
      </c>
      <c r="G420" s="46" t="s">
        <v>1305</v>
      </c>
      <c r="H420" s="46" t="s">
        <v>2162</v>
      </c>
      <c r="I420" s="46" t="str">
        <f ca="1">IFERROR(__xludf.DUMMYFUNCTION("CONCAT(A420,REGEXREPLACE(H420,"".*_L0"",""_L0""))"),"PD_BN1076_MTG_snRNAseq_rep1_L001_R1_001.fastq.gz")</f>
        <v>PD_BN1076_MTG_snRNAseq_rep1_L001_R1_001.fastq.gz</v>
      </c>
      <c r="J420" s="46" t="str">
        <f t="shared" si="1"/>
        <v>/data/neurogen/ASAP/scRNAseq/data/batch7_ASAP_snRNA-seq_*/Raw_Data_and_Processing/cellranger_processing/cellranger_fastqs/outs/fastq_path/H*/BN1076_S4_L001_R1_001.fastq.gz</v>
      </c>
      <c r="K420" s="46" t="s">
        <v>1317</v>
      </c>
      <c r="L420" s="46" t="s">
        <v>2163</v>
      </c>
      <c r="M420" s="46" t="s">
        <v>1309</v>
      </c>
      <c r="N420" s="46" t="s">
        <v>1310</v>
      </c>
      <c r="O420" s="46" t="s">
        <v>1311</v>
      </c>
      <c r="P420" s="46" t="s">
        <v>1312</v>
      </c>
      <c r="Q420" s="46" t="s">
        <v>31</v>
      </c>
      <c r="R420" s="46" t="s">
        <v>31</v>
      </c>
      <c r="S420" s="46" t="s">
        <v>31</v>
      </c>
      <c r="T420" s="46" t="s">
        <v>31</v>
      </c>
      <c r="U420" s="46" t="s">
        <v>49</v>
      </c>
    </row>
    <row r="421" spans="1:21">
      <c r="A421" s="46" t="s">
        <v>714</v>
      </c>
      <c r="B421" s="46" t="s">
        <v>113</v>
      </c>
      <c r="C421" s="46" t="s">
        <v>666</v>
      </c>
      <c r="D421" s="46">
        <v>2</v>
      </c>
      <c r="E421" s="46">
        <v>0</v>
      </c>
      <c r="F421" s="46" t="s">
        <v>686</v>
      </c>
      <c r="G421" s="46" t="s">
        <v>1305</v>
      </c>
      <c r="H421" s="46" t="s">
        <v>2164</v>
      </c>
      <c r="I421" s="46" t="str">
        <f ca="1">IFERROR(__xludf.DUMMYFUNCTION("CONCAT(A421,REGEXREPLACE(H421,"".*_L0"",""_L0""))"),"PD_BN1076_MTG_snRNAseq_rep1_L001_R2_001.fastq.gz")</f>
        <v>PD_BN1076_MTG_snRNAseq_rep1_L001_R2_001.fastq.gz</v>
      </c>
      <c r="J421" s="46" t="str">
        <f t="shared" si="1"/>
        <v>/data/neurogen/ASAP/scRNAseq/data/batch7_ASAP_snRNA-seq_*/Raw_Data_and_Processing/cellranger_processing/cellranger_fastqs/outs/fastq_path/H*/BN1076_S4_L001_R2_001.fastq.gz</v>
      </c>
      <c r="K421" s="46" t="s">
        <v>1320</v>
      </c>
      <c r="L421" s="46" t="s">
        <v>2165</v>
      </c>
      <c r="M421" s="46" t="s">
        <v>1309</v>
      </c>
      <c r="N421" s="46" t="s">
        <v>1310</v>
      </c>
      <c r="O421" s="46" t="s">
        <v>1311</v>
      </c>
      <c r="P421" s="46" t="s">
        <v>1312</v>
      </c>
      <c r="Q421" s="46" t="s">
        <v>31</v>
      </c>
      <c r="R421" s="46" t="s">
        <v>31</v>
      </c>
      <c r="S421" s="46" t="s">
        <v>31</v>
      </c>
      <c r="T421" s="46" t="s">
        <v>31</v>
      </c>
      <c r="U421" s="46" t="s">
        <v>49</v>
      </c>
    </row>
    <row r="422" spans="1:21">
      <c r="A422" s="46" t="s">
        <v>714</v>
      </c>
      <c r="B422" s="46" t="s">
        <v>113</v>
      </c>
      <c r="C422" s="46" t="s">
        <v>666</v>
      </c>
      <c r="D422" s="46">
        <v>2</v>
      </c>
      <c r="E422" s="46">
        <v>0</v>
      </c>
      <c r="F422" s="46" t="s">
        <v>686</v>
      </c>
      <c r="G422" s="46" t="s">
        <v>1305</v>
      </c>
      <c r="H422" s="46" t="s">
        <v>2166</v>
      </c>
      <c r="I422" s="46" t="str">
        <f ca="1">IFERROR(__xludf.DUMMYFUNCTION("CONCAT(A422,REGEXREPLACE(H422,"".*_L0"",""_L0""))"),"PD_BN1076_MTG_snRNAseq_rep1_L002_I1_001.fastq.gz")</f>
        <v>PD_BN1076_MTG_snRNAseq_rep1_L002_I1_001.fastq.gz</v>
      </c>
      <c r="J422" s="46" t="str">
        <f t="shared" si="1"/>
        <v>/data/neurogen/ASAP/scRNAseq/data/batch7_ASAP_snRNA-seq_*/Raw_Data_and_Processing/cellranger_processing/cellranger_fastqs/outs/fastq_path/H*/BN1076_S4_L002_I1_001.fastq.gz</v>
      </c>
      <c r="K422" s="46" t="s">
        <v>1323</v>
      </c>
      <c r="L422" s="46" t="s">
        <v>2167</v>
      </c>
      <c r="M422" s="46" t="s">
        <v>1309</v>
      </c>
      <c r="N422" s="46" t="s">
        <v>1310</v>
      </c>
      <c r="O422" s="46" t="s">
        <v>1311</v>
      </c>
      <c r="P422" s="46" t="s">
        <v>1312</v>
      </c>
      <c r="Q422" s="46" t="s">
        <v>31</v>
      </c>
      <c r="R422" s="46" t="s">
        <v>31</v>
      </c>
      <c r="S422" s="46" t="s">
        <v>31</v>
      </c>
      <c r="T422" s="46" t="s">
        <v>31</v>
      </c>
      <c r="U422" s="46" t="s">
        <v>49</v>
      </c>
    </row>
    <row r="423" spans="1:21">
      <c r="A423" s="46" t="s">
        <v>714</v>
      </c>
      <c r="B423" s="46" t="s">
        <v>113</v>
      </c>
      <c r="C423" s="46" t="s">
        <v>666</v>
      </c>
      <c r="D423" s="46">
        <v>2</v>
      </c>
      <c r="E423" s="46">
        <v>0</v>
      </c>
      <c r="F423" s="46" t="s">
        <v>686</v>
      </c>
      <c r="G423" s="46" t="s">
        <v>1305</v>
      </c>
      <c r="H423" s="46" t="s">
        <v>2168</v>
      </c>
      <c r="I423" s="46" t="str">
        <f ca="1">IFERROR(__xludf.DUMMYFUNCTION("CONCAT(A423,REGEXREPLACE(H423,"".*_L0"",""_L0""))"),"PD_BN1076_MTG_snRNAseq_rep1_L002_I2_001.fastq.gz")</f>
        <v>PD_BN1076_MTG_snRNAseq_rep1_L002_I2_001.fastq.gz</v>
      </c>
      <c r="J423" s="46" t="str">
        <f t="shared" si="1"/>
        <v>/data/neurogen/ASAP/scRNAseq/data/batch7_ASAP_snRNA-seq_*/Raw_Data_and_Processing/cellranger_processing/cellranger_fastqs/outs/fastq_path/H*/BN1076_S4_L002_I2_001.fastq.gz</v>
      </c>
      <c r="K423" s="46" t="s">
        <v>1326</v>
      </c>
      <c r="L423" s="46" t="s">
        <v>2169</v>
      </c>
      <c r="M423" s="46" t="s">
        <v>1309</v>
      </c>
      <c r="N423" s="46" t="s">
        <v>1310</v>
      </c>
      <c r="O423" s="46" t="s">
        <v>1311</v>
      </c>
      <c r="P423" s="46" t="s">
        <v>1312</v>
      </c>
      <c r="Q423" s="46" t="s">
        <v>31</v>
      </c>
      <c r="R423" s="46" t="s">
        <v>31</v>
      </c>
      <c r="S423" s="46" t="s">
        <v>31</v>
      </c>
      <c r="T423" s="46" t="s">
        <v>31</v>
      </c>
      <c r="U423" s="46" t="s">
        <v>49</v>
      </c>
    </row>
    <row r="424" spans="1:21">
      <c r="A424" s="46" t="s">
        <v>714</v>
      </c>
      <c r="B424" s="46" t="s">
        <v>113</v>
      </c>
      <c r="C424" s="46" t="s">
        <v>666</v>
      </c>
      <c r="D424" s="46">
        <v>2</v>
      </c>
      <c r="E424" s="46">
        <v>0</v>
      </c>
      <c r="F424" s="46" t="s">
        <v>686</v>
      </c>
      <c r="G424" s="46" t="s">
        <v>1305</v>
      </c>
      <c r="H424" s="46" t="s">
        <v>2170</v>
      </c>
      <c r="I424" s="46" t="str">
        <f ca="1">IFERROR(__xludf.DUMMYFUNCTION("CONCAT(A424,REGEXREPLACE(H424,"".*_L0"",""_L0""))"),"PD_BN1076_MTG_snRNAseq_rep1_L002_R1_001.fastq.gz")</f>
        <v>PD_BN1076_MTG_snRNAseq_rep1_L002_R1_001.fastq.gz</v>
      </c>
      <c r="J424" s="46" t="str">
        <f t="shared" si="1"/>
        <v>/data/neurogen/ASAP/scRNAseq/data/batch7_ASAP_snRNA-seq_*/Raw_Data_and_Processing/cellranger_processing/cellranger_fastqs/outs/fastq_path/H*/BN1076_S4_L002_R1_001.fastq.gz</v>
      </c>
      <c r="K424" s="46" t="s">
        <v>1329</v>
      </c>
      <c r="L424" s="46" t="s">
        <v>2171</v>
      </c>
      <c r="M424" s="46" t="s">
        <v>1309</v>
      </c>
      <c r="N424" s="46" t="s">
        <v>1310</v>
      </c>
      <c r="O424" s="46" t="s">
        <v>1311</v>
      </c>
      <c r="P424" s="46" t="s">
        <v>1312</v>
      </c>
      <c r="Q424" s="46" t="s">
        <v>31</v>
      </c>
      <c r="R424" s="46" t="s">
        <v>31</v>
      </c>
      <c r="S424" s="46" t="s">
        <v>31</v>
      </c>
      <c r="T424" s="46" t="s">
        <v>31</v>
      </c>
      <c r="U424" s="46" t="s">
        <v>49</v>
      </c>
    </row>
    <row r="425" spans="1:21">
      <c r="A425" s="46" t="s">
        <v>714</v>
      </c>
      <c r="B425" s="46" t="s">
        <v>113</v>
      </c>
      <c r="C425" s="46" t="s">
        <v>666</v>
      </c>
      <c r="D425" s="46">
        <v>2</v>
      </c>
      <c r="E425" s="46">
        <v>0</v>
      </c>
      <c r="F425" s="46" t="s">
        <v>686</v>
      </c>
      <c r="G425" s="46" t="s">
        <v>1305</v>
      </c>
      <c r="H425" s="46" t="s">
        <v>2172</v>
      </c>
      <c r="I425" s="46" t="str">
        <f ca="1">IFERROR(__xludf.DUMMYFUNCTION("CONCAT(A425,REGEXREPLACE(H425,"".*_L0"",""_L0""))"),"PD_BN1076_MTG_snRNAseq_rep1_L002_R2_001.fastq.gz")</f>
        <v>PD_BN1076_MTG_snRNAseq_rep1_L002_R2_001.fastq.gz</v>
      </c>
      <c r="J425" s="46" t="str">
        <f t="shared" si="1"/>
        <v>/data/neurogen/ASAP/scRNAseq/data/batch7_ASAP_snRNA-seq_*/Raw_Data_and_Processing/cellranger_processing/cellranger_fastqs/outs/fastq_path/H*/BN1076_S4_L002_R2_001.fastq.gz</v>
      </c>
      <c r="K425" s="46" t="s">
        <v>1332</v>
      </c>
      <c r="L425" s="47" t="s">
        <v>2173</v>
      </c>
      <c r="M425" s="46" t="s">
        <v>1309</v>
      </c>
      <c r="N425" s="46" t="s">
        <v>1310</v>
      </c>
      <c r="O425" s="46" t="s">
        <v>1311</v>
      </c>
      <c r="P425" s="46" t="s">
        <v>1312</v>
      </c>
      <c r="Q425" s="46" t="s">
        <v>31</v>
      </c>
      <c r="R425" s="46" t="s">
        <v>31</v>
      </c>
      <c r="S425" s="46" t="s">
        <v>31</v>
      </c>
      <c r="T425" s="46" t="s">
        <v>31</v>
      </c>
      <c r="U425" s="46" t="s">
        <v>49</v>
      </c>
    </row>
    <row r="426" spans="1:21">
      <c r="A426" s="46" t="s">
        <v>714</v>
      </c>
      <c r="B426" s="46" t="s">
        <v>113</v>
      </c>
      <c r="C426" s="46" t="s">
        <v>666</v>
      </c>
      <c r="D426" s="46">
        <v>2</v>
      </c>
      <c r="E426" s="46">
        <v>0</v>
      </c>
      <c r="F426" s="46" t="s">
        <v>686</v>
      </c>
      <c r="G426" s="46" t="s">
        <v>1305</v>
      </c>
      <c r="H426" s="46" t="s">
        <v>2174</v>
      </c>
      <c r="I426" s="46" t="str">
        <f ca="1">IFERROR(__xludf.DUMMYFUNCTION("CONCAT(A426,REGEXREPLACE(H426,"".*_L0"",""_L0""))"),"PD_BN1076_MTG_snRNAseq_rep1_L003_I1_001.fastq.gz")</f>
        <v>PD_BN1076_MTG_snRNAseq_rep1_L003_I1_001.fastq.gz</v>
      </c>
      <c r="J426" s="46" t="str">
        <f t="shared" si="1"/>
        <v>/data/neurogen/ASAP/scRNAseq/data/batch7_ASAP_snRNA-seq_*/Raw_Data_and_Processing/cellranger_processing/cellranger_fastqs/outs/fastq_path/H*/BN1076_S4_L003_I1_001.fastq.gz</v>
      </c>
      <c r="K426" s="46" t="s">
        <v>1335</v>
      </c>
      <c r="L426" s="46" t="s">
        <v>2175</v>
      </c>
      <c r="M426" s="46" t="s">
        <v>1309</v>
      </c>
      <c r="N426" s="46" t="s">
        <v>1310</v>
      </c>
      <c r="O426" s="46" t="s">
        <v>1311</v>
      </c>
      <c r="P426" s="46" t="s">
        <v>1312</v>
      </c>
      <c r="Q426" s="46" t="s">
        <v>31</v>
      </c>
      <c r="R426" s="46" t="s">
        <v>31</v>
      </c>
      <c r="S426" s="46" t="s">
        <v>31</v>
      </c>
      <c r="T426" s="46" t="s">
        <v>31</v>
      </c>
      <c r="U426" s="46" t="s">
        <v>49</v>
      </c>
    </row>
    <row r="427" spans="1:21">
      <c r="A427" s="46" t="s">
        <v>714</v>
      </c>
      <c r="B427" s="46" t="s">
        <v>113</v>
      </c>
      <c r="C427" s="46" t="s">
        <v>666</v>
      </c>
      <c r="D427" s="46">
        <v>2</v>
      </c>
      <c r="E427" s="46">
        <v>0</v>
      </c>
      <c r="F427" s="46" t="s">
        <v>686</v>
      </c>
      <c r="G427" s="46" t="s">
        <v>1305</v>
      </c>
      <c r="H427" s="46" t="s">
        <v>2176</v>
      </c>
      <c r="I427" s="46" t="str">
        <f ca="1">IFERROR(__xludf.DUMMYFUNCTION("CONCAT(A427,REGEXREPLACE(H427,"".*_L0"",""_L0""))"),"PD_BN1076_MTG_snRNAseq_rep1_L003_I2_001.fastq.gz")</f>
        <v>PD_BN1076_MTG_snRNAseq_rep1_L003_I2_001.fastq.gz</v>
      </c>
      <c r="J427" s="46" t="str">
        <f t="shared" si="1"/>
        <v>/data/neurogen/ASAP/scRNAseq/data/batch7_ASAP_snRNA-seq_*/Raw_Data_and_Processing/cellranger_processing/cellranger_fastqs/outs/fastq_path/H*/BN1076_S4_L003_I2_001.fastq.gz</v>
      </c>
      <c r="K427" s="46" t="s">
        <v>1338</v>
      </c>
      <c r="L427" s="46" t="s">
        <v>2177</v>
      </c>
      <c r="M427" s="46" t="s">
        <v>1309</v>
      </c>
      <c r="N427" s="46" t="s">
        <v>1310</v>
      </c>
      <c r="O427" s="46" t="s">
        <v>1311</v>
      </c>
      <c r="P427" s="46" t="s">
        <v>1312</v>
      </c>
      <c r="Q427" s="46" t="s">
        <v>31</v>
      </c>
      <c r="R427" s="46" t="s">
        <v>31</v>
      </c>
      <c r="S427" s="46" t="s">
        <v>31</v>
      </c>
      <c r="T427" s="46" t="s">
        <v>31</v>
      </c>
      <c r="U427" s="46" t="s">
        <v>49</v>
      </c>
    </row>
    <row r="428" spans="1:21">
      <c r="A428" s="46" t="s">
        <v>714</v>
      </c>
      <c r="B428" s="46" t="s">
        <v>113</v>
      </c>
      <c r="C428" s="46" t="s">
        <v>666</v>
      </c>
      <c r="D428" s="46">
        <v>2</v>
      </c>
      <c r="E428" s="46">
        <v>0</v>
      </c>
      <c r="F428" s="46" t="s">
        <v>686</v>
      </c>
      <c r="G428" s="46" t="s">
        <v>1305</v>
      </c>
      <c r="H428" s="46" t="s">
        <v>2178</v>
      </c>
      <c r="I428" s="46" t="str">
        <f ca="1">IFERROR(__xludf.DUMMYFUNCTION("CONCAT(A428,REGEXREPLACE(H428,"".*_L0"",""_L0""))"),"PD_BN1076_MTG_snRNAseq_rep1_L003_R1_001.fastq.gz")</f>
        <v>PD_BN1076_MTG_snRNAseq_rep1_L003_R1_001.fastq.gz</v>
      </c>
      <c r="J428" s="46" t="str">
        <f t="shared" si="1"/>
        <v>/data/neurogen/ASAP/scRNAseq/data/batch7_ASAP_snRNA-seq_*/Raw_Data_and_Processing/cellranger_processing/cellranger_fastqs/outs/fastq_path/H*/BN1076_S4_L003_R1_001.fastq.gz</v>
      </c>
      <c r="K428" s="46" t="s">
        <v>1341</v>
      </c>
      <c r="L428" s="46" t="s">
        <v>2179</v>
      </c>
      <c r="M428" s="46" t="s">
        <v>1309</v>
      </c>
      <c r="N428" s="46" t="s">
        <v>1310</v>
      </c>
      <c r="O428" s="46" t="s">
        <v>1311</v>
      </c>
      <c r="P428" s="46" t="s">
        <v>1312</v>
      </c>
      <c r="Q428" s="46" t="s">
        <v>31</v>
      </c>
      <c r="R428" s="46" t="s">
        <v>31</v>
      </c>
      <c r="S428" s="46" t="s">
        <v>31</v>
      </c>
      <c r="T428" s="46" t="s">
        <v>31</v>
      </c>
      <c r="U428" s="46" t="s">
        <v>49</v>
      </c>
    </row>
    <row r="429" spans="1:21">
      <c r="A429" s="46" t="s">
        <v>714</v>
      </c>
      <c r="B429" s="46" t="s">
        <v>113</v>
      </c>
      <c r="C429" s="46" t="s">
        <v>666</v>
      </c>
      <c r="D429" s="46">
        <v>2</v>
      </c>
      <c r="E429" s="46">
        <v>0</v>
      </c>
      <c r="F429" s="46" t="s">
        <v>686</v>
      </c>
      <c r="G429" s="46" t="s">
        <v>1305</v>
      </c>
      <c r="H429" s="46" t="s">
        <v>2180</v>
      </c>
      <c r="I429" s="46" t="str">
        <f ca="1">IFERROR(__xludf.DUMMYFUNCTION("CONCAT(A429,REGEXREPLACE(H429,"".*_L0"",""_L0""))"),"PD_BN1076_MTG_snRNAseq_rep1_L003_R2_001.fastq.gz")</f>
        <v>PD_BN1076_MTG_snRNAseq_rep1_L003_R2_001.fastq.gz</v>
      </c>
      <c r="J429" s="46" t="str">
        <f t="shared" si="1"/>
        <v>/data/neurogen/ASAP/scRNAseq/data/batch7_ASAP_snRNA-seq_*/Raw_Data_and_Processing/cellranger_processing/cellranger_fastqs/outs/fastq_path/H*/BN1076_S4_L003_R2_001.fastq.gz</v>
      </c>
      <c r="K429" s="46" t="s">
        <v>1344</v>
      </c>
      <c r="L429" s="46" t="s">
        <v>2181</v>
      </c>
      <c r="M429" s="46" t="s">
        <v>1309</v>
      </c>
      <c r="N429" s="46" t="s">
        <v>1310</v>
      </c>
      <c r="O429" s="46" t="s">
        <v>1311</v>
      </c>
      <c r="P429" s="46" t="s">
        <v>1312</v>
      </c>
      <c r="Q429" s="46" t="s">
        <v>31</v>
      </c>
      <c r="R429" s="46" t="s">
        <v>31</v>
      </c>
      <c r="S429" s="46" t="s">
        <v>31</v>
      </c>
      <c r="T429" s="46" t="s">
        <v>31</v>
      </c>
      <c r="U429" s="46" t="s">
        <v>49</v>
      </c>
    </row>
    <row r="430" spans="1:21">
      <c r="A430" s="46" t="s">
        <v>714</v>
      </c>
      <c r="B430" s="46" t="s">
        <v>113</v>
      </c>
      <c r="C430" s="46" t="s">
        <v>666</v>
      </c>
      <c r="D430" s="46">
        <v>2</v>
      </c>
      <c r="E430" s="46">
        <v>0</v>
      </c>
      <c r="F430" s="46" t="s">
        <v>686</v>
      </c>
      <c r="G430" s="46" t="s">
        <v>1305</v>
      </c>
      <c r="H430" s="46" t="s">
        <v>2182</v>
      </c>
      <c r="I430" s="46" t="str">
        <f ca="1">IFERROR(__xludf.DUMMYFUNCTION("CONCAT(A430,REGEXREPLACE(H430,"".*_L0"",""_L0""))"),"PD_BN1076_MTG_snRNAseq_rep1_L004_I1_001.fastq.gz")</f>
        <v>PD_BN1076_MTG_snRNAseq_rep1_L004_I1_001.fastq.gz</v>
      </c>
      <c r="J430" s="46" t="str">
        <f t="shared" si="1"/>
        <v>/data/neurogen/ASAP/scRNAseq/data/batch7_ASAP_snRNA-seq_*/Raw_Data_and_Processing/cellranger_processing/cellranger_fastqs/outs/fastq_path/H*/BN1076_S4_L004_I1_001.fastq.gz</v>
      </c>
      <c r="K430" s="46" t="s">
        <v>1347</v>
      </c>
      <c r="L430" s="46" t="s">
        <v>2183</v>
      </c>
      <c r="M430" s="46" t="s">
        <v>1309</v>
      </c>
      <c r="N430" s="46" t="s">
        <v>1310</v>
      </c>
      <c r="O430" s="46" t="s">
        <v>1311</v>
      </c>
      <c r="P430" s="46" t="s">
        <v>1312</v>
      </c>
      <c r="Q430" s="46" t="s">
        <v>31</v>
      </c>
      <c r="R430" s="46" t="s">
        <v>31</v>
      </c>
      <c r="S430" s="46" t="s">
        <v>31</v>
      </c>
      <c r="T430" s="46" t="s">
        <v>31</v>
      </c>
      <c r="U430" s="46" t="s">
        <v>49</v>
      </c>
    </row>
    <row r="431" spans="1:21">
      <c r="A431" s="46" t="s">
        <v>714</v>
      </c>
      <c r="B431" s="46" t="s">
        <v>113</v>
      </c>
      <c r="C431" s="46" t="s">
        <v>666</v>
      </c>
      <c r="D431" s="46">
        <v>2</v>
      </c>
      <c r="E431" s="46">
        <v>0</v>
      </c>
      <c r="F431" s="46" t="s">
        <v>686</v>
      </c>
      <c r="G431" s="46" t="s">
        <v>1305</v>
      </c>
      <c r="H431" s="46" t="s">
        <v>2184</v>
      </c>
      <c r="I431" s="46" t="str">
        <f ca="1">IFERROR(__xludf.DUMMYFUNCTION("CONCAT(A431,REGEXREPLACE(H431,"".*_L0"",""_L0""))"),"PD_BN1076_MTG_snRNAseq_rep1_L004_I2_001.fastq.gz")</f>
        <v>PD_BN1076_MTG_snRNAseq_rep1_L004_I2_001.fastq.gz</v>
      </c>
      <c r="J431" s="46" t="str">
        <f t="shared" si="1"/>
        <v>/data/neurogen/ASAP/scRNAseq/data/batch7_ASAP_snRNA-seq_*/Raw_Data_and_Processing/cellranger_processing/cellranger_fastqs/outs/fastq_path/H*/BN1076_S4_L004_I2_001.fastq.gz</v>
      </c>
      <c r="K431" s="46" t="s">
        <v>1350</v>
      </c>
      <c r="L431" s="46" t="s">
        <v>2185</v>
      </c>
      <c r="M431" s="46" t="s">
        <v>1309</v>
      </c>
      <c r="N431" s="46" t="s">
        <v>1310</v>
      </c>
      <c r="O431" s="46" t="s">
        <v>1311</v>
      </c>
      <c r="P431" s="46" t="s">
        <v>1312</v>
      </c>
      <c r="Q431" s="46" t="s">
        <v>31</v>
      </c>
      <c r="R431" s="46" t="s">
        <v>31</v>
      </c>
      <c r="S431" s="46" t="s">
        <v>31</v>
      </c>
      <c r="T431" s="46" t="s">
        <v>31</v>
      </c>
      <c r="U431" s="46" t="s">
        <v>49</v>
      </c>
    </row>
    <row r="432" spans="1:21">
      <c r="A432" s="46" t="s">
        <v>714</v>
      </c>
      <c r="B432" s="46" t="s">
        <v>113</v>
      </c>
      <c r="C432" s="46" t="s">
        <v>666</v>
      </c>
      <c r="D432" s="46">
        <v>2</v>
      </c>
      <c r="E432" s="46">
        <v>0</v>
      </c>
      <c r="F432" s="46" t="s">
        <v>686</v>
      </c>
      <c r="G432" s="46" t="s">
        <v>1305</v>
      </c>
      <c r="H432" s="46" t="s">
        <v>2186</v>
      </c>
      <c r="I432" s="46" t="str">
        <f ca="1">IFERROR(__xludf.DUMMYFUNCTION("CONCAT(A432,REGEXREPLACE(H432,"".*_L0"",""_L0""))"),"PD_BN1076_MTG_snRNAseq_rep1_L004_R1_001.fastq.gz")</f>
        <v>PD_BN1076_MTG_snRNAseq_rep1_L004_R1_001.fastq.gz</v>
      </c>
      <c r="J432" s="46" t="str">
        <f t="shared" si="1"/>
        <v>/data/neurogen/ASAP/scRNAseq/data/batch7_ASAP_snRNA-seq_*/Raw_Data_and_Processing/cellranger_processing/cellranger_fastqs/outs/fastq_path/H*/BN1076_S4_L004_R1_001.fastq.gz</v>
      </c>
      <c r="K432" s="46" t="s">
        <v>1353</v>
      </c>
      <c r="L432" s="46" t="s">
        <v>2187</v>
      </c>
      <c r="M432" s="46" t="s">
        <v>1309</v>
      </c>
      <c r="N432" s="46" t="s">
        <v>1310</v>
      </c>
      <c r="O432" s="46" t="s">
        <v>1311</v>
      </c>
      <c r="P432" s="46" t="s">
        <v>1312</v>
      </c>
      <c r="Q432" s="46" t="s">
        <v>31</v>
      </c>
      <c r="R432" s="46" t="s">
        <v>31</v>
      </c>
      <c r="S432" s="46" t="s">
        <v>31</v>
      </c>
      <c r="T432" s="46" t="s">
        <v>31</v>
      </c>
      <c r="U432" s="46" t="s">
        <v>49</v>
      </c>
    </row>
    <row r="433" spans="1:21">
      <c r="A433" s="46" t="s">
        <v>714</v>
      </c>
      <c r="B433" s="46" t="s">
        <v>113</v>
      </c>
      <c r="C433" s="46" t="s">
        <v>666</v>
      </c>
      <c r="D433" s="46">
        <v>2</v>
      </c>
      <c r="E433" s="46">
        <v>0</v>
      </c>
      <c r="F433" s="46" t="s">
        <v>686</v>
      </c>
      <c r="G433" s="46" t="s">
        <v>1305</v>
      </c>
      <c r="H433" s="46" t="s">
        <v>2188</v>
      </c>
      <c r="I433" s="46" t="str">
        <f ca="1">IFERROR(__xludf.DUMMYFUNCTION("CONCAT(A433,REGEXREPLACE(H433,"".*_L0"",""_L0""))"),"PD_BN1076_MTG_snRNAseq_rep1_L004_R2_001.fastq.gz")</f>
        <v>PD_BN1076_MTG_snRNAseq_rep1_L004_R2_001.fastq.gz</v>
      </c>
      <c r="J433" s="46" t="str">
        <f t="shared" si="1"/>
        <v>/data/neurogen/ASAP/scRNAseq/data/batch7_ASAP_snRNA-seq_*/Raw_Data_and_Processing/cellranger_processing/cellranger_fastqs/outs/fastq_path/H*/BN1076_S4_L004_R2_001.fastq.gz</v>
      </c>
      <c r="K433" s="46" t="s">
        <v>1356</v>
      </c>
      <c r="L433" s="46" t="s">
        <v>2189</v>
      </c>
      <c r="M433" s="46" t="s">
        <v>1309</v>
      </c>
      <c r="N433" s="46" t="s">
        <v>1310</v>
      </c>
      <c r="O433" s="46" t="s">
        <v>1311</v>
      </c>
      <c r="P433" s="46" t="s">
        <v>1312</v>
      </c>
      <c r="Q433" s="46" t="s">
        <v>31</v>
      </c>
      <c r="R433" s="46" t="s">
        <v>31</v>
      </c>
      <c r="S433" s="46" t="s">
        <v>31</v>
      </c>
      <c r="T433" s="46" t="s">
        <v>31</v>
      </c>
      <c r="U433" s="46" t="s">
        <v>49</v>
      </c>
    </row>
    <row r="434" spans="1:21">
      <c r="A434" s="46" t="s">
        <v>705</v>
      </c>
      <c r="B434" s="46" t="s">
        <v>104</v>
      </c>
      <c r="C434" s="46" t="s">
        <v>666</v>
      </c>
      <c r="D434" s="46">
        <v>1</v>
      </c>
      <c r="E434" s="46">
        <v>0</v>
      </c>
      <c r="F434" s="46" t="s">
        <v>706</v>
      </c>
      <c r="G434" s="46" t="s">
        <v>1305</v>
      </c>
      <c r="H434" s="46" t="s">
        <v>2190</v>
      </c>
      <c r="I434" s="46" t="str">
        <f ca="1">IFERROR(__xludf.DUMMYFUNCTION("CONCAT(A434,REGEXREPLACE(H434,"".*_L0"",""_L0""))"),"HC_BN0746_MTG_snRNAseq_rep1_L001_I1_001.fastq.gz")</f>
        <v>HC_BN0746_MTG_snRNAseq_rep1_L001_I1_001.fastq.gz</v>
      </c>
      <c r="J434" s="46" t="str">
        <f t="shared" si="1"/>
        <v>/data/neurogen/ASAP/scRNAseq/data/batch8_ASAP_snRNA-seq_*/Raw_Data_and_Processing/cellranger_processing/cellranger_fastqs/outs/fastq_path/H*/BN0746_S2_L001_I1_001.fastq.gz</v>
      </c>
      <c r="K434" s="46" t="s">
        <v>1307</v>
      </c>
      <c r="L434" s="46" t="s">
        <v>2191</v>
      </c>
      <c r="M434" s="46" t="s">
        <v>1309</v>
      </c>
      <c r="N434" s="46" t="s">
        <v>1310</v>
      </c>
      <c r="O434" s="46" t="s">
        <v>1311</v>
      </c>
      <c r="P434" s="46" t="s">
        <v>1312</v>
      </c>
      <c r="Q434" s="46" t="s">
        <v>31</v>
      </c>
      <c r="R434" s="46" t="s">
        <v>31</v>
      </c>
      <c r="S434" s="46" t="s">
        <v>31</v>
      </c>
      <c r="T434" s="46" t="s">
        <v>31</v>
      </c>
      <c r="U434" s="46" t="s">
        <v>49</v>
      </c>
    </row>
    <row r="435" spans="1:21">
      <c r="A435" s="46" t="s">
        <v>705</v>
      </c>
      <c r="B435" s="46" t="s">
        <v>104</v>
      </c>
      <c r="C435" s="46" t="s">
        <v>666</v>
      </c>
      <c r="D435" s="46">
        <v>1</v>
      </c>
      <c r="E435" s="46">
        <v>0</v>
      </c>
      <c r="F435" s="46" t="s">
        <v>706</v>
      </c>
      <c r="G435" s="46" t="s">
        <v>1305</v>
      </c>
      <c r="H435" s="46" t="s">
        <v>2192</v>
      </c>
      <c r="I435" s="46" t="str">
        <f ca="1">IFERROR(__xludf.DUMMYFUNCTION("CONCAT(A435,REGEXREPLACE(H435,"".*_L0"",""_L0""))"),"HC_BN0746_MTG_snRNAseq_rep1_L001_I2_001.fastq.gz")</f>
        <v>HC_BN0746_MTG_snRNAseq_rep1_L001_I2_001.fastq.gz</v>
      </c>
      <c r="J435" s="46" t="str">
        <f t="shared" si="1"/>
        <v>/data/neurogen/ASAP/scRNAseq/data/batch8_ASAP_snRNA-seq_*/Raw_Data_and_Processing/cellranger_processing/cellranger_fastqs/outs/fastq_path/H*/BN0746_S2_L001_I2_001.fastq.gz</v>
      </c>
      <c r="K435" s="46" t="s">
        <v>1314</v>
      </c>
      <c r="L435" s="46" t="s">
        <v>2193</v>
      </c>
      <c r="M435" s="46" t="s">
        <v>1309</v>
      </c>
      <c r="N435" s="46" t="s">
        <v>1310</v>
      </c>
      <c r="O435" s="46" t="s">
        <v>1311</v>
      </c>
      <c r="P435" s="46" t="s">
        <v>1312</v>
      </c>
      <c r="Q435" s="46" t="s">
        <v>31</v>
      </c>
      <c r="R435" s="46" t="s">
        <v>31</v>
      </c>
      <c r="S435" s="46" t="s">
        <v>31</v>
      </c>
      <c r="T435" s="46" t="s">
        <v>31</v>
      </c>
      <c r="U435" s="46" t="s">
        <v>49</v>
      </c>
    </row>
    <row r="436" spans="1:21">
      <c r="A436" s="46" t="s">
        <v>705</v>
      </c>
      <c r="B436" s="46" t="s">
        <v>104</v>
      </c>
      <c r="C436" s="46" t="s">
        <v>666</v>
      </c>
      <c r="D436" s="46">
        <v>1</v>
      </c>
      <c r="E436" s="46">
        <v>0</v>
      </c>
      <c r="F436" s="46" t="s">
        <v>706</v>
      </c>
      <c r="G436" s="46" t="s">
        <v>1305</v>
      </c>
      <c r="H436" s="46" t="s">
        <v>2194</v>
      </c>
      <c r="I436" s="46" t="str">
        <f ca="1">IFERROR(__xludf.DUMMYFUNCTION("CONCAT(A436,REGEXREPLACE(H436,"".*_L0"",""_L0""))"),"HC_BN0746_MTG_snRNAseq_rep1_L001_R1_001.fastq.gz")</f>
        <v>HC_BN0746_MTG_snRNAseq_rep1_L001_R1_001.fastq.gz</v>
      </c>
      <c r="J436" s="46" t="str">
        <f t="shared" si="1"/>
        <v>/data/neurogen/ASAP/scRNAseq/data/batch8_ASAP_snRNA-seq_*/Raw_Data_and_Processing/cellranger_processing/cellranger_fastqs/outs/fastq_path/H*/BN0746_S2_L001_R1_001.fastq.gz</v>
      </c>
      <c r="K436" s="46" t="s">
        <v>1317</v>
      </c>
      <c r="L436" s="46" t="s">
        <v>2195</v>
      </c>
      <c r="M436" s="46" t="s">
        <v>1309</v>
      </c>
      <c r="N436" s="46" t="s">
        <v>1310</v>
      </c>
      <c r="O436" s="46" t="s">
        <v>1311</v>
      </c>
      <c r="P436" s="46" t="s">
        <v>1312</v>
      </c>
      <c r="Q436" s="46" t="s">
        <v>31</v>
      </c>
      <c r="R436" s="46" t="s">
        <v>31</v>
      </c>
      <c r="S436" s="46" t="s">
        <v>31</v>
      </c>
      <c r="T436" s="46" t="s">
        <v>31</v>
      </c>
      <c r="U436" s="46" t="s">
        <v>49</v>
      </c>
    </row>
    <row r="437" spans="1:21">
      <c r="A437" s="46" t="s">
        <v>705</v>
      </c>
      <c r="B437" s="46" t="s">
        <v>104</v>
      </c>
      <c r="C437" s="46" t="s">
        <v>666</v>
      </c>
      <c r="D437" s="46">
        <v>1</v>
      </c>
      <c r="E437" s="46">
        <v>0</v>
      </c>
      <c r="F437" s="46" t="s">
        <v>706</v>
      </c>
      <c r="G437" s="46" t="s">
        <v>1305</v>
      </c>
      <c r="H437" s="46" t="s">
        <v>2196</v>
      </c>
      <c r="I437" s="46" t="str">
        <f ca="1">IFERROR(__xludf.DUMMYFUNCTION("CONCAT(A437,REGEXREPLACE(H437,"".*_L0"",""_L0""))"),"HC_BN0746_MTG_snRNAseq_rep1_L001_R2_001.fastq.gz")</f>
        <v>HC_BN0746_MTG_snRNAseq_rep1_L001_R2_001.fastq.gz</v>
      </c>
      <c r="J437" s="46" t="str">
        <f t="shared" si="1"/>
        <v>/data/neurogen/ASAP/scRNAseq/data/batch8_ASAP_snRNA-seq_*/Raw_Data_and_Processing/cellranger_processing/cellranger_fastqs/outs/fastq_path/H*/BN0746_S2_L001_R2_001.fastq.gz</v>
      </c>
      <c r="K437" s="46" t="s">
        <v>1320</v>
      </c>
      <c r="L437" s="46" t="s">
        <v>2197</v>
      </c>
      <c r="M437" s="46" t="s">
        <v>1309</v>
      </c>
      <c r="N437" s="46" t="s">
        <v>1310</v>
      </c>
      <c r="O437" s="46" t="s">
        <v>1311</v>
      </c>
      <c r="P437" s="46" t="s">
        <v>1312</v>
      </c>
      <c r="Q437" s="46" t="s">
        <v>31</v>
      </c>
      <c r="R437" s="46" t="s">
        <v>31</v>
      </c>
      <c r="S437" s="46" t="s">
        <v>31</v>
      </c>
      <c r="T437" s="46" t="s">
        <v>31</v>
      </c>
      <c r="U437" s="46" t="s">
        <v>49</v>
      </c>
    </row>
    <row r="438" spans="1:21">
      <c r="A438" s="46" t="s">
        <v>705</v>
      </c>
      <c r="B438" s="46" t="s">
        <v>104</v>
      </c>
      <c r="C438" s="46" t="s">
        <v>666</v>
      </c>
      <c r="D438" s="46">
        <v>1</v>
      </c>
      <c r="E438" s="46">
        <v>0</v>
      </c>
      <c r="F438" s="46" t="s">
        <v>706</v>
      </c>
      <c r="G438" s="46" t="s">
        <v>1305</v>
      </c>
      <c r="H438" s="46" t="s">
        <v>2198</v>
      </c>
      <c r="I438" s="46" t="str">
        <f ca="1">IFERROR(__xludf.DUMMYFUNCTION("CONCAT(A438,REGEXREPLACE(H438,"".*_L0"",""_L0""))"),"HC_BN0746_MTG_snRNAseq_rep1_L002_I1_001.fastq.gz")</f>
        <v>HC_BN0746_MTG_snRNAseq_rep1_L002_I1_001.fastq.gz</v>
      </c>
      <c r="J438" s="46" t="str">
        <f t="shared" si="1"/>
        <v>/data/neurogen/ASAP/scRNAseq/data/batch8_ASAP_snRNA-seq_*/Raw_Data_and_Processing/cellranger_processing/cellranger_fastqs/outs/fastq_path/H*/BN0746_S2_L002_I1_001.fastq.gz</v>
      </c>
      <c r="K438" s="46" t="s">
        <v>1323</v>
      </c>
      <c r="L438" s="46" t="s">
        <v>2199</v>
      </c>
      <c r="M438" s="46" t="s">
        <v>1309</v>
      </c>
      <c r="N438" s="46" t="s">
        <v>1310</v>
      </c>
      <c r="O438" s="46" t="s">
        <v>1311</v>
      </c>
      <c r="P438" s="46" t="s">
        <v>1312</v>
      </c>
      <c r="Q438" s="46" t="s">
        <v>31</v>
      </c>
      <c r="R438" s="46" t="s">
        <v>31</v>
      </c>
      <c r="S438" s="46" t="s">
        <v>31</v>
      </c>
      <c r="T438" s="46" t="s">
        <v>31</v>
      </c>
      <c r="U438" s="46" t="s">
        <v>49</v>
      </c>
    </row>
    <row r="439" spans="1:21">
      <c r="A439" s="46" t="s">
        <v>705</v>
      </c>
      <c r="B439" s="46" t="s">
        <v>104</v>
      </c>
      <c r="C439" s="46" t="s">
        <v>666</v>
      </c>
      <c r="D439" s="46">
        <v>1</v>
      </c>
      <c r="E439" s="46">
        <v>0</v>
      </c>
      <c r="F439" s="46" t="s">
        <v>706</v>
      </c>
      <c r="G439" s="46" t="s">
        <v>1305</v>
      </c>
      <c r="H439" s="46" t="s">
        <v>2200</v>
      </c>
      <c r="I439" s="46" t="str">
        <f ca="1">IFERROR(__xludf.DUMMYFUNCTION("CONCAT(A439,REGEXREPLACE(H439,"".*_L0"",""_L0""))"),"HC_BN0746_MTG_snRNAseq_rep1_L002_I2_001.fastq.gz")</f>
        <v>HC_BN0746_MTG_snRNAseq_rep1_L002_I2_001.fastq.gz</v>
      </c>
      <c r="J439" s="46" t="str">
        <f t="shared" si="1"/>
        <v>/data/neurogen/ASAP/scRNAseq/data/batch8_ASAP_snRNA-seq_*/Raw_Data_and_Processing/cellranger_processing/cellranger_fastqs/outs/fastq_path/H*/BN0746_S2_L002_I2_001.fastq.gz</v>
      </c>
      <c r="K439" s="46" t="s">
        <v>1326</v>
      </c>
      <c r="L439" s="46" t="s">
        <v>2201</v>
      </c>
      <c r="M439" s="46" t="s">
        <v>1309</v>
      </c>
      <c r="N439" s="46" t="s">
        <v>1310</v>
      </c>
      <c r="O439" s="46" t="s">
        <v>1311</v>
      </c>
      <c r="P439" s="46" t="s">
        <v>1312</v>
      </c>
      <c r="Q439" s="46" t="s">
        <v>31</v>
      </c>
      <c r="R439" s="46" t="s">
        <v>31</v>
      </c>
      <c r="S439" s="46" t="s">
        <v>31</v>
      </c>
      <c r="T439" s="46" t="s">
        <v>31</v>
      </c>
      <c r="U439" s="46" t="s">
        <v>49</v>
      </c>
    </row>
    <row r="440" spans="1:21">
      <c r="A440" s="46" t="s">
        <v>705</v>
      </c>
      <c r="B440" s="46" t="s">
        <v>104</v>
      </c>
      <c r="C440" s="46" t="s">
        <v>666</v>
      </c>
      <c r="D440" s="46">
        <v>1</v>
      </c>
      <c r="E440" s="46">
        <v>0</v>
      </c>
      <c r="F440" s="46" t="s">
        <v>706</v>
      </c>
      <c r="G440" s="46" t="s">
        <v>1305</v>
      </c>
      <c r="H440" s="46" t="s">
        <v>2202</v>
      </c>
      <c r="I440" s="46" t="str">
        <f ca="1">IFERROR(__xludf.DUMMYFUNCTION("CONCAT(A440,REGEXREPLACE(H440,"".*_L0"",""_L0""))"),"HC_BN0746_MTG_snRNAseq_rep1_L002_R1_001.fastq.gz")</f>
        <v>HC_BN0746_MTG_snRNAseq_rep1_L002_R1_001.fastq.gz</v>
      </c>
      <c r="J440" s="46" t="str">
        <f t="shared" si="1"/>
        <v>/data/neurogen/ASAP/scRNAseq/data/batch8_ASAP_snRNA-seq_*/Raw_Data_and_Processing/cellranger_processing/cellranger_fastqs/outs/fastq_path/H*/BN0746_S2_L002_R1_001.fastq.gz</v>
      </c>
      <c r="K440" s="46" t="s">
        <v>1329</v>
      </c>
      <c r="L440" s="46" t="s">
        <v>2203</v>
      </c>
      <c r="M440" s="46" t="s">
        <v>1309</v>
      </c>
      <c r="N440" s="46" t="s">
        <v>1310</v>
      </c>
      <c r="O440" s="46" t="s">
        <v>1311</v>
      </c>
      <c r="P440" s="46" t="s">
        <v>1312</v>
      </c>
      <c r="Q440" s="46" t="s">
        <v>31</v>
      </c>
      <c r="R440" s="46" t="s">
        <v>31</v>
      </c>
      <c r="S440" s="46" t="s">
        <v>31</v>
      </c>
      <c r="T440" s="46" t="s">
        <v>31</v>
      </c>
      <c r="U440" s="46" t="s">
        <v>49</v>
      </c>
    </row>
    <row r="441" spans="1:21">
      <c r="A441" s="46" t="s">
        <v>705</v>
      </c>
      <c r="B441" s="46" t="s">
        <v>104</v>
      </c>
      <c r="C441" s="46" t="s">
        <v>666</v>
      </c>
      <c r="D441" s="46">
        <v>1</v>
      </c>
      <c r="E441" s="46">
        <v>0</v>
      </c>
      <c r="F441" s="46" t="s">
        <v>706</v>
      </c>
      <c r="G441" s="46" t="s">
        <v>1305</v>
      </c>
      <c r="H441" s="46" t="s">
        <v>2204</v>
      </c>
      <c r="I441" s="46" t="str">
        <f ca="1">IFERROR(__xludf.DUMMYFUNCTION("CONCAT(A441,REGEXREPLACE(H441,"".*_L0"",""_L0""))"),"HC_BN0746_MTG_snRNAseq_rep1_L002_R2_001.fastq.gz")</f>
        <v>HC_BN0746_MTG_snRNAseq_rep1_L002_R2_001.fastq.gz</v>
      </c>
      <c r="J441" s="46" t="str">
        <f t="shared" si="1"/>
        <v>/data/neurogen/ASAP/scRNAseq/data/batch8_ASAP_snRNA-seq_*/Raw_Data_and_Processing/cellranger_processing/cellranger_fastqs/outs/fastq_path/H*/BN0746_S2_L002_R2_001.fastq.gz</v>
      </c>
      <c r="K441" s="46" t="s">
        <v>1332</v>
      </c>
      <c r="L441" s="46" t="s">
        <v>2205</v>
      </c>
      <c r="M441" s="46" t="s">
        <v>1309</v>
      </c>
      <c r="N441" s="46" t="s">
        <v>1310</v>
      </c>
      <c r="O441" s="46" t="s">
        <v>1311</v>
      </c>
      <c r="P441" s="46" t="s">
        <v>1312</v>
      </c>
      <c r="Q441" s="46" t="s">
        <v>31</v>
      </c>
      <c r="R441" s="46" t="s">
        <v>31</v>
      </c>
      <c r="S441" s="46" t="s">
        <v>31</v>
      </c>
      <c r="T441" s="46" t="s">
        <v>31</v>
      </c>
      <c r="U441" s="46" t="s">
        <v>49</v>
      </c>
    </row>
    <row r="442" spans="1:21">
      <c r="A442" s="46" t="s">
        <v>705</v>
      </c>
      <c r="B442" s="46" t="s">
        <v>104</v>
      </c>
      <c r="C442" s="46" t="s">
        <v>666</v>
      </c>
      <c r="D442" s="46">
        <v>1</v>
      </c>
      <c r="E442" s="46">
        <v>0</v>
      </c>
      <c r="F442" s="46" t="s">
        <v>706</v>
      </c>
      <c r="G442" s="46" t="s">
        <v>1305</v>
      </c>
      <c r="H442" s="46" t="s">
        <v>2206</v>
      </c>
      <c r="I442" s="46" t="str">
        <f ca="1">IFERROR(__xludf.DUMMYFUNCTION("CONCAT(A442,REGEXREPLACE(H442,"".*_L0"",""_L0""))"),"HC_BN0746_MTG_snRNAseq_rep1_L003_I1_001.fastq.gz")</f>
        <v>HC_BN0746_MTG_snRNAseq_rep1_L003_I1_001.fastq.gz</v>
      </c>
      <c r="J442" s="46" t="str">
        <f t="shared" si="1"/>
        <v>/data/neurogen/ASAP/scRNAseq/data/batch8_ASAP_snRNA-seq_*/Raw_Data_and_Processing/cellranger_processing/cellranger_fastqs/outs/fastq_path/H*/BN0746_S2_L003_I1_001.fastq.gz</v>
      </c>
      <c r="K442" s="46" t="s">
        <v>1335</v>
      </c>
      <c r="L442" s="46" t="s">
        <v>2207</v>
      </c>
      <c r="M442" s="46" t="s">
        <v>1309</v>
      </c>
      <c r="N442" s="46" t="s">
        <v>1310</v>
      </c>
      <c r="O442" s="46" t="s">
        <v>1311</v>
      </c>
      <c r="P442" s="46" t="s">
        <v>1312</v>
      </c>
      <c r="Q442" s="46" t="s">
        <v>31</v>
      </c>
      <c r="R442" s="46" t="s">
        <v>31</v>
      </c>
      <c r="S442" s="46" t="s">
        <v>31</v>
      </c>
      <c r="T442" s="46" t="s">
        <v>31</v>
      </c>
      <c r="U442" s="46" t="s">
        <v>49</v>
      </c>
    </row>
    <row r="443" spans="1:21">
      <c r="A443" s="46" t="s">
        <v>705</v>
      </c>
      <c r="B443" s="46" t="s">
        <v>104</v>
      </c>
      <c r="C443" s="46" t="s">
        <v>666</v>
      </c>
      <c r="D443" s="46">
        <v>1</v>
      </c>
      <c r="E443" s="46">
        <v>0</v>
      </c>
      <c r="F443" s="46" t="s">
        <v>706</v>
      </c>
      <c r="G443" s="46" t="s">
        <v>1305</v>
      </c>
      <c r="H443" s="46" t="s">
        <v>2208</v>
      </c>
      <c r="I443" s="46" t="str">
        <f ca="1">IFERROR(__xludf.DUMMYFUNCTION("CONCAT(A443,REGEXREPLACE(H443,"".*_L0"",""_L0""))"),"HC_BN0746_MTG_snRNAseq_rep1_L003_I2_001.fastq.gz")</f>
        <v>HC_BN0746_MTG_snRNAseq_rep1_L003_I2_001.fastq.gz</v>
      </c>
      <c r="J443" s="46" t="str">
        <f t="shared" si="1"/>
        <v>/data/neurogen/ASAP/scRNAseq/data/batch8_ASAP_snRNA-seq_*/Raw_Data_and_Processing/cellranger_processing/cellranger_fastqs/outs/fastq_path/H*/BN0746_S2_L003_I2_001.fastq.gz</v>
      </c>
      <c r="K443" s="46" t="s">
        <v>1338</v>
      </c>
      <c r="L443" s="46" t="s">
        <v>2209</v>
      </c>
      <c r="M443" s="46" t="s">
        <v>1309</v>
      </c>
      <c r="N443" s="46" t="s">
        <v>1310</v>
      </c>
      <c r="O443" s="46" t="s">
        <v>1311</v>
      </c>
      <c r="P443" s="46" t="s">
        <v>1312</v>
      </c>
      <c r="Q443" s="46" t="s">
        <v>31</v>
      </c>
      <c r="R443" s="46" t="s">
        <v>31</v>
      </c>
      <c r="S443" s="46" t="s">
        <v>31</v>
      </c>
      <c r="T443" s="46" t="s">
        <v>31</v>
      </c>
      <c r="U443" s="46" t="s">
        <v>49</v>
      </c>
    </row>
    <row r="444" spans="1:21">
      <c r="A444" s="46" t="s">
        <v>705</v>
      </c>
      <c r="B444" s="46" t="s">
        <v>104</v>
      </c>
      <c r="C444" s="46" t="s">
        <v>666</v>
      </c>
      <c r="D444" s="46">
        <v>1</v>
      </c>
      <c r="E444" s="46">
        <v>0</v>
      </c>
      <c r="F444" s="46" t="s">
        <v>706</v>
      </c>
      <c r="G444" s="46" t="s">
        <v>1305</v>
      </c>
      <c r="H444" s="46" t="s">
        <v>2210</v>
      </c>
      <c r="I444" s="46" t="str">
        <f ca="1">IFERROR(__xludf.DUMMYFUNCTION("CONCAT(A444,REGEXREPLACE(H444,"".*_L0"",""_L0""))"),"HC_BN0746_MTG_snRNAseq_rep1_L003_R1_001.fastq.gz")</f>
        <v>HC_BN0746_MTG_snRNAseq_rep1_L003_R1_001.fastq.gz</v>
      </c>
      <c r="J444" s="46" t="str">
        <f t="shared" si="1"/>
        <v>/data/neurogen/ASAP/scRNAseq/data/batch8_ASAP_snRNA-seq_*/Raw_Data_and_Processing/cellranger_processing/cellranger_fastqs/outs/fastq_path/H*/BN0746_S2_L003_R1_001.fastq.gz</v>
      </c>
      <c r="K444" s="46" t="s">
        <v>1341</v>
      </c>
      <c r="L444" s="46" t="s">
        <v>2211</v>
      </c>
      <c r="M444" s="46" t="s">
        <v>1309</v>
      </c>
      <c r="N444" s="46" t="s">
        <v>1310</v>
      </c>
      <c r="O444" s="46" t="s">
        <v>1311</v>
      </c>
      <c r="P444" s="46" t="s">
        <v>1312</v>
      </c>
      <c r="Q444" s="46" t="s">
        <v>31</v>
      </c>
      <c r="R444" s="46" t="s">
        <v>31</v>
      </c>
      <c r="S444" s="46" t="s">
        <v>31</v>
      </c>
      <c r="T444" s="46" t="s">
        <v>31</v>
      </c>
      <c r="U444" s="46" t="s">
        <v>49</v>
      </c>
    </row>
    <row r="445" spans="1:21">
      <c r="A445" s="46" t="s">
        <v>705</v>
      </c>
      <c r="B445" s="46" t="s">
        <v>104</v>
      </c>
      <c r="C445" s="46" t="s">
        <v>666</v>
      </c>
      <c r="D445" s="46">
        <v>1</v>
      </c>
      <c r="E445" s="46">
        <v>0</v>
      </c>
      <c r="F445" s="46" t="s">
        <v>706</v>
      </c>
      <c r="G445" s="46" t="s">
        <v>1305</v>
      </c>
      <c r="H445" s="46" t="s">
        <v>2212</v>
      </c>
      <c r="I445" s="46" t="str">
        <f ca="1">IFERROR(__xludf.DUMMYFUNCTION("CONCAT(A445,REGEXREPLACE(H445,"".*_L0"",""_L0""))"),"HC_BN0746_MTG_snRNAseq_rep1_L003_R2_001.fastq.gz")</f>
        <v>HC_BN0746_MTG_snRNAseq_rep1_L003_R2_001.fastq.gz</v>
      </c>
      <c r="J445" s="46" t="str">
        <f t="shared" si="1"/>
        <v>/data/neurogen/ASAP/scRNAseq/data/batch8_ASAP_snRNA-seq_*/Raw_Data_and_Processing/cellranger_processing/cellranger_fastqs/outs/fastq_path/H*/BN0746_S2_L003_R2_001.fastq.gz</v>
      </c>
      <c r="K445" s="46" t="s">
        <v>1344</v>
      </c>
      <c r="L445" s="46" t="s">
        <v>2213</v>
      </c>
      <c r="M445" s="46" t="s">
        <v>1309</v>
      </c>
      <c r="N445" s="46" t="s">
        <v>1310</v>
      </c>
      <c r="O445" s="46" t="s">
        <v>1311</v>
      </c>
      <c r="P445" s="46" t="s">
        <v>1312</v>
      </c>
      <c r="Q445" s="46" t="s">
        <v>31</v>
      </c>
      <c r="R445" s="46" t="s">
        <v>31</v>
      </c>
      <c r="S445" s="46" t="s">
        <v>31</v>
      </c>
      <c r="T445" s="46" t="s">
        <v>31</v>
      </c>
      <c r="U445" s="46" t="s">
        <v>49</v>
      </c>
    </row>
    <row r="446" spans="1:21">
      <c r="A446" s="46" t="s">
        <v>705</v>
      </c>
      <c r="B446" s="46" t="s">
        <v>104</v>
      </c>
      <c r="C446" s="46" t="s">
        <v>666</v>
      </c>
      <c r="D446" s="46">
        <v>1</v>
      </c>
      <c r="E446" s="46">
        <v>0</v>
      </c>
      <c r="F446" s="46" t="s">
        <v>706</v>
      </c>
      <c r="G446" s="46" t="s">
        <v>1305</v>
      </c>
      <c r="H446" s="46" t="s">
        <v>2214</v>
      </c>
      <c r="I446" s="46" t="str">
        <f ca="1">IFERROR(__xludf.DUMMYFUNCTION("CONCAT(A446,REGEXREPLACE(H446,"".*_L0"",""_L0""))"),"HC_BN0746_MTG_snRNAseq_rep1_L004_I1_001.fastq.gz")</f>
        <v>HC_BN0746_MTG_snRNAseq_rep1_L004_I1_001.fastq.gz</v>
      </c>
      <c r="J446" s="46" t="str">
        <f t="shared" si="1"/>
        <v>/data/neurogen/ASAP/scRNAseq/data/batch8_ASAP_snRNA-seq_*/Raw_Data_and_Processing/cellranger_processing/cellranger_fastqs/outs/fastq_path/H*/BN0746_S2_L004_I1_001.fastq.gz</v>
      </c>
      <c r="K446" s="46" t="s">
        <v>1347</v>
      </c>
      <c r="L446" s="46" t="s">
        <v>2215</v>
      </c>
      <c r="M446" s="46" t="s">
        <v>1309</v>
      </c>
      <c r="N446" s="46" t="s">
        <v>1310</v>
      </c>
      <c r="O446" s="46" t="s">
        <v>1311</v>
      </c>
      <c r="P446" s="46" t="s">
        <v>1312</v>
      </c>
      <c r="Q446" s="46" t="s">
        <v>31</v>
      </c>
      <c r="R446" s="46" t="s">
        <v>31</v>
      </c>
      <c r="S446" s="46" t="s">
        <v>31</v>
      </c>
      <c r="T446" s="46" t="s">
        <v>31</v>
      </c>
      <c r="U446" s="46" t="s">
        <v>49</v>
      </c>
    </row>
    <row r="447" spans="1:21">
      <c r="A447" s="46" t="s">
        <v>705</v>
      </c>
      <c r="B447" s="46" t="s">
        <v>104</v>
      </c>
      <c r="C447" s="46" t="s">
        <v>666</v>
      </c>
      <c r="D447" s="46">
        <v>1</v>
      </c>
      <c r="E447" s="46">
        <v>0</v>
      </c>
      <c r="F447" s="46" t="s">
        <v>706</v>
      </c>
      <c r="G447" s="46" t="s">
        <v>1305</v>
      </c>
      <c r="H447" s="46" t="s">
        <v>2216</v>
      </c>
      <c r="I447" s="46" t="str">
        <f ca="1">IFERROR(__xludf.DUMMYFUNCTION("CONCAT(A447,REGEXREPLACE(H447,"".*_L0"",""_L0""))"),"HC_BN0746_MTG_snRNAseq_rep1_L004_I2_001.fastq.gz")</f>
        <v>HC_BN0746_MTG_snRNAseq_rep1_L004_I2_001.fastq.gz</v>
      </c>
      <c r="J447" s="46" t="str">
        <f t="shared" si="1"/>
        <v>/data/neurogen/ASAP/scRNAseq/data/batch8_ASAP_snRNA-seq_*/Raw_Data_and_Processing/cellranger_processing/cellranger_fastqs/outs/fastq_path/H*/BN0746_S2_L004_I2_001.fastq.gz</v>
      </c>
      <c r="K447" s="46" t="s">
        <v>1350</v>
      </c>
      <c r="L447" s="46" t="s">
        <v>2217</v>
      </c>
      <c r="M447" s="46" t="s">
        <v>1309</v>
      </c>
      <c r="N447" s="46" t="s">
        <v>1310</v>
      </c>
      <c r="O447" s="46" t="s">
        <v>1311</v>
      </c>
      <c r="P447" s="46" t="s">
        <v>1312</v>
      </c>
      <c r="Q447" s="46" t="s">
        <v>31</v>
      </c>
      <c r="R447" s="46" t="s">
        <v>31</v>
      </c>
      <c r="S447" s="46" t="s">
        <v>31</v>
      </c>
      <c r="T447" s="46" t="s">
        <v>31</v>
      </c>
      <c r="U447" s="46" t="s">
        <v>49</v>
      </c>
    </row>
    <row r="448" spans="1:21">
      <c r="A448" s="46" t="s">
        <v>705</v>
      </c>
      <c r="B448" s="46" t="s">
        <v>104</v>
      </c>
      <c r="C448" s="46" t="s">
        <v>666</v>
      </c>
      <c r="D448" s="46">
        <v>1</v>
      </c>
      <c r="E448" s="46">
        <v>0</v>
      </c>
      <c r="F448" s="46" t="s">
        <v>706</v>
      </c>
      <c r="G448" s="46" t="s">
        <v>1305</v>
      </c>
      <c r="H448" s="46" t="s">
        <v>2218</v>
      </c>
      <c r="I448" s="46" t="str">
        <f ca="1">IFERROR(__xludf.DUMMYFUNCTION("CONCAT(A448,REGEXREPLACE(H448,"".*_L0"",""_L0""))"),"HC_BN0746_MTG_snRNAseq_rep1_L004_R1_001.fastq.gz")</f>
        <v>HC_BN0746_MTG_snRNAseq_rep1_L004_R1_001.fastq.gz</v>
      </c>
      <c r="J448" s="46" t="str">
        <f t="shared" si="1"/>
        <v>/data/neurogen/ASAP/scRNAseq/data/batch8_ASAP_snRNA-seq_*/Raw_Data_and_Processing/cellranger_processing/cellranger_fastqs/outs/fastq_path/H*/BN0746_S2_L004_R1_001.fastq.gz</v>
      </c>
      <c r="K448" s="46" t="s">
        <v>1353</v>
      </c>
      <c r="L448" s="46" t="s">
        <v>2219</v>
      </c>
      <c r="M448" s="46" t="s">
        <v>1309</v>
      </c>
      <c r="N448" s="46" t="s">
        <v>1310</v>
      </c>
      <c r="O448" s="46" t="s">
        <v>1311</v>
      </c>
      <c r="P448" s="46" t="s">
        <v>1312</v>
      </c>
      <c r="Q448" s="46" t="s">
        <v>31</v>
      </c>
      <c r="R448" s="46" t="s">
        <v>31</v>
      </c>
      <c r="S448" s="46" t="s">
        <v>31</v>
      </c>
      <c r="T448" s="46" t="s">
        <v>31</v>
      </c>
      <c r="U448" s="46" t="s">
        <v>49</v>
      </c>
    </row>
    <row r="449" spans="1:21">
      <c r="A449" s="46" t="s">
        <v>705</v>
      </c>
      <c r="B449" s="46" t="s">
        <v>104</v>
      </c>
      <c r="C449" s="46" t="s">
        <v>666</v>
      </c>
      <c r="D449" s="46">
        <v>1</v>
      </c>
      <c r="E449" s="46">
        <v>0</v>
      </c>
      <c r="F449" s="46" t="s">
        <v>706</v>
      </c>
      <c r="G449" s="46" t="s">
        <v>1305</v>
      </c>
      <c r="H449" s="46" t="s">
        <v>2220</v>
      </c>
      <c r="I449" s="46" t="str">
        <f ca="1">IFERROR(__xludf.DUMMYFUNCTION("CONCAT(A449,REGEXREPLACE(H449,"".*_L0"",""_L0""))"),"HC_BN0746_MTG_snRNAseq_rep1_L004_R2_001.fastq.gz")</f>
        <v>HC_BN0746_MTG_snRNAseq_rep1_L004_R2_001.fastq.gz</v>
      </c>
      <c r="J449" s="46" t="str">
        <f t="shared" si="1"/>
        <v>/data/neurogen/ASAP/scRNAseq/data/batch8_ASAP_snRNA-seq_*/Raw_Data_and_Processing/cellranger_processing/cellranger_fastqs/outs/fastq_path/H*/BN0746_S2_L004_R2_001.fastq.gz</v>
      </c>
      <c r="K449" s="46" t="s">
        <v>1356</v>
      </c>
      <c r="L449" s="46" t="s">
        <v>2221</v>
      </c>
      <c r="M449" s="46" t="s">
        <v>1309</v>
      </c>
      <c r="N449" s="46" t="s">
        <v>1310</v>
      </c>
      <c r="O449" s="46" t="s">
        <v>1311</v>
      </c>
      <c r="P449" s="46" t="s">
        <v>1312</v>
      </c>
      <c r="Q449" s="46" t="s">
        <v>31</v>
      </c>
      <c r="R449" s="46" t="s">
        <v>31</v>
      </c>
      <c r="S449" s="46" t="s">
        <v>31</v>
      </c>
      <c r="T449" s="46" t="s">
        <v>31</v>
      </c>
      <c r="U449" s="46" t="s">
        <v>49</v>
      </c>
    </row>
    <row r="450" spans="1:21">
      <c r="A450" s="46" t="s">
        <v>728</v>
      </c>
      <c r="B450" s="46" t="s">
        <v>127</v>
      </c>
      <c r="C450" s="46" t="s">
        <v>666</v>
      </c>
      <c r="D450" s="46">
        <v>1</v>
      </c>
      <c r="E450" s="46">
        <v>0</v>
      </c>
      <c r="F450" s="46" t="s">
        <v>706</v>
      </c>
      <c r="G450" s="46" t="s">
        <v>1305</v>
      </c>
      <c r="H450" s="46" t="s">
        <v>2222</v>
      </c>
      <c r="I450" s="46" t="str">
        <f ca="1">IFERROR(__xludf.DUMMYFUNCTION("CONCAT(A450,REGEXREPLACE(H450,"".*_L0"",""_L0""))"),"PD_BN1305_MTG_snRNAseq_rep1_L001_I1_001.fastq.gz")</f>
        <v>PD_BN1305_MTG_snRNAseq_rep1_L001_I1_001.fastq.gz</v>
      </c>
      <c r="J450" s="46" t="str">
        <f t="shared" si="1"/>
        <v>/data/neurogen/ASAP/scRNAseq/data/batch8_ASAP_snRNA-seq_*/Raw_Data_and_Processing/cellranger_processing/cellranger_fastqs/outs/fastq_path/H*/BN1305_S3_L001_I1_001.fastq.gz</v>
      </c>
      <c r="K450" s="46" t="s">
        <v>1307</v>
      </c>
      <c r="L450" s="46" t="s">
        <v>2223</v>
      </c>
      <c r="M450" s="46" t="s">
        <v>1309</v>
      </c>
      <c r="N450" s="46" t="s">
        <v>1310</v>
      </c>
      <c r="O450" s="46" t="s">
        <v>1311</v>
      </c>
      <c r="P450" s="46" t="s">
        <v>1312</v>
      </c>
      <c r="Q450" s="46" t="s">
        <v>31</v>
      </c>
      <c r="R450" s="46" t="s">
        <v>31</v>
      </c>
      <c r="S450" s="46" t="s">
        <v>31</v>
      </c>
      <c r="T450" s="46" t="s">
        <v>31</v>
      </c>
      <c r="U450" s="46" t="s">
        <v>49</v>
      </c>
    </row>
    <row r="451" spans="1:21">
      <c r="A451" s="46" t="s">
        <v>728</v>
      </c>
      <c r="B451" s="46" t="s">
        <v>127</v>
      </c>
      <c r="C451" s="46" t="s">
        <v>666</v>
      </c>
      <c r="D451" s="46">
        <v>1</v>
      </c>
      <c r="E451" s="46">
        <v>0</v>
      </c>
      <c r="F451" s="46" t="s">
        <v>706</v>
      </c>
      <c r="G451" s="46" t="s">
        <v>1305</v>
      </c>
      <c r="H451" s="46" t="s">
        <v>2224</v>
      </c>
      <c r="I451" s="46" t="str">
        <f ca="1">IFERROR(__xludf.DUMMYFUNCTION("CONCAT(A451,REGEXREPLACE(H451,"".*_L0"",""_L0""))"),"PD_BN1305_MTG_snRNAseq_rep1_L001_I2_001.fastq.gz")</f>
        <v>PD_BN1305_MTG_snRNAseq_rep1_L001_I2_001.fastq.gz</v>
      </c>
      <c r="J451" s="46" t="str">
        <f t="shared" si="1"/>
        <v>/data/neurogen/ASAP/scRNAseq/data/batch8_ASAP_snRNA-seq_*/Raw_Data_and_Processing/cellranger_processing/cellranger_fastqs/outs/fastq_path/H*/BN1305_S3_L001_I2_001.fastq.gz</v>
      </c>
      <c r="K451" s="46" t="s">
        <v>1314</v>
      </c>
      <c r="L451" s="46" t="s">
        <v>2225</v>
      </c>
      <c r="M451" s="46" t="s">
        <v>1309</v>
      </c>
      <c r="N451" s="46" t="s">
        <v>1310</v>
      </c>
      <c r="O451" s="46" t="s">
        <v>1311</v>
      </c>
      <c r="P451" s="46" t="s">
        <v>1312</v>
      </c>
      <c r="Q451" s="46" t="s">
        <v>31</v>
      </c>
      <c r="R451" s="46" t="s">
        <v>31</v>
      </c>
      <c r="S451" s="46" t="s">
        <v>31</v>
      </c>
      <c r="T451" s="46" t="s">
        <v>31</v>
      </c>
      <c r="U451" s="46" t="s">
        <v>49</v>
      </c>
    </row>
    <row r="452" spans="1:21">
      <c r="A452" s="46" t="s">
        <v>728</v>
      </c>
      <c r="B452" s="46" t="s">
        <v>127</v>
      </c>
      <c r="C452" s="46" t="s">
        <v>666</v>
      </c>
      <c r="D452" s="46">
        <v>1</v>
      </c>
      <c r="E452" s="46">
        <v>0</v>
      </c>
      <c r="F452" s="46" t="s">
        <v>706</v>
      </c>
      <c r="G452" s="46" t="s">
        <v>1305</v>
      </c>
      <c r="H452" s="46" t="s">
        <v>2226</v>
      </c>
      <c r="I452" s="46" t="str">
        <f ca="1">IFERROR(__xludf.DUMMYFUNCTION("CONCAT(A452,REGEXREPLACE(H452,"".*_L0"",""_L0""))"),"PD_BN1305_MTG_snRNAseq_rep1_L001_R1_001.fastq.gz")</f>
        <v>PD_BN1305_MTG_snRNAseq_rep1_L001_R1_001.fastq.gz</v>
      </c>
      <c r="J452" s="46" t="str">
        <f t="shared" si="1"/>
        <v>/data/neurogen/ASAP/scRNAseq/data/batch8_ASAP_snRNA-seq_*/Raw_Data_and_Processing/cellranger_processing/cellranger_fastqs/outs/fastq_path/H*/BN1305_S3_L001_R1_001.fastq.gz</v>
      </c>
      <c r="K452" s="46" t="s">
        <v>1317</v>
      </c>
      <c r="L452" s="46" t="s">
        <v>2227</v>
      </c>
      <c r="M452" s="46" t="s">
        <v>1309</v>
      </c>
      <c r="N452" s="46" t="s">
        <v>1310</v>
      </c>
      <c r="O452" s="46" t="s">
        <v>1311</v>
      </c>
      <c r="P452" s="46" t="s">
        <v>1312</v>
      </c>
      <c r="Q452" s="46" t="s">
        <v>31</v>
      </c>
      <c r="R452" s="46" t="s">
        <v>31</v>
      </c>
      <c r="S452" s="46" t="s">
        <v>31</v>
      </c>
      <c r="T452" s="46" t="s">
        <v>31</v>
      </c>
      <c r="U452" s="46" t="s">
        <v>49</v>
      </c>
    </row>
    <row r="453" spans="1:21">
      <c r="A453" s="46" t="s">
        <v>728</v>
      </c>
      <c r="B453" s="46" t="s">
        <v>127</v>
      </c>
      <c r="C453" s="46" t="s">
        <v>666</v>
      </c>
      <c r="D453" s="46">
        <v>1</v>
      </c>
      <c r="E453" s="46">
        <v>0</v>
      </c>
      <c r="F453" s="46" t="s">
        <v>706</v>
      </c>
      <c r="G453" s="46" t="s">
        <v>1305</v>
      </c>
      <c r="H453" s="46" t="s">
        <v>2228</v>
      </c>
      <c r="I453" s="46" t="str">
        <f ca="1">IFERROR(__xludf.DUMMYFUNCTION("CONCAT(A453,REGEXREPLACE(H453,"".*_L0"",""_L0""))"),"PD_BN1305_MTG_snRNAseq_rep1_L001_R2_001.fastq.gz")</f>
        <v>PD_BN1305_MTG_snRNAseq_rep1_L001_R2_001.fastq.gz</v>
      </c>
      <c r="J453" s="46" t="str">
        <f t="shared" si="1"/>
        <v>/data/neurogen/ASAP/scRNAseq/data/batch8_ASAP_snRNA-seq_*/Raw_Data_and_Processing/cellranger_processing/cellranger_fastqs/outs/fastq_path/H*/BN1305_S3_L001_R2_001.fastq.gz</v>
      </c>
      <c r="K453" s="46" t="s">
        <v>1320</v>
      </c>
      <c r="L453" s="46" t="s">
        <v>2229</v>
      </c>
      <c r="M453" s="46" t="s">
        <v>1309</v>
      </c>
      <c r="N453" s="46" t="s">
        <v>1310</v>
      </c>
      <c r="O453" s="46" t="s">
        <v>1311</v>
      </c>
      <c r="P453" s="46" t="s">
        <v>1312</v>
      </c>
      <c r="Q453" s="46" t="s">
        <v>31</v>
      </c>
      <c r="R453" s="46" t="s">
        <v>31</v>
      </c>
      <c r="S453" s="46" t="s">
        <v>31</v>
      </c>
      <c r="T453" s="46" t="s">
        <v>31</v>
      </c>
      <c r="U453" s="46" t="s">
        <v>49</v>
      </c>
    </row>
    <row r="454" spans="1:21">
      <c r="A454" s="46" t="s">
        <v>728</v>
      </c>
      <c r="B454" s="46" t="s">
        <v>127</v>
      </c>
      <c r="C454" s="46" t="s">
        <v>666</v>
      </c>
      <c r="D454" s="46">
        <v>1</v>
      </c>
      <c r="E454" s="46">
        <v>0</v>
      </c>
      <c r="F454" s="46" t="s">
        <v>706</v>
      </c>
      <c r="G454" s="46" t="s">
        <v>1305</v>
      </c>
      <c r="H454" s="46" t="s">
        <v>2230</v>
      </c>
      <c r="I454" s="46" t="str">
        <f ca="1">IFERROR(__xludf.DUMMYFUNCTION("CONCAT(A454,REGEXREPLACE(H454,"".*_L0"",""_L0""))"),"PD_BN1305_MTG_snRNAseq_rep1_L002_I1_001.fastq.gz")</f>
        <v>PD_BN1305_MTG_snRNAseq_rep1_L002_I1_001.fastq.gz</v>
      </c>
      <c r="J454" s="46" t="str">
        <f t="shared" si="1"/>
        <v>/data/neurogen/ASAP/scRNAseq/data/batch8_ASAP_snRNA-seq_*/Raw_Data_and_Processing/cellranger_processing/cellranger_fastqs/outs/fastq_path/H*/BN1305_S3_L002_I1_001.fastq.gz</v>
      </c>
      <c r="K454" s="46" t="s">
        <v>1323</v>
      </c>
      <c r="L454" s="46" t="s">
        <v>2231</v>
      </c>
      <c r="M454" s="46" t="s">
        <v>1309</v>
      </c>
      <c r="N454" s="46" t="s">
        <v>1310</v>
      </c>
      <c r="O454" s="46" t="s">
        <v>1311</v>
      </c>
      <c r="P454" s="46" t="s">
        <v>1312</v>
      </c>
      <c r="Q454" s="46" t="s">
        <v>31</v>
      </c>
      <c r="R454" s="46" t="s">
        <v>31</v>
      </c>
      <c r="S454" s="46" t="s">
        <v>31</v>
      </c>
      <c r="T454" s="46" t="s">
        <v>31</v>
      </c>
      <c r="U454" s="46" t="s">
        <v>49</v>
      </c>
    </row>
    <row r="455" spans="1:21">
      <c r="A455" s="46" t="s">
        <v>728</v>
      </c>
      <c r="B455" s="46" t="s">
        <v>127</v>
      </c>
      <c r="C455" s="46" t="s">
        <v>666</v>
      </c>
      <c r="D455" s="46">
        <v>1</v>
      </c>
      <c r="E455" s="46">
        <v>0</v>
      </c>
      <c r="F455" s="46" t="s">
        <v>706</v>
      </c>
      <c r="G455" s="46" t="s">
        <v>1305</v>
      </c>
      <c r="H455" s="46" t="s">
        <v>2232</v>
      </c>
      <c r="I455" s="46" t="str">
        <f ca="1">IFERROR(__xludf.DUMMYFUNCTION("CONCAT(A455,REGEXREPLACE(H455,"".*_L0"",""_L0""))"),"PD_BN1305_MTG_snRNAseq_rep1_L002_I2_001.fastq.gz")</f>
        <v>PD_BN1305_MTG_snRNAseq_rep1_L002_I2_001.fastq.gz</v>
      </c>
      <c r="J455" s="46" t="str">
        <f t="shared" si="1"/>
        <v>/data/neurogen/ASAP/scRNAseq/data/batch8_ASAP_snRNA-seq_*/Raw_Data_and_Processing/cellranger_processing/cellranger_fastqs/outs/fastq_path/H*/BN1305_S3_L002_I2_001.fastq.gz</v>
      </c>
      <c r="K455" s="46" t="s">
        <v>1326</v>
      </c>
      <c r="L455" s="46" t="s">
        <v>2233</v>
      </c>
      <c r="M455" s="46" t="s">
        <v>1309</v>
      </c>
      <c r="N455" s="46" t="s">
        <v>1310</v>
      </c>
      <c r="O455" s="46" t="s">
        <v>1311</v>
      </c>
      <c r="P455" s="46" t="s">
        <v>1312</v>
      </c>
      <c r="Q455" s="46" t="s">
        <v>31</v>
      </c>
      <c r="R455" s="46" t="s">
        <v>31</v>
      </c>
      <c r="S455" s="46" t="s">
        <v>31</v>
      </c>
      <c r="T455" s="46" t="s">
        <v>31</v>
      </c>
      <c r="U455" s="46" t="s">
        <v>49</v>
      </c>
    </row>
    <row r="456" spans="1:21">
      <c r="A456" s="46" t="s">
        <v>728</v>
      </c>
      <c r="B456" s="46" t="s">
        <v>127</v>
      </c>
      <c r="C456" s="46" t="s">
        <v>666</v>
      </c>
      <c r="D456" s="46">
        <v>1</v>
      </c>
      <c r="E456" s="46">
        <v>0</v>
      </c>
      <c r="F456" s="46" t="s">
        <v>706</v>
      </c>
      <c r="G456" s="46" t="s">
        <v>1305</v>
      </c>
      <c r="H456" s="46" t="s">
        <v>2234</v>
      </c>
      <c r="I456" s="46" t="str">
        <f ca="1">IFERROR(__xludf.DUMMYFUNCTION("CONCAT(A456,REGEXREPLACE(H456,"".*_L0"",""_L0""))"),"PD_BN1305_MTG_snRNAseq_rep1_L002_R1_001.fastq.gz")</f>
        <v>PD_BN1305_MTG_snRNAseq_rep1_L002_R1_001.fastq.gz</v>
      </c>
      <c r="J456" s="46" t="str">
        <f t="shared" si="1"/>
        <v>/data/neurogen/ASAP/scRNAseq/data/batch8_ASAP_snRNA-seq_*/Raw_Data_and_Processing/cellranger_processing/cellranger_fastqs/outs/fastq_path/H*/BN1305_S3_L002_R1_001.fastq.gz</v>
      </c>
      <c r="K456" s="46" t="s">
        <v>1329</v>
      </c>
      <c r="L456" s="46" t="s">
        <v>2235</v>
      </c>
      <c r="M456" s="46" t="s">
        <v>1309</v>
      </c>
      <c r="N456" s="46" t="s">
        <v>1310</v>
      </c>
      <c r="O456" s="46" t="s">
        <v>1311</v>
      </c>
      <c r="P456" s="46" t="s">
        <v>1312</v>
      </c>
      <c r="Q456" s="46" t="s">
        <v>31</v>
      </c>
      <c r="R456" s="46" t="s">
        <v>31</v>
      </c>
      <c r="S456" s="46" t="s">
        <v>31</v>
      </c>
      <c r="T456" s="46" t="s">
        <v>31</v>
      </c>
      <c r="U456" s="46" t="s">
        <v>49</v>
      </c>
    </row>
    <row r="457" spans="1:21">
      <c r="A457" s="46" t="s">
        <v>728</v>
      </c>
      <c r="B457" s="46" t="s">
        <v>127</v>
      </c>
      <c r="C457" s="46" t="s">
        <v>666</v>
      </c>
      <c r="D457" s="46">
        <v>1</v>
      </c>
      <c r="E457" s="46">
        <v>0</v>
      </c>
      <c r="F457" s="46" t="s">
        <v>706</v>
      </c>
      <c r="G457" s="46" t="s">
        <v>1305</v>
      </c>
      <c r="H457" s="46" t="s">
        <v>2236</v>
      </c>
      <c r="I457" s="46" t="str">
        <f ca="1">IFERROR(__xludf.DUMMYFUNCTION("CONCAT(A457,REGEXREPLACE(H457,"".*_L0"",""_L0""))"),"PD_BN1305_MTG_snRNAseq_rep1_L002_R2_001.fastq.gz")</f>
        <v>PD_BN1305_MTG_snRNAseq_rep1_L002_R2_001.fastq.gz</v>
      </c>
      <c r="J457" s="46" t="str">
        <f t="shared" si="1"/>
        <v>/data/neurogen/ASAP/scRNAseq/data/batch8_ASAP_snRNA-seq_*/Raw_Data_and_Processing/cellranger_processing/cellranger_fastqs/outs/fastq_path/H*/BN1305_S3_L002_R2_001.fastq.gz</v>
      </c>
      <c r="K457" s="46" t="s">
        <v>1332</v>
      </c>
      <c r="L457" s="46" t="s">
        <v>2237</v>
      </c>
      <c r="M457" s="46" t="s">
        <v>1309</v>
      </c>
      <c r="N457" s="46" t="s">
        <v>1310</v>
      </c>
      <c r="O457" s="46" t="s">
        <v>1311</v>
      </c>
      <c r="P457" s="46" t="s">
        <v>1312</v>
      </c>
      <c r="Q457" s="46" t="s">
        <v>31</v>
      </c>
      <c r="R457" s="46" t="s">
        <v>31</v>
      </c>
      <c r="S457" s="46" t="s">
        <v>31</v>
      </c>
      <c r="T457" s="46" t="s">
        <v>31</v>
      </c>
      <c r="U457" s="46" t="s">
        <v>49</v>
      </c>
    </row>
    <row r="458" spans="1:21">
      <c r="A458" s="46" t="s">
        <v>728</v>
      </c>
      <c r="B458" s="46" t="s">
        <v>127</v>
      </c>
      <c r="C458" s="46" t="s">
        <v>666</v>
      </c>
      <c r="D458" s="46">
        <v>1</v>
      </c>
      <c r="E458" s="46">
        <v>0</v>
      </c>
      <c r="F458" s="46" t="s">
        <v>706</v>
      </c>
      <c r="G458" s="46" t="s">
        <v>1305</v>
      </c>
      <c r="H458" s="46" t="s">
        <v>2238</v>
      </c>
      <c r="I458" s="46" t="str">
        <f ca="1">IFERROR(__xludf.DUMMYFUNCTION("CONCAT(A458,REGEXREPLACE(H458,"".*_L0"",""_L0""))"),"PD_BN1305_MTG_snRNAseq_rep1_L003_I1_001.fastq.gz")</f>
        <v>PD_BN1305_MTG_snRNAseq_rep1_L003_I1_001.fastq.gz</v>
      </c>
      <c r="J458" s="46" t="str">
        <f t="shared" si="1"/>
        <v>/data/neurogen/ASAP/scRNAseq/data/batch8_ASAP_snRNA-seq_*/Raw_Data_and_Processing/cellranger_processing/cellranger_fastqs/outs/fastq_path/H*/BN1305_S3_L003_I1_001.fastq.gz</v>
      </c>
      <c r="K458" s="46" t="s">
        <v>1335</v>
      </c>
      <c r="L458" s="46" t="s">
        <v>2239</v>
      </c>
      <c r="M458" s="46" t="s">
        <v>1309</v>
      </c>
      <c r="N458" s="46" t="s">
        <v>1310</v>
      </c>
      <c r="O458" s="46" t="s">
        <v>1311</v>
      </c>
      <c r="P458" s="46" t="s">
        <v>1312</v>
      </c>
      <c r="Q458" s="46" t="s">
        <v>31</v>
      </c>
      <c r="R458" s="46" t="s">
        <v>31</v>
      </c>
      <c r="S458" s="46" t="s">
        <v>31</v>
      </c>
      <c r="T458" s="46" t="s">
        <v>31</v>
      </c>
      <c r="U458" s="46" t="s">
        <v>49</v>
      </c>
    </row>
    <row r="459" spans="1:21">
      <c r="A459" s="46" t="s">
        <v>728</v>
      </c>
      <c r="B459" s="46" t="s">
        <v>127</v>
      </c>
      <c r="C459" s="46" t="s">
        <v>666</v>
      </c>
      <c r="D459" s="46">
        <v>1</v>
      </c>
      <c r="E459" s="46">
        <v>0</v>
      </c>
      <c r="F459" s="46" t="s">
        <v>706</v>
      </c>
      <c r="G459" s="46" t="s">
        <v>1305</v>
      </c>
      <c r="H459" s="46" t="s">
        <v>2240</v>
      </c>
      <c r="I459" s="46" t="str">
        <f ca="1">IFERROR(__xludf.DUMMYFUNCTION("CONCAT(A459,REGEXREPLACE(H459,"".*_L0"",""_L0""))"),"PD_BN1305_MTG_snRNAseq_rep1_L003_I2_001.fastq.gz")</f>
        <v>PD_BN1305_MTG_snRNAseq_rep1_L003_I2_001.fastq.gz</v>
      </c>
      <c r="J459" s="46" t="str">
        <f t="shared" si="1"/>
        <v>/data/neurogen/ASAP/scRNAseq/data/batch8_ASAP_snRNA-seq_*/Raw_Data_and_Processing/cellranger_processing/cellranger_fastqs/outs/fastq_path/H*/BN1305_S3_L003_I2_001.fastq.gz</v>
      </c>
      <c r="K459" s="46" t="s">
        <v>1338</v>
      </c>
      <c r="L459" s="46" t="s">
        <v>2241</v>
      </c>
      <c r="M459" s="46" t="s">
        <v>1309</v>
      </c>
      <c r="N459" s="46" t="s">
        <v>1310</v>
      </c>
      <c r="O459" s="46" t="s">
        <v>1311</v>
      </c>
      <c r="P459" s="46" t="s">
        <v>1312</v>
      </c>
      <c r="Q459" s="46" t="s">
        <v>31</v>
      </c>
      <c r="R459" s="46" t="s">
        <v>31</v>
      </c>
      <c r="S459" s="46" t="s">
        <v>31</v>
      </c>
      <c r="T459" s="46" t="s">
        <v>31</v>
      </c>
      <c r="U459" s="46" t="s">
        <v>49</v>
      </c>
    </row>
    <row r="460" spans="1:21">
      <c r="A460" s="46" t="s">
        <v>728</v>
      </c>
      <c r="B460" s="46" t="s">
        <v>127</v>
      </c>
      <c r="C460" s="46" t="s">
        <v>666</v>
      </c>
      <c r="D460" s="46">
        <v>1</v>
      </c>
      <c r="E460" s="46">
        <v>0</v>
      </c>
      <c r="F460" s="46" t="s">
        <v>706</v>
      </c>
      <c r="G460" s="46" t="s">
        <v>1305</v>
      </c>
      <c r="H460" s="46" t="s">
        <v>2242</v>
      </c>
      <c r="I460" s="46" t="str">
        <f ca="1">IFERROR(__xludf.DUMMYFUNCTION("CONCAT(A460,REGEXREPLACE(H460,"".*_L0"",""_L0""))"),"PD_BN1305_MTG_snRNAseq_rep1_L003_R1_001.fastq.gz")</f>
        <v>PD_BN1305_MTG_snRNAseq_rep1_L003_R1_001.fastq.gz</v>
      </c>
      <c r="J460" s="46" t="str">
        <f t="shared" si="1"/>
        <v>/data/neurogen/ASAP/scRNAseq/data/batch8_ASAP_snRNA-seq_*/Raw_Data_and_Processing/cellranger_processing/cellranger_fastqs/outs/fastq_path/H*/BN1305_S3_L003_R1_001.fastq.gz</v>
      </c>
      <c r="K460" s="46" t="s">
        <v>1341</v>
      </c>
      <c r="L460" s="46" t="s">
        <v>2243</v>
      </c>
      <c r="M460" s="46" t="s">
        <v>1309</v>
      </c>
      <c r="N460" s="46" t="s">
        <v>1310</v>
      </c>
      <c r="O460" s="46" t="s">
        <v>1311</v>
      </c>
      <c r="P460" s="46" t="s">
        <v>1312</v>
      </c>
      <c r="Q460" s="46" t="s">
        <v>31</v>
      </c>
      <c r="R460" s="46" t="s">
        <v>31</v>
      </c>
      <c r="S460" s="46" t="s">
        <v>31</v>
      </c>
      <c r="T460" s="46" t="s">
        <v>31</v>
      </c>
      <c r="U460" s="46" t="s">
        <v>49</v>
      </c>
    </row>
    <row r="461" spans="1:21">
      <c r="A461" s="46" t="s">
        <v>728</v>
      </c>
      <c r="B461" s="46" t="s">
        <v>127</v>
      </c>
      <c r="C461" s="46" t="s">
        <v>666</v>
      </c>
      <c r="D461" s="46">
        <v>1</v>
      </c>
      <c r="E461" s="46">
        <v>0</v>
      </c>
      <c r="F461" s="46" t="s">
        <v>706</v>
      </c>
      <c r="G461" s="46" t="s">
        <v>1305</v>
      </c>
      <c r="H461" s="46" t="s">
        <v>2244</v>
      </c>
      <c r="I461" s="46" t="str">
        <f ca="1">IFERROR(__xludf.DUMMYFUNCTION("CONCAT(A461,REGEXREPLACE(H461,"".*_L0"",""_L0""))"),"PD_BN1305_MTG_snRNAseq_rep1_L003_R2_001.fastq.gz")</f>
        <v>PD_BN1305_MTG_snRNAseq_rep1_L003_R2_001.fastq.gz</v>
      </c>
      <c r="J461" s="46" t="str">
        <f t="shared" si="1"/>
        <v>/data/neurogen/ASAP/scRNAseq/data/batch8_ASAP_snRNA-seq_*/Raw_Data_and_Processing/cellranger_processing/cellranger_fastqs/outs/fastq_path/H*/BN1305_S3_L003_R2_001.fastq.gz</v>
      </c>
      <c r="K461" s="46" t="s">
        <v>1344</v>
      </c>
      <c r="L461" s="46" t="s">
        <v>2245</v>
      </c>
      <c r="M461" s="46" t="s">
        <v>1309</v>
      </c>
      <c r="N461" s="46" t="s">
        <v>1310</v>
      </c>
      <c r="O461" s="46" t="s">
        <v>1311</v>
      </c>
      <c r="P461" s="46" t="s">
        <v>1312</v>
      </c>
      <c r="Q461" s="46" t="s">
        <v>31</v>
      </c>
      <c r="R461" s="46" t="s">
        <v>31</v>
      </c>
      <c r="S461" s="46" t="s">
        <v>31</v>
      </c>
      <c r="T461" s="46" t="s">
        <v>31</v>
      </c>
      <c r="U461" s="46" t="s">
        <v>49</v>
      </c>
    </row>
    <row r="462" spans="1:21">
      <c r="A462" s="46" t="s">
        <v>728</v>
      </c>
      <c r="B462" s="46" t="s">
        <v>127</v>
      </c>
      <c r="C462" s="46" t="s">
        <v>666</v>
      </c>
      <c r="D462" s="46">
        <v>1</v>
      </c>
      <c r="E462" s="46">
        <v>0</v>
      </c>
      <c r="F462" s="46" t="s">
        <v>706</v>
      </c>
      <c r="G462" s="46" t="s">
        <v>1305</v>
      </c>
      <c r="H462" s="46" t="s">
        <v>2246</v>
      </c>
      <c r="I462" s="46" t="str">
        <f ca="1">IFERROR(__xludf.DUMMYFUNCTION("CONCAT(A462,REGEXREPLACE(H462,"".*_L0"",""_L0""))"),"PD_BN1305_MTG_snRNAseq_rep1_L004_I1_001.fastq.gz")</f>
        <v>PD_BN1305_MTG_snRNAseq_rep1_L004_I1_001.fastq.gz</v>
      </c>
      <c r="J462" s="46" t="str">
        <f t="shared" si="1"/>
        <v>/data/neurogen/ASAP/scRNAseq/data/batch8_ASAP_snRNA-seq_*/Raw_Data_and_Processing/cellranger_processing/cellranger_fastqs/outs/fastq_path/H*/BN1305_S3_L004_I1_001.fastq.gz</v>
      </c>
      <c r="K462" s="46" t="s">
        <v>1347</v>
      </c>
      <c r="L462" s="47" t="s">
        <v>2247</v>
      </c>
      <c r="M462" s="46" t="s">
        <v>1309</v>
      </c>
      <c r="N462" s="46" t="s">
        <v>1310</v>
      </c>
      <c r="O462" s="46" t="s">
        <v>1311</v>
      </c>
      <c r="P462" s="46" t="s">
        <v>1312</v>
      </c>
      <c r="Q462" s="46" t="s">
        <v>31</v>
      </c>
      <c r="R462" s="46" t="s">
        <v>31</v>
      </c>
      <c r="S462" s="46" t="s">
        <v>31</v>
      </c>
      <c r="T462" s="46" t="s">
        <v>31</v>
      </c>
      <c r="U462" s="46" t="s">
        <v>49</v>
      </c>
    </row>
    <row r="463" spans="1:21">
      <c r="A463" s="46" t="s">
        <v>728</v>
      </c>
      <c r="B463" s="46" t="s">
        <v>127</v>
      </c>
      <c r="C463" s="46" t="s">
        <v>666</v>
      </c>
      <c r="D463" s="46">
        <v>1</v>
      </c>
      <c r="E463" s="46">
        <v>0</v>
      </c>
      <c r="F463" s="46" t="s">
        <v>706</v>
      </c>
      <c r="G463" s="46" t="s">
        <v>1305</v>
      </c>
      <c r="H463" s="46" t="s">
        <v>2248</v>
      </c>
      <c r="I463" s="46" t="str">
        <f ca="1">IFERROR(__xludf.DUMMYFUNCTION("CONCAT(A463,REGEXREPLACE(H463,"".*_L0"",""_L0""))"),"PD_BN1305_MTG_snRNAseq_rep1_L004_I2_001.fastq.gz")</f>
        <v>PD_BN1305_MTG_snRNAseq_rep1_L004_I2_001.fastq.gz</v>
      </c>
      <c r="J463" s="46" t="str">
        <f t="shared" si="1"/>
        <v>/data/neurogen/ASAP/scRNAseq/data/batch8_ASAP_snRNA-seq_*/Raw_Data_and_Processing/cellranger_processing/cellranger_fastqs/outs/fastq_path/H*/BN1305_S3_L004_I2_001.fastq.gz</v>
      </c>
      <c r="K463" s="46" t="s">
        <v>1350</v>
      </c>
      <c r="L463" s="46" t="s">
        <v>2249</v>
      </c>
      <c r="M463" s="46" t="s">
        <v>1309</v>
      </c>
      <c r="N463" s="46" t="s">
        <v>1310</v>
      </c>
      <c r="O463" s="46" t="s">
        <v>1311</v>
      </c>
      <c r="P463" s="46" t="s">
        <v>1312</v>
      </c>
      <c r="Q463" s="46" t="s">
        <v>31</v>
      </c>
      <c r="R463" s="46" t="s">
        <v>31</v>
      </c>
      <c r="S463" s="46" t="s">
        <v>31</v>
      </c>
      <c r="T463" s="46" t="s">
        <v>31</v>
      </c>
      <c r="U463" s="46" t="s">
        <v>49</v>
      </c>
    </row>
    <row r="464" spans="1:21">
      <c r="A464" s="46" t="s">
        <v>728</v>
      </c>
      <c r="B464" s="46" t="s">
        <v>127</v>
      </c>
      <c r="C464" s="46" t="s">
        <v>666</v>
      </c>
      <c r="D464" s="46">
        <v>1</v>
      </c>
      <c r="E464" s="46">
        <v>0</v>
      </c>
      <c r="F464" s="46" t="s">
        <v>706</v>
      </c>
      <c r="G464" s="46" t="s">
        <v>1305</v>
      </c>
      <c r="H464" s="46" t="s">
        <v>2250</v>
      </c>
      <c r="I464" s="46" t="str">
        <f ca="1">IFERROR(__xludf.DUMMYFUNCTION("CONCAT(A464,REGEXREPLACE(H464,"".*_L0"",""_L0""))"),"PD_BN1305_MTG_snRNAseq_rep1_L004_R1_001.fastq.gz")</f>
        <v>PD_BN1305_MTG_snRNAseq_rep1_L004_R1_001.fastq.gz</v>
      </c>
      <c r="J464" s="46" t="str">
        <f t="shared" si="1"/>
        <v>/data/neurogen/ASAP/scRNAseq/data/batch8_ASAP_snRNA-seq_*/Raw_Data_and_Processing/cellranger_processing/cellranger_fastqs/outs/fastq_path/H*/BN1305_S3_L004_R1_001.fastq.gz</v>
      </c>
      <c r="K464" s="46" t="s">
        <v>1353</v>
      </c>
      <c r="L464" s="46" t="s">
        <v>2251</v>
      </c>
      <c r="M464" s="46" t="s">
        <v>1309</v>
      </c>
      <c r="N464" s="46" t="s">
        <v>1310</v>
      </c>
      <c r="O464" s="46" t="s">
        <v>1311</v>
      </c>
      <c r="P464" s="46" t="s">
        <v>1312</v>
      </c>
      <c r="Q464" s="46" t="s">
        <v>31</v>
      </c>
      <c r="R464" s="46" t="s">
        <v>31</v>
      </c>
      <c r="S464" s="46" t="s">
        <v>31</v>
      </c>
      <c r="T464" s="46" t="s">
        <v>31</v>
      </c>
      <c r="U464" s="46" t="s">
        <v>49</v>
      </c>
    </row>
    <row r="465" spans="1:21">
      <c r="A465" s="46" t="s">
        <v>728</v>
      </c>
      <c r="B465" s="46" t="s">
        <v>127</v>
      </c>
      <c r="C465" s="46" t="s">
        <v>666</v>
      </c>
      <c r="D465" s="46">
        <v>1</v>
      </c>
      <c r="E465" s="46">
        <v>0</v>
      </c>
      <c r="F465" s="46" t="s">
        <v>706</v>
      </c>
      <c r="G465" s="46" t="s">
        <v>1305</v>
      </c>
      <c r="H465" s="46" t="s">
        <v>2252</v>
      </c>
      <c r="I465" s="46" t="str">
        <f ca="1">IFERROR(__xludf.DUMMYFUNCTION("CONCAT(A465,REGEXREPLACE(H465,"".*_L0"",""_L0""))"),"PD_BN1305_MTG_snRNAseq_rep1_L004_R2_001.fastq.gz")</f>
        <v>PD_BN1305_MTG_snRNAseq_rep1_L004_R2_001.fastq.gz</v>
      </c>
      <c r="J465" s="46" t="str">
        <f t="shared" si="1"/>
        <v>/data/neurogen/ASAP/scRNAseq/data/batch8_ASAP_snRNA-seq_*/Raw_Data_and_Processing/cellranger_processing/cellranger_fastqs/outs/fastq_path/H*/BN1305_S3_L004_R2_001.fastq.gz</v>
      </c>
      <c r="K465" s="46" t="s">
        <v>1356</v>
      </c>
      <c r="L465" s="46" t="s">
        <v>2253</v>
      </c>
      <c r="M465" s="46" t="s">
        <v>1309</v>
      </c>
      <c r="N465" s="46" t="s">
        <v>1310</v>
      </c>
      <c r="O465" s="46" t="s">
        <v>1311</v>
      </c>
      <c r="P465" s="46" t="s">
        <v>1312</v>
      </c>
      <c r="Q465" s="46" t="s">
        <v>31</v>
      </c>
      <c r="R465" s="46" t="s">
        <v>31</v>
      </c>
      <c r="S465" s="46" t="s">
        <v>31</v>
      </c>
      <c r="T465" s="46" t="s">
        <v>31</v>
      </c>
      <c r="U465" s="46" t="s">
        <v>49</v>
      </c>
    </row>
    <row r="466" spans="1:21">
      <c r="A466" s="46" t="s">
        <v>729</v>
      </c>
      <c r="B466" s="46" t="s">
        <v>129</v>
      </c>
      <c r="C466" s="46" t="s">
        <v>666</v>
      </c>
      <c r="D466" s="46">
        <v>1</v>
      </c>
      <c r="E466" s="46">
        <v>0</v>
      </c>
      <c r="F466" s="46" t="s">
        <v>706</v>
      </c>
      <c r="G466" s="46" t="s">
        <v>1305</v>
      </c>
      <c r="H466" s="46" t="s">
        <v>2254</v>
      </c>
      <c r="I466" s="46" t="str">
        <f ca="1">IFERROR(__xludf.DUMMYFUNCTION("CONCAT(A466,REGEXREPLACE(H466,"".*_L0"",""_L0""))"),"ILB_BN1308_MTG_snRNAseq_rep1_L001_I1_001.fastq.gz")</f>
        <v>ILB_BN1308_MTG_snRNAseq_rep1_L001_I1_001.fastq.gz</v>
      </c>
      <c r="J466" s="46" t="str">
        <f t="shared" si="1"/>
        <v>/data/neurogen/ASAP/scRNAseq/data/batch8_ASAP_snRNA-seq_*/Raw_Data_and_Processing/cellranger_processing/cellranger_fastqs/outs/fastq_path/H*/BN1308_S1_L001_I1_001.fastq.gz</v>
      </c>
      <c r="K466" s="46" t="s">
        <v>1307</v>
      </c>
      <c r="L466" s="46" t="s">
        <v>2255</v>
      </c>
      <c r="M466" s="46" t="s">
        <v>1309</v>
      </c>
      <c r="N466" s="46" t="s">
        <v>1310</v>
      </c>
      <c r="O466" s="46" t="s">
        <v>1311</v>
      </c>
      <c r="P466" s="46" t="s">
        <v>1312</v>
      </c>
      <c r="Q466" s="46" t="s">
        <v>31</v>
      </c>
      <c r="R466" s="46" t="s">
        <v>31</v>
      </c>
      <c r="S466" s="46" t="s">
        <v>31</v>
      </c>
      <c r="T466" s="46" t="s">
        <v>31</v>
      </c>
      <c r="U466" s="46" t="s">
        <v>49</v>
      </c>
    </row>
    <row r="467" spans="1:21">
      <c r="A467" s="46" t="s">
        <v>729</v>
      </c>
      <c r="B467" s="46" t="s">
        <v>129</v>
      </c>
      <c r="C467" s="46" t="s">
        <v>666</v>
      </c>
      <c r="D467" s="46">
        <v>1</v>
      </c>
      <c r="E467" s="46">
        <v>0</v>
      </c>
      <c r="F467" s="46" t="s">
        <v>706</v>
      </c>
      <c r="G467" s="46" t="s">
        <v>1305</v>
      </c>
      <c r="H467" s="46" t="s">
        <v>2256</v>
      </c>
      <c r="I467" s="46" t="str">
        <f ca="1">IFERROR(__xludf.DUMMYFUNCTION("CONCAT(A467,REGEXREPLACE(H467,"".*_L0"",""_L0""))"),"ILB_BN1308_MTG_snRNAseq_rep1_L001_I2_001.fastq.gz")</f>
        <v>ILB_BN1308_MTG_snRNAseq_rep1_L001_I2_001.fastq.gz</v>
      </c>
      <c r="J467" s="46" t="str">
        <f t="shared" si="1"/>
        <v>/data/neurogen/ASAP/scRNAseq/data/batch8_ASAP_snRNA-seq_*/Raw_Data_and_Processing/cellranger_processing/cellranger_fastqs/outs/fastq_path/H*/BN1308_S1_L001_I2_001.fastq.gz</v>
      </c>
      <c r="K467" s="46" t="s">
        <v>1314</v>
      </c>
      <c r="L467" s="46" t="s">
        <v>2257</v>
      </c>
      <c r="M467" s="46" t="s">
        <v>1309</v>
      </c>
      <c r="N467" s="46" t="s">
        <v>1310</v>
      </c>
      <c r="O467" s="46" t="s">
        <v>1311</v>
      </c>
      <c r="P467" s="46" t="s">
        <v>1312</v>
      </c>
      <c r="Q467" s="46" t="s">
        <v>31</v>
      </c>
      <c r="R467" s="46" t="s">
        <v>31</v>
      </c>
      <c r="S467" s="46" t="s">
        <v>31</v>
      </c>
      <c r="T467" s="46" t="s">
        <v>31</v>
      </c>
      <c r="U467" s="46" t="s">
        <v>49</v>
      </c>
    </row>
    <row r="468" spans="1:21">
      <c r="A468" s="46" t="s">
        <v>729</v>
      </c>
      <c r="B468" s="46" t="s">
        <v>129</v>
      </c>
      <c r="C468" s="46" t="s">
        <v>666</v>
      </c>
      <c r="D468" s="46">
        <v>1</v>
      </c>
      <c r="E468" s="46">
        <v>0</v>
      </c>
      <c r="F468" s="46" t="s">
        <v>706</v>
      </c>
      <c r="G468" s="46" t="s">
        <v>1305</v>
      </c>
      <c r="H468" s="46" t="s">
        <v>2258</v>
      </c>
      <c r="I468" s="46" t="str">
        <f ca="1">IFERROR(__xludf.DUMMYFUNCTION("CONCAT(A468,REGEXREPLACE(H468,"".*_L0"",""_L0""))"),"ILB_BN1308_MTG_snRNAseq_rep1_L001_R1_001.fastq.gz")</f>
        <v>ILB_BN1308_MTG_snRNAseq_rep1_L001_R1_001.fastq.gz</v>
      </c>
      <c r="J468" s="46" t="str">
        <f t="shared" si="1"/>
        <v>/data/neurogen/ASAP/scRNAseq/data/batch8_ASAP_snRNA-seq_*/Raw_Data_and_Processing/cellranger_processing/cellranger_fastqs/outs/fastq_path/H*/BN1308_S1_L001_R1_001.fastq.gz</v>
      </c>
      <c r="K468" s="46" t="s">
        <v>1317</v>
      </c>
      <c r="L468" s="46" t="s">
        <v>2259</v>
      </c>
      <c r="M468" s="46" t="s">
        <v>1309</v>
      </c>
      <c r="N468" s="46" t="s">
        <v>1310</v>
      </c>
      <c r="O468" s="46" t="s">
        <v>1311</v>
      </c>
      <c r="P468" s="46" t="s">
        <v>1312</v>
      </c>
      <c r="Q468" s="46" t="s">
        <v>31</v>
      </c>
      <c r="R468" s="46" t="s">
        <v>31</v>
      </c>
      <c r="S468" s="46" t="s">
        <v>31</v>
      </c>
      <c r="T468" s="46" t="s">
        <v>31</v>
      </c>
      <c r="U468" s="46" t="s">
        <v>49</v>
      </c>
    </row>
    <row r="469" spans="1:21">
      <c r="A469" s="46" t="s">
        <v>729</v>
      </c>
      <c r="B469" s="46" t="s">
        <v>129</v>
      </c>
      <c r="C469" s="46" t="s">
        <v>666</v>
      </c>
      <c r="D469" s="46">
        <v>1</v>
      </c>
      <c r="E469" s="46">
        <v>0</v>
      </c>
      <c r="F469" s="46" t="s">
        <v>706</v>
      </c>
      <c r="G469" s="46" t="s">
        <v>1305</v>
      </c>
      <c r="H469" s="46" t="s">
        <v>2260</v>
      </c>
      <c r="I469" s="46" t="str">
        <f ca="1">IFERROR(__xludf.DUMMYFUNCTION("CONCAT(A469,REGEXREPLACE(H469,"".*_L0"",""_L0""))"),"ILB_BN1308_MTG_snRNAseq_rep1_L001_R2_001.fastq.gz")</f>
        <v>ILB_BN1308_MTG_snRNAseq_rep1_L001_R2_001.fastq.gz</v>
      </c>
      <c r="J469" s="46" t="str">
        <f t="shared" si="1"/>
        <v>/data/neurogen/ASAP/scRNAseq/data/batch8_ASAP_snRNA-seq_*/Raw_Data_and_Processing/cellranger_processing/cellranger_fastqs/outs/fastq_path/H*/BN1308_S1_L001_R2_001.fastq.gz</v>
      </c>
      <c r="K469" s="46" t="s">
        <v>1320</v>
      </c>
      <c r="L469" s="46" t="s">
        <v>2261</v>
      </c>
      <c r="M469" s="46" t="s">
        <v>1309</v>
      </c>
      <c r="N469" s="46" t="s">
        <v>1310</v>
      </c>
      <c r="O469" s="46" t="s">
        <v>1311</v>
      </c>
      <c r="P469" s="46" t="s">
        <v>1312</v>
      </c>
      <c r="Q469" s="46" t="s">
        <v>31</v>
      </c>
      <c r="R469" s="46" t="s">
        <v>31</v>
      </c>
      <c r="S469" s="46" t="s">
        <v>31</v>
      </c>
      <c r="T469" s="46" t="s">
        <v>31</v>
      </c>
      <c r="U469" s="46" t="s">
        <v>49</v>
      </c>
    </row>
    <row r="470" spans="1:21">
      <c r="A470" s="46" t="s">
        <v>729</v>
      </c>
      <c r="B470" s="46" t="s">
        <v>129</v>
      </c>
      <c r="C470" s="46" t="s">
        <v>666</v>
      </c>
      <c r="D470" s="46">
        <v>1</v>
      </c>
      <c r="E470" s="46">
        <v>0</v>
      </c>
      <c r="F470" s="46" t="s">
        <v>706</v>
      </c>
      <c r="G470" s="46" t="s">
        <v>1305</v>
      </c>
      <c r="H470" s="46" t="s">
        <v>2262</v>
      </c>
      <c r="I470" s="46" t="str">
        <f ca="1">IFERROR(__xludf.DUMMYFUNCTION("CONCAT(A470,REGEXREPLACE(H470,"".*_L0"",""_L0""))"),"ILB_BN1308_MTG_snRNAseq_rep1_L002_I1_001.fastq.gz")</f>
        <v>ILB_BN1308_MTG_snRNAseq_rep1_L002_I1_001.fastq.gz</v>
      </c>
      <c r="J470" s="46" t="str">
        <f t="shared" si="1"/>
        <v>/data/neurogen/ASAP/scRNAseq/data/batch8_ASAP_snRNA-seq_*/Raw_Data_and_Processing/cellranger_processing/cellranger_fastqs/outs/fastq_path/H*/BN1308_S1_L002_I1_001.fastq.gz</v>
      </c>
      <c r="K470" s="46" t="s">
        <v>1323</v>
      </c>
      <c r="L470" s="46" t="s">
        <v>2263</v>
      </c>
      <c r="M470" s="46" t="s">
        <v>1309</v>
      </c>
      <c r="N470" s="46" t="s">
        <v>1310</v>
      </c>
      <c r="O470" s="46" t="s">
        <v>1311</v>
      </c>
      <c r="P470" s="46" t="s">
        <v>1312</v>
      </c>
      <c r="Q470" s="46" t="s">
        <v>31</v>
      </c>
      <c r="R470" s="46" t="s">
        <v>31</v>
      </c>
      <c r="S470" s="46" t="s">
        <v>31</v>
      </c>
      <c r="T470" s="46" t="s">
        <v>31</v>
      </c>
      <c r="U470" s="46" t="s">
        <v>49</v>
      </c>
    </row>
    <row r="471" spans="1:21">
      <c r="A471" s="46" t="s">
        <v>729</v>
      </c>
      <c r="B471" s="46" t="s">
        <v>129</v>
      </c>
      <c r="C471" s="46" t="s">
        <v>666</v>
      </c>
      <c r="D471" s="46">
        <v>1</v>
      </c>
      <c r="E471" s="46">
        <v>0</v>
      </c>
      <c r="F471" s="46" t="s">
        <v>706</v>
      </c>
      <c r="G471" s="46" t="s">
        <v>1305</v>
      </c>
      <c r="H471" s="46" t="s">
        <v>2264</v>
      </c>
      <c r="I471" s="46" t="str">
        <f ca="1">IFERROR(__xludf.DUMMYFUNCTION("CONCAT(A471,REGEXREPLACE(H471,"".*_L0"",""_L0""))"),"ILB_BN1308_MTG_snRNAseq_rep1_L002_I2_001.fastq.gz")</f>
        <v>ILB_BN1308_MTG_snRNAseq_rep1_L002_I2_001.fastq.gz</v>
      </c>
      <c r="J471" s="46" t="str">
        <f t="shared" si="1"/>
        <v>/data/neurogen/ASAP/scRNAseq/data/batch8_ASAP_snRNA-seq_*/Raw_Data_and_Processing/cellranger_processing/cellranger_fastqs/outs/fastq_path/H*/BN1308_S1_L002_I2_001.fastq.gz</v>
      </c>
      <c r="K471" s="46" t="s">
        <v>1326</v>
      </c>
      <c r="L471" s="46" t="s">
        <v>2265</v>
      </c>
      <c r="M471" s="46" t="s">
        <v>1309</v>
      </c>
      <c r="N471" s="46" t="s">
        <v>1310</v>
      </c>
      <c r="O471" s="46" t="s">
        <v>1311</v>
      </c>
      <c r="P471" s="46" t="s">
        <v>1312</v>
      </c>
      <c r="Q471" s="46" t="s">
        <v>31</v>
      </c>
      <c r="R471" s="46" t="s">
        <v>31</v>
      </c>
      <c r="S471" s="46" t="s">
        <v>31</v>
      </c>
      <c r="T471" s="46" t="s">
        <v>31</v>
      </c>
      <c r="U471" s="46" t="s">
        <v>49</v>
      </c>
    </row>
    <row r="472" spans="1:21">
      <c r="A472" s="46" t="s">
        <v>729</v>
      </c>
      <c r="B472" s="46" t="s">
        <v>129</v>
      </c>
      <c r="C472" s="46" t="s">
        <v>666</v>
      </c>
      <c r="D472" s="46">
        <v>1</v>
      </c>
      <c r="E472" s="46">
        <v>0</v>
      </c>
      <c r="F472" s="46" t="s">
        <v>706</v>
      </c>
      <c r="G472" s="46" t="s">
        <v>1305</v>
      </c>
      <c r="H472" s="46" t="s">
        <v>2266</v>
      </c>
      <c r="I472" s="46" t="str">
        <f ca="1">IFERROR(__xludf.DUMMYFUNCTION("CONCAT(A472,REGEXREPLACE(H472,"".*_L0"",""_L0""))"),"ILB_BN1308_MTG_snRNAseq_rep1_L002_R1_001.fastq.gz")</f>
        <v>ILB_BN1308_MTG_snRNAseq_rep1_L002_R1_001.fastq.gz</v>
      </c>
      <c r="J472" s="46" t="str">
        <f t="shared" si="1"/>
        <v>/data/neurogen/ASAP/scRNAseq/data/batch8_ASAP_snRNA-seq_*/Raw_Data_and_Processing/cellranger_processing/cellranger_fastqs/outs/fastq_path/H*/BN1308_S1_L002_R1_001.fastq.gz</v>
      </c>
      <c r="K472" s="46" t="s">
        <v>1329</v>
      </c>
      <c r="L472" s="46" t="s">
        <v>2267</v>
      </c>
      <c r="M472" s="46" t="s">
        <v>1309</v>
      </c>
      <c r="N472" s="46" t="s">
        <v>1310</v>
      </c>
      <c r="O472" s="46" t="s">
        <v>1311</v>
      </c>
      <c r="P472" s="46" t="s">
        <v>1312</v>
      </c>
      <c r="Q472" s="46" t="s">
        <v>31</v>
      </c>
      <c r="R472" s="46" t="s">
        <v>31</v>
      </c>
      <c r="S472" s="46" t="s">
        <v>31</v>
      </c>
      <c r="T472" s="46" t="s">
        <v>31</v>
      </c>
      <c r="U472" s="46" t="s">
        <v>49</v>
      </c>
    </row>
    <row r="473" spans="1:21">
      <c r="A473" s="46" t="s">
        <v>729</v>
      </c>
      <c r="B473" s="46" t="s">
        <v>129</v>
      </c>
      <c r="C473" s="46" t="s">
        <v>666</v>
      </c>
      <c r="D473" s="46">
        <v>1</v>
      </c>
      <c r="E473" s="46">
        <v>0</v>
      </c>
      <c r="F473" s="46" t="s">
        <v>706</v>
      </c>
      <c r="G473" s="46" t="s">
        <v>1305</v>
      </c>
      <c r="H473" s="46" t="s">
        <v>2268</v>
      </c>
      <c r="I473" s="46" t="str">
        <f ca="1">IFERROR(__xludf.DUMMYFUNCTION("CONCAT(A473,REGEXREPLACE(H473,"".*_L0"",""_L0""))"),"ILB_BN1308_MTG_snRNAseq_rep1_L002_R2_001.fastq.gz")</f>
        <v>ILB_BN1308_MTG_snRNAseq_rep1_L002_R2_001.fastq.gz</v>
      </c>
      <c r="J473" s="46" t="str">
        <f t="shared" si="1"/>
        <v>/data/neurogen/ASAP/scRNAseq/data/batch8_ASAP_snRNA-seq_*/Raw_Data_and_Processing/cellranger_processing/cellranger_fastqs/outs/fastq_path/H*/BN1308_S1_L002_R2_001.fastq.gz</v>
      </c>
      <c r="K473" s="46" t="s">
        <v>1332</v>
      </c>
      <c r="L473" s="46" t="s">
        <v>2269</v>
      </c>
      <c r="M473" s="46" t="s">
        <v>1309</v>
      </c>
      <c r="N473" s="46" t="s">
        <v>1310</v>
      </c>
      <c r="O473" s="46" t="s">
        <v>1311</v>
      </c>
      <c r="P473" s="46" t="s">
        <v>1312</v>
      </c>
      <c r="Q473" s="46" t="s">
        <v>31</v>
      </c>
      <c r="R473" s="46" t="s">
        <v>31</v>
      </c>
      <c r="S473" s="46" t="s">
        <v>31</v>
      </c>
      <c r="T473" s="46" t="s">
        <v>31</v>
      </c>
      <c r="U473" s="46" t="s">
        <v>49</v>
      </c>
    </row>
    <row r="474" spans="1:21">
      <c r="A474" s="46" t="s">
        <v>729</v>
      </c>
      <c r="B474" s="46" t="s">
        <v>129</v>
      </c>
      <c r="C474" s="46" t="s">
        <v>666</v>
      </c>
      <c r="D474" s="46">
        <v>1</v>
      </c>
      <c r="E474" s="46">
        <v>0</v>
      </c>
      <c r="F474" s="46" t="s">
        <v>706</v>
      </c>
      <c r="G474" s="46" t="s">
        <v>1305</v>
      </c>
      <c r="H474" s="46" t="s">
        <v>2270</v>
      </c>
      <c r="I474" s="46" t="str">
        <f ca="1">IFERROR(__xludf.DUMMYFUNCTION("CONCAT(A474,REGEXREPLACE(H474,"".*_L0"",""_L0""))"),"ILB_BN1308_MTG_snRNAseq_rep1_L003_I1_001.fastq.gz")</f>
        <v>ILB_BN1308_MTG_snRNAseq_rep1_L003_I1_001.fastq.gz</v>
      </c>
      <c r="J474" s="46" t="str">
        <f t="shared" si="1"/>
        <v>/data/neurogen/ASAP/scRNAseq/data/batch8_ASAP_snRNA-seq_*/Raw_Data_and_Processing/cellranger_processing/cellranger_fastqs/outs/fastq_path/H*/BN1308_S1_L003_I1_001.fastq.gz</v>
      </c>
      <c r="K474" s="46" t="s">
        <v>1335</v>
      </c>
      <c r="L474" s="46" t="s">
        <v>2271</v>
      </c>
      <c r="M474" s="46" t="s">
        <v>1309</v>
      </c>
      <c r="N474" s="46" t="s">
        <v>1310</v>
      </c>
      <c r="O474" s="46" t="s">
        <v>1311</v>
      </c>
      <c r="P474" s="46" t="s">
        <v>1312</v>
      </c>
      <c r="Q474" s="46" t="s">
        <v>31</v>
      </c>
      <c r="R474" s="46" t="s">
        <v>31</v>
      </c>
      <c r="S474" s="46" t="s">
        <v>31</v>
      </c>
      <c r="T474" s="46" t="s">
        <v>31</v>
      </c>
      <c r="U474" s="46" t="s">
        <v>49</v>
      </c>
    </row>
    <row r="475" spans="1:21">
      <c r="A475" s="46" t="s">
        <v>729</v>
      </c>
      <c r="B475" s="46" t="s">
        <v>129</v>
      </c>
      <c r="C475" s="46" t="s">
        <v>666</v>
      </c>
      <c r="D475" s="46">
        <v>1</v>
      </c>
      <c r="E475" s="46">
        <v>0</v>
      </c>
      <c r="F475" s="46" t="s">
        <v>706</v>
      </c>
      <c r="G475" s="46" t="s">
        <v>1305</v>
      </c>
      <c r="H475" s="46" t="s">
        <v>2272</v>
      </c>
      <c r="I475" s="46" t="str">
        <f ca="1">IFERROR(__xludf.DUMMYFUNCTION("CONCAT(A475,REGEXREPLACE(H475,"".*_L0"",""_L0""))"),"ILB_BN1308_MTG_snRNAseq_rep1_L003_I2_001.fastq.gz")</f>
        <v>ILB_BN1308_MTG_snRNAseq_rep1_L003_I2_001.fastq.gz</v>
      </c>
      <c r="J475" s="46" t="str">
        <f t="shared" si="1"/>
        <v>/data/neurogen/ASAP/scRNAseq/data/batch8_ASAP_snRNA-seq_*/Raw_Data_and_Processing/cellranger_processing/cellranger_fastqs/outs/fastq_path/H*/BN1308_S1_L003_I2_001.fastq.gz</v>
      </c>
      <c r="K475" s="46" t="s">
        <v>1338</v>
      </c>
      <c r="L475" s="46" t="s">
        <v>2273</v>
      </c>
      <c r="M475" s="46" t="s">
        <v>1309</v>
      </c>
      <c r="N475" s="46" t="s">
        <v>1310</v>
      </c>
      <c r="O475" s="46" t="s">
        <v>1311</v>
      </c>
      <c r="P475" s="46" t="s">
        <v>1312</v>
      </c>
      <c r="Q475" s="46" t="s">
        <v>31</v>
      </c>
      <c r="R475" s="46" t="s">
        <v>31</v>
      </c>
      <c r="S475" s="46" t="s">
        <v>31</v>
      </c>
      <c r="T475" s="46" t="s">
        <v>31</v>
      </c>
      <c r="U475" s="46" t="s">
        <v>49</v>
      </c>
    </row>
    <row r="476" spans="1:21">
      <c r="A476" s="46" t="s">
        <v>729</v>
      </c>
      <c r="B476" s="46" t="s">
        <v>129</v>
      </c>
      <c r="C476" s="46" t="s">
        <v>666</v>
      </c>
      <c r="D476" s="46">
        <v>1</v>
      </c>
      <c r="E476" s="46">
        <v>0</v>
      </c>
      <c r="F476" s="46" t="s">
        <v>706</v>
      </c>
      <c r="G476" s="46" t="s">
        <v>1305</v>
      </c>
      <c r="H476" s="46" t="s">
        <v>2274</v>
      </c>
      <c r="I476" s="46" t="str">
        <f ca="1">IFERROR(__xludf.DUMMYFUNCTION("CONCAT(A476,REGEXREPLACE(H476,"".*_L0"",""_L0""))"),"ILB_BN1308_MTG_snRNAseq_rep1_L003_R1_001.fastq.gz")</f>
        <v>ILB_BN1308_MTG_snRNAseq_rep1_L003_R1_001.fastq.gz</v>
      </c>
      <c r="J476" s="46" t="str">
        <f t="shared" si="1"/>
        <v>/data/neurogen/ASAP/scRNAseq/data/batch8_ASAP_snRNA-seq_*/Raw_Data_and_Processing/cellranger_processing/cellranger_fastqs/outs/fastq_path/H*/BN1308_S1_L003_R1_001.fastq.gz</v>
      </c>
      <c r="K476" s="46" t="s">
        <v>1341</v>
      </c>
      <c r="L476" s="46" t="s">
        <v>2275</v>
      </c>
      <c r="M476" s="46" t="s">
        <v>1309</v>
      </c>
      <c r="N476" s="46" t="s">
        <v>1310</v>
      </c>
      <c r="O476" s="46" t="s">
        <v>1311</v>
      </c>
      <c r="P476" s="46" t="s">
        <v>1312</v>
      </c>
      <c r="Q476" s="46" t="s">
        <v>31</v>
      </c>
      <c r="R476" s="46" t="s">
        <v>31</v>
      </c>
      <c r="S476" s="46" t="s">
        <v>31</v>
      </c>
      <c r="T476" s="46" t="s">
        <v>31</v>
      </c>
      <c r="U476" s="46" t="s">
        <v>49</v>
      </c>
    </row>
    <row r="477" spans="1:21">
      <c r="A477" s="46" t="s">
        <v>729</v>
      </c>
      <c r="B477" s="46" t="s">
        <v>129</v>
      </c>
      <c r="C477" s="46" t="s">
        <v>666</v>
      </c>
      <c r="D477" s="46">
        <v>1</v>
      </c>
      <c r="E477" s="46">
        <v>0</v>
      </c>
      <c r="F477" s="46" t="s">
        <v>706</v>
      </c>
      <c r="G477" s="46" t="s">
        <v>1305</v>
      </c>
      <c r="H477" s="46" t="s">
        <v>2276</v>
      </c>
      <c r="I477" s="46" t="str">
        <f ca="1">IFERROR(__xludf.DUMMYFUNCTION("CONCAT(A477,REGEXREPLACE(H477,"".*_L0"",""_L0""))"),"ILB_BN1308_MTG_snRNAseq_rep1_L003_R2_001.fastq.gz")</f>
        <v>ILB_BN1308_MTG_snRNAseq_rep1_L003_R2_001.fastq.gz</v>
      </c>
      <c r="J477" s="46" t="str">
        <f t="shared" si="1"/>
        <v>/data/neurogen/ASAP/scRNAseq/data/batch8_ASAP_snRNA-seq_*/Raw_Data_and_Processing/cellranger_processing/cellranger_fastqs/outs/fastq_path/H*/BN1308_S1_L003_R2_001.fastq.gz</v>
      </c>
      <c r="K477" s="46" t="s">
        <v>1344</v>
      </c>
      <c r="L477" s="46" t="s">
        <v>2277</v>
      </c>
      <c r="M477" s="46" t="s">
        <v>1309</v>
      </c>
      <c r="N477" s="46" t="s">
        <v>1310</v>
      </c>
      <c r="O477" s="46" t="s">
        <v>1311</v>
      </c>
      <c r="P477" s="46" t="s">
        <v>1312</v>
      </c>
      <c r="Q477" s="46" t="s">
        <v>31</v>
      </c>
      <c r="R477" s="46" t="s">
        <v>31</v>
      </c>
      <c r="S477" s="46" t="s">
        <v>31</v>
      </c>
      <c r="T477" s="46" t="s">
        <v>31</v>
      </c>
      <c r="U477" s="46" t="s">
        <v>49</v>
      </c>
    </row>
    <row r="478" spans="1:21">
      <c r="A478" s="46" t="s">
        <v>729</v>
      </c>
      <c r="B478" s="46" t="s">
        <v>129</v>
      </c>
      <c r="C478" s="46" t="s">
        <v>666</v>
      </c>
      <c r="D478" s="46">
        <v>1</v>
      </c>
      <c r="E478" s="46">
        <v>0</v>
      </c>
      <c r="F478" s="46" t="s">
        <v>706</v>
      </c>
      <c r="G478" s="46" t="s">
        <v>1305</v>
      </c>
      <c r="H478" s="46" t="s">
        <v>2278</v>
      </c>
      <c r="I478" s="46" t="str">
        <f ca="1">IFERROR(__xludf.DUMMYFUNCTION("CONCAT(A478,REGEXREPLACE(H478,"".*_L0"",""_L0""))"),"ILB_BN1308_MTG_snRNAseq_rep1_L004_I1_001.fastq.gz")</f>
        <v>ILB_BN1308_MTG_snRNAseq_rep1_L004_I1_001.fastq.gz</v>
      </c>
      <c r="J478" s="46" t="str">
        <f t="shared" si="1"/>
        <v>/data/neurogen/ASAP/scRNAseq/data/batch8_ASAP_snRNA-seq_*/Raw_Data_and_Processing/cellranger_processing/cellranger_fastqs/outs/fastq_path/H*/BN1308_S1_L004_I1_001.fastq.gz</v>
      </c>
      <c r="K478" s="46" t="s">
        <v>1347</v>
      </c>
      <c r="L478" s="46" t="s">
        <v>2279</v>
      </c>
      <c r="M478" s="46" t="s">
        <v>1309</v>
      </c>
      <c r="N478" s="46" t="s">
        <v>1310</v>
      </c>
      <c r="O478" s="46" t="s">
        <v>1311</v>
      </c>
      <c r="P478" s="46" t="s">
        <v>1312</v>
      </c>
      <c r="Q478" s="46" t="s">
        <v>31</v>
      </c>
      <c r="R478" s="46" t="s">
        <v>31</v>
      </c>
      <c r="S478" s="46" t="s">
        <v>31</v>
      </c>
      <c r="T478" s="46" t="s">
        <v>31</v>
      </c>
      <c r="U478" s="46" t="s">
        <v>49</v>
      </c>
    </row>
    <row r="479" spans="1:21">
      <c r="A479" s="46" t="s">
        <v>729</v>
      </c>
      <c r="B479" s="46" t="s">
        <v>129</v>
      </c>
      <c r="C479" s="46" t="s">
        <v>666</v>
      </c>
      <c r="D479" s="46">
        <v>1</v>
      </c>
      <c r="E479" s="46">
        <v>0</v>
      </c>
      <c r="F479" s="46" t="s">
        <v>706</v>
      </c>
      <c r="G479" s="46" t="s">
        <v>1305</v>
      </c>
      <c r="H479" s="46" t="s">
        <v>2280</v>
      </c>
      <c r="I479" s="46" t="str">
        <f ca="1">IFERROR(__xludf.DUMMYFUNCTION("CONCAT(A479,REGEXREPLACE(H479,"".*_L0"",""_L0""))"),"ILB_BN1308_MTG_snRNAseq_rep1_L004_I2_001.fastq.gz")</f>
        <v>ILB_BN1308_MTG_snRNAseq_rep1_L004_I2_001.fastq.gz</v>
      </c>
      <c r="J479" s="46" t="str">
        <f t="shared" si="1"/>
        <v>/data/neurogen/ASAP/scRNAseq/data/batch8_ASAP_snRNA-seq_*/Raw_Data_and_Processing/cellranger_processing/cellranger_fastqs/outs/fastq_path/H*/BN1308_S1_L004_I2_001.fastq.gz</v>
      </c>
      <c r="K479" s="46" t="s">
        <v>1350</v>
      </c>
      <c r="L479" s="46" t="s">
        <v>2281</v>
      </c>
      <c r="M479" s="46" t="s">
        <v>1309</v>
      </c>
      <c r="N479" s="46" t="s">
        <v>1310</v>
      </c>
      <c r="O479" s="46" t="s">
        <v>1311</v>
      </c>
      <c r="P479" s="46" t="s">
        <v>1312</v>
      </c>
      <c r="Q479" s="46" t="s">
        <v>31</v>
      </c>
      <c r="R479" s="46" t="s">
        <v>31</v>
      </c>
      <c r="S479" s="46" t="s">
        <v>31</v>
      </c>
      <c r="T479" s="46" t="s">
        <v>31</v>
      </c>
      <c r="U479" s="46" t="s">
        <v>49</v>
      </c>
    </row>
    <row r="480" spans="1:21">
      <c r="A480" s="46" t="s">
        <v>729</v>
      </c>
      <c r="B480" s="46" t="s">
        <v>129</v>
      </c>
      <c r="C480" s="46" t="s">
        <v>666</v>
      </c>
      <c r="D480" s="46">
        <v>1</v>
      </c>
      <c r="E480" s="46">
        <v>0</v>
      </c>
      <c r="F480" s="46" t="s">
        <v>706</v>
      </c>
      <c r="G480" s="46" t="s">
        <v>1305</v>
      </c>
      <c r="H480" s="46" t="s">
        <v>2282</v>
      </c>
      <c r="I480" s="46" t="str">
        <f ca="1">IFERROR(__xludf.DUMMYFUNCTION("CONCAT(A480,REGEXREPLACE(H480,"".*_L0"",""_L0""))"),"ILB_BN1308_MTG_snRNAseq_rep1_L004_R1_001.fastq.gz")</f>
        <v>ILB_BN1308_MTG_snRNAseq_rep1_L004_R1_001.fastq.gz</v>
      </c>
      <c r="J480" s="46" t="str">
        <f t="shared" si="1"/>
        <v>/data/neurogen/ASAP/scRNAseq/data/batch8_ASAP_snRNA-seq_*/Raw_Data_and_Processing/cellranger_processing/cellranger_fastqs/outs/fastq_path/H*/BN1308_S1_L004_R1_001.fastq.gz</v>
      </c>
      <c r="K480" s="46" t="s">
        <v>1353</v>
      </c>
      <c r="L480" s="46" t="s">
        <v>2283</v>
      </c>
      <c r="M480" s="46" t="s">
        <v>1309</v>
      </c>
      <c r="N480" s="46" t="s">
        <v>1310</v>
      </c>
      <c r="O480" s="46" t="s">
        <v>1311</v>
      </c>
      <c r="P480" s="46" t="s">
        <v>1312</v>
      </c>
      <c r="Q480" s="46" t="s">
        <v>31</v>
      </c>
      <c r="R480" s="46" t="s">
        <v>31</v>
      </c>
      <c r="S480" s="46" t="s">
        <v>31</v>
      </c>
      <c r="T480" s="46" t="s">
        <v>31</v>
      </c>
      <c r="U480" s="46" t="s">
        <v>49</v>
      </c>
    </row>
    <row r="481" spans="1:21">
      <c r="A481" s="46" t="s">
        <v>729</v>
      </c>
      <c r="B481" s="46" t="s">
        <v>129</v>
      </c>
      <c r="C481" s="46" t="s">
        <v>666</v>
      </c>
      <c r="D481" s="46">
        <v>1</v>
      </c>
      <c r="E481" s="46">
        <v>0</v>
      </c>
      <c r="F481" s="46" t="s">
        <v>706</v>
      </c>
      <c r="G481" s="46" t="s">
        <v>1305</v>
      </c>
      <c r="H481" s="46" t="s">
        <v>2284</v>
      </c>
      <c r="I481" s="46" t="str">
        <f ca="1">IFERROR(__xludf.DUMMYFUNCTION("CONCAT(A481,REGEXREPLACE(H481,"".*_L0"",""_L0""))"),"ILB_BN1308_MTG_snRNAseq_rep1_L004_R2_001.fastq.gz")</f>
        <v>ILB_BN1308_MTG_snRNAseq_rep1_L004_R2_001.fastq.gz</v>
      </c>
      <c r="J481" s="46" t="str">
        <f t="shared" si="1"/>
        <v>/data/neurogen/ASAP/scRNAseq/data/batch8_ASAP_snRNA-seq_*/Raw_Data_and_Processing/cellranger_processing/cellranger_fastqs/outs/fastq_path/H*/BN1308_S1_L004_R2_001.fastq.gz</v>
      </c>
      <c r="K481" s="46" t="s">
        <v>1356</v>
      </c>
      <c r="L481" s="46" t="s">
        <v>2285</v>
      </c>
      <c r="M481" s="46" t="s">
        <v>1309</v>
      </c>
      <c r="N481" s="46" t="s">
        <v>1310</v>
      </c>
      <c r="O481" s="46" t="s">
        <v>1311</v>
      </c>
      <c r="P481" s="46" t="s">
        <v>1312</v>
      </c>
      <c r="Q481" s="46" t="s">
        <v>31</v>
      </c>
      <c r="R481" s="46" t="s">
        <v>31</v>
      </c>
      <c r="S481" s="46" t="s">
        <v>31</v>
      </c>
      <c r="T481" s="46" t="s">
        <v>31</v>
      </c>
      <c r="U481" s="46" t="s">
        <v>49</v>
      </c>
    </row>
    <row r="482" spans="1:21">
      <c r="A482" s="46" t="s">
        <v>731</v>
      </c>
      <c r="B482" s="46" t="s">
        <v>133</v>
      </c>
      <c r="C482" s="46" t="s">
        <v>666</v>
      </c>
      <c r="D482" s="46">
        <v>1</v>
      </c>
      <c r="E482" s="46">
        <v>0</v>
      </c>
      <c r="F482" s="46" t="s">
        <v>706</v>
      </c>
      <c r="G482" s="46" t="s">
        <v>1305</v>
      </c>
      <c r="H482" s="46" t="s">
        <v>2286</v>
      </c>
      <c r="I482" s="46" t="str">
        <f ca="1">IFERROR(__xludf.DUMMYFUNCTION("CONCAT(A482,REGEXREPLACE(H482,"".*_L0"",""_L0""))"),"ILB_BN1339_MTG_snRNAseq_rep1_L001_I1_001.fastq.gz")</f>
        <v>ILB_BN1339_MTG_snRNAseq_rep1_L001_I1_001.fastq.gz</v>
      </c>
      <c r="J482" s="46" t="str">
        <f t="shared" si="1"/>
        <v>/data/neurogen/ASAP/scRNAseq/data/batch8_ASAP_snRNA-seq_*/Raw_Data_and_Processing/cellranger_processing/cellranger_fastqs/outs/fastq_path/H*/BN1339_S4_L001_I1_001.fastq.gz</v>
      </c>
      <c r="K482" s="46" t="s">
        <v>1307</v>
      </c>
      <c r="L482" s="46" t="s">
        <v>2287</v>
      </c>
      <c r="M482" s="46" t="s">
        <v>1309</v>
      </c>
      <c r="N482" s="46" t="s">
        <v>1310</v>
      </c>
      <c r="O482" s="46" t="s">
        <v>1311</v>
      </c>
      <c r="P482" s="46" t="s">
        <v>1312</v>
      </c>
      <c r="Q482" s="46" t="s">
        <v>31</v>
      </c>
      <c r="R482" s="46" t="s">
        <v>31</v>
      </c>
      <c r="S482" s="46" t="s">
        <v>31</v>
      </c>
      <c r="T482" s="46" t="s">
        <v>31</v>
      </c>
      <c r="U482" s="46" t="s">
        <v>49</v>
      </c>
    </row>
    <row r="483" spans="1:21">
      <c r="A483" s="46" t="s">
        <v>731</v>
      </c>
      <c r="B483" s="46" t="s">
        <v>133</v>
      </c>
      <c r="C483" s="46" t="s">
        <v>666</v>
      </c>
      <c r="D483" s="46">
        <v>1</v>
      </c>
      <c r="E483" s="46">
        <v>0</v>
      </c>
      <c r="F483" s="46" t="s">
        <v>706</v>
      </c>
      <c r="G483" s="46" t="s">
        <v>1305</v>
      </c>
      <c r="H483" s="46" t="s">
        <v>2288</v>
      </c>
      <c r="I483" s="46" t="str">
        <f ca="1">IFERROR(__xludf.DUMMYFUNCTION("CONCAT(A483,REGEXREPLACE(H483,"".*_L0"",""_L0""))"),"ILB_BN1339_MTG_snRNAseq_rep1_L001_I2_001.fastq.gz")</f>
        <v>ILB_BN1339_MTG_snRNAseq_rep1_L001_I2_001.fastq.gz</v>
      </c>
      <c r="J483" s="46" t="str">
        <f t="shared" si="1"/>
        <v>/data/neurogen/ASAP/scRNAseq/data/batch8_ASAP_snRNA-seq_*/Raw_Data_and_Processing/cellranger_processing/cellranger_fastqs/outs/fastq_path/H*/BN1339_S4_L001_I2_001.fastq.gz</v>
      </c>
      <c r="K483" s="46" t="s">
        <v>1314</v>
      </c>
      <c r="L483" s="46" t="s">
        <v>2289</v>
      </c>
      <c r="M483" s="46" t="s">
        <v>1309</v>
      </c>
      <c r="N483" s="46" t="s">
        <v>1310</v>
      </c>
      <c r="O483" s="46" t="s">
        <v>1311</v>
      </c>
      <c r="P483" s="46" t="s">
        <v>1312</v>
      </c>
      <c r="Q483" s="46" t="s">
        <v>31</v>
      </c>
      <c r="R483" s="46" t="s">
        <v>31</v>
      </c>
      <c r="S483" s="46" t="s">
        <v>31</v>
      </c>
      <c r="T483" s="46" t="s">
        <v>31</v>
      </c>
      <c r="U483" s="46" t="s">
        <v>49</v>
      </c>
    </row>
    <row r="484" spans="1:21">
      <c r="A484" s="46" t="s">
        <v>731</v>
      </c>
      <c r="B484" s="46" t="s">
        <v>133</v>
      </c>
      <c r="C484" s="46" t="s">
        <v>666</v>
      </c>
      <c r="D484" s="46">
        <v>1</v>
      </c>
      <c r="E484" s="46">
        <v>0</v>
      </c>
      <c r="F484" s="46" t="s">
        <v>706</v>
      </c>
      <c r="G484" s="46" t="s">
        <v>1305</v>
      </c>
      <c r="H484" s="46" t="s">
        <v>2290</v>
      </c>
      <c r="I484" s="46" t="str">
        <f ca="1">IFERROR(__xludf.DUMMYFUNCTION("CONCAT(A484,REGEXREPLACE(H484,"".*_L0"",""_L0""))"),"ILB_BN1339_MTG_snRNAseq_rep1_L001_R1_001.fastq.gz")</f>
        <v>ILB_BN1339_MTG_snRNAseq_rep1_L001_R1_001.fastq.gz</v>
      </c>
      <c r="J484" s="46" t="str">
        <f t="shared" si="1"/>
        <v>/data/neurogen/ASAP/scRNAseq/data/batch8_ASAP_snRNA-seq_*/Raw_Data_and_Processing/cellranger_processing/cellranger_fastqs/outs/fastq_path/H*/BN1339_S4_L001_R1_001.fastq.gz</v>
      </c>
      <c r="K484" s="46" t="s">
        <v>1317</v>
      </c>
      <c r="L484" s="46" t="s">
        <v>2291</v>
      </c>
      <c r="M484" s="46" t="s">
        <v>1309</v>
      </c>
      <c r="N484" s="46" t="s">
        <v>1310</v>
      </c>
      <c r="O484" s="46" t="s">
        <v>1311</v>
      </c>
      <c r="P484" s="46" t="s">
        <v>1312</v>
      </c>
      <c r="Q484" s="46" t="s">
        <v>31</v>
      </c>
      <c r="R484" s="46" t="s">
        <v>31</v>
      </c>
      <c r="S484" s="46" t="s">
        <v>31</v>
      </c>
      <c r="T484" s="46" t="s">
        <v>31</v>
      </c>
      <c r="U484" s="46" t="s">
        <v>49</v>
      </c>
    </row>
    <row r="485" spans="1:21">
      <c r="A485" s="46" t="s">
        <v>731</v>
      </c>
      <c r="B485" s="46" t="s">
        <v>133</v>
      </c>
      <c r="C485" s="46" t="s">
        <v>666</v>
      </c>
      <c r="D485" s="46">
        <v>1</v>
      </c>
      <c r="E485" s="46">
        <v>0</v>
      </c>
      <c r="F485" s="46" t="s">
        <v>706</v>
      </c>
      <c r="G485" s="46" t="s">
        <v>1305</v>
      </c>
      <c r="H485" s="46" t="s">
        <v>2292</v>
      </c>
      <c r="I485" s="46" t="str">
        <f ca="1">IFERROR(__xludf.DUMMYFUNCTION("CONCAT(A485,REGEXREPLACE(H485,"".*_L0"",""_L0""))"),"ILB_BN1339_MTG_snRNAseq_rep1_L001_R2_001.fastq.gz")</f>
        <v>ILB_BN1339_MTG_snRNAseq_rep1_L001_R2_001.fastq.gz</v>
      </c>
      <c r="J485" s="46" t="str">
        <f t="shared" si="1"/>
        <v>/data/neurogen/ASAP/scRNAseq/data/batch8_ASAP_snRNA-seq_*/Raw_Data_and_Processing/cellranger_processing/cellranger_fastqs/outs/fastq_path/H*/BN1339_S4_L001_R2_001.fastq.gz</v>
      </c>
      <c r="K485" s="46" t="s">
        <v>1320</v>
      </c>
      <c r="L485" s="46" t="s">
        <v>2293</v>
      </c>
      <c r="M485" s="46" t="s">
        <v>1309</v>
      </c>
      <c r="N485" s="46" t="s">
        <v>1310</v>
      </c>
      <c r="O485" s="46" t="s">
        <v>1311</v>
      </c>
      <c r="P485" s="46" t="s">
        <v>1312</v>
      </c>
      <c r="Q485" s="46" t="s">
        <v>31</v>
      </c>
      <c r="R485" s="46" t="s">
        <v>31</v>
      </c>
      <c r="S485" s="46" t="s">
        <v>31</v>
      </c>
      <c r="T485" s="46" t="s">
        <v>31</v>
      </c>
      <c r="U485" s="46" t="s">
        <v>49</v>
      </c>
    </row>
    <row r="486" spans="1:21">
      <c r="A486" s="46" t="s">
        <v>731</v>
      </c>
      <c r="B486" s="46" t="s">
        <v>133</v>
      </c>
      <c r="C486" s="46" t="s">
        <v>666</v>
      </c>
      <c r="D486" s="46">
        <v>1</v>
      </c>
      <c r="E486" s="46">
        <v>0</v>
      </c>
      <c r="F486" s="46" t="s">
        <v>706</v>
      </c>
      <c r="G486" s="46" t="s">
        <v>1305</v>
      </c>
      <c r="H486" s="46" t="s">
        <v>2294</v>
      </c>
      <c r="I486" s="46" t="str">
        <f ca="1">IFERROR(__xludf.DUMMYFUNCTION("CONCAT(A486,REGEXREPLACE(H486,"".*_L0"",""_L0""))"),"ILB_BN1339_MTG_snRNAseq_rep1_L002_I1_001.fastq.gz")</f>
        <v>ILB_BN1339_MTG_snRNAseq_rep1_L002_I1_001.fastq.gz</v>
      </c>
      <c r="J486" s="46" t="str">
        <f t="shared" si="1"/>
        <v>/data/neurogen/ASAP/scRNAseq/data/batch8_ASAP_snRNA-seq_*/Raw_Data_and_Processing/cellranger_processing/cellranger_fastqs/outs/fastq_path/H*/BN1339_S4_L002_I1_001.fastq.gz</v>
      </c>
      <c r="K486" s="46" t="s">
        <v>1323</v>
      </c>
      <c r="L486" s="46" t="s">
        <v>2295</v>
      </c>
      <c r="M486" s="46" t="s">
        <v>1309</v>
      </c>
      <c r="N486" s="46" t="s">
        <v>1310</v>
      </c>
      <c r="O486" s="46" t="s">
        <v>1311</v>
      </c>
      <c r="P486" s="46" t="s">
        <v>1312</v>
      </c>
      <c r="Q486" s="46" t="s">
        <v>31</v>
      </c>
      <c r="R486" s="46" t="s">
        <v>31</v>
      </c>
      <c r="S486" s="46" t="s">
        <v>31</v>
      </c>
      <c r="T486" s="46" t="s">
        <v>31</v>
      </c>
      <c r="U486" s="46" t="s">
        <v>49</v>
      </c>
    </row>
    <row r="487" spans="1:21">
      <c r="A487" s="46" t="s">
        <v>731</v>
      </c>
      <c r="B487" s="46" t="s">
        <v>133</v>
      </c>
      <c r="C487" s="46" t="s">
        <v>666</v>
      </c>
      <c r="D487" s="46">
        <v>1</v>
      </c>
      <c r="E487" s="46">
        <v>0</v>
      </c>
      <c r="F487" s="46" t="s">
        <v>706</v>
      </c>
      <c r="G487" s="46" t="s">
        <v>1305</v>
      </c>
      <c r="H487" s="46" t="s">
        <v>2296</v>
      </c>
      <c r="I487" s="46" t="str">
        <f ca="1">IFERROR(__xludf.DUMMYFUNCTION("CONCAT(A487,REGEXREPLACE(H487,"".*_L0"",""_L0""))"),"ILB_BN1339_MTG_snRNAseq_rep1_L002_I2_001.fastq.gz")</f>
        <v>ILB_BN1339_MTG_snRNAseq_rep1_L002_I2_001.fastq.gz</v>
      </c>
      <c r="J487" s="46" t="str">
        <f t="shared" si="1"/>
        <v>/data/neurogen/ASAP/scRNAseq/data/batch8_ASAP_snRNA-seq_*/Raw_Data_and_Processing/cellranger_processing/cellranger_fastqs/outs/fastq_path/H*/BN1339_S4_L002_I2_001.fastq.gz</v>
      </c>
      <c r="K487" s="46" t="s">
        <v>1326</v>
      </c>
      <c r="L487" s="46" t="s">
        <v>2297</v>
      </c>
      <c r="M487" s="46" t="s">
        <v>1309</v>
      </c>
      <c r="N487" s="46" t="s">
        <v>1310</v>
      </c>
      <c r="O487" s="46" t="s">
        <v>1311</v>
      </c>
      <c r="P487" s="46" t="s">
        <v>1312</v>
      </c>
      <c r="Q487" s="46" t="s">
        <v>31</v>
      </c>
      <c r="R487" s="46" t="s">
        <v>31</v>
      </c>
      <c r="S487" s="46" t="s">
        <v>31</v>
      </c>
      <c r="T487" s="46" t="s">
        <v>31</v>
      </c>
      <c r="U487" s="46" t="s">
        <v>49</v>
      </c>
    </row>
    <row r="488" spans="1:21">
      <c r="A488" s="46" t="s">
        <v>731</v>
      </c>
      <c r="B488" s="46" t="s">
        <v>133</v>
      </c>
      <c r="C488" s="46" t="s">
        <v>666</v>
      </c>
      <c r="D488" s="46">
        <v>1</v>
      </c>
      <c r="E488" s="46">
        <v>0</v>
      </c>
      <c r="F488" s="46" t="s">
        <v>706</v>
      </c>
      <c r="G488" s="46" t="s">
        <v>1305</v>
      </c>
      <c r="H488" s="46" t="s">
        <v>2298</v>
      </c>
      <c r="I488" s="46" t="str">
        <f ca="1">IFERROR(__xludf.DUMMYFUNCTION("CONCAT(A488,REGEXREPLACE(H488,"".*_L0"",""_L0""))"),"ILB_BN1339_MTG_snRNAseq_rep1_L002_R1_001.fastq.gz")</f>
        <v>ILB_BN1339_MTG_snRNAseq_rep1_L002_R1_001.fastq.gz</v>
      </c>
      <c r="J488" s="46" t="str">
        <f t="shared" si="1"/>
        <v>/data/neurogen/ASAP/scRNAseq/data/batch8_ASAP_snRNA-seq_*/Raw_Data_and_Processing/cellranger_processing/cellranger_fastqs/outs/fastq_path/H*/BN1339_S4_L002_R1_001.fastq.gz</v>
      </c>
      <c r="K488" s="46" t="s">
        <v>1329</v>
      </c>
      <c r="L488" s="47" t="s">
        <v>2299</v>
      </c>
      <c r="M488" s="46" t="s">
        <v>1309</v>
      </c>
      <c r="N488" s="46" t="s">
        <v>1310</v>
      </c>
      <c r="O488" s="46" t="s">
        <v>1311</v>
      </c>
      <c r="P488" s="46" t="s">
        <v>1312</v>
      </c>
      <c r="Q488" s="46" t="s">
        <v>31</v>
      </c>
      <c r="R488" s="46" t="s">
        <v>31</v>
      </c>
      <c r="S488" s="46" t="s">
        <v>31</v>
      </c>
      <c r="T488" s="46" t="s">
        <v>31</v>
      </c>
      <c r="U488" s="46" t="s">
        <v>49</v>
      </c>
    </row>
    <row r="489" spans="1:21">
      <c r="A489" s="46" t="s">
        <v>731</v>
      </c>
      <c r="B489" s="46" t="s">
        <v>133</v>
      </c>
      <c r="C489" s="46" t="s">
        <v>666</v>
      </c>
      <c r="D489" s="46">
        <v>1</v>
      </c>
      <c r="E489" s="46">
        <v>0</v>
      </c>
      <c r="F489" s="46" t="s">
        <v>706</v>
      </c>
      <c r="G489" s="46" t="s">
        <v>1305</v>
      </c>
      <c r="H489" s="46" t="s">
        <v>2300</v>
      </c>
      <c r="I489" s="46" t="str">
        <f ca="1">IFERROR(__xludf.DUMMYFUNCTION("CONCAT(A489,REGEXREPLACE(H489,"".*_L0"",""_L0""))"),"ILB_BN1339_MTG_snRNAseq_rep1_L002_R2_001.fastq.gz")</f>
        <v>ILB_BN1339_MTG_snRNAseq_rep1_L002_R2_001.fastq.gz</v>
      </c>
      <c r="J489" s="46" t="str">
        <f t="shared" si="1"/>
        <v>/data/neurogen/ASAP/scRNAseq/data/batch8_ASAP_snRNA-seq_*/Raw_Data_and_Processing/cellranger_processing/cellranger_fastqs/outs/fastq_path/H*/BN1339_S4_L002_R2_001.fastq.gz</v>
      </c>
      <c r="K489" s="46" t="s">
        <v>1332</v>
      </c>
      <c r="L489" s="46" t="s">
        <v>2301</v>
      </c>
      <c r="M489" s="46" t="s">
        <v>1309</v>
      </c>
      <c r="N489" s="46" t="s">
        <v>1310</v>
      </c>
      <c r="O489" s="46" t="s">
        <v>1311</v>
      </c>
      <c r="P489" s="46" t="s">
        <v>1312</v>
      </c>
      <c r="Q489" s="46" t="s">
        <v>31</v>
      </c>
      <c r="R489" s="46" t="s">
        <v>31</v>
      </c>
      <c r="S489" s="46" t="s">
        <v>31</v>
      </c>
      <c r="T489" s="46" t="s">
        <v>31</v>
      </c>
      <c r="U489" s="46" t="s">
        <v>49</v>
      </c>
    </row>
    <row r="490" spans="1:21">
      <c r="A490" s="46" t="s">
        <v>731</v>
      </c>
      <c r="B490" s="46" t="s">
        <v>133</v>
      </c>
      <c r="C490" s="46" t="s">
        <v>666</v>
      </c>
      <c r="D490" s="46">
        <v>1</v>
      </c>
      <c r="E490" s="46">
        <v>0</v>
      </c>
      <c r="F490" s="46" t="s">
        <v>706</v>
      </c>
      <c r="G490" s="46" t="s">
        <v>1305</v>
      </c>
      <c r="H490" s="46" t="s">
        <v>2302</v>
      </c>
      <c r="I490" s="46" t="str">
        <f ca="1">IFERROR(__xludf.DUMMYFUNCTION("CONCAT(A490,REGEXREPLACE(H490,"".*_L0"",""_L0""))"),"ILB_BN1339_MTG_snRNAseq_rep1_L003_I1_001.fastq.gz")</f>
        <v>ILB_BN1339_MTG_snRNAseq_rep1_L003_I1_001.fastq.gz</v>
      </c>
      <c r="J490" s="46" t="str">
        <f t="shared" si="1"/>
        <v>/data/neurogen/ASAP/scRNAseq/data/batch8_ASAP_snRNA-seq_*/Raw_Data_and_Processing/cellranger_processing/cellranger_fastqs/outs/fastq_path/H*/BN1339_S4_L003_I1_001.fastq.gz</v>
      </c>
      <c r="K490" s="46" t="s">
        <v>1335</v>
      </c>
      <c r="L490" s="46" t="s">
        <v>2303</v>
      </c>
      <c r="M490" s="46" t="s">
        <v>1309</v>
      </c>
      <c r="N490" s="46" t="s">
        <v>1310</v>
      </c>
      <c r="O490" s="46" t="s">
        <v>1311</v>
      </c>
      <c r="P490" s="46" t="s">
        <v>1312</v>
      </c>
      <c r="Q490" s="46" t="s">
        <v>31</v>
      </c>
      <c r="R490" s="46" t="s">
        <v>31</v>
      </c>
      <c r="S490" s="46" t="s">
        <v>31</v>
      </c>
      <c r="T490" s="46" t="s">
        <v>31</v>
      </c>
      <c r="U490" s="46" t="s">
        <v>49</v>
      </c>
    </row>
    <row r="491" spans="1:21">
      <c r="A491" s="46" t="s">
        <v>731</v>
      </c>
      <c r="B491" s="46" t="s">
        <v>133</v>
      </c>
      <c r="C491" s="46" t="s">
        <v>666</v>
      </c>
      <c r="D491" s="46">
        <v>1</v>
      </c>
      <c r="E491" s="46">
        <v>0</v>
      </c>
      <c r="F491" s="46" t="s">
        <v>706</v>
      </c>
      <c r="G491" s="46" t="s">
        <v>1305</v>
      </c>
      <c r="H491" s="46" t="s">
        <v>2304</v>
      </c>
      <c r="I491" s="46" t="str">
        <f ca="1">IFERROR(__xludf.DUMMYFUNCTION("CONCAT(A491,REGEXREPLACE(H491,"".*_L0"",""_L0""))"),"ILB_BN1339_MTG_snRNAseq_rep1_L003_I2_001.fastq.gz")</f>
        <v>ILB_BN1339_MTG_snRNAseq_rep1_L003_I2_001.fastq.gz</v>
      </c>
      <c r="J491" s="46" t="str">
        <f t="shared" si="1"/>
        <v>/data/neurogen/ASAP/scRNAseq/data/batch8_ASAP_snRNA-seq_*/Raw_Data_and_Processing/cellranger_processing/cellranger_fastqs/outs/fastq_path/H*/BN1339_S4_L003_I2_001.fastq.gz</v>
      </c>
      <c r="K491" s="46" t="s">
        <v>1338</v>
      </c>
      <c r="L491" s="46" t="s">
        <v>2305</v>
      </c>
      <c r="M491" s="46" t="s">
        <v>1309</v>
      </c>
      <c r="N491" s="46" t="s">
        <v>1310</v>
      </c>
      <c r="O491" s="46" t="s">
        <v>1311</v>
      </c>
      <c r="P491" s="46" t="s">
        <v>1312</v>
      </c>
      <c r="Q491" s="46" t="s">
        <v>31</v>
      </c>
      <c r="R491" s="46" t="s">
        <v>31</v>
      </c>
      <c r="S491" s="46" t="s">
        <v>31</v>
      </c>
      <c r="T491" s="46" t="s">
        <v>31</v>
      </c>
      <c r="U491" s="46" t="s">
        <v>49</v>
      </c>
    </row>
    <row r="492" spans="1:21">
      <c r="A492" s="46" t="s">
        <v>731</v>
      </c>
      <c r="B492" s="46" t="s">
        <v>133</v>
      </c>
      <c r="C492" s="46" t="s">
        <v>666</v>
      </c>
      <c r="D492" s="46">
        <v>1</v>
      </c>
      <c r="E492" s="46">
        <v>0</v>
      </c>
      <c r="F492" s="46" t="s">
        <v>706</v>
      </c>
      <c r="G492" s="46" t="s">
        <v>1305</v>
      </c>
      <c r="H492" s="46" t="s">
        <v>2306</v>
      </c>
      <c r="I492" s="46" t="str">
        <f ca="1">IFERROR(__xludf.DUMMYFUNCTION("CONCAT(A492,REGEXREPLACE(H492,"".*_L0"",""_L0""))"),"ILB_BN1339_MTG_snRNAseq_rep1_L003_R1_001.fastq.gz")</f>
        <v>ILB_BN1339_MTG_snRNAseq_rep1_L003_R1_001.fastq.gz</v>
      </c>
      <c r="J492" s="46" t="str">
        <f t="shared" si="1"/>
        <v>/data/neurogen/ASAP/scRNAseq/data/batch8_ASAP_snRNA-seq_*/Raw_Data_and_Processing/cellranger_processing/cellranger_fastqs/outs/fastq_path/H*/BN1339_S4_L003_R1_001.fastq.gz</v>
      </c>
      <c r="K492" s="46" t="s">
        <v>1341</v>
      </c>
      <c r="L492" s="46" t="s">
        <v>2307</v>
      </c>
      <c r="M492" s="46" t="s">
        <v>1309</v>
      </c>
      <c r="N492" s="46" t="s">
        <v>1310</v>
      </c>
      <c r="O492" s="46" t="s">
        <v>1311</v>
      </c>
      <c r="P492" s="46" t="s">
        <v>1312</v>
      </c>
      <c r="Q492" s="46" t="s">
        <v>31</v>
      </c>
      <c r="R492" s="46" t="s">
        <v>31</v>
      </c>
      <c r="S492" s="46" t="s">
        <v>31</v>
      </c>
      <c r="T492" s="46" t="s">
        <v>31</v>
      </c>
      <c r="U492" s="46" t="s">
        <v>49</v>
      </c>
    </row>
    <row r="493" spans="1:21">
      <c r="A493" s="46" t="s">
        <v>731</v>
      </c>
      <c r="B493" s="46" t="s">
        <v>133</v>
      </c>
      <c r="C493" s="46" t="s">
        <v>666</v>
      </c>
      <c r="D493" s="46">
        <v>1</v>
      </c>
      <c r="E493" s="46">
        <v>0</v>
      </c>
      <c r="F493" s="46" t="s">
        <v>706</v>
      </c>
      <c r="G493" s="46" t="s">
        <v>1305</v>
      </c>
      <c r="H493" s="46" t="s">
        <v>2308</v>
      </c>
      <c r="I493" s="46" t="str">
        <f ca="1">IFERROR(__xludf.DUMMYFUNCTION("CONCAT(A493,REGEXREPLACE(H493,"".*_L0"",""_L0""))"),"ILB_BN1339_MTG_snRNAseq_rep1_L003_R2_001.fastq.gz")</f>
        <v>ILB_BN1339_MTG_snRNAseq_rep1_L003_R2_001.fastq.gz</v>
      </c>
      <c r="J493" s="46" t="str">
        <f t="shared" si="1"/>
        <v>/data/neurogen/ASAP/scRNAseq/data/batch8_ASAP_snRNA-seq_*/Raw_Data_and_Processing/cellranger_processing/cellranger_fastqs/outs/fastq_path/H*/BN1339_S4_L003_R2_001.fastq.gz</v>
      </c>
      <c r="K493" s="46" t="s">
        <v>1344</v>
      </c>
      <c r="L493" s="46" t="s">
        <v>2309</v>
      </c>
      <c r="M493" s="46" t="s">
        <v>1309</v>
      </c>
      <c r="N493" s="46" t="s">
        <v>1310</v>
      </c>
      <c r="O493" s="46" t="s">
        <v>1311</v>
      </c>
      <c r="P493" s="46" t="s">
        <v>1312</v>
      </c>
      <c r="Q493" s="46" t="s">
        <v>31</v>
      </c>
      <c r="R493" s="46" t="s">
        <v>31</v>
      </c>
      <c r="S493" s="46" t="s">
        <v>31</v>
      </c>
      <c r="T493" s="46" t="s">
        <v>31</v>
      </c>
      <c r="U493" s="46" t="s">
        <v>49</v>
      </c>
    </row>
    <row r="494" spans="1:21">
      <c r="A494" s="46" t="s">
        <v>731</v>
      </c>
      <c r="B494" s="46" t="s">
        <v>133</v>
      </c>
      <c r="C494" s="46" t="s">
        <v>666</v>
      </c>
      <c r="D494" s="46">
        <v>1</v>
      </c>
      <c r="E494" s="46">
        <v>0</v>
      </c>
      <c r="F494" s="46" t="s">
        <v>706</v>
      </c>
      <c r="G494" s="46" t="s">
        <v>1305</v>
      </c>
      <c r="H494" s="46" t="s">
        <v>2310</v>
      </c>
      <c r="I494" s="46" t="str">
        <f ca="1">IFERROR(__xludf.DUMMYFUNCTION("CONCAT(A494,REGEXREPLACE(H494,"".*_L0"",""_L0""))"),"ILB_BN1339_MTG_snRNAseq_rep1_L004_I1_001.fastq.gz")</f>
        <v>ILB_BN1339_MTG_snRNAseq_rep1_L004_I1_001.fastq.gz</v>
      </c>
      <c r="J494" s="46" t="str">
        <f t="shared" si="1"/>
        <v>/data/neurogen/ASAP/scRNAseq/data/batch8_ASAP_snRNA-seq_*/Raw_Data_and_Processing/cellranger_processing/cellranger_fastqs/outs/fastq_path/H*/BN1339_S4_L004_I1_001.fastq.gz</v>
      </c>
      <c r="K494" s="46" t="s">
        <v>1347</v>
      </c>
      <c r="L494" s="46" t="s">
        <v>2311</v>
      </c>
      <c r="M494" s="46" t="s">
        <v>1309</v>
      </c>
      <c r="N494" s="46" t="s">
        <v>1310</v>
      </c>
      <c r="O494" s="46" t="s">
        <v>1311</v>
      </c>
      <c r="P494" s="46" t="s">
        <v>1312</v>
      </c>
      <c r="Q494" s="46" t="s">
        <v>31</v>
      </c>
      <c r="R494" s="46" t="s">
        <v>31</v>
      </c>
      <c r="S494" s="46" t="s">
        <v>31</v>
      </c>
      <c r="T494" s="46" t="s">
        <v>31</v>
      </c>
      <c r="U494" s="46" t="s">
        <v>49</v>
      </c>
    </row>
    <row r="495" spans="1:21">
      <c r="A495" s="46" t="s">
        <v>731</v>
      </c>
      <c r="B495" s="46" t="s">
        <v>133</v>
      </c>
      <c r="C495" s="46" t="s">
        <v>666</v>
      </c>
      <c r="D495" s="46">
        <v>1</v>
      </c>
      <c r="E495" s="46">
        <v>0</v>
      </c>
      <c r="F495" s="46" t="s">
        <v>706</v>
      </c>
      <c r="G495" s="46" t="s">
        <v>1305</v>
      </c>
      <c r="H495" s="46" t="s">
        <v>2312</v>
      </c>
      <c r="I495" s="46" t="str">
        <f ca="1">IFERROR(__xludf.DUMMYFUNCTION("CONCAT(A495,REGEXREPLACE(H495,"".*_L0"",""_L0""))"),"ILB_BN1339_MTG_snRNAseq_rep1_L004_I2_001.fastq.gz")</f>
        <v>ILB_BN1339_MTG_snRNAseq_rep1_L004_I2_001.fastq.gz</v>
      </c>
      <c r="J495" s="46" t="str">
        <f t="shared" si="1"/>
        <v>/data/neurogen/ASAP/scRNAseq/data/batch8_ASAP_snRNA-seq_*/Raw_Data_and_Processing/cellranger_processing/cellranger_fastqs/outs/fastq_path/H*/BN1339_S4_L004_I2_001.fastq.gz</v>
      </c>
      <c r="K495" s="46" t="s">
        <v>1350</v>
      </c>
      <c r="L495" s="46" t="s">
        <v>2313</v>
      </c>
      <c r="M495" s="46" t="s">
        <v>1309</v>
      </c>
      <c r="N495" s="46" t="s">
        <v>1310</v>
      </c>
      <c r="O495" s="46" t="s">
        <v>1311</v>
      </c>
      <c r="P495" s="46" t="s">
        <v>1312</v>
      </c>
      <c r="Q495" s="46" t="s">
        <v>31</v>
      </c>
      <c r="R495" s="46" t="s">
        <v>31</v>
      </c>
      <c r="S495" s="46" t="s">
        <v>31</v>
      </c>
      <c r="T495" s="46" t="s">
        <v>31</v>
      </c>
      <c r="U495" s="46" t="s">
        <v>49</v>
      </c>
    </row>
    <row r="496" spans="1:21">
      <c r="A496" s="46" t="s">
        <v>731</v>
      </c>
      <c r="B496" s="46" t="s">
        <v>133</v>
      </c>
      <c r="C496" s="46" t="s">
        <v>666</v>
      </c>
      <c r="D496" s="46">
        <v>1</v>
      </c>
      <c r="E496" s="46">
        <v>0</v>
      </c>
      <c r="F496" s="46" t="s">
        <v>706</v>
      </c>
      <c r="G496" s="46" t="s">
        <v>1305</v>
      </c>
      <c r="H496" s="46" t="s">
        <v>2314</v>
      </c>
      <c r="I496" s="46" t="str">
        <f ca="1">IFERROR(__xludf.DUMMYFUNCTION("CONCAT(A496,REGEXREPLACE(H496,"".*_L0"",""_L0""))"),"ILB_BN1339_MTG_snRNAseq_rep1_L004_R1_001.fastq.gz")</f>
        <v>ILB_BN1339_MTG_snRNAseq_rep1_L004_R1_001.fastq.gz</v>
      </c>
      <c r="J496" s="46" t="str">
        <f t="shared" si="1"/>
        <v>/data/neurogen/ASAP/scRNAseq/data/batch8_ASAP_snRNA-seq_*/Raw_Data_and_Processing/cellranger_processing/cellranger_fastqs/outs/fastq_path/H*/BN1339_S4_L004_R1_001.fastq.gz</v>
      </c>
      <c r="K496" s="46" t="s">
        <v>1353</v>
      </c>
      <c r="L496" s="46" t="s">
        <v>2315</v>
      </c>
      <c r="M496" s="46" t="s">
        <v>1309</v>
      </c>
      <c r="N496" s="46" t="s">
        <v>1310</v>
      </c>
      <c r="O496" s="46" t="s">
        <v>1311</v>
      </c>
      <c r="P496" s="46" t="s">
        <v>1312</v>
      </c>
      <c r="Q496" s="46" t="s">
        <v>31</v>
      </c>
      <c r="R496" s="46" t="s">
        <v>31</v>
      </c>
      <c r="S496" s="46" t="s">
        <v>31</v>
      </c>
      <c r="T496" s="46" t="s">
        <v>31</v>
      </c>
      <c r="U496" s="46" t="s">
        <v>49</v>
      </c>
    </row>
    <row r="497" spans="1:21">
      <c r="A497" s="46" t="s">
        <v>731</v>
      </c>
      <c r="B497" s="46" t="s">
        <v>133</v>
      </c>
      <c r="C497" s="46" t="s">
        <v>666</v>
      </c>
      <c r="D497" s="46">
        <v>1</v>
      </c>
      <c r="E497" s="46">
        <v>0</v>
      </c>
      <c r="F497" s="46" t="s">
        <v>706</v>
      </c>
      <c r="G497" s="46" t="s">
        <v>1305</v>
      </c>
      <c r="H497" s="46" t="s">
        <v>2316</v>
      </c>
      <c r="I497" s="46" t="str">
        <f ca="1">IFERROR(__xludf.DUMMYFUNCTION("CONCAT(A497,REGEXREPLACE(H497,"".*_L0"",""_L0""))"),"ILB_BN1339_MTG_snRNAseq_rep1_L004_R2_001.fastq.gz")</f>
        <v>ILB_BN1339_MTG_snRNAseq_rep1_L004_R2_001.fastq.gz</v>
      </c>
      <c r="J497" s="46" t="str">
        <f t="shared" si="1"/>
        <v>/data/neurogen/ASAP/scRNAseq/data/batch8_ASAP_snRNA-seq_*/Raw_Data_and_Processing/cellranger_processing/cellranger_fastqs/outs/fastq_path/H*/BN1339_S4_L004_R2_001.fastq.gz</v>
      </c>
      <c r="K497" s="46" t="s">
        <v>1356</v>
      </c>
      <c r="L497" s="46" t="s">
        <v>2317</v>
      </c>
      <c r="M497" s="46" t="s">
        <v>1309</v>
      </c>
      <c r="N497" s="46" t="s">
        <v>1310</v>
      </c>
      <c r="O497" s="46" t="s">
        <v>1311</v>
      </c>
      <c r="P497" s="46" t="s">
        <v>1312</v>
      </c>
      <c r="Q497" s="46" t="s">
        <v>31</v>
      </c>
      <c r="R497" s="46" t="s">
        <v>31</v>
      </c>
      <c r="S497" s="46" t="s">
        <v>31</v>
      </c>
      <c r="T497" s="46" t="s">
        <v>31</v>
      </c>
      <c r="U497" s="46" t="s">
        <v>49</v>
      </c>
    </row>
    <row r="498" spans="1:21">
      <c r="A498" s="46" t="s">
        <v>772</v>
      </c>
      <c r="B498" s="46" t="s">
        <v>199</v>
      </c>
      <c r="C498" s="46" t="s">
        <v>666</v>
      </c>
      <c r="D498" s="46">
        <v>1</v>
      </c>
      <c r="E498" s="46">
        <v>0</v>
      </c>
      <c r="F498" s="46" t="s">
        <v>773</v>
      </c>
      <c r="G498" s="46" t="s">
        <v>1305</v>
      </c>
      <c r="H498" s="46" t="s">
        <v>2318</v>
      </c>
      <c r="I498" s="46" t="str">
        <f ca="1">IFERROR(__xludf.DUMMYFUNCTION("CONCAT(A498,REGEXREPLACE(H498,"".*_L0"",""_L0""))"),"HC_BN1817_MTG_snRNAseq_rep1_L001_I1_001.fastq.gz")</f>
        <v>HC_BN1817_MTG_snRNAseq_rep1_L001_I1_001.fastq.gz</v>
      </c>
      <c r="J498" s="46" t="str">
        <f t="shared" si="1"/>
        <v>/data/neurogen/ASAP/scRNAseq/data/batch9_ASAP_snRNA-seq_*/Raw_Data_and_Processing/cellranger_processing/cellranger_fastqs/outs/fastq_path/H*/BN1817_S1_L001_I1_001.fastq.gz</v>
      </c>
      <c r="K498" s="46" t="s">
        <v>1307</v>
      </c>
      <c r="L498" s="46" t="s">
        <v>2319</v>
      </c>
      <c r="M498" s="46" t="s">
        <v>1309</v>
      </c>
      <c r="N498" s="46" t="s">
        <v>1310</v>
      </c>
      <c r="O498" s="46" t="s">
        <v>1311</v>
      </c>
      <c r="P498" s="46" t="s">
        <v>1312</v>
      </c>
      <c r="Q498" s="46" t="s">
        <v>31</v>
      </c>
      <c r="R498" s="46" t="s">
        <v>31</v>
      </c>
      <c r="S498" s="46" t="s">
        <v>31</v>
      </c>
      <c r="T498" s="46" t="s">
        <v>31</v>
      </c>
      <c r="U498" s="46" t="s">
        <v>49</v>
      </c>
    </row>
    <row r="499" spans="1:21">
      <c r="A499" s="46" t="s">
        <v>772</v>
      </c>
      <c r="B499" s="46" t="s">
        <v>199</v>
      </c>
      <c r="C499" s="46" t="s">
        <v>666</v>
      </c>
      <c r="D499" s="46">
        <v>1</v>
      </c>
      <c r="E499" s="46">
        <v>0</v>
      </c>
      <c r="F499" s="46" t="s">
        <v>773</v>
      </c>
      <c r="G499" s="46" t="s">
        <v>1305</v>
      </c>
      <c r="H499" s="46" t="s">
        <v>2320</v>
      </c>
      <c r="I499" s="46" t="str">
        <f ca="1">IFERROR(__xludf.DUMMYFUNCTION("CONCAT(A499,REGEXREPLACE(H499,"".*_L0"",""_L0""))"),"HC_BN1817_MTG_snRNAseq_rep1_L001_I2_001.fastq.gz")</f>
        <v>HC_BN1817_MTG_snRNAseq_rep1_L001_I2_001.fastq.gz</v>
      </c>
      <c r="J499" s="46" t="str">
        <f t="shared" si="1"/>
        <v>/data/neurogen/ASAP/scRNAseq/data/batch9_ASAP_snRNA-seq_*/Raw_Data_and_Processing/cellranger_processing/cellranger_fastqs/outs/fastq_path/H*/BN1817_S1_L001_I2_001.fastq.gz</v>
      </c>
      <c r="K499" s="46" t="s">
        <v>1314</v>
      </c>
      <c r="L499" s="46" t="s">
        <v>2321</v>
      </c>
      <c r="M499" s="46" t="s">
        <v>1309</v>
      </c>
      <c r="N499" s="46" t="s">
        <v>1310</v>
      </c>
      <c r="O499" s="46" t="s">
        <v>1311</v>
      </c>
      <c r="P499" s="46" t="s">
        <v>1312</v>
      </c>
      <c r="Q499" s="46" t="s">
        <v>31</v>
      </c>
      <c r="R499" s="46" t="s">
        <v>31</v>
      </c>
      <c r="S499" s="46" t="s">
        <v>31</v>
      </c>
      <c r="T499" s="46" t="s">
        <v>31</v>
      </c>
      <c r="U499" s="46" t="s">
        <v>49</v>
      </c>
    </row>
    <row r="500" spans="1:21">
      <c r="A500" s="46" t="s">
        <v>772</v>
      </c>
      <c r="B500" s="46" t="s">
        <v>199</v>
      </c>
      <c r="C500" s="46" t="s">
        <v>666</v>
      </c>
      <c r="D500" s="46">
        <v>1</v>
      </c>
      <c r="E500" s="46">
        <v>0</v>
      </c>
      <c r="F500" s="46" t="s">
        <v>773</v>
      </c>
      <c r="G500" s="46" t="s">
        <v>1305</v>
      </c>
      <c r="H500" s="46" t="s">
        <v>2322</v>
      </c>
      <c r="I500" s="46" t="str">
        <f ca="1">IFERROR(__xludf.DUMMYFUNCTION("CONCAT(A500,REGEXREPLACE(H500,"".*_L0"",""_L0""))"),"HC_BN1817_MTG_snRNAseq_rep1_L001_R1_001.fastq.gz")</f>
        <v>HC_BN1817_MTG_snRNAseq_rep1_L001_R1_001.fastq.gz</v>
      </c>
      <c r="J500" s="46" t="str">
        <f t="shared" si="1"/>
        <v>/data/neurogen/ASAP/scRNAseq/data/batch9_ASAP_snRNA-seq_*/Raw_Data_and_Processing/cellranger_processing/cellranger_fastqs/outs/fastq_path/H*/BN1817_S1_L001_R1_001.fastq.gz</v>
      </c>
      <c r="K500" s="46" t="s">
        <v>1317</v>
      </c>
      <c r="L500" s="46" t="s">
        <v>2323</v>
      </c>
      <c r="M500" s="46" t="s">
        <v>1309</v>
      </c>
      <c r="N500" s="46" t="s">
        <v>1310</v>
      </c>
      <c r="O500" s="46" t="s">
        <v>1311</v>
      </c>
      <c r="P500" s="46" t="s">
        <v>1312</v>
      </c>
      <c r="Q500" s="46" t="s">
        <v>31</v>
      </c>
      <c r="R500" s="46" t="s">
        <v>31</v>
      </c>
      <c r="S500" s="46" t="s">
        <v>31</v>
      </c>
      <c r="T500" s="46" t="s">
        <v>31</v>
      </c>
      <c r="U500" s="46" t="s">
        <v>49</v>
      </c>
    </row>
    <row r="501" spans="1:21">
      <c r="A501" s="46" t="s">
        <v>772</v>
      </c>
      <c r="B501" s="46" t="s">
        <v>199</v>
      </c>
      <c r="C501" s="46" t="s">
        <v>666</v>
      </c>
      <c r="D501" s="46">
        <v>1</v>
      </c>
      <c r="E501" s="46">
        <v>0</v>
      </c>
      <c r="F501" s="46" t="s">
        <v>773</v>
      </c>
      <c r="G501" s="46" t="s">
        <v>1305</v>
      </c>
      <c r="H501" s="46" t="s">
        <v>2324</v>
      </c>
      <c r="I501" s="46" t="str">
        <f ca="1">IFERROR(__xludf.DUMMYFUNCTION("CONCAT(A501,REGEXREPLACE(H501,"".*_L0"",""_L0""))"),"HC_BN1817_MTG_snRNAseq_rep1_L001_R2_001.fastq.gz")</f>
        <v>HC_BN1817_MTG_snRNAseq_rep1_L001_R2_001.fastq.gz</v>
      </c>
      <c r="J501" s="46" t="str">
        <f t="shared" si="1"/>
        <v>/data/neurogen/ASAP/scRNAseq/data/batch9_ASAP_snRNA-seq_*/Raw_Data_and_Processing/cellranger_processing/cellranger_fastqs/outs/fastq_path/H*/BN1817_S1_L001_R2_001.fastq.gz</v>
      </c>
      <c r="K501" s="46" t="s">
        <v>1320</v>
      </c>
      <c r="L501" s="46" t="s">
        <v>2325</v>
      </c>
      <c r="M501" s="46" t="s">
        <v>1309</v>
      </c>
      <c r="N501" s="46" t="s">
        <v>1310</v>
      </c>
      <c r="O501" s="46" t="s">
        <v>1311</v>
      </c>
      <c r="P501" s="46" t="s">
        <v>1312</v>
      </c>
      <c r="Q501" s="46" t="s">
        <v>31</v>
      </c>
      <c r="R501" s="46" t="s">
        <v>31</v>
      </c>
      <c r="S501" s="46" t="s">
        <v>31</v>
      </c>
      <c r="T501" s="46" t="s">
        <v>31</v>
      </c>
      <c r="U501" s="46" t="s">
        <v>49</v>
      </c>
    </row>
    <row r="502" spans="1:21">
      <c r="A502" s="46" t="s">
        <v>772</v>
      </c>
      <c r="B502" s="46" t="s">
        <v>199</v>
      </c>
      <c r="C502" s="46" t="s">
        <v>666</v>
      </c>
      <c r="D502" s="46">
        <v>1</v>
      </c>
      <c r="E502" s="46">
        <v>0</v>
      </c>
      <c r="F502" s="46" t="s">
        <v>773</v>
      </c>
      <c r="G502" s="46" t="s">
        <v>1305</v>
      </c>
      <c r="H502" s="46" t="s">
        <v>2326</v>
      </c>
      <c r="I502" s="46" t="str">
        <f ca="1">IFERROR(__xludf.DUMMYFUNCTION("CONCAT(A502,REGEXREPLACE(H502,"".*_L0"",""_L0""))"),"HC_BN1817_MTG_snRNAseq_rep1_L002_I1_001.fastq.gz")</f>
        <v>HC_BN1817_MTG_snRNAseq_rep1_L002_I1_001.fastq.gz</v>
      </c>
      <c r="J502" s="46" t="str">
        <f t="shared" si="1"/>
        <v>/data/neurogen/ASAP/scRNAseq/data/batch9_ASAP_snRNA-seq_*/Raw_Data_and_Processing/cellranger_processing/cellranger_fastqs/outs/fastq_path/H*/BN1817_S1_L002_I1_001.fastq.gz</v>
      </c>
      <c r="K502" s="46" t="s">
        <v>1323</v>
      </c>
      <c r="L502" s="46" t="s">
        <v>2327</v>
      </c>
      <c r="M502" s="46" t="s">
        <v>1309</v>
      </c>
      <c r="N502" s="46" t="s">
        <v>1310</v>
      </c>
      <c r="O502" s="46" t="s">
        <v>1311</v>
      </c>
      <c r="P502" s="46" t="s">
        <v>1312</v>
      </c>
      <c r="Q502" s="46" t="s">
        <v>31</v>
      </c>
      <c r="R502" s="46" t="s">
        <v>31</v>
      </c>
      <c r="S502" s="46" t="s">
        <v>31</v>
      </c>
      <c r="T502" s="46" t="s">
        <v>31</v>
      </c>
      <c r="U502" s="46" t="s">
        <v>49</v>
      </c>
    </row>
    <row r="503" spans="1:21">
      <c r="A503" s="46" t="s">
        <v>772</v>
      </c>
      <c r="B503" s="46" t="s">
        <v>199</v>
      </c>
      <c r="C503" s="46" t="s">
        <v>666</v>
      </c>
      <c r="D503" s="46">
        <v>1</v>
      </c>
      <c r="E503" s="46">
        <v>0</v>
      </c>
      <c r="F503" s="46" t="s">
        <v>773</v>
      </c>
      <c r="G503" s="46" t="s">
        <v>1305</v>
      </c>
      <c r="H503" s="46" t="s">
        <v>2328</v>
      </c>
      <c r="I503" s="46" t="str">
        <f ca="1">IFERROR(__xludf.DUMMYFUNCTION("CONCAT(A503,REGEXREPLACE(H503,"".*_L0"",""_L0""))"),"HC_BN1817_MTG_snRNAseq_rep1_L002_I2_001.fastq.gz")</f>
        <v>HC_BN1817_MTG_snRNAseq_rep1_L002_I2_001.fastq.gz</v>
      </c>
      <c r="J503" s="46" t="str">
        <f t="shared" si="1"/>
        <v>/data/neurogen/ASAP/scRNAseq/data/batch9_ASAP_snRNA-seq_*/Raw_Data_and_Processing/cellranger_processing/cellranger_fastqs/outs/fastq_path/H*/BN1817_S1_L002_I2_001.fastq.gz</v>
      </c>
      <c r="K503" s="46" t="s">
        <v>1326</v>
      </c>
      <c r="L503" s="46" t="s">
        <v>2329</v>
      </c>
      <c r="M503" s="46" t="s">
        <v>1309</v>
      </c>
      <c r="N503" s="46" t="s">
        <v>1310</v>
      </c>
      <c r="O503" s="46" t="s">
        <v>1311</v>
      </c>
      <c r="P503" s="46" t="s">
        <v>1312</v>
      </c>
      <c r="Q503" s="46" t="s">
        <v>31</v>
      </c>
      <c r="R503" s="46" t="s">
        <v>31</v>
      </c>
      <c r="S503" s="46" t="s">
        <v>31</v>
      </c>
      <c r="T503" s="46" t="s">
        <v>31</v>
      </c>
      <c r="U503" s="46" t="s">
        <v>49</v>
      </c>
    </row>
    <row r="504" spans="1:21">
      <c r="A504" s="46" t="s">
        <v>772</v>
      </c>
      <c r="B504" s="46" t="s">
        <v>199</v>
      </c>
      <c r="C504" s="46" t="s">
        <v>666</v>
      </c>
      <c r="D504" s="46">
        <v>1</v>
      </c>
      <c r="E504" s="46">
        <v>0</v>
      </c>
      <c r="F504" s="46" t="s">
        <v>773</v>
      </c>
      <c r="G504" s="46" t="s">
        <v>1305</v>
      </c>
      <c r="H504" s="46" t="s">
        <v>2330</v>
      </c>
      <c r="I504" s="46" t="str">
        <f ca="1">IFERROR(__xludf.DUMMYFUNCTION("CONCAT(A504,REGEXREPLACE(H504,"".*_L0"",""_L0""))"),"HC_BN1817_MTG_snRNAseq_rep1_L002_R1_001.fastq.gz")</f>
        <v>HC_BN1817_MTG_snRNAseq_rep1_L002_R1_001.fastq.gz</v>
      </c>
      <c r="J504" s="46" t="str">
        <f t="shared" si="1"/>
        <v>/data/neurogen/ASAP/scRNAseq/data/batch9_ASAP_snRNA-seq_*/Raw_Data_and_Processing/cellranger_processing/cellranger_fastqs/outs/fastq_path/H*/BN1817_S1_L002_R1_001.fastq.gz</v>
      </c>
      <c r="K504" s="46" t="s">
        <v>1329</v>
      </c>
      <c r="L504" s="46" t="s">
        <v>2331</v>
      </c>
      <c r="M504" s="46" t="s">
        <v>1309</v>
      </c>
      <c r="N504" s="46" t="s">
        <v>1310</v>
      </c>
      <c r="O504" s="46" t="s">
        <v>1311</v>
      </c>
      <c r="P504" s="46" t="s">
        <v>1312</v>
      </c>
      <c r="Q504" s="46" t="s">
        <v>31</v>
      </c>
      <c r="R504" s="46" t="s">
        <v>31</v>
      </c>
      <c r="S504" s="46" t="s">
        <v>31</v>
      </c>
      <c r="T504" s="46" t="s">
        <v>31</v>
      </c>
      <c r="U504" s="46" t="s">
        <v>49</v>
      </c>
    </row>
    <row r="505" spans="1:21">
      <c r="A505" s="46" t="s">
        <v>772</v>
      </c>
      <c r="B505" s="46" t="s">
        <v>199</v>
      </c>
      <c r="C505" s="46" t="s">
        <v>666</v>
      </c>
      <c r="D505" s="46">
        <v>1</v>
      </c>
      <c r="E505" s="46">
        <v>0</v>
      </c>
      <c r="F505" s="46" t="s">
        <v>773</v>
      </c>
      <c r="G505" s="46" t="s">
        <v>1305</v>
      </c>
      <c r="H505" s="46" t="s">
        <v>2332</v>
      </c>
      <c r="I505" s="46" t="str">
        <f ca="1">IFERROR(__xludf.DUMMYFUNCTION("CONCAT(A505,REGEXREPLACE(H505,"".*_L0"",""_L0""))"),"HC_BN1817_MTG_snRNAseq_rep1_L002_R2_001.fastq.gz")</f>
        <v>HC_BN1817_MTG_snRNAseq_rep1_L002_R2_001.fastq.gz</v>
      </c>
      <c r="J505" s="46" t="str">
        <f t="shared" si="1"/>
        <v>/data/neurogen/ASAP/scRNAseq/data/batch9_ASAP_snRNA-seq_*/Raw_Data_and_Processing/cellranger_processing/cellranger_fastqs/outs/fastq_path/H*/BN1817_S1_L002_R2_001.fastq.gz</v>
      </c>
      <c r="K505" s="46" t="s">
        <v>1332</v>
      </c>
      <c r="L505" s="46" t="s">
        <v>2333</v>
      </c>
      <c r="M505" s="46" t="s">
        <v>1309</v>
      </c>
      <c r="N505" s="46" t="s">
        <v>1310</v>
      </c>
      <c r="O505" s="46" t="s">
        <v>1311</v>
      </c>
      <c r="P505" s="46" t="s">
        <v>1312</v>
      </c>
      <c r="Q505" s="46" t="s">
        <v>31</v>
      </c>
      <c r="R505" s="46" t="s">
        <v>31</v>
      </c>
      <c r="S505" s="46" t="s">
        <v>31</v>
      </c>
      <c r="T505" s="46" t="s">
        <v>31</v>
      </c>
      <c r="U505" s="46" t="s">
        <v>49</v>
      </c>
    </row>
    <row r="506" spans="1:21">
      <c r="A506" s="46" t="s">
        <v>772</v>
      </c>
      <c r="B506" s="46" t="s">
        <v>199</v>
      </c>
      <c r="C506" s="46" t="s">
        <v>666</v>
      </c>
      <c r="D506" s="46">
        <v>1</v>
      </c>
      <c r="E506" s="46">
        <v>0</v>
      </c>
      <c r="F506" s="46" t="s">
        <v>773</v>
      </c>
      <c r="G506" s="46" t="s">
        <v>1305</v>
      </c>
      <c r="H506" s="46" t="s">
        <v>2334</v>
      </c>
      <c r="I506" s="46" t="str">
        <f ca="1">IFERROR(__xludf.DUMMYFUNCTION("CONCAT(A506,REGEXREPLACE(H506,"".*_L0"",""_L0""))"),"HC_BN1817_MTG_snRNAseq_rep1_L003_I1_001.fastq.gz")</f>
        <v>HC_BN1817_MTG_snRNAseq_rep1_L003_I1_001.fastq.gz</v>
      </c>
      <c r="J506" s="46" t="str">
        <f t="shared" si="1"/>
        <v>/data/neurogen/ASAP/scRNAseq/data/batch9_ASAP_snRNA-seq_*/Raw_Data_and_Processing/cellranger_processing/cellranger_fastqs/outs/fastq_path/H*/BN1817_S1_L003_I1_001.fastq.gz</v>
      </c>
      <c r="K506" s="46" t="s">
        <v>1335</v>
      </c>
      <c r="L506" s="46" t="s">
        <v>2335</v>
      </c>
      <c r="M506" s="46" t="s">
        <v>1309</v>
      </c>
      <c r="N506" s="46" t="s">
        <v>1310</v>
      </c>
      <c r="O506" s="46" t="s">
        <v>1311</v>
      </c>
      <c r="P506" s="46" t="s">
        <v>1312</v>
      </c>
      <c r="Q506" s="46" t="s">
        <v>31</v>
      </c>
      <c r="R506" s="46" t="s">
        <v>31</v>
      </c>
      <c r="S506" s="46" t="s">
        <v>31</v>
      </c>
      <c r="T506" s="46" t="s">
        <v>31</v>
      </c>
      <c r="U506" s="46" t="s">
        <v>49</v>
      </c>
    </row>
    <row r="507" spans="1:21">
      <c r="A507" s="46" t="s">
        <v>772</v>
      </c>
      <c r="B507" s="46" t="s">
        <v>199</v>
      </c>
      <c r="C507" s="46" t="s">
        <v>666</v>
      </c>
      <c r="D507" s="46">
        <v>1</v>
      </c>
      <c r="E507" s="46">
        <v>0</v>
      </c>
      <c r="F507" s="46" t="s">
        <v>773</v>
      </c>
      <c r="G507" s="46" t="s">
        <v>1305</v>
      </c>
      <c r="H507" s="46" t="s">
        <v>2336</v>
      </c>
      <c r="I507" s="46" t="str">
        <f ca="1">IFERROR(__xludf.DUMMYFUNCTION("CONCAT(A507,REGEXREPLACE(H507,"".*_L0"",""_L0""))"),"HC_BN1817_MTG_snRNAseq_rep1_L003_I2_001.fastq.gz")</f>
        <v>HC_BN1817_MTG_snRNAseq_rep1_L003_I2_001.fastq.gz</v>
      </c>
      <c r="J507" s="46" t="str">
        <f t="shared" si="1"/>
        <v>/data/neurogen/ASAP/scRNAseq/data/batch9_ASAP_snRNA-seq_*/Raw_Data_and_Processing/cellranger_processing/cellranger_fastqs/outs/fastq_path/H*/BN1817_S1_L003_I2_001.fastq.gz</v>
      </c>
      <c r="K507" s="46" t="s">
        <v>1338</v>
      </c>
      <c r="L507" s="46" t="s">
        <v>2337</v>
      </c>
      <c r="M507" s="46" t="s">
        <v>1309</v>
      </c>
      <c r="N507" s="46" t="s">
        <v>1310</v>
      </c>
      <c r="O507" s="46" t="s">
        <v>1311</v>
      </c>
      <c r="P507" s="46" t="s">
        <v>1312</v>
      </c>
      <c r="Q507" s="46" t="s">
        <v>31</v>
      </c>
      <c r="R507" s="46" t="s">
        <v>31</v>
      </c>
      <c r="S507" s="46" t="s">
        <v>31</v>
      </c>
      <c r="T507" s="46" t="s">
        <v>31</v>
      </c>
      <c r="U507" s="46" t="s">
        <v>49</v>
      </c>
    </row>
    <row r="508" spans="1:21">
      <c r="A508" s="46" t="s">
        <v>772</v>
      </c>
      <c r="B508" s="46" t="s">
        <v>199</v>
      </c>
      <c r="C508" s="46" t="s">
        <v>666</v>
      </c>
      <c r="D508" s="46">
        <v>1</v>
      </c>
      <c r="E508" s="46">
        <v>0</v>
      </c>
      <c r="F508" s="46" t="s">
        <v>773</v>
      </c>
      <c r="G508" s="46" t="s">
        <v>1305</v>
      </c>
      <c r="H508" s="46" t="s">
        <v>2338</v>
      </c>
      <c r="I508" s="46" t="str">
        <f ca="1">IFERROR(__xludf.DUMMYFUNCTION("CONCAT(A508,REGEXREPLACE(H508,"".*_L0"",""_L0""))"),"HC_BN1817_MTG_snRNAseq_rep1_L003_R1_001.fastq.gz")</f>
        <v>HC_BN1817_MTG_snRNAseq_rep1_L003_R1_001.fastq.gz</v>
      </c>
      <c r="J508" s="46" t="str">
        <f t="shared" si="1"/>
        <v>/data/neurogen/ASAP/scRNAseq/data/batch9_ASAP_snRNA-seq_*/Raw_Data_and_Processing/cellranger_processing/cellranger_fastqs/outs/fastq_path/H*/BN1817_S1_L003_R1_001.fastq.gz</v>
      </c>
      <c r="K508" s="46" t="s">
        <v>1341</v>
      </c>
      <c r="L508" s="46" t="s">
        <v>2339</v>
      </c>
      <c r="M508" s="46" t="s">
        <v>1309</v>
      </c>
      <c r="N508" s="46" t="s">
        <v>1310</v>
      </c>
      <c r="O508" s="46" t="s">
        <v>1311</v>
      </c>
      <c r="P508" s="46" t="s">
        <v>1312</v>
      </c>
      <c r="Q508" s="46" t="s">
        <v>31</v>
      </c>
      <c r="R508" s="46" t="s">
        <v>31</v>
      </c>
      <c r="S508" s="46" t="s">
        <v>31</v>
      </c>
      <c r="T508" s="46" t="s">
        <v>31</v>
      </c>
      <c r="U508" s="46" t="s">
        <v>49</v>
      </c>
    </row>
    <row r="509" spans="1:21">
      <c r="A509" s="46" t="s">
        <v>772</v>
      </c>
      <c r="B509" s="46" t="s">
        <v>199</v>
      </c>
      <c r="C509" s="46" t="s">
        <v>666</v>
      </c>
      <c r="D509" s="46">
        <v>1</v>
      </c>
      <c r="E509" s="46">
        <v>0</v>
      </c>
      <c r="F509" s="46" t="s">
        <v>773</v>
      </c>
      <c r="G509" s="46" t="s">
        <v>1305</v>
      </c>
      <c r="H509" s="46" t="s">
        <v>2340</v>
      </c>
      <c r="I509" s="46" t="str">
        <f ca="1">IFERROR(__xludf.DUMMYFUNCTION("CONCAT(A509,REGEXREPLACE(H509,"".*_L0"",""_L0""))"),"HC_BN1817_MTG_snRNAseq_rep1_L003_R2_001.fastq.gz")</f>
        <v>HC_BN1817_MTG_snRNAseq_rep1_L003_R2_001.fastq.gz</v>
      </c>
      <c r="J509" s="46" t="str">
        <f t="shared" si="1"/>
        <v>/data/neurogen/ASAP/scRNAseq/data/batch9_ASAP_snRNA-seq_*/Raw_Data_and_Processing/cellranger_processing/cellranger_fastqs/outs/fastq_path/H*/BN1817_S1_L003_R2_001.fastq.gz</v>
      </c>
      <c r="K509" s="46" t="s">
        <v>1344</v>
      </c>
      <c r="L509" s="46" t="s">
        <v>2341</v>
      </c>
      <c r="M509" s="46" t="s">
        <v>1309</v>
      </c>
      <c r="N509" s="46" t="s">
        <v>1310</v>
      </c>
      <c r="O509" s="46" t="s">
        <v>1311</v>
      </c>
      <c r="P509" s="46" t="s">
        <v>1312</v>
      </c>
      <c r="Q509" s="46" t="s">
        <v>31</v>
      </c>
      <c r="R509" s="46" t="s">
        <v>31</v>
      </c>
      <c r="S509" s="46" t="s">
        <v>31</v>
      </c>
      <c r="T509" s="46" t="s">
        <v>31</v>
      </c>
      <c r="U509" s="46" t="s">
        <v>49</v>
      </c>
    </row>
    <row r="510" spans="1:21">
      <c r="A510" s="46" t="s">
        <v>772</v>
      </c>
      <c r="B510" s="46" t="s">
        <v>199</v>
      </c>
      <c r="C510" s="46" t="s">
        <v>666</v>
      </c>
      <c r="D510" s="46">
        <v>1</v>
      </c>
      <c r="E510" s="46">
        <v>0</v>
      </c>
      <c r="F510" s="46" t="s">
        <v>773</v>
      </c>
      <c r="G510" s="46" t="s">
        <v>1305</v>
      </c>
      <c r="H510" s="46" t="s">
        <v>2342</v>
      </c>
      <c r="I510" s="46" t="str">
        <f ca="1">IFERROR(__xludf.DUMMYFUNCTION("CONCAT(A510,REGEXREPLACE(H510,"".*_L0"",""_L0""))"),"HC_BN1817_MTG_snRNAseq_rep1_L004_I1_001.fastq.gz")</f>
        <v>HC_BN1817_MTG_snRNAseq_rep1_L004_I1_001.fastq.gz</v>
      </c>
      <c r="J510" s="46" t="str">
        <f t="shared" si="1"/>
        <v>/data/neurogen/ASAP/scRNAseq/data/batch9_ASAP_snRNA-seq_*/Raw_Data_and_Processing/cellranger_processing/cellranger_fastqs/outs/fastq_path/H*/BN1817_S1_L004_I1_001.fastq.gz</v>
      </c>
      <c r="K510" s="46" t="s">
        <v>1347</v>
      </c>
      <c r="L510" s="46" t="s">
        <v>2343</v>
      </c>
      <c r="M510" s="46" t="s">
        <v>1309</v>
      </c>
      <c r="N510" s="46" t="s">
        <v>1310</v>
      </c>
      <c r="O510" s="46" t="s">
        <v>1311</v>
      </c>
      <c r="P510" s="46" t="s">
        <v>1312</v>
      </c>
      <c r="Q510" s="46" t="s">
        <v>31</v>
      </c>
      <c r="R510" s="46" t="s">
        <v>31</v>
      </c>
      <c r="S510" s="46" t="s">
        <v>31</v>
      </c>
      <c r="T510" s="46" t="s">
        <v>31</v>
      </c>
      <c r="U510" s="46" t="s">
        <v>49</v>
      </c>
    </row>
    <row r="511" spans="1:21">
      <c r="A511" s="46" t="s">
        <v>772</v>
      </c>
      <c r="B511" s="46" t="s">
        <v>199</v>
      </c>
      <c r="C511" s="46" t="s">
        <v>666</v>
      </c>
      <c r="D511" s="46">
        <v>1</v>
      </c>
      <c r="E511" s="46">
        <v>0</v>
      </c>
      <c r="F511" s="46" t="s">
        <v>773</v>
      </c>
      <c r="G511" s="46" t="s">
        <v>1305</v>
      </c>
      <c r="H511" s="46" t="s">
        <v>2344</v>
      </c>
      <c r="I511" s="46" t="str">
        <f ca="1">IFERROR(__xludf.DUMMYFUNCTION("CONCAT(A511,REGEXREPLACE(H511,"".*_L0"",""_L0""))"),"HC_BN1817_MTG_snRNAseq_rep1_L004_I2_001.fastq.gz")</f>
        <v>HC_BN1817_MTG_snRNAseq_rep1_L004_I2_001.fastq.gz</v>
      </c>
      <c r="J511" s="46" t="str">
        <f t="shared" si="1"/>
        <v>/data/neurogen/ASAP/scRNAseq/data/batch9_ASAP_snRNA-seq_*/Raw_Data_and_Processing/cellranger_processing/cellranger_fastqs/outs/fastq_path/H*/BN1817_S1_L004_I2_001.fastq.gz</v>
      </c>
      <c r="K511" s="46" t="s">
        <v>1350</v>
      </c>
      <c r="L511" s="46" t="s">
        <v>2345</v>
      </c>
      <c r="M511" s="46" t="s">
        <v>1309</v>
      </c>
      <c r="N511" s="46" t="s">
        <v>1310</v>
      </c>
      <c r="O511" s="46" t="s">
        <v>1311</v>
      </c>
      <c r="P511" s="46" t="s">
        <v>1312</v>
      </c>
      <c r="Q511" s="46" t="s">
        <v>31</v>
      </c>
      <c r="R511" s="46" t="s">
        <v>31</v>
      </c>
      <c r="S511" s="46" t="s">
        <v>31</v>
      </c>
      <c r="T511" s="46" t="s">
        <v>31</v>
      </c>
      <c r="U511" s="46" t="s">
        <v>49</v>
      </c>
    </row>
    <row r="512" spans="1:21">
      <c r="A512" s="46" t="s">
        <v>772</v>
      </c>
      <c r="B512" s="46" t="s">
        <v>199</v>
      </c>
      <c r="C512" s="46" t="s">
        <v>666</v>
      </c>
      <c r="D512" s="46">
        <v>1</v>
      </c>
      <c r="E512" s="46">
        <v>0</v>
      </c>
      <c r="F512" s="46" t="s">
        <v>773</v>
      </c>
      <c r="G512" s="46" t="s">
        <v>1305</v>
      </c>
      <c r="H512" s="46" t="s">
        <v>2346</v>
      </c>
      <c r="I512" s="46" t="str">
        <f ca="1">IFERROR(__xludf.DUMMYFUNCTION("CONCAT(A512,REGEXREPLACE(H512,"".*_L0"",""_L0""))"),"HC_BN1817_MTG_snRNAseq_rep1_L004_R1_001.fastq.gz")</f>
        <v>HC_BN1817_MTG_snRNAseq_rep1_L004_R1_001.fastq.gz</v>
      </c>
      <c r="J512" s="46" t="str">
        <f t="shared" ref="J512:J766" si="2">CONCATENATE("/data/neurogen/ASAP/scRNAseq/data/",F512,"_ASAP_snRNA-seq_*/Raw_Data_and_Processing/cellranger_processing/cellranger_fastqs/outs/fastq_path/H*/",H512)</f>
        <v>/data/neurogen/ASAP/scRNAseq/data/batch9_ASAP_snRNA-seq_*/Raw_Data_and_Processing/cellranger_processing/cellranger_fastqs/outs/fastq_path/H*/BN1817_S1_L004_R1_001.fastq.gz</v>
      </c>
      <c r="K512" s="46" t="s">
        <v>1353</v>
      </c>
      <c r="L512" s="46" t="s">
        <v>2347</v>
      </c>
      <c r="M512" s="46" t="s">
        <v>1309</v>
      </c>
      <c r="N512" s="46" t="s">
        <v>1310</v>
      </c>
      <c r="O512" s="46" t="s">
        <v>1311</v>
      </c>
      <c r="P512" s="46" t="s">
        <v>1312</v>
      </c>
      <c r="Q512" s="46" t="s">
        <v>31</v>
      </c>
      <c r="R512" s="46" t="s">
        <v>31</v>
      </c>
      <c r="S512" s="46" t="s">
        <v>31</v>
      </c>
      <c r="T512" s="46" t="s">
        <v>31</v>
      </c>
      <c r="U512" s="46" t="s">
        <v>49</v>
      </c>
    </row>
    <row r="513" spans="1:21">
      <c r="A513" s="46" t="s">
        <v>772</v>
      </c>
      <c r="B513" s="46" t="s">
        <v>199</v>
      </c>
      <c r="C513" s="46" t="s">
        <v>666</v>
      </c>
      <c r="D513" s="46">
        <v>1</v>
      </c>
      <c r="E513" s="46">
        <v>0</v>
      </c>
      <c r="F513" s="46" t="s">
        <v>773</v>
      </c>
      <c r="G513" s="46" t="s">
        <v>1305</v>
      </c>
      <c r="H513" s="46" t="s">
        <v>2348</v>
      </c>
      <c r="I513" s="46" t="str">
        <f ca="1">IFERROR(__xludf.DUMMYFUNCTION("CONCAT(A513,REGEXREPLACE(H513,"".*_L0"",""_L0""))"),"HC_BN1817_MTG_snRNAseq_rep1_L004_R2_001.fastq.gz")</f>
        <v>HC_BN1817_MTG_snRNAseq_rep1_L004_R2_001.fastq.gz</v>
      </c>
      <c r="J513" s="46" t="str">
        <f t="shared" si="2"/>
        <v>/data/neurogen/ASAP/scRNAseq/data/batch9_ASAP_snRNA-seq_*/Raw_Data_and_Processing/cellranger_processing/cellranger_fastqs/outs/fastq_path/H*/BN1817_S1_L004_R2_001.fastq.gz</v>
      </c>
      <c r="K513" s="46" t="s">
        <v>1356</v>
      </c>
      <c r="L513" s="46" t="s">
        <v>2349</v>
      </c>
      <c r="M513" s="46" t="s">
        <v>1309</v>
      </c>
      <c r="N513" s="46" t="s">
        <v>1310</v>
      </c>
      <c r="O513" s="46" t="s">
        <v>1311</v>
      </c>
      <c r="P513" s="46" t="s">
        <v>1312</v>
      </c>
      <c r="Q513" s="46" t="s">
        <v>31</v>
      </c>
      <c r="R513" s="46" t="s">
        <v>31</v>
      </c>
      <c r="S513" s="46" t="s">
        <v>31</v>
      </c>
      <c r="T513" s="46" t="s">
        <v>31</v>
      </c>
      <c r="U513" s="46" t="s">
        <v>49</v>
      </c>
    </row>
    <row r="514" spans="1:21">
      <c r="A514" s="46" t="s">
        <v>786</v>
      </c>
      <c r="B514" s="46" t="s">
        <v>219</v>
      </c>
      <c r="C514" s="46" t="s">
        <v>666</v>
      </c>
      <c r="D514" s="46">
        <v>1</v>
      </c>
      <c r="E514" s="46">
        <v>0</v>
      </c>
      <c r="F514" s="46" t="s">
        <v>773</v>
      </c>
      <c r="G514" s="46" t="s">
        <v>1305</v>
      </c>
      <c r="H514" s="46" t="s">
        <v>2350</v>
      </c>
      <c r="I514" s="46" t="str">
        <f ca="1">IFERROR(__xludf.DUMMYFUNCTION("CONCAT(A514,REGEXREPLACE(H514,"".*_L0"",""_L0""))"),"PD_BN1865_MTG_snRNAseq_rep1_L001_I1_001.fastq.gz")</f>
        <v>PD_BN1865_MTG_snRNAseq_rep1_L001_I1_001.fastq.gz</v>
      </c>
      <c r="J514" s="46" t="str">
        <f t="shared" si="2"/>
        <v>/data/neurogen/ASAP/scRNAseq/data/batch9_ASAP_snRNA-seq_*/Raw_Data_and_Processing/cellranger_processing/cellranger_fastqs/outs/fastq_path/H*/BN1865_S2_L001_I1_001.fastq.gz</v>
      </c>
      <c r="K514" s="46" t="s">
        <v>1307</v>
      </c>
      <c r="L514" s="46" t="s">
        <v>2351</v>
      </c>
      <c r="M514" s="46" t="s">
        <v>1309</v>
      </c>
      <c r="N514" s="46" t="s">
        <v>1310</v>
      </c>
      <c r="O514" s="46" t="s">
        <v>1311</v>
      </c>
      <c r="P514" s="46" t="s">
        <v>1312</v>
      </c>
      <c r="Q514" s="46" t="s">
        <v>31</v>
      </c>
      <c r="R514" s="46" t="s">
        <v>31</v>
      </c>
      <c r="S514" s="46" t="s">
        <v>31</v>
      </c>
      <c r="T514" s="46" t="s">
        <v>31</v>
      </c>
      <c r="U514" s="46" t="s">
        <v>49</v>
      </c>
    </row>
    <row r="515" spans="1:21">
      <c r="A515" s="46" t="s">
        <v>786</v>
      </c>
      <c r="B515" s="46" t="s">
        <v>219</v>
      </c>
      <c r="C515" s="46" t="s">
        <v>666</v>
      </c>
      <c r="D515" s="46">
        <v>1</v>
      </c>
      <c r="E515" s="46">
        <v>0</v>
      </c>
      <c r="F515" s="46" t="s">
        <v>773</v>
      </c>
      <c r="G515" s="46" t="s">
        <v>1305</v>
      </c>
      <c r="H515" s="46" t="s">
        <v>2352</v>
      </c>
      <c r="I515" s="46" t="str">
        <f ca="1">IFERROR(__xludf.DUMMYFUNCTION("CONCAT(A515,REGEXREPLACE(H515,"".*_L0"",""_L0""))"),"PD_BN1865_MTG_snRNAseq_rep1_L001_I2_001.fastq.gz")</f>
        <v>PD_BN1865_MTG_snRNAseq_rep1_L001_I2_001.fastq.gz</v>
      </c>
      <c r="J515" s="46" t="str">
        <f t="shared" si="2"/>
        <v>/data/neurogen/ASAP/scRNAseq/data/batch9_ASAP_snRNA-seq_*/Raw_Data_and_Processing/cellranger_processing/cellranger_fastqs/outs/fastq_path/H*/BN1865_S2_L001_I2_001.fastq.gz</v>
      </c>
      <c r="K515" s="46" t="s">
        <v>1314</v>
      </c>
      <c r="L515" s="46" t="s">
        <v>2353</v>
      </c>
      <c r="M515" s="46" t="s">
        <v>1309</v>
      </c>
      <c r="N515" s="46" t="s">
        <v>1310</v>
      </c>
      <c r="O515" s="46" t="s">
        <v>1311</v>
      </c>
      <c r="P515" s="46" t="s">
        <v>1312</v>
      </c>
      <c r="Q515" s="46" t="s">
        <v>31</v>
      </c>
      <c r="R515" s="46" t="s">
        <v>31</v>
      </c>
      <c r="S515" s="46" t="s">
        <v>31</v>
      </c>
      <c r="T515" s="46" t="s">
        <v>31</v>
      </c>
      <c r="U515" s="46" t="s">
        <v>49</v>
      </c>
    </row>
    <row r="516" spans="1:21">
      <c r="A516" s="46" t="s">
        <v>786</v>
      </c>
      <c r="B516" s="46" t="s">
        <v>219</v>
      </c>
      <c r="C516" s="46" t="s">
        <v>666</v>
      </c>
      <c r="D516" s="46">
        <v>1</v>
      </c>
      <c r="E516" s="46">
        <v>0</v>
      </c>
      <c r="F516" s="46" t="s">
        <v>773</v>
      </c>
      <c r="G516" s="46" t="s">
        <v>1305</v>
      </c>
      <c r="H516" s="46" t="s">
        <v>2354</v>
      </c>
      <c r="I516" s="46" t="str">
        <f ca="1">IFERROR(__xludf.DUMMYFUNCTION("CONCAT(A516,REGEXREPLACE(H516,"".*_L0"",""_L0""))"),"PD_BN1865_MTG_snRNAseq_rep1_L001_R1_001.fastq.gz")</f>
        <v>PD_BN1865_MTG_snRNAseq_rep1_L001_R1_001.fastq.gz</v>
      </c>
      <c r="J516" s="46" t="str">
        <f t="shared" si="2"/>
        <v>/data/neurogen/ASAP/scRNAseq/data/batch9_ASAP_snRNA-seq_*/Raw_Data_and_Processing/cellranger_processing/cellranger_fastqs/outs/fastq_path/H*/BN1865_S2_L001_R1_001.fastq.gz</v>
      </c>
      <c r="K516" s="46" t="s">
        <v>1317</v>
      </c>
      <c r="L516" s="46" t="s">
        <v>2355</v>
      </c>
      <c r="M516" s="46" t="s">
        <v>1309</v>
      </c>
      <c r="N516" s="46" t="s">
        <v>1310</v>
      </c>
      <c r="O516" s="46" t="s">
        <v>1311</v>
      </c>
      <c r="P516" s="46" t="s">
        <v>1312</v>
      </c>
      <c r="Q516" s="46" t="s">
        <v>31</v>
      </c>
      <c r="R516" s="46" t="s">
        <v>31</v>
      </c>
      <c r="S516" s="46" t="s">
        <v>31</v>
      </c>
      <c r="T516" s="46" t="s">
        <v>31</v>
      </c>
      <c r="U516" s="46" t="s">
        <v>49</v>
      </c>
    </row>
    <row r="517" spans="1:21">
      <c r="A517" s="46" t="s">
        <v>786</v>
      </c>
      <c r="B517" s="46" t="s">
        <v>219</v>
      </c>
      <c r="C517" s="46" t="s">
        <v>666</v>
      </c>
      <c r="D517" s="46">
        <v>1</v>
      </c>
      <c r="E517" s="46">
        <v>0</v>
      </c>
      <c r="F517" s="46" t="s">
        <v>773</v>
      </c>
      <c r="G517" s="46" t="s">
        <v>1305</v>
      </c>
      <c r="H517" s="46" t="s">
        <v>2356</v>
      </c>
      <c r="I517" s="46" t="str">
        <f ca="1">IFERROR(__xludf.DUMMYFUNCTION("CONCAT(A517,REGEXREPLACE(H517,"".*_L0"",""_L0""))"),"PD_BN1865_MTG_snRNAseq_rep1_L001_R2_001.fastq.gz")</f>
        <v>PD_BN1865_MTG_snRNAseq_rep1_L001_R2_001.fastq.gz</v>
      </c>
      <c r="J517" s="46" t="str">
        <f t="shared" si="2"/>
        <v>/data/neurogen/ASAP/scRNAseq/data/batch9_ASAP_snRNA-seq_*/Raw_Data_and_Processing/cellranger_processing/cellranger_fastqs/outs/fastq_path/H*/BN1865_S2_L001_R2_001.fastq.gz</v>
      </c>
      <c r="K517" s="46" t="s">
        <v>1320</v>
      </c>
      <c r="L517" s="46" t="s">
        <v>2357</v>
      </c>
      <c r="M517" s="46" t="s">
        <v>1309</v>
      </c>
      <c r="N517" s="46" t="s">
        <v>1310</v>
      </c>
      <c r="O517" s="46" t="s">
        <v>1311</v>
      </c>
      <c r="P517" s="46" t="s">
        <v>1312</v>
      </c>
      <c r="Q517" s="46" t="s">
        <v>31</v>
      </c>
      <c r="R517" s="46" t="s">
        <v>31</v>
      </c>
      <c r="S517" s="46" t="s">
        <v>31</v>
      </c>
      <c r="T517" s="46" t="s">
        <v>31</v>
      </c>
      <c r="U517" s="46" t="s">
        <v>49</v>
      </c>
    </row>
    <row r="518" spans="1:21">
      <c r="A518" s="46" t="s">
        <v>786</v>
      </c>
      <c r="B518" s="46" t="s">
        <v>219</v>
      </c>
      <c r="C518" s="46" t="s">
        <v>666</v>
      </c>
      <c r="D518" s="46">
        <v>1</v>
      </c>
      <c r="E518" s="46">
        <v>0</v>
      </c>
      <c r="F518" s="46" t="s">
        <v>773</v>
      </c>
      <c r="G518" s="46" t="s">
        <v>1305</v>
      </c>
      <c r="H518" s="46" t="s">
        <v>2358</v>
      </c>
      <c r="I518" s="46" t="str">
        <f ca="1">IFERROR(__xludf.DUMMYFUNCTION("CONCAT(A518,REGEXREPLACE(H518,"".*_L0"",""_L0""))"),"PD_BN1865_MTG_snRNAseq_rep1_L002_I1_001.fastq.gz")</f>
        <v>PD_BN1865_MTG_snRNAseq_rep1_L002_I1_001.fastq.gz</v>
      </c>
      <c r="J518" s="46" t="str">
        <f t="shared" si="2"/>
        <v>/data/neurogen/ASAP/scRNAseq/data/batch9_ASAP_snRNA-seq_*/Raw_Data_and_Processing/cellranger_processing/cellranger_fastqs/outs/fastq_path/H*/BN1865_S2_L002_I1_001.fastq.gz</v>
      </c>
      <c r="K518" s="46" t="s">
        <v>1323</v>
      </c>
      <c r="L518" s="46" t="s">
        <v>2359</v>
      </c>
      <c r="M518" s="46" t="s">
        <v>1309</v>
      </c>
      <c r="N518" s="46" t="s">
        <v>1310</v>
      </c>
      <c r="O518" s="46" t="s">
        <v>1311</v>
      </c>
      <c r="P518" s="46" t="s">
        <v>1312</v>
      </c>
      <c r="Q518" s="46" t="s">
        <v>31</v>
      </c>
      <c r="R518" s="46" t="s">
        <v>31</v>
      </c>
      <c r="S518" s="46" t="s">
        <v>31</v>
      </c>
      <c r="T518" s="46" t="s">
        <v>31</v>
      </c>
      <c r="U518" s="46" t="s">
        <v>49</v>
      </c>
    </row>
    <row r="519" spans="1:21">
      <c r="A519" s="46" t="s">
        <v>786</v>
      </c>
      <c r="B519" s="46" t="s">
        <v>219</v>
      </c>
      <c r="C519" s="46" t="s">
        <v>666</v>
      </c>
      <c r="D519" s="46">
        <v>1</v>
      </c>
      <c r="E519" s="46">
        <v>0</v>
      </c>
      <c r="F519" s="46" t="s">
        <v>773</v>
      </c>
      <c r="G519" s="46" t="s">
        <v>1305</v>
      </c>
      <c r="H519" s="46" t="s">
        <v>2360</v>
      </c>
      <c r="I519" s="46" t="str">
        <f ca="1">IFERROR(__xludf.DUMMYFUNCTION("CONCAT(A519,REGEXREPLACE(H519,"".*_L0"",""_L0""))"),"PD_BN1865_MTG_snRNAseq_rep1_L002_I2_001.fastq.gz")</f>
        <v>PD_BN1865_MTG_snRNAseq_rep1_L002_I2_001.fastq.gz</v>
      </c>
      <c r="J519" s="46" t="str">
        <f t="shared" si="2"/>
        <v>/data/neurogen/ASAP/scRNAseq/data/batch9_ASAP_snRNA-seq_*/Raw_Data_and_Processing/cellranger_processing/cellranger_fastqs/outs/fastq_path/H*/BN1865_S2_L002_I2_001.fastq.gz</v>
      </c>
      <c r="K519" s="46" t="s">
        <v>1326</v>
      </c>
      <c r="L519" s="46" t="s">
        <v>2361</v>
      </c>
      <c r="M519" s="46" t="s">
        <v>1309</v>
      </c>
      <c r="N519" s="46" t="s">
        <v>1310</v>
      </c>
      <c r="O519" s="46" t="s">
        <v>1311</v>
      </c>
      <c r="P519" s="46" t="s">
        <v>1312</v>
      </c>
      <c r="Q519" s="46" t="s">
        <v>31</v>
      </c>
      <c r="R519" s="46" t="s">
        <v>31</v>
      </c>
      <c r="S519" s="46" t="s">
        <v>31</v>
      </c>
      <c r="T519" s="46" t="s">
        <v>31</v>
      </c>
      <c r="U519" s="46" t="s">
        <v>49</v>
      </c>
    </row>
    <row r="520" spans="1:21">
      <c r="A520" s="46" t="s">
        <v>786</v>
      </c>
      <c r="B520" s="46" t="s">
        <v>219</v>
      </c>
      <c r="C520" s="46" t="s">
        <v>666</v>
      </c>
      <c r="D520" s="46">
        <v>1</v>
      </c>
      <c r="E520" s="46">
        <v>0</v>
      </c>
      <c r="F520" s="46" t="s">
        <v>773</v>
      </c>
      <c r="G520" s="46" t="s">
        <v>1305</v>
      </c>
      <c r="H520" s="46" t="s">
        <v>2362</v>
      </c>
      <c r="I520" s="46" t="str">
        <f ca="1">IFERROR(__xludf.DUMMYFUNCTION("CONCAT(A520,REGEXREPLACE(H520,"".*_L0"",""_L0""))"),"PD_BN1865_MTG_snRNAseq_rep1_L002_R1_001.fastq.gz")</f>
        <v>PD_BN1865_MTG_snRNAseq_rep1_L002_R1_001.fastq.gz</v>
      </c>
      <c r="J520" s="46" t="str">
        <f t="shared" si="2"/>
        <v>/data/neurogen/ASAP/scRNAseq/data/batch9_ASAP_snRNA-seq_*/Raw_Data_and_Processing/cellranger_processing/cellranger_fastqs/outs/fastq_path/H*/BN1865_S2_L002_R1_001.fastq.gz</v>
      </c>
      <c r="K520" s="46" t="s">
        <v>1329</v>
      </c>
      <c r="L520" s="46" t="s">
        <v>2363</v>
      </c>
      <c r="M520" s="46" t="s">
        <v>1309</v>
      </c>
      <c r="N520" s="46" t="s">
        <v>1310</v>
      </c>
      <c r="O520" s="46" t="s">
        <v>1311</v>
      </c>
      <c r="P520" s="46" t="s">
        <v>1312</v>
      </c>
      <c r="Q520" s="46" t="s">
        <v>31</v>
      </c>
      <c r="R520" s="46" t="s">
        <v>31</v>
      </c>
      <c r="S520" s="46" t="s">
        <v>31</v>
      </c>
      <c r="T520" s="46" t="s">
        <v>31</v>
      </c>
      <c r="U520" s="46" t="s">
        <v>49</v>
      </c>
    </row>
    <row r="521" spans="1:21">
      <c r="A521" s="46" t="s">
        <v>786</v>
      </c>
      <c r="B521" s="46" t="s">
        <v>219</v>
      </c>
      <c r="C521" s="46" t="s">
        <v>666</v>
      </c>
      <c r="D521" s="46">
        <v>1</v>
      </c>
      <c r="E521" s="46">
        <v>0</v>
      </c>
      <c r="F521" s="46" t="s">
        <v>773</v>
      </c>
      <c r="G521" s="46" t="s">
        <v>1305</v>
      </c>
      <c r="H521" s="46" t="s">
        <v>2364</v>
      </c>
      <c r="I521" s="46" t="str">
        <f ca="1">IFERROR(__xludf.DUMMYFUNCTION("CONCAT(A521,REGEXREPLACE(H521,"".*_L0"",""_L0""))"),"PD_BN1865_MTG_snRNAseq_rep1_L002_R2_001.fastq.gz")</f>
        <v>PD_BN1865_MTG_snRNAseq_rep1_L002_R2_001.fastq.gz</v>
      </c>
      <c r="J521" s="46" t="str">
        <f t="shared" si="2"/>
        <v>/data/neurogen/ASAP/scRNAseq/data/batch9_ASAP_snRNA-seq_*/Raw_Data_and_Processing/cellranger_processing/cellranger_fastqs/outs/fastq_path/H*/BN1865_S2_L002_R2_001.fastq.gz</v>
      </c>
      <c r="K521" s="46" t="s">
        <v>1332</v>
      </c>
      <c r="L521" s="46" t="s">
        <v>2365</v>
      </c>
      <c r="M521" s="46" t="s">
        <v>1309</v>
      </c>
      <c r="N521" s="46" t="s">
        <v>1310</v>
      </c>
      <c r="O521" s="46" t="s">
        <v>1311</v>
      </c>
      <c r="P521" s="46" t="s">
        <v>1312</v>
      </c>
      <c r="Q521" s="46" t="s">
        <v>31</v>
      </c>
      <c r="R521" s="46" t="s">
        <v>31</v>
      </c>
      <c r="S521" s="46" t="s">
        <v>31</v>
      </c>
      <c r="T521" s="46" t="s">
        <v>31</v>
      </c>
      <c r="U521" s="46" t="s">
        <v>49</v>
      </c>
    </row>
    <row r="522" spans="1:21">
      <c r="A522" s="46" t="s">
        <v>786</v>
      </c>
      <c r="B522" s="46" t="s">
        <v>219</v>
      </c>
      <c r="C522" s="46" t="s">
        <v>666</v>
      </c>
      <c r="D522" s="46">
        <v>1</v>
      </c>
      <c r="E522" s="46">
        <v>0</v>
      </c>
      <c r="F522" s="46" t="s">
        <v>773</v>
      </c>
      <c r="G522" s="46" t="s">
        <v>1305</v>
      </c>
      <c r="H522" s="46" t="s">
        <v>2366</v>
      </c>
      <c r="I522" s="46" t="str">
        <f ca="1">IFERROR(__xludf.DUMMYFUNCTION("CONCAT(A522,REGEXREPLACE(H522,"".*_L0"",""_L0""))"),"PD_BN1865_MTG_snRNAseq_rep1_L003_I1_001.fastq.gz")</f>
        <v>PD_BN1865_MTG_snRNAseq_rep1_L003_I1_001.fastq.gz</v>
      </c>
      <c r="J522" s="46" t="str">
        <f t="shared" si="2"/>
        <v>/data/neurogen/ASAP/scRNAseq/data/batch9_ASAP_snRNA-seq_*/Raw_Data_and_Processing/cellranger_processing/cellranger_fastqs/outs/fastq_path/H*/BN1865_S2_L003_I1_001.fastq.gz</v>
      </c>
      <c r="K522" s="46" t="s">
        <v>1335</v>
      </c>
      <c r="L522" s="46" t="s">
        <v>2367</v>
      </c>
      <c r="M522" s="46" t="s">
        <v>1309</v>
      </c>
      <c r="N522" s="46" t="s">
        <v>1310</v>
      </c>
      <c r="O522" s="46" t="s">
        <v>1311</v>
      </c>
      <c r="P522" s="46" t="s">
        <v>1312</v>
      </c>
      <c r="Q522" s="46" t="s">
        <v>31</v>
      </c>
      <c r="R522" s="46" t="s">
        <v>31</v>
      </c>
      <c r="S522" s="46" t="s">
        <v>31</v>
      </c>
      <c r="T522" s="46" t="s">
        <v>31</v>
      </c>
      <c r="U522" s="46" t="s">
        <v>49</v>
      </c>
    </row>
    <row r="523" spans="1:21">
      <c r="A523" s="46" t="s">
        <v>786</v>
      </c>
      <c r="B523" s="46" t="s">
        <v>219</v>
      </c>
      <c r="C523" s="46" t="s">
        <v>666</v>
      </c>
      <c r="D523" s="46">
        <v>1</v>
      </c>
      <c r="E523" s="46">
        <v>0</v>
      </c>
      <c r="F523" s="46" t="s">
        <v>773</v>
      </c>
      <c r="G523" s="46" t="s">
        <v>1305</v>
      </c>
      <c r="H523" s="46" t="s">
        <v>2368</v>
      </c>
      <c r="I523" s="46" t="str">
        <f ca="1">IFERROR(__xludf.DUMMYFUNCTION("CONCAT(A523,REGEXREPLACE(H523,"".*_L0"",""_L0""))"),"PD_BN1865_MTG_snRNAseq_rep1_L003_I2_001.fastq.gz")</f>
        <v>PD_BN1865_MTG_snRNAseq_rep1_L003_I2_001.fastq.gz</v>
      </c>
      <c r="J523" s="46" t="str">
        <f t="shared" si="2"/>
        <v>/data/neurogen/ASAP/scRNAseq/data/batch9_ASAP_snRNA-seq_*/Raw_Data_and_Processing/cellranger_processing/cellranger_fastqs/outs/fastq_path/H*/BN1865_S2_L003_I2_001.fastq.gz</v>
      </c>
      <c r="K523" s="46" t="s">
        <v>1338</v>
      </c>
      <c r="L523" s="46" t="s">
        <v>2369</v>
      </c>
      <c r="M523" s="46" t="s">
        <v>1309</v>
      </c>
      <c r="N523" s="46" t="s">
        <v>1310</v>
      </c>
      <c r="O523" s="46" t="s">
        <v>1311</v>
      </c>
      <c r="P523" s="46" t="s">
        <v>1312</v>
      </c>
      <c r="Q523" s="46" t="s">
        <v>31</v>
      </c>
      <c r="R523" s="46" t="s">
        <v>31</v>
      </c>
      <c r="S523" s="46" t="s">
        <v>31</v>
      </c>
      <c r="T523" s="46" t="s">
        <v>31</v>
      </c>
      <c r="U523" s="46" t="s">
        <v>49</v>
      </c>
    </row>
    <row r="524" spans="1:21">
      <c r="A524" s="46" t="s">
        <v>786</v>
      </c>
      <c r="B524" s="46" t="s">
        <v>219</v>
      </c>
      <c r="C524" s="46" t="s">
        <v>666</v>
      </c>
      <c r="D524" s="46">
        <v>1</v>
      </c>
      <c r="E524" s="46">
        <v>0</v>
      </c>
      <c r="F524" s="46" t="s">
        <v>773</v>
      </c>
      <c r="G524" s="46" t="s">
        <v>1305</v>
      </c>
      <c r="H524" s="46" t="s">
        <v>2370</v>
      </c>
      <c r="I524" s="46" t="str">
        <f ca="1">IFERROR(__xludf.DUMMYFUNCTION("CONCAT(A524,REGEXREPLACE(H524,"".*_L0"",""_L0""))"),"PD_BN1865_MTG_snRNAseq_rep1_L003_R1_001.fastq.gz")</f>
        <v>PD_BN1865_MTG_snRNAseq_rep1_L003_R1_001.fastq.gz</v>
      </c>
      <c r="J524" s="46" t="str">
        <f t="shared" si="2"/>
        <v>/data/neurogen/ASAP/scRNAseq/data/batch9_ASAP_snRNA-seq_*/Raw_Data_and_Processing/cellranger_processing/cellranger_fastqs/outs/fastq_path/H*/BN1865_S2_L003_R1_001.fastq.gz</v>
      </c>
      <c r="K524" s="46" t="s">
        <v>1341</v>
      </c>
      <c r="L524" s="46" t="s">
        <v>2371</v>
      </c>
      <c r="M524" s="46" t="s">
        <v>1309</v>
      </c>
      <c r="N524" s="46" t="s">
        <v>1310</v>
      </c>
      <c r="O524" s="46" t="s">
        <v>1311</v>
      </c>
      <c r="P524" s="46" t="s">
        <v>1312</v>
      </c>
      <c r="Q524" s="46" t="s">
        <v>31</v>
      </c>
      <c r="R524" s="46" t="s">
        <v>31</v>
      </c>
      <c r="S524" s="46" t="s">
        <v>31</v>
      </c>
      <c r="T524" s="46" t="s">
        <v>31</v>
      </c>
      <c r="U524" s="46" t="s">
        <v>49</v>
      </c>
    </row>
    <row r="525" spans="1:21">
      <c r="A525" s="46" t="s">
        <v>786</v>
      </c>
      <c r="B525" s="46" t="s">
        <v>219</v>
      </c>
      <c r="C525" s="46" t="s">
        <v>666</v>
      </c>
      <c r="D525" s="46">
        <v>1</v>
      </c>
      <c r="E525" s="46">
        <v>0</v>
      </c>
      <c r="F525" s="46" t="s">
        <v>773</v>
      </c>
      <c r="G525" s="46" t="s">
        <v>1305</v>
      </c>
      <c r="H525" s="46" t="s">
        <v>2372</v>
      </c>
      <c r="I525" s="46" t="str">
        <f ca="1">IFERROR(__xludf.DUMMYFUNCTION("CONCAT(A525,REGEXREPLACE(H525,"".*_L0"",""_L0""))"),"PD_BN1865_MTG_snRNAseq_rep1_L003_R2_001.fastq.gz")</f>
        <v>PD_BN1865_MTG_snRNAseq_rep1_L003_R2_001.fastq.gz</v>
      </c>
      <c r="J525" s="46" t="str">
        <f t="shared" si="2"/>
        <v>/data/neurogen/ASAP/scRNAseq/data/batch9_ASAP_snRNA-seq_*/Raw_Data_and_Processing/cellranger_processing/cellranger_fastqs/outs/fastq_path/H*/BN1865_S2_L003_R2_001.fastq.gz</v>
      </c>
      <c r="K525" s="46" t="s">
        <v>1344</v>
      </c>
      <c r="L525" s="46" t="s">
        <v>2373</v>
      </c>
      <c r="M525" s="46" t="s">
        <v>1309</v>
      </c>
      <c r="N525" s="46" t="s">
        <v>1310</v>
      </c>
      <c r="O525" s="46" t="s">
        <v>1311</v>
      </c>
      <c r="P525" s="46" t="s">
        <v>1312</v>
      </c>
      <c r="Q525" s="46" t="s">
        <v>31</v>
      </c>
      <c r="R525" s="46" t="s">
        <v>31</v>
      </c>
      <c r="S525" s="46" t="s">
        <v>31</v>
      </c>
      <c r="T525" s="46" t="s">
        <v>31</v>
      </c>
      <c r="U525" s="46" t="s">
        <v>49</v>
      </c>
    </row>
    <row r="526" spans="1:21">
      <c r="A526" s="46" t="s">
        <v>786</v>
      </c>
      <c r="B526" s="46" t="s">
        <v>219</v>
      </c>
      <c r="C526" s="46" t="s">
        <v>666</v>
      </c>
      <c r="D526" s="46">
        <v>1</v>
      </c>
      <c r="E526" s="46">
        <v>0</v>
      </c>
      <c r="F526" s="46" t="s">
        <v>773</v>
      </c>
      <c r="G526" s="46" t="s">
        <v>1305</v>
      </c>
      <c r="H526" s="46" t="s">
        <v>2374</v>
      </c>
      <c r="I526" s="46" t="str">
        <f ca="1">IFERROR(__xludf.DUMMYFUNCTION("CONCAT(A526,REGEXREPLACE(H526,"".*_L0"",""_L0""))"),"PD_BN1865_MTG_snRNAseq_rep1_L004_I1_001.fastq.gz")</f>
        <v>PD_BN1865_MTG_snRNAseq_rep1_L004_I1_001.fastq.gz</v>
      </c>
      <c r="J526" s="46" t="str">
        <f t="shared" si="2"/>
        <v>/data/neurogen/ASAP/scRNAseq/data/batch9_ASAP_snRNA-seq_*/Raw_Data_and_Processing/cellranger_processing/cellranger_fastqs/outs/fastq_path/H*/BN1865_S2_L004_I1_001.fastq.gz</v>
      </c>
      <c r="K526" s="46" t="s">
        <v>1347</v>
      </c>
      <c r="L526" s="46" t="s">
        <v>2375</v>
      </c>
      <c r="M526" s="46" t="s">
        <v>1309</v>
      </c>
      <c r="N526" s="46" t="s">
        <v>1310</v>
      </c>
      <c r="O526" s="46" t="s">
        <v>1311</v>
      </c>
      <c r="P526" s="46" t="s">
        <v>1312</v>
      </c>
      <c r="Q526" s="46" t="s">
        <v>31</v>
      </c>
      <c r="R526" s="46" t="s">
        <v>31</v>
      </c>
      <c r="S526" s="46" t="s">
        <v>31</v>
      </c>
      <c r="T526" s="46" t="s">
        <v>31</v>
      </c>
      <c r="U526" s="46" t="s">
        <v>49</v>
      </c>
    </row>
    <row r="527" spans="1:21">
      <c r="A527" s="46" t="s">
        <v>786</v>
      </c>
      <c r="B527" s="46" t="s">
        <v>219</v>
      </c>
      <c r="C527" s="46" t="s">
        <v>666</v>
      </c>
      <c r="D527" s="46">
        <v>1</v>
      </c>
      <c r="E527" s="46">
        <v>0</v>
      </c>
      <c r="F527" s="46" t="s">
        <v>773</v>
      </c>
      <c r="G527" s="46" t="s">
        <v>1305</v>
      </c>
      <c r="H527" s="46" t="s">
        <v>2376</v>
      </c>
      <c r="I527" s="46" t="str">
        <f ca="1">IFERROR(__xludf.DUMMYFUNCTION("CONCAT(A527,REGEXREPLACE(H527,"".*_L0"",""_L0""))"),"PD_BN1865_MTG_snRNAseq_rep1_L004_I2_001.fastq.gz")</f>
        <v>PD_BN1865_MTG_snRNAseq_rep1_L004_I2_001.fastq.gz</v>
      </c>
      <c r="J527" s="46" t="str">
        <f t="shared" si="2"/>
        <v>/data/neurogen/ASAP/scRNAseq/data/batch9_ASAP_snRNA-seq_*/Raw_Data_and_Processing/cellranger_processing/cellranger_fastqs/outs/fastq_path/H*/BN1865_S2_L004_I2_001.fastq.gz</v>
      </c>
      <c r="K527" s="46" t="s">
        <v>1350</v>
      </c>
      <c r="L527" s="46" t="s">
        <v>2377</v>
      </c>
      <c r="M527" s="46" t="s">
        <v>1309</v>
      </c>
      <c r="N527" s="46" t="s">
        <v>1310</v>
      </c>
      <c r="O527" s="46" t="s">
        <v>1311</v>
      </c>
      <c r="P527" s="46" t="s">
        <v>1312</v>
      </c>
      <c r="Q527" s="46" t="s">
        <v>31</v>
      </c>
      <c r="R527" s="46" t="s">
        <v>31</v>
      </c>
      <c r="S527" s="46" t="s">
        <v>31</v>
      </c>
      <c r="T527" s="46" t="s">
        <v>31</v>
      </c>
      <c r="U527" s="46" t="s">
        <v>49</v>
      </c>
    </row>
    <row r="528" spans="1:21">
      <c r="A528" s="46" t="s">
        <v>786</v>
      </c>
      <c r="B528" s="46" t="s">
        <v>219</v>
      </c>
      <c r="C528" s="46" t="s">
        <v>666</v>
      </c>
      <c r="D528" s="46">
        <v>1</v>
      </c>
      <c r="E528" s="46">
        <v>0</v>
      </c>
      <c r="F528" s="46" t="s">
        <v>773</v>
      </c>
      <c r="G528" s="46" t="s">
        <v>1305</v>
      </c>
      <c r="H528" s="46" t="s">
        <v>2378</v>
      </c>
      <c r="I528" s="46" t="str">
        <f ca="1">IFERROR(__xludf.DUMMYFUNCTION("CONCAT(A528,REGEXREPLACE(H528,"".*_L0"",""_L0""))"),"PD_BN1865_MTG_snRNAseq_rep1_L004_R1_001.fastq.gz")</f>
        <v>PD_BN1865_MTG_snRNAseq_rep1_L004_R1_001.fastq.gz</v>
      </c>
      <c r="J528" s="46" t="str">
        <f t="shared" si="2"/>
        <v>/data/neurogen/ASAP/scRNAseq/data/batch9_ASAP_snRNA-seq_*/Raw_Data_and_Processing/cellranger_processing/cellranger_fastqs/outs/fastq_path/H*/BN1865_S2_L004_R1_001.fastq.gz</v>
      </c>
      <c r="K528" s="46" t="s">
        <v>1353</v>
      </c>
      <c r="L528" s="46" t="s">
        <v>2379</v>
      </c>
      <c r="M528" s="46" t="s">
        <v>1309</v>
      </c>
      <c r="N528" s="46" t="s">
        <v>1310</v>
      </c>
      <c r="O528" s="46" t="s">
        <v>1311</v>
      </c>
      <c r="P528" s="46" t="s">
        <v>1312</v>
      </c>
      <c r="Q528" s="46" t="s">
        <v>31</v>
      </c>
      <c r="R528" s="46" t="s">
        <v>31</v>
      </c>
      <c r="S528" s="46" t="s">
        <v>31</v>
      </c>
      <c r="T528" s="46" t="s">
        <v>31</v>
      </c>
      <c r="U528" s="46" t="s">
        <v>49</v>
      </c>
    </row>
    <row r="529" spans="1:21">
      <c r="A529" s="46" t="s">
        <v>786</v>
      </c>
      <c r="B529" s="46" t="s">
        <v>219</v>
      </c>
      <c r="C529" s="46" t="s">
        <v>666</v>
      </c>
      <c r="D529" s="46">
        <v>1</v>
      </c>
      <c r="E529" s="46">
        <v>0</v>
      </c>
      <c r="F529" s="46" t="s">
        <v>773</v>
      </c>
      <c r="G529" s="46" t="s">
        <v>1305</v>
      </c>
      <c r="H529" s="46" t="s">
        <v>2380</v>
      </c>
      <c r="I529" s="46" t="str">
        <f ca="1">IFERROR(__xludf.DUMMYFUNCTION("CONCAT(A529,REGEXREPLACE(H529,"".*_L0"",""_L0""))"),"PD_BN1865_MTG_snRNAseq_rep1_L004_R2_001.fastq.gz")</f>
        <v>PD_BN1865_MTG_snRNAseq_rep1_L004_R2_001.fastq.gz</v>
      </c>
      <c r="J529" s="46" t="str">
        <f t="shared" si="2"/>
        <v>/data/neurogen/ASAP/scRNAseq/data/batch9_ASAP_snRNA-seq_*/Raw_Data_and_Processing/cellranger_processing/cellranger_fastqs/outs/fastq_path/H*/BN1865_S2_L004_R2_001.fastq.gz</v>
      </c>
      <c r="K529" s="46" t="s">
        <v>1356</v>
      </c>
      <c r="L529" s="46" t="s">
        <v>2381</v>
      </c>
      <c r="M529" s="46" t="s">
        <v>1309</v>
      </c>
      <c r="N529" s="46" t="s">
        <v>1310</v>
      </c>
      <c r="O529" s="46" t="s">
        <v>1311</v>
      </c>
      <c r="P529" s="46" t="s">
        <v>1312</v>
      </c>
      <c r="Q529" s="46" t="s">
        <v>31</v>
      </c>
      <c r="R529" s="46" t="s">
        <v>31</v>
      </c>
      <c r="S529" s="46" t="s">
        <v>31</v>
      </c>
      <c r="T529" s="46" t="s">
        <v>31</v>
      </c>
      <c r="U529" s="46" t="s">
        <v>49</v>
      </c>
    </row>
    <row r="530" spans="1:21">
      <c r="A530" s="46" t="s">
        <v>791</v>
      </c>
      <c r="B530" s="46" t="s">
        <v>227</v>
      </c>
      <c r="C530" s="46" t="s">
        <v>666</v>
      </c>
      <c r="D530" s="46">
        <v>1</v>
      </c>
      <c r="E530" s="46">
        <v>0</v>
      </c>
      <c r="F530" s="46" t="s">
        <v>773</v>
      </c>
      <c r="G530" s="46" t="s">
        <v>1305</v>
      </c>
      <c r="H530" s="46" t="s">
        <v>2382</v>
      </c>
      <c r="I530" s="46" t="str">
        <f ca="1">IFERROR(__xludf.DUMMYFUNCTION("CONCAT(A530,REGEXREPLACE(H530,"".*_L0"",""_L0""))"),"ILB_BN1910_MTG_snRNAseq_rep1_L001_I1_001.fastq.gz")</f>
        <v>ILB_BN1910_MTG_snRNAseq_rep1_L001_I1_001.fastq.gz</v>
      </c>
      <c r="J530" s="46" t="str">
        <f t="shared" si="2"/>
        <v>/data/neurogen/ASAP/scRNAseq/data/batch9_ASAP_snRNA-seq_*/Raw_Data_and_Processing/cellranger_processing/cellranger_fastqs/outs/fastq_path/H*/BN1910_S4_L001_I1_001.fastq.gz</v>
      </c>
      <c r="K530" s="46" t="s">
        <v>1307</v>
      </c>
      <c r="L530" s="46" t="s">
        <v>2383</v>
      </c>
      <c r="M530" s="46" t="s">
        <v>1309</v>
      </c>
      <c r="N530" s="46" t="s">
        <v>1310</v>
      </c>
      <c r="O530" s="46" t="s">
        <v>1311</v>
      </c>
      <c r="P530" s="46" t="s">
        <v>1312</v>
      </c>
      <c r="Q530" s="46" t="s">
        <v>31</v>
      </c>
      <c r="R530" s="46" t="s">
        <v>31</v>
      </c>
      <c r="S530" s="46" t="s">
        <v>31</v>
      </c>
      <c r="T530" s="46" t="s">
        <v>31</v>
      </c>
      <c r="U530" s="46" t="s">
        <v>49</v>
      </c>
    </row>
    <row r="531" spans="1:21">
      <c r="A531" s="46" t="s">
        <v>791</v>
      </c>
      <c r="B531" s="46" t="s">
        <v>227</v>
      </c>
      <c r="C531" s="46" t="s">
        <v>666</v>
      </c>
      <c r="D531" s="46">
        <v>1</v>
      </c>
      <c r="E531" s="46">
        <v>0</v>
      </c>
      <c r="F531" s="46" t="s">
        <v>773</v>
      </c>
      <c r="G531" s="46" t="s">
        <v>1305</v>
      </c>
      <c r="H531" s="46" t="s">
        <v>2384</v>
      </c>
      <c r="I531" s="46" t="str">
        <f ca="1">IFERROR(__xludf.DUMMYFUNCTION("CONCAT(A531,REGEXREPLACE(H531,"".*_L0"",""_L0""))"),"ILB_BN1910_MTG_snRNAseq_rep1_L001_I2_001.fastq.gz")</f>
        <v>ILB_BN1910_MTG_snRNAseq_rep1_L001_I2_001.fastq.gz</v>
      </c>
      <c r="J531" s="46" t="str">
        <f t="shared" si="2"/>
        <v>/data/neurogen/ASAP/scRNAseq/data/batch9_ASAP_snRNA-seq_*/Raw_Data_and_Processing/cellranger_processing/cellranger_fastqs/outs/fastq_path/H*/BN1910_S4_L001_I2_001.fastq.gz</v>
      </c>
      <c r="K531" s="46" t="s">
        <v>1314</v>
      </c>
      <c r="L531" s="46" t="s">
        <v>2385</v>
      </c>
      <c r="M531" s="46" t="s">
        <v>1309</v>
      </c>
      <c r="N531" s="46" t="s">
        <v>1310</v>
      </c>
      <c r="O531" s="46" t="s">
        <v>1311</v>
      </c>
      <c r="P531" s="46" t="s">
        <v>1312</v>
      </c>
      <c r="Q531" s="46" t="s">
        <v>31</v>
      </c>
      <c r="R531" s="46" t="s">
        <v>31</v>
      </c>
      <c r="S531" s="46" t="s">
        <v>31</v>
      </c>
      <c r="T531" s="46" t="s">
        <v>31</v>
      </c>
      <c r="U531" s="46" t="s">
        <v>49</v>
      </c>
    </row>
    <row r="532" spans="1:21">
      <c r="A532" s="46" t="s">
        <v>791</v>
      </c>
      <c r="B532" s="46" t="s">
        <v>227</v>
      </c>
      <c r="C532" s="46" t="s">
        <v>666</v>
      </c>
      <c r="D532" s="46">
        <v>1</v>
      </c>
      <c r="E532" s="46">
        <v>0</v>
      </c>
      <c r="F532" s="46" t="s">
        <v>773</v>
      </c>
      <c r="G532" s="46" t="s">
        <v>1305</v>
      </c>
      <c r="H532" s="46" t="s">
        <v>2386</v>
      </c>
      <c r="I532" s="46" t="str">
        <f ca="1">IFERROR(__xludf.DUMMYFUNCTION("CONCAT(A532,REGEXREPLACE(H532,"".*_L0"",""_L0""))"),"ILB_BN1910_MTG_snRNAseq_rep1_L001_R1_001.fastq.gz")</f>
        <v>ILB_BN1910_MTG_snRNAseq_rep1_L001_R1_001.fastq.gz</v>
      </c>
      <c r="J532" s="46" t="str">
        <f t="shared" si="2"/>
        <v>/data/neurogen/ASAP/scRNAseq/data/batch9_ASAP_snRNA-seq_*/Raw_Data_and_Processing/cellranger_processing/cellranger_fastqs/outs/fastq_path/H*/BN1910_S4_L001_R1_001.fastq.gz</v>
      </c>
      <c r="K532" s="46" t="s">
        <v>1317</v>
      </c>
      <c r="L532" s="46" t="s">
        <v>2387</v>
      </c>
      <c r="M532" s="46" t="s">
        <v>1309</v>
      </c>
      <c r="N532" s="46" t="s">
        <v>1310</v>
      </c>
      <c r="O532" s="46" t="s">
        <v>1311</v>
      </c>
      <c r="P532" s="46" t="s">
        <v>1312</v>
      </c>
      <c r="Q532" s="46" t="s">
        <v>31</v>
      </c>
      <c r="R532" s="46" t="s">
        <v>31</v>
      </c>
      <c r="S532" s="46" t="s">
        <v>31</v>
      </c>
      <c r="T532" s="46" t="s">
        <v>31</v>
      </c>
      <c r="U532" s="46" t="s">
        <v>49</v>
      </c>
    </row>
    <row r="533" spans="1:21">
      <c r="A533" s="46" t="s">
        <v>791</v>
      </c>
      <c r="B533" s="46" t="s">
        <v>227</v>
      </c>
      <c r="C533" s="46" t="s">
        <v>666</v>
      </c>
      <c r="D533" s="46">
        <v>1</v>
      </c>
      <c r="E533" s="46">
        <v>0</v>
      </c>
      <c r="F533" s="46" t="s">
        <v>773</v>
      </c>
      <c r="G533" s="46" t="s">
        <v>1305</v>
      </c>
      <c r="H533" s="46" t="s">
        <v>2388</v>
      </c>
      <c r="I533" s="46" t="str">
        <f ca="1">IFERROR(__xludf.DUMMYFUNCTION("CONCAT(A533,REGEXREPLACE(H533,"".*_L0"",""_L0""))"),"ILB_BN1910_MTG_snRNAseq_rep1_L001_R2_001.fastq.gz")</f>
        <v>ILB_BN1910_MTG_snRNAseq_rep1_L001_R2_001.fastq.gz</v>
      </c>
      <c r="J533" s="46" t="str">
        <f t="shared" si="2"/>
        <v>/data/neurogen/ASAP/scRNAseq/data/batch9_ASAP_snRNA-seq_*/Raw_Data_and_Processing/cellranger_processing/cellranger_fastqs/outs/fastq_path/H*/BN1910_S4_L001_R2_001.fastq.gz</v>
      </c>
      <c r="K533" s="46" t="s">
        <v>1320</v>
      </c>
      <c r="L533" s="46" t="s">
        <v>2389</v>
      </c>
      <c r="M533" s="46" t="s">
        <v>1309</v>
      </c>
      <c r="N533" s="46" t="s">
        <v>1310</v>
      </c>
      <c r="O533" s="46" t="s">
        <v>1311</v>
      </c>
      <c r="P533" s="46" t="s">
        <v>1312</v>
      </c>
      <c r="Q533" s="46" t="s">
        <v>31</v>
      </c>
      <c r="R533" s="46" t="s">
        <v>31</v>
      </c>
      <c r="S533" s="46" t="s">
        <v>31</v>
      </c>
      <c r="T533" s="46" t="s">
        <v>31</v>
      </c>
      <c r="U533" s="46" t="s">
        <v>49</v>
      </c>
    </row>
    <row r="534" spans="1:21">
      <c r="A534" s="46" t="s">
        <v>791</v>
      </c>
      <c r="B534" s="46" t="s">
        <v>227</v>
      </c>
      <c r="C534" s="46" t="s">
        <v>666</v>
      </c>
      <c r="D534" s="46">
        <v>1</v>
      </c>
      <c r="E534" s="46">
        <v>0</v>
      </c>
      <c r="F534" s="46" t="s">
        <v>773</v>
      </c>
      <c r="G534" s="46" t="s">
        <v>1305</v>
      </c>
      <c r="H534" s="46" t="s">
        <v>2390</v>
      </c>
      <c r="I534" s="46" t="str">
        <f ca="1">IFERROR(__xludf.DUMMYFUNCTION("CONCAT(A534,REGEXREPLACE(H534,"".*_L0"",""_L0""))"),"ILB_BN1910_MTG_snRNAseq_rep1_L002_I1_001.fastq.gz")</f>
        <v>ILB_BN1910_MTG_snRNAseq_rep1_L002_I1_001.fastq.gz</v>
      </c>
      <c r="J534" s="46" t="str">
        <f t="shared" si="2"/>
        <v>/data/neurogen/ASAP/scRNAseq/data/batch9_ASAP_snRNA-seq_*/Raw_Data_and_Processing/cellranger_processing/cellranger_fastqs/outs/fastq_path/H*/BN1910_S4_L002_I1_001.fastq.gz</v>
      </c>
      <c r="K534" s="46" t="s">
        <v>1323</v>
      </c>
      <c r="L534" s="46" t="s">
        <v>2391</v>
      </c>
      <c r="M534" s="46" t="s">
        <v>1309</v>
      </c>
      <c r="N534" s="46" t="s">
        <v>1310</v>
      </c>
      <c r="O534" s="46" t="s">
        <v>1311</v>
      </c>
      <c r="P534" s="46" t="s">
        <v>1312</v>
      </c>
      <c r="Q534" s="46" t="s">
        <v>31</v>
      </c>
      <c r="R534" s="46" t="s">
        <v>31</v>
      </c>
      <c r="S534" s="46" t="s">
        <v>31</v>
      </c>
      <c r="T534" s="46" t="s">
        <v>31</v>
      </c>
      <c r="U534" s="46" t="s">
        <v>49</v>
      </c>
    </row>
    <row r="535" spans="1:21">
      <c r="A535" s="46" t="s">
        <v>791</v>
      </c>
      <c r="B535" s="46" t="s">
        <v>227</v>
      </c>
      <c r="C535" s="46" t="s">
        <v>666</v>
      </c>
      <c r="D535" s="46">
        <v>1</v>
      </c>
      <c r="E535" s="46">
        <v>0</v>
      </c>
      <c r="F535" s="46" t="s">
        <v>773</v>
      </c>
      <c r="G535" s="46" t="s">
        <v>1305</v>
      </c>
      <c r="H535" s="46" t="s">
        <v>2392</v>
      </c>
      <c r="I535" s="46" t="str">
        <f ca="1">IFERROR(__xludf.DUMMYFUNCTION("CONCAT(A535,REGEXREPLACE(H535,"".*_L0"",""_L0""))"),"ILB_BN1910_MTG_snRNAseq_rep1_L002_I2_001.fastq.gz")</f>
        <v>ILB_BN1910_MTG_snRNAseq_rep1_L002_I2_001.fastq.gz</v>
      </c>
      <c r="J535" s="46" t="str">
        <f t="shared" si="2"/>
        <v>/data/neurogen/ASAP/scRNAseq/data/batch9_ASAP_snRNA-seq_*/Raw_Data_and_Processing/cellranger_processing/cellranger_fastqs/outs/fastq_path/H*/BN1910_S4_L002_I2_001.fastq.gz</v>
      </c>
      <c r="K535" s="46" t="s">
        <v>1326</v>
      </c>
      <c r="L535" s="46" t="s">
        <v>2393</v>
      </c>
      <c r="M535" s="46" t="s">
        <v>1309</v>
      </c>
      <c r="N535" s="46" t="s">
        <v>1310</v>
      </c>
      <c r="O535" s="46" t="s">
        <v>1311</v>
      </c>
      <c r="P535" s="46" t="s">
        <v>1312</v>
      </c>
      <c r="Q535" s="46" t="s">
        <v>31</v>
      </c>
      <c r="R535" s="46" t="s">
        <v>31</v>
      </c>
      <c r="S535" s="46" t="s">
        <v>31</v>
      </c>
      <c r="T535" s="46" t="s">
        <v>31</v>
      </c>
      <c r="U535" s="46" t="s">
        <v>49</v>
      </c>
    </row>
    <row r="536" spans="1:21">
      <c r="A536" s="46" t="s">
        <v>791</v>
      </c>
      <c r="B536" s="46" t="s">
        <v>227</v>
      </c>
      <c r="C536" s="46" t="s">
        <v>666</v>
      </c>
      <c r="D536" s="46">
        <v>1</v>
      </c>
      <c r="E536" s="46">
        <v>0</v>
      </c>
      <c r="F536" s="46" t="s">
        <v>773</v>
      </c>
      <c r="G536" s="46" t="s">
        <v>1305</v>
      </c>
      <c r="H536" s="46" t="s">
        <v>2394</v>
      </c>
      <c r="I536" s="46" t="str">
        <f ca="1">IFERROR(__xludf.DUMMYFUNCTION("CONCAT(A536,REGEXREPLACE(H536,"".*_L0"",""_L0""))"),"ILB_BN1910_MTG_snRNAseq_rep1_L002_R1_001.fastq.gz")</f>
        <v>ILB_BN1910_MTG_snRNAseq_rep1_L002_R1_001.fastq.gz</v>
      </c>
      <c r="J536" s="46" t="str">
        <f t="shared" si="2"/>
        <v>/data/neurogen/ASAP/scRNAseq/data/batch9_ASAP_snRNA-seq_*/Raw_Data_and_Processing/cellranger_processing/cellranger_fastqs/outs/fastq_path/H*/BN1910_S4_L002_R1_001.fastq.gz</v>
      </c>
      <c r="K536" s="46" t="s">
        <v>1329</v>
      </c>
      <c r="L536" s="46" t="s">
        <v>2395</v>
      </c>
      <c r="M536" s="46" t="s">
        <v>1309</v>
      </c>
      <c r="N536" s="46" t="s">
        <v>1310</v>
      </c>
      <c r="O536" s="46" t="s">
        <v>1311</v>
      </c>
      <c r="P536" s="46" t="s">
        <v>1312</v>
      </c>
      <c r="Q536" s="46" t="s">
        <v>31</v>
      </c>
      <c r="R536" s="46" t="s">
        <v>31</v>
      </c>
      <c r="S536" s="46" t="s">
        <v>31</v>
      </c>
      <c r="T536" s="46" t="s">
        <v>31</v>
      </c>
      <c r="U536" s="46" t="s">
        <v>49</v>
      </c>
    </row>
    <row r="537" spans="1:21">
      <c r="A537" s="46" t="s">
        <v>791</v>
      </c>
      <c r="B537" s="46" t="s">
        <v>227</v>
      </c>
      <c r="C537" s="46" t="s">
        <v>666</v>
      </c>
      <c r="D537" s="46">
        <v>1</v>
      </c>
      <c r="E537" s="46">
        <v>0</v>
      </c>
      <c r="F537" s="46" t="s">
        <v>773</v>
      </c>
      <c r="G537" s="46" t="s">
        <v>1305</v>
      </c>
      <c r="H537" s="46" t="s">
        <v>2396</v>
      </c>
      <c r="I537" s="46" t="str">
        <f ca="1">IFERROR(__xludf.DUMMYFUNCTION("CONCAT(A537,REGEXREPLACE(H537,"".*_L0"",""_L0""))"),"ILB_BN1910_MTG_snRNAseq_rep1_L002_R2_001.fastq.gz")</f>
        <v>ILB_BN1910_MTG_snRNAseq_rep1_L002_R2_001.fastq.gz</v>
      </c>
      <c r="J537" s="46" t="str">
        <f t="shared" si="2"/>
        <v>/data/neurogen/ASAP/scRNAseq/data/batch9_ASAP_snRNA-seq_*/Raw_Data_and_Processing/cellranger_processing/cellranger_fastqs/outs/fastq_path/H*/BN1910_S4_L002_R2_001.fastq.gz</v>
      </c>
      <c r="K537" s="46" t="s">
        <v>1332</v>
      </c>
      <c r="L537" s="46" t="s">
        <v>2397</v>
      </c>
      <c r="M537" s="46" t="s">
        <v>1309</v>
      </c>
      <c r="N537" s="46" t="s">
        <v>1310</v>
      </c>
      <c r="O537" s="46" t="s">
        <v>1311</v>
      </c>
      <c r="P537" s="46" t="s">
        <v>1312</v>
      </c>
      <c r="Q537" s="46" t="s">
        <v>31</v>
      </c>
      <c r="R537" s="46" t="s">
        <v>31</v>
      </c>
      <c r="S537" s="46" t="s">
        <v>31</v>
      </c>
      <c r="T537" s="46" t="s">
        <v>31</v>
      </c>
      <c r="U537" s="46" t="s">
        <v>49</v>
      </c>
    </row>
    <row r="538" spans="1:21">
      <c r="A538" s="46" t="s">
        <v>791</v>
      </c>
      <c r="B538" s="46" t="s">
        <v>227</v>
      </c>
      <c r="C538" s="46" t="s">
        <v>666</v>
      </c>
      <c r="D538" s="46">
        <v>1</v>
      </c>
      <c r="E538" s="46">
        <v>0</v>
      </c>
      <c r="F538" s="46" t="s">
        <v>773</v>
      </c>
      <c r="G538" s="46" t="s">
        <v>1305</v>
      </c>
      <c r="H538" s="46" t="s">
        <v>2398</v>
      </c>
      <c r="I538" s="46" t="str">
        <f ca="1">IFERROR(__xludf.DUMMYFUNCTION("CONCAT(A538,REGEXREPLACE(H538,"".*_L0"",""_L0""))"),"ILB_BN1910_MTG_snRNAseq_rep1_L003_I1_001.fastq.gz")</f>
        <v>ILB_BN1910_MTG_snRNAseq_rep1_L003_I1_001.fastq.gz</v>
      </c>
      <c r="J538" s="46" t="str">
        <f t="shared" si="2"/>
        <v>/data/neurogen/ASAP/scRNAseq/data/batch9_ASAP_snRNA-seq_*/Raw_Data_and_Processing/cellranger_processing/cellranger_fastqs/outs/fastq_path/H*/BN1910_S4_L003_I1_001.fastq.gz</v>
      </c>
      <c r="K538" s="46" t="s">
        <v>1335</v>
      </c>
      <c r="L538" s="46" t="s">
        <v>2399</v>
      </c>
      <c r="M538" s="46" t="s">
        <v>1309</v>
      </c>
      <c r="N538" s="46" t="s">
        <v>1310</v>
      </c>
      <c r="O538" s="46" t="s">
        <v>1311</v>
      </c>
      <c r="P538" s="46" t="s">
        <v>1312</v>
      </c>
      <c r="Q538" s="46" t="s">
        <v>31</v>
      </c>
      <c r="R538" s="46" t="s">
        <v>31</v>
      </c>
      <c r="S538" s="46" t="s">
        <v>31</v>
      </c>
      <c r="T538" s="46" t="s">
        <v>31</v>
      </c>
      <c r="U538" s="46" t="s">
        <v>49</v>
      </c>
    </row>
    <row r="539" spans="1:21">
      <c r="A539" s="46" t="s">
        <v>791</v>
      </c>
      <c r="B539" s="46" t="s">
        <v>227</v>
      </c>
      <c r="C539" s="46" t="s">
        <v>666</v>
      </c>
      <c r="D539" s="46">
        <v>1</v>
      </c>
      <c r="E539" s="46">
        <v>0</v>
      </c>
      <c r="F539" s="46" t="s">
        <v>773</v>
      </c>
      <c r="G539" s="46" t="s">
        <v>1305</v>
      </c>
      <c r="H539" s="46" t="s">
        <v>2400</v>
      </c>
      <c r="I539" s="46" t="str">
        <f ca="1">IFERROR(__xludf.DUMMYFUNCTION("CONCAT(A539,REGEXREPLACE(H539,"".*_L0"",""_L0""))"),"ILB_BN1910_MTG_snRNAseq_rep1_L003_I2_001.fastq.gz")</f>
        <v>ILB_BN1910_MTG_snRNAseq_rep1_L003_I2_001.fastq.gz</v>
      </c>
      <c r="J539" s="46" t="str">
        <f t="shared" si="2"/>
        <v>/data/neurogen/ASAP/scRNAseq/data/batch9_ASAP_snRNA-seq_*/Raw_Data_and_Processing/cellranger_processing/cellranger_fastqs/outs/fastq_path/H*/BN1910_S4_L003_I2_001.fastq.gz</v>
      </c>
      <c r="K539" s="46" t="s">
        <v>1338</v>
      </c>
      <c r="L539" s="46" t="s">
        <v>2401</v>
      </c>
      <c r="M539" s="46" t="s">
        <v>1309</v>
      </c>
      <c r="N539" s="46" t="s">
        <v>1310</v>
      </c>
      <c r="O539" s="46" t="s">
        <v>1311</v>
      </c>
      <c r="P539" s="46" t="s">
        <v>1312</v>
      </c>
      <c r="Q539" s="46" t="s">
        <v>31</v>
      </c>
      <c r="R539" s="46" t="s">
        <v>31</v>
      </c>
      <c r="S539" s="46" t="s">
        <v>31</v>
      </c>
      <c r="T539" s="46" t="s">
        <v>31</v>
      </c>
      <c r="U539" s="46" t="s">
        <v>49</v>
      </c>
    </row>
    <row r="540" spans="1:21">
      <c r="A540" s="46" t="s">
        <v>791</v>
      </c>
      <c r="B540" s="46" t="s">
        <v>227</v>
      </c>
      <c r="C540" s="46" t="s">
        <v>666</v>
      </c>
      <c r="D540" s="46">
        <v>1</v>
      </c>
      <c r="E540" s="46">
        <v>0</v>
      </c>
      <c r="F540" s="46" t="s">
        <v>773</v>
      </c>
      <c r="G540" s="46" t="s">
        <v>1305</v>
      </c>
      <c r="H540" s="46" t="s">
        <v>2402</v>
      </c>
      <c r="I540" s="46" t="str">
        <f ca="1">IFERROR(__xludf.DUMMYFUNCTION("CONCAT(A540,REGEXREPLACE(H540,"".*_L0"",""_L0""))"),"ILB_BN1910_MTG_snRNAseq_rep1_L003_R1_001.fastq.gz")</f>
        <v>ILB_BN1910_MTG_snRNAseq_rep1_L003_R1_001.fastq.gz</v>
      </c>
      <c r="J540" s="46" t="str">
        <f t="shared" si="2"/>
        <v>/data/neurogen/ASAP/scRNAseq/data/batch9_ASAP_snRNA-seq_*/Raw_Data_and_Processing/cellranger_processing/cellranger_fastqs/outs/fastq_path/H*/BN1910_S4_L003_R1_001.fastq.gz</v>
      </c>
      <c r="K540" s="46" t="s">
        <v>1341</v>
      </c>
      <c r="L540" s="46" t="s">
        <v>2403</v>
      </c>
      <c r="M540" s="46" t="s">
        <v>1309</v>
      </c>
      <c r="N540" s="46" t="s">
        <v>1310</v>
      </c>
      <c r="O540" s="46" t="s">
        <v>1311</v>
      </c>
      <c r="P540" s="46" t="s">
        <v>1312</v>
      </c>
      <c r="Q540" s="46" t="s">
        <v>31</v>
      </c>
      <c r="R540" s="46" t="s">
        <v>31</v>
      </c>
      <c r="S540" s="46" t="s">
        <v>31</v>
      </c>
      <c r="T540" s="46" t="s">
        <v>31</v>
      </c>
      <c r="U540" s="46" t="s">
        <v>49</v>
      </c>
    </row>
    <row r="541" spans="1:21">
      <c r="A541" s="46" t="s">
        <v>791</v>
      </c>
      <c r="B541" s="46" t="s">
        <v>227</v>
      </c>
      <c r="C541" s="46" t="s">
        <v>666</v>
      </c>
      <c r="D541" s="46">
        <v>1</v>
      </c>
      <c r="E541" s="46">
        <v>0</v>
      </c>
      <c r="F541" s="46" t="s">
        <v>773</v>
      </c>
      <c r="G541" s="46" t="s">
        <v>1305</v>
      </c>
      <c r="H541" s="46" t="s">
        <v>2404</v>
      </c>
      <c r="I541" s="46" t="str">
        <f ca="1">IFERROR(__xludf.DUMMYFUNCTION("CONCAT(A541,REGEXREPLACE(H541,"".*_L0"",""_L0""))"),"ILB_BN1910_MTG_snRNAseq_rep1_L003_R2_001.fastq.gz")</f>
        <v>ILB_BN1910_MTG_snRNAseq_rep1_L003_R2_001.fastq.gz</v>
      </c>
      <c r="J541" s="46" t="str">
        <f t="shared" si="2"/>
        <v>/data/neurogen/ASAP/scRNAseq/data/batch9_ASAP_snRNA-seq_*/Raw_Data_and_Processing/cellranger_processing/cellranger_fastqs/outs/fastq_path/H*/BN1910_S4_L003_R2_001.fastq.gz</v>
      </c>
      <c r="K541" s="46" t="s">
        <v>1344</v>
      </c>
      <c r="L541" s="46" t="s">
        <v>2405</v>
      </c>
      <c r="M541" s="46" t="s">
        <v>1309</v>
      </c>
      <c r="N541" s="46" t="s">
        <v>1310</v>
      </c>
      <c r="O541" s="46" t="s">
        <v>1311</v>
      </c>
      <c r="P541" s="46" t="s">
        <v>1312</v>
      </c>
      <c r="Q541" s="46" t="s">
        <v>31</v>
      </c>
      <c r="R541" s="46" t="s">
        <v>31</v>
      </c>
      <c r="S541" s="46" t="s">
        <v>31</v>
      </c>
      <c r="T541" s="46" t="s">
        <v>31</v>
      </c>
      <c r="U541" s="46" t="s">
        <v>49</v>
      </c>
    </row>
    <row r="542" spans="1:21">
      <c r="A542" s="46" t="s">
        <v>791</v>
      </c>
      <c r="B542" s="46" t="s">
        <v>227</v>
      </c>
      <c r="C542" s="46" t="s">
        <v>666</v>
      </c>
      <c r="D542" s="46">
        <v>1</v>
      </c>
      <c r="E542" s="46">
        <v>0</v>
      </c>
      <c r="F542" s="46" t="s">
        <v>773</v>
      </c>
      <c r="G542" s="46" t="s">
        <v>1305</v>
      </c>
      <c r="H542" s="46" t="s">
        <v>2406</v>
      </c>
      <c r="I542" s="46" t="str">
        <f ca="1">IFERROR(__xludf.DUMMYFUNCTION("CONCAT(A542,REGEXREPLACE(H542,"".*_L0"",""_L0""))"),"ILB_BN1910_MTG_snRNAseq_rep1_L004_I1_001.fastq.gz")</f>
        <v>ILB_BN1910_MTG_snRNAseq_rep1_L004_I1_001.fastq.gz</v>
      </c>
      <c r="J542" s="46" t="str">
        <f t="shared" si="2"/>
        <v>/data/neurogen/ASAP/scRNAseq/data/batch9_ASAP_snRNA-seq_*/Raw_Data_and_Processing/cellranger_processing/cellranger_fastqs/outs/fastq_path/H*/BN1910_S4_L004_I1_001.fastq.gz</v>
      </c>
      <c r="K542" s="46" t="s">
        <v>1347</v>
      </c>
      <c r="L542" s="46" t="s">
        <v>2407</v>
      </c>
      <c r="M542" s="46" t="s">
        <v>1309</v>
      </c>
      <c r="N542" s="46" t="s">
        <v>1310</v>
      </c>
      <c r="O542" s="46" t="s">
        <v>1311</v>
      </c>
      <c r="P542" s="46" t="s">
        <v>1312</v>
      </c>
      <c r="Q542" s="46" t="s">
        <v>31</v>
      </c>
      <c r="R542" s="46" t="s">
        <v>31</v>
      </c>
      <c r="S542" s="46" t="s">
        <v>31</v>
      </c>
      <c r="T542" s="46" t="s">
        <v>31</v>
      </c>
      <c r="U542" s="46" t="s">
        <v>49</v>
      </c>
    </row>
    <row r="543" spans="1:21">
      <c r="A543" s="46" t="s">
        <v>791</v>
      </c>
      <c r="B543" s="46" t="s">
        <v>227</v>
      </c>
      <c r="C543" s="46" t="s">
        <v>666</v>
      </c>
      <c r="D543" s="46">
        <v>1</v>
      </c>
      <c r="E543" s="46">
        <v>0</v>
      </c>
      <c r="F543" s="46" t="s">
        <v>773</v>
      </c>
      <c r="G543" s="46" t="s">
        <v>1305</v>
      </c>
      <c r="H543" s="46" t="s">
        <v>2408</v>
      </c>
      <c r="I543" s="46" t="str">
        <f ca="1">IFERROR(__xludf.DUMMYFUNCTION("CONCAT(A543,REGEXREPLACE(H543,"".*_L0"",""_L0""))"),"ILB_BN1910_MTG_snRNAseq_rep1_L004_I2_001.fastq.gz")</f>
        <v>ILB_BN1910_MTG_snRNAseq_rep1_L004_I2_001.fastq.gz</v>
      </c>
      <c r="J543" s="46" t="str">
        <f t="shared" si="2"/>
        <v>/data/neurogen/ASAP/scRNAseq/data/batch9_ASAP_snRNA-seq_*/Raw_Data_and_Processing/cellranger_processing/cellranger_fastqs/outs/fastq_path/H*/BN1910_S4_L004_I2_001.fastq.gz</v>
      </c>
      <c r="K543" s="46" t="s">
        <v>1350</v>
      </c>
      <c r="L543" s="46" t="s">
        <v>2409</v>
      </c>
      <c r="M543" s="46" t="s">
        <v>1309</v>
      </c>
      <c r="N543" s="46" t="s">
        <v>1310</v>
      </c>
      <c r="O543" s="46" t="s">
        <v>1311</v>
      </c>
      <c r="P543" s="46" t="s">
        <v>1312</v>
      </c>
      <c r="Q543" s="46" t="s">
        <v>31</v>
      </c>
      <c r="R543" s="46" t="s">
        <v>31</v>
      </c>
      <c r="S543" s="46" t="s">
        <v>31</v>
      </c>
      <c r="T543" s="46" t="s">
        <v>31</v>
      </c>
      <c r="U543" s="46" t="s">
        <v>49</v>
      </c>
    </row>
    <row r="544" spans="1:21">
      <c r="A544" s="46" t="s">
        <v>791</v>
      </c>
      <c r="B544" s="46" t="s">
        <v>227</v>
      </c>
      <c r="C544" s="46" t="s">
        <v>666</v>
      </c>
      <c r="D544" s="46">
        <v>1</v>
      </c>
      <c r="E544" s="46">
        <v>0</v>
      </c>
      <c r="F544" s="46" t="s">
        <v>773</v>
      </c>
      <c r="G544" s="46" t="s">
        <v>1305</v>
      </c>
      <c r="H544" s="46" t="s">
        <v>2410</v>
      </c>
      <c r="I544" s="46" t="str">
        <f ca="1">IFERROR(__xludf.DUMMYFUNCTION("CONCAT(A544,REGEXREPLACE(H544,"".*_L0"",""_L0""))"),"ILB_BN1910_MTG_snRNAseq_rep1_L004_R1_001.fastq.gz")</f>
        <v>ILB_BN1910_MTG_snRNAseq_rep1_L004_R1_001.fastq.gz</v>
      </c>
      <c r="J544" s="46" t="str">
        <f t="shared" si="2"/>
        <v>/data/neurogen/ASAP/scRNAseq/data/batch9_ASAP_snRNA-seq_*/Raw_Data_and_Processing/cellranger_processing/cellranger_fastqs/outs/fastq_path/H*/BN1910_S4_L004_R1_001.fastq.gz</v>
      </c>
      <c r="K544" s="46" t="s">
        <v>1353</v>
      </c>
      <c r="L544" s="46" t="s">
        <v>2411</v>
      </c>
      <c r="M544" s="46" t="s">
        <v>1309</v>
      </c>
      <c r="N544" s="46" t="s">
        <v>1310</v>
      </c>
      <c r="O544" s="46" t="s">
        <v>1311</v>
      </c>
      <c r="P544" s="46" t="s">
        <v>1312</v>
      </c>
      <c r="Q544" s="46" t="s">
        <v>31</v>
      </c>
      <c r="R544" s="46" t="s">
        <v>31</v>
      </c>
      <c r="S544" s="46" t="s">
        <v>31</v>
      </c>
      <c r="T544" s="46" t="s">
        <v>31</v>
      </c>
      <c r="U544" s="46" t="s">
        <v>49</v>
      </c>
    </row>
    <row r="545" spans="1:21">
      <c r="A545" s="46" t="s">
        <v>791</v>
      </c>
      <c r="B545" s="46" t="s">
        <v>227</v>
      </c>
      <c r="C545" s="46" t="s">
        <v>666</v>
      </c>
      <c r="D545" s="46">
        <v>1</v>
      </c>
      <c r="E545" s="46">
        <v>0</v>
      </c>
      <c r="F545" s="46" t="s">
        <v>773</v>
      </c>
      <c r="G545" s="46" t="s">
        <v>1305</v>
      </c>
      <c r="H545" s="46" t="s">
        <v>2412</v>
      </c>
      <c r="I545" s="46" t="str">
        <f ca="1">IFERROR(__xludf.DUMMYFUNCTION("CONCAT(A545,REGEXREPLACE(H545,"".*_L0"",""_L0""))"),"ILB_BN1910_MTG_snRNAseq_rep1_L004_R2_001.fastq.gz")</f>
        <v>ILB_BN1910_MTG_snRNAseq_rep1_L004_R2_001.fastq.gz</v>
      </c>
      <c r="J545" s="46" t="str">
        <f t="shared" si="2"/>
        <v>/data/neurogen/ASAP/scRNAseq/data/batch9_ASAP_snRNA-seq_*/Raw_Data_and_Processing/cellranger_processing/cellranger_fastqs/outs/fastq_path/H*/BN1910_S4_L004_R2_001.fastq.gz</v>
      </c>
      <c r="K545" s="46" t="s">
        <v>1356</v>
      </c>
      <c r="L545" s="46" t="s">
        <v>2413</v>
      </c>
      <c r="M545" s="46" t="s">
        <v>1309</v>
      </c>
      <c r="N545" s="46" t="s">
        <v>1310</v>
      </c>
      <c r="O545" s="46" t="s">
        <v>1311</v>
      </c>
      <c r="P545" s="46" t="s">
        <v>1312</v>
      </c>
      <c r="Q545" s="46" t="s">
        <v>31</v>
      </c>
      <c r="R545" s="46" t="s">
        <v>31</v>
      </c>
      <c r="S545" s="46" t="s">
        <v>31</v>
      </c>
      <c r="T545" s="46" t="s">
        <v>31</v>
      </c>
      <c r="U545" s="46" t="s">
        <v>49</v>
      </c>
    </row>
    <row r="546" spans="1:21">
      <c r="A546" s="46" t="s">
        <v>798</v>
      </c>
      <c r="B546" s="46" t="s">
        <v>239</v>
      </c>
      <c r="C546" s="46" t="s">
        <v>666</v>
      </c>
      <c r="D546" s="46">
        <v>1</v>
      </c>
      <c r="E546" s="46">
        <v>0</v>
      </c>
      <c r="F546" s="46" t="s">
        <v>773</v>
      </c>
      <c r="G546" s="46" t="s">
        <v>1305</v>
      </c>
      <c r="H546" s="46" t="s">
        <v>2414</v>
      </c>
      <c r="I546" s="46" t="str">
        <f ca="1">IFERROR(__xludf.DUMMYFUNCTION("CONCAT(A546,REGEXREPLACE(H546,"".*_L0"",""_L0""))"),"ILB_BN1974_MTG_snRNAseq_rep1_L001_I1_001.fastq.gz")</f>
        <v>ILB_BN1974_MTG_snRNAseq_rep1_L001_I1_001.fastq.gz</v>
      </c>
      <c r="J546" s="46" t="str">
        <f t="shared" si="2"/>
        <v>/data/neurogen/ASAP/scRNAseq/data/batch9_ASAP_snRNA-seq_*/Raw_Data_and_Processing/cellranger_processing/cellranger_fastqs/outs/fastq_path/H*/BN1974_S3_L001_I1_001.fastq.gz</v>
      </c>
      <c r="K546" s="46" t="s">
        <v>1307</v>
      </c>
      <c r="L546" s="46" t="s">
        <v>2415</v>
      </c>
      <c r="M546" s="46" t="s">
        <v>1309</v>
      </c>
      <c r="N546" s="46" t="s">
        <v>1310</v>
      </c>
      <c r="O546" s="46" t="s">
        <v>1311</v>
      </c>
      <c r="P546" s="46" t="s">
        <v>1312</v>
      </c>
      <c r="Q546" s="46" t="s">
        <v>31</v>
      </c>
      <c r="R546" s="46" t="s">
        <v>31</v>
      </c>
      <c r="S546" s="46" t="s">
        <v>31</v>
      </c>
      <c r="T546" s="46" t="s">
        <v>31</v>
      </c>
      <c r="U546" s="46" t="s">
        <v>49</v>
      </c>
    </row>
    <row r="547" spans="1:21">
      <c r="A547" s="46" t="s">
        <v>798</v>
      </c>
      <c r="B547" s="46" t="s">
        <v>239</v>
      </c>
      <c r="C547" s="46" t="s">
        <v>666</v>
      </c>
      <c r="D547" s="46">
        <v>1</v>
      </c>
      <c r="E547" s="46">
        <v>0</v>
      </c>
      <c r="F547" s="46" t="s">
        <v>773</v>
      </c>
      <c r="G547" s="46" t="s">
        <v>1305</v>
      </c>
      <c r="H547" s="46" t="s">
        <v>2416</v>
      </c>
      <c r="I547" s="46" t="str">
        <f ca="1">IFERROR(__xludf.DUMMYFUNCTION("CONCAT(A547,REGEXREPLACE(H547,"".*_L0"",""_L0""))"),"ILB_BN1974_MTG_snRNAseq_rep1_L001_I2_001.fastq.gz")</f>
        <v>ILB_BN1974_MTG_snRNAseq_rep1_L001_I2_001.fastq.gz</v>
      </c>
      <c r="J547" s="46" t="str">
        <f t="shared" si="2"/>
        <v>/data/neurogen/ASAP/scRNAseq/data/batch9_ASAP_snRNA-seq_*/Raw_Data_and_Processing/cellranger_processing/cellranger_fastqs/outs/fastq_path/H*/BN1974_S3_L001_I2_001.fastq.gz</v>
      </c>
      <c r="K547" s="46" t="s">
        <v>1314</v>
      </c>
      <c r="L547" s="46" t="s">
        <v>2417</v>
      </c>
      <c r="M547" s="46" t="s">
        <v>1309</v>
      </c>
      <c r="N547" s="46" t="s">
        <v>1310</v>
      </c>
      <c r="O547" s="46" t="s">
        <v>1311</v>
      </c>
      <c r="P547" s="46" t="s">
        <v>1312</v>
      </c>
      <c r="Q547" s="46" t="s">
        <v>31</v>
      </c>
      <c r="R547" s="46" t="s">
        <v>31</v>
      </c>
      <c r="S547" s="46" t="s">
        <v>31</v>
      </c>
      <c r="T547" s="46" t="s">
        <v>31</v>
      </c>
      <c r="U547" s="46" t="s">
        <v>49</v>
      </c>
    </row>
    <row r="548" spans="1:21">
      <c r="A548" s="46" t="s">
        <v>798</v>
      </c>
      <c r="B548" s="46" t="s">
        <v>239</v>
      </c>
      <c r="C548" s="46" t="s">
        <v>666</v>
      </c>
      <c r="D548" s="46">
        <v>1</v>
      </c>
      <c r="E548" s="46">
        <v>0</v>
      </c>
      <c r="F548" s="46" t="s">
        <v>773</v>
      </c>
      <c r="G548" s="46" t="s">
        <v>1305</v>
      </c>
      <c r="H548" s="46" t="s">
        <v>2418</v>
      </c>
      <c r="I548" s="46" t="str">
        <f ca="1">IFERROR(__xludf.DUMMYFUNCTION("CONCAT(A548,REGEXREPLACE(H548,"".*_L0"",""_L0""))"),"ILB_BN1974_MTG_snRNAseq_rep1_L001_R1_001.fastq.gz")</f>
        <v>ILB_BN1974_MTG_snRNAseq_rep1_L001_R1_001.fastq.gz</v>
      </c>
      <c r="J548" s="46" t="str">
        <f t="shared" si="2"/>
        <v>/data/neurogen/ASAP/scRNAseq/data/batch9_ASAP_snRNA-seq_*/Raw_Data_and_Processing/cellranger_processing/cellranger_fastqs/outs/fastq_path/H*/BN1974_S3_L001_R1_001.fastq.gz</v>
      </c>
      <c r="K548" s="46" t="s">
        <v>1317</v>
      </c>
      <c r="L548" s="46" t="s">
        <v>2419</v>
      </c>
      <c r="M548" s="46" t="s">
        <v>1309</v>
      </c>
      <c r="N548" s="46" t="s">
        <v>1310</v>
      </c>
      <c r="O548" s="46" t="s">
        <v>1311</v>
      </c>
      <c r="P548" s="46" t="s">
        <v>1312</v>
      </c>
      <c r="Q548" s="46" t="s">
        <v>31</v>
      </c>
      <c r="R548" s="46" t="s">
        <v>31</v>
      </c>
      <c r="S548" s="46" t="s">
        <v>31</v>
      </c>
      <c r="T548" s="46" t="s">
        <v>31</v>
      </c>
      <c r="U548" s="46" t="s">
        <v>49</v>
      </c>
    </row>
    <row r="549" spans="1:21">
      <c r="A549" s="46" t="s">
        <v>798</v>
      </c>
      <c r="B549" s="46" t="s">
        <v>239</v>
      </c>
      <c r="C549" s="46" t="s">
        <v>666</v>
      </c>
      <c r="D549" s="46">
        <v>1</v>
      </c>
      <c r="E549" s="46">
        <v>0</v>
      </c>
      <c r="F549" s="46" t="s">
        <v>773</v>
      </c>
      <c r="G549" s="46" t="s">
        <v>1305</v>
      </c>
      <c r="H549" s="46" t="s">
        <v>2420</v>
      </c>
      <c r="I549" s="46" t="str">
        <f ca="1">IFERROR(__xludf.DUMMYFUNCTION("CONCAT(A549,REGEXREPLACE(H549,"".*_L0"",""_L0""))"),"ILB_BN1974_MTG_snRNAseq_rep1_L001_R2_001.fastq.gz")</f>
        <v>ILB_BN1974_MTG_snRNAseq_rep1_L001_R2_001.fastq.gz</v>
      </c>
      <c r="J549" s="46" t="str">
        <f t="shared" si="2"/>
        <v>/data/neurogen/ASAP/scRNAseq/data/batch9_ASAP_snRNA-seq_*/Raw_Data_and_Processing/cellranger_processing/cellranger_fastqs/outs/fastq_path/H*/BN1974_S3_L001_R2_001.fastq.gz</v>
      </c>
      <c r="K549" s="46" t="s">
        <v>1320</v>
      </c>
      <c r="L549" s="46" t="s">
        <v>2421</v>
      </c>
      <c r="M549" s="46" t="s">
        <v>1309</v>
      </c>
      <c r="N549" s="46" t="s">
        <v>1310</v>
      </c>
      <c r="O549" s="46" t="s">
        <v>1311</v>
      </c>
      <c r="P549" s="46" t="s">
        <v>1312</v>
      </c>
      <c r="Q549" s="46" t="s">
        <v>31</v>
      </c>
      <c r="R549" s="46" t="s">
        <v>31</v>
      </c>
      <c r="S549" s="46" t="s">
        <v>31</v>
      </c>
      <c r="T549" s="46" t="s">
        <v>31</v>
      </c>
      <c r="U549" s="46" t="s">
        <v>49</v>
      </c>
    </row>
    <row r="550" spans="1:21">
      <c r="A550" s="46" t="s">
        <v>798</v>
      </c>
      <c r="B550" s="46" t="s">
        <v>239</v>
      </c>
      <c r="C550" s="46" t="s">
        <v>666</v>
      </c>
      <c r="D550" s="46">
        <v>1</v>
      </c>
      <c r="E550" s="46">
        <v>0</v>
      </c>
      <c r="F550" s="46" t="s">
        <v>773</v>
      </c>
      <c r="G550" s="46" t="s">
        <v>1305</v>
      </c>
      <c r="H550" s="46" t="s">
        <v>2422</v>
      </c>
      <c r="I550" s="46" t="str">
        <f ca="1">IFERROR(__xludf.DUMMYFUNCTION("CONCAT(A550,REGEXREPLACE(H550,"".*_L0"",""_L0""))"),"ILB_BN1974_MTG_snRNAseq_rep1_L002_I1_001.fastq.gz")</f>
        <v>ILB_BN1974_MTG_snRNAseq_rep1_L002_I1_001.fastq.gz</v>
      </c>
      <c r="J550" s="46" t="str">
        <f t="shared" si="2"/>
        <v>/data/neurogen/ASAP/scRNAseq/data/batch9_ASAP_snRNA-seq_*/Raw_Data_and_Processing/cellranger_processing/cellranger_fastqs/outs/fastq_path/H*/BN1974_S3_L002_I1_001.fastq.gz</v>
      </c>
      <c r="K550" s="46" t="s">
        <v>1323</v>
      </c>
      <c r="L550" s="46" t="s">
        <v>2423</v>
      </c>
      <c r="M550" s="46" t="s">
        <v>1309</v>
      </c>
      <c r="N550" s="46" t="s">
        <v>1310</v>
      </c>
      <c r="O550" s="46" t="s">
        <v>1311</v>
      </c>
      <c r="P550" s="46" t="s">
        <v>1312</v>
      </c>
      <c r="Q550" s="46" t="s">
        <v>31</v>
      </c>
      <c r="R550" s="46" t="s">
        <v>31</v>
      </c>
      <c r="S550" s="46" t="s">
        <v>31</v>
      </c>
      <c r="T550" s="46" t="s">
        <v>31</v>
      </c>
      <c r="U550" s="46" t="s">
        <v>49</v>
      </c>
    </row>
    <row r="551" spans="1:21">
      <c r="A551" s="46" t="s">
        <v>798</v>
      </c>
      <c r="B551" s="46" t="s">
        <v>239</v>
      </c>
      <c r="C551" s="46" t="s">
        <v>666</v>
      </c>
      <c r="D551" s="46">
        <v>1</v>
      </c>
      <c r="E551" s="46">
        <v>0</v>
      </c>
      <c r="F551" s="46" t="s">
        <v>773</v>
      </c>
      <c r="G551" s="46" t="s">
        <v>1305</v>
      </c>
      <c r="H551" s="46" t="s">
        <v>2424</v>
      </c>
      <c r="I551" s="46" t="str">
        <f ca="1">IFERROR(__xludf.DUMMYFUNCTION("CONCAT(A551,REGEXREPLACE(H551,"".*_L0"",""_L0""))"),"ILB_BN1974_MTG_snRNAseq_rep1_L002_I2_001.fastq.gz")</f>
        <v>ILB_BN1974_MTG_snRNAseq_rep1_L002_I2_001.fastq.gz</v>
      </c>
      <c r="J551" s="46" t="str">
        <f t="shared" si="2"/>
        <v>/data/neurogen/ASAP/scRNAseq/data/batch9_ASAP_snRNA-seq_*/Raw_Data_and_Processing/cellranger_processing/cellranger_fastqs/outs/fastq_path/H*/BN1974_S3_L002_I2_001.fastq.gz</v>
      </c>
      <c r="K551" s="46" t="s">
        <v>1326</v>
      </c>
      <c r="L551" s="46" t="s">
        <v>2425</v>
      </c>
      <c r="M551" s="46" t="s">
        <v>1309</v>
      </c>
      <c r="N551" s="46" t="s">
        <v>1310</v>
      </c>
      <c r="O551" s="46" t="s">
        <v>1311</v>
      </c>
      <c r="P551" s="46" t="s">
        <v>1312</v>
      </c>
      <c r="Q551" s="46" t="s">
        <v>31</v>
      </c>
      <c r="R551" s="46" t="s">
        <v>31</v>
      </c>
      <c r="S551" s="46" t="s">
        <v>31</v>
      </c>
      <c r="T551" s="46" t="s">
        <v>31</v>
      </c>
      <c r="U551" s="46" t="s">
        <v>49</v>
      </c>
    </row>
    <row r="552" spans="1:21">
      <c r="A552" s="46" t="s">
        <v>798</v>
      </c>
      <c r="B552" s="46" t="s">
        <v>239</v>
      </c>
      <c r="C552" s="46" t="s">
        <v>666</v>
      </c>
      <c r="D552" s="46">
        <v>1</v>
      </c>
      <c r="E552" s="46">
        <v>0</v>
      </c>
      <c r="F552" s="46" t="s">
        <v>773</v>
      </c>
      <c r="G552" s="46" t="s">
        <v>1305</v>
      </c>
      <c r="H552" s="46" t="s">
        <v>2426</v>
      </c>
      <c r="I552" s="46" t="str">
        <f ca="1">IFERROR(__xludf.DUMMYFUNCTION("CONCAT(A552,REGEXREPLACE(H552,"".*_L0"",""_L0""))"),"ILB_BN1974_MTG_snRNAseq_rep1_L002_R1_001.fastq.gz")</f>
        <v>ILB_BN1974_MTG_snRNAseq_rep1_L002_R1_001.fastq.gz</v>
      </c>
      <c r="J552" s="46" t="str">
        <f t="shared" si="2"/>
        <v>/data/neurogen/ASAP/scRNAseq/data/batch9_ASAP_snRNA-seq_*/Raw_Data_and_Processing/cellranger_processing/cellranger_fastqs/outs/fastq_path/H*/BN1974_S3_L002_R1_001.fastq.gz</v>
      </c>
      <c r="K552" s="46" t="s">
        <v>1329</v>
      </c>
      <c r="L552" s="46" t="s">
        <v>2427</v>
      </c>
      <c r="M552" s="46" t="s">
        <v>1309</v>
      </c>
      <c r="N552" s="46" t="s">
        <v>1310</v>
      </c>
      <c r="O552" s="46" t="s">
        <v>1311</v>
      </c>
      <c r="P552" s="46" t="s">
        <v>1312</v>
      </c>
      <c r="Q552" s="46" t="s">
        <v>31</v>
      </c>
      <c r="R552" s="46" t="s">
        <v>31</v>
      </c>
      <c r="S552" s="46" t="s">
        <v>31</v>
      </c>
      <c r="T552" s="46" t="s">
        <v>31</v>
      </c>
      <c r="U552" s="46" t="s">
        <v>49</v>
      </c>
    </row>
    <row r="553" spans="1:21">
      <c r="A553" s="46" t="s">
        <v>798</v>
      </c>
      <c r="B553" s="46" t="s">
        <v>239</v>
      </c>
      <c r="C553" s="46" t="s">
        <v>666</v>
      </c>
      <c r="D553" s="46">
        <v>1</v>
      </c>
      <c r="E553" s="46">
        <v>0</v>
      </c>
      <c r="F553" s="46" t="s">
        <v>773</v>
      </c>
      <c r="G553" s="46" t="s">
        <v>1305</v>
      </c>
      <c r="H553" s="46" t="s">
        <v>2428</v>
      </c>
      <c r="I553" s="46" t="str">
        <f ca="1">IFERROR(__xludf.DUMMYFUNCTION("CONCAT(A553,REGEXREPLACE(H553,"".*_L0"",""_L0""))"),"ILB_BN1974_MTG_snRNAseq_rep1_L002_R2_001.fastq.gz")</f>
        <v>ILB_BN1974_MTG_snRNAseq_rep1_L002_R2_001.fastq.gz</v>
      </c>
      <c r="J553" s="46" t="str">
        <f t="shared" si="2"/>
        <v>/data/neurogen/ASAP/scRNAseq/data/batch9_ASAP_snRNA-seq_*/Raw_Data_and_Processing/cellranger_processing/cellranger_fastqs/outs/fastq_path/H*/BN1974_S3_L002_R2_001.fastq.gz</v>
      </c>
      <c r="K553" s="46" t="s">
        <v>1332</v>
      </c>
      <c r="L553" s="46" t="s">
        <v>2429</v>
      </c>
      <c r="M553" s="46" t="s">
        <v>1309</v>
      </c>
      <c r="N553" s="46" t="s">
        <v>1310</v>
      </c>
      <c r="O553" s="46" t="s">
        <v>1311</v>
      </c>
      <c r="P553" s="46" t="s">
        <v>1312</v>
      </c>
      <c r="Q553" s="46" t="s">
        <v>31</v>
      </c>
      <c r="R553" s="46" t="s">
        <v>31</v>
      </c>
      <c r="S553" s="46" t="s">
        <v>31</v>
      </c>
      <c r="T553" s="46" t="s">
        <v>31</v>
      </c>
      <c r="U553" s="46" t="s">
        <v>49</v>
      </c>
    </row>
    <row r="554" spans="1:21">
      <c r="A554" s="46" t="s">
        <v>798</v>
      </c>
      <c r="B554" s="46" t="s">
        <v>239</v>
      </c>
      <c r="C554" s="46" t="s">
        <v>666</v>
      </c>
      <c r="D554" s="46">
        <v>1</v>
      </c>
      <c r="E554" s="46">
        <v>0</v>
      </c>
      <c r="F554" s="46" t="s">
        <v>773</v>
      </c>
      <c r="G554" s="46" t="s">
        <v>1305</v>
      </c>
      <c r="H554" s="46" t="s">
        <v>2430</v>
      </c>
      <c r="I554" s="46" t="str">
        <f ca="1">IFERROR(__xludf.DUMMYFUNCTION("CONCAT(A554,REGEXREPLACE(H554,"".*_L0"",""_L0""))"),"ILB_BN1974_MTG_snRNAseq_rep1_L003_I1_001.fastq.gz")</f>
        <v>ILB_BN1974_MTG_snRNAseq_rep1_L003_I1_001.fastq.gz</v>
      </c>
      <c r="J554" s="46" t="str">
        <f t="shared" si="2"/>
        <v>/data/neurogen/ASAP/scRNAseq/data/batch9_ASAP_snRNA-seq_*/Raw_Data_and_Processing/cellranger_processing/cellranger_fastqs/outs/fastq_path/H*/BN1974_S3_L003_I1_001.fastq.gz</v>
      </c>
      <c r="K554" s="46" t="s">
        <v>1335</v>
      </c>
      <c r="L554" s="46" t="s">
        <v>2431</v>
      </c>
      <c r="M554" s="46" t="s">
        <v>1309</v>
      </c>
      <c r="N554" s="46" t="s">
        <v>1310</v>
      </c>
      <c r="O554" s="46" t="s">
        <v>1311</v>
      </c>
      <c r="P554" s="46" t="s">
        <v>1312</v>
      </c>
      <c r="Q554" s="46" t="s">
        <v>31</v>
      </c>
      <c r="R554" s="46" t="s">
        <v>31</v>
      </c>
      <c r="S554" s="46" t="s">
        <v>31</v>
      </c>
      <c r="T554" s="46" t="s">
        <v>31</v>
      </c>
      <c r="U554" s="46" t="s">
        <v>49</v>
      </c>
    </row>
    <row r="555" spans="1:21">
      <c r="A555" s="46" t="s">
        <v>798</v>
      </c>
      <c r="B555" s="46" t="s">
        <v>239</v>
      </c>
      <c r="C555" s="46" t="s">
        <v>666</v>
      </c>
      <c r="D555" s="46">
        <v>1</v>
      </c>
      <c r="E555" s="46">
        <v>0</v>
      </c>
      <c r="F555" s="46" t="s">
        <v>773</v>
      </c>
      <c r="G555" s="46" t="s">
        <v>1305</v>
      </c>
      <c r="H555" s="46" t="s">
        <v>2432</v>
      </c>
      <c r="I555" s="46" t="str">
        <f ca="1">IFERROR(__xludf.DUMMYFUNCTION("CONCAT(A555,REGEXREPLACE(H555,"".*_L0"",""_L0""))"),"ILB_BN1974_MTG_snRNAseq_rep1_L003_I2_001.fastq.gz")</f>
        <v>ILB_BN1974_MTG_snRNAseq_rep1_L003_I2_001.fastq.gz</v>
      </c>
      <c r="J555" s="46" t="str">
        <f t="shared" si="2"/>
        <v>/data/neurogen/ASAP/scRNAseq/data/batch9_ASAP_snRNA-seq_*/Raw_Data_and_Processing/cellranger_processing/cellranger_fastqs/outs/fastq_path/H*/BN1974_S3_L003_I2_001.fastq.gz</v>
      </c>
      <c r="K555" s="46" t="s">
        <v>1338</v>
      </c>
      <c r="L555" s="46" t="s">
        <v>2433</v>
      </c>
      <c r="M555" s="46" t="s">
        <v>1309</v>
      </c>
      <c r="N555" s="46" t="s">
        <v>1310</v>
      </c>
      <c r="O555" s="46" t="s">
        <v>1311</v>
      </c>
      <c r="P555" s="46" t="s">
        <v>1312</v>
      </c>
      <c r="Q555" s="46" t="s">
        <v>31</v>
      </c>
      <c r="R555" s="46" t="s">
        <v>31</v>
      </c>
      <c r="S555" s="46" t="s">
        <v>31</v>
      </c>
      <c r="T555" s="46" t="s">
        <v>31</v>
      </c>
      <c r="U555" s="46" t="s">
        <v>49</v>
      </c>
    </row>
    <row r="556" spans="1:21">
      <c r="A556" s="46" t="s">
        <v>798</v>
      </c>
      <c r="B556" s="46" t="s">
        <v>239</v>
      </c>
      <c r="C556" s="46" t="s">
        <v>666</v>
      </c>
      <c r="D556" s="46">
        <v>1</v>
      </c>
      <c r="E556" s="46">
        <v>0</v>
      </c>
      <c r="F556" s="46" t="s">
        <v>773</v>
      </c>
      <c r="G556" s="46" t="s">
        <v>1305</v>
      </c>
      <c r="H556" s="46" t="s">
        <v>2434</v>
      </c>
      <c r="I556" s="46" t="str">
        <f ca="1">IFERROR(__xludf.DUMMYFUNCTION("CONCAT(A556,REGEXREPLACE(H556,"".*_L0"",""_L0""))"),"ILB_BN1974_MTG_snRNAseq_rep1_L003_R1_001.fastq.gz")</f>
        <v>ILB_BN1974_MTG_snRNAseq_rep1_L003_R1_001.fastq.gz</v>
      </c>
      <c r="J556" s="46" t="str">
        <f t="shared" si="2"/>
        <v>/data/neurogen/ASAP/scRNAseq/data/batch9_ASAP_snRNA-seq_*/Raw_Data_and_Processing/cellranger_processing/cellranger_fastqs/outs/fastq_path/H*/BN1974_S3_L003_R1_001.fastq.gz</v>
      </c>
      <c r="K556" s="46" t="s">
        <v>1341</v>
      </c>
      <c r="L556" s="46" t="s">
        <v>2435</v>
      </c>
      <c r="M556" s="46" t="s">
        <v>1309</v>
      </c>
      <c r="N556" s="46" t="s">
        <v>1310</v>
      </c>
      <c r="O556" s="46" t="s">
        <v>1311</v>
      </c>
      <c r="P556" s="46" t="s">
        <v>1312</v>
      </c>
      <c r="Q556" s="46" t="s">
        <v>31</v>
      </c>
      <c r="R556" s="46" t="s">
        <v>31</v>
      </c>
      <c r="S556" s="46" t="s">
        <v>31</v>
      </c>
      <c r="T556" s="46" t="s">
        <v>31</v>
      </c>
      <c r="U556" s="46" t="s">
        <v>49</v>
      </c>
    </row>
    <row r="557" spans="1:21">
      <c r="A557" s="46" t="s">
        <v>798</v>
      </c>
      <c r="B557" s="46" t="s">
        <v>239</v>
      </c>
      <c r="C557" s="46" t="s">
        <v>666</v>
      </c>
      <c r="D557" s="46">
        <v>1</v>
      </c>
      <c r="E557" s="46">
        <v>0</v>
      </c>
      <c r="F557" s="46" t="s">
        <v>773</v>
      </c>
      <c r="G557" s="46" t="s">
        <v>1305</v>
      </c>
      <c r="H557" s="46" t="s">
        <v>2436</v>
      </c>
      <c r="I557" s="46" t="str">
        <f ca="1">IFERROR(__xludf.DUMMYFUNCTION("CONCAT(A557,REGEXREPLACE(H557,"".*_L0"",""_L0""))"),"ILB_BN1974_MTG_snRNAseq_rep1_L003_R2_001.fastq.gz")</f>
        <v>ILB_BN1974_MTG_snRNAseq_rep1_L003_R2_001.fastq.gz</v>
      </c>
      <c r="J557" s="46" t="str">
        <f t="shared" si="2"/>
        <v>/data/neurogen/ASAP/scRNAseq/data/batch9_ASAP_snRNA-seq_*/Raw_Data_and_Processing/cellranger_processing/cellranger_fastqs/outs/fastq_path/H*/BN1974_S3_L003_R2_001.fastq.gz</v>
      </c>
      <c r="K557" s="46" t="s">
        <v>1344</v>
      </c>
      <c r="L557" s="46" t="s">
        <v>2437</v>
      </c>
      <c r="M557" s="46" t="s">
        <v>1309</v>
      </c>
      <c r="N557" s="46" t="s">
        <v>1310</v>
      </c>
      <c r="O557" s="46" t="s">
        <v>1311</v>
      </c>
      <c r="P557" s="46" t="s">
        <v>1312</v>
      </c>
      <c r="Q557" s="46" t="s">
        <v>31</v>
      </c>
      <c r="R557" s="46" t="s">
        <v>31</v>
      </c>
      <c r="S557" s="46" t="s">
        <v>31</v>
      </c>
      <c r="T557" s="46" t="s">
        <v>31</v>
      </c>
      <c r="U557" s="46" t="s">
        <v>49</v>
      </c>
    </row>
    <row r="558" spans="1:21">
      <c r="A558" s="46" t="s">
        <v>798</v>
      </c>
      <c r="B558" s="46" t="s">
        <v>239</v>
      </c>
      <c r="C558" s="46" t="s">
        <v>666</v>
      </c>
      <c r="D558" s="46">
        <v>1</v>
      </c>
      <c r="E558" s="46">
        <v>0</v>
      </c>
      <c r="F558" s="46" t="s">
        <v>773</v>
      </c>
      <c r="G558" s="46" t="s">
        <v>1305</v>
      </c>
      <c r="H558" s="46" t="s">
        <v>2438</v>
      </c>
      <c r="I558" s="46" t="str">
        <f ca="1">IFERROR(__xludf.DUMMYFUNCTION("CONCAT(A558,REGEXREPLACE(H558,"".*_L0"",""_L0""))"),"ILB_BN1974_MTG_snRNAseq_rep1_L004_I1_001.fastq.gz")</f>
        <v>ILB_BN1974_MTG_snRNAseq_rep1_L004_I1_001.fastq.gz</v>
      </c>
      <c r="J558" s="46" t="str">
        <f t="shared" si="2"/>
        <v>/data/neurogen/ASAP/scRNAseq/data/batch9_ASAP_snRNA-seq_*/Raw_Data_and_Processing/cellranger_processing/cellranger_fastqs/outs/fastq_path/H*/BN1974_S3_L004_I1_001.fastq.gz</v>
      </c>
      <c r="K558" s="46" t="s">
        <v>1347</v>
      </c>
      <c r="L558" s="46" t="s">
        <v>2439</v>
      </c>
      <c r="M558" s="46" t="s">
        <v>1309</v>
      </c>
      <c r="N558" s="46" t="s">
        <v>1310</v>
      </c>
      <c r="O558" s="46" t="s">
        <v>1311</v>
      </c>
      <c r="P558" s="46" t="s">
        <v>1312</v>
      </c>
      <c r="Q558" s="46" t="s">
        <v>31</v>
      </c>
      <c r="R558" s="46" t="s">
        <v>31</v>
      </c>
      <c r="S558" s="46" t="s">
        <v>31</v>
      </c>
      <c r="T558" s="46" t="s">
        <v>31</v>
      </c>
      <c r="U558" s="46" t="s">
        <v>49</v>
      </c>
    </row>
    <row r="559" spans="1:21">
      <c r="A559" s="46" t="s">
        <v>798</v>
      </c>
      <c r="B559" s="46" t="s">
        <v>239</v>
      </c>
      <c r="C559" s="46" t="s">
        <v>666</v>
      </c>
      <c r="D559" s="46">
        <v>1</v>
      </c>
      <c r="E559" s="46">
        <v>0</v>
      </c>
      <c r="F559" s="46" t="s">
        <v>773</v>
      </c>
      <c r="G559" s="46" t="s">
        <v>1305</v>
      </c>
      <c r="H559" s="46" t="s">
        <v>2440</v>
      </c>
      <c r="I559" s="46" t="str">
        <f ca="1">IFERROR(__xludf.DUMMYFUNCTION("CONCAT(A559,REGEXREPLACE(H559,"".*_L0"",""_L0""))"),"ILB_BN1974_MTG_snRNAseq_rep1_L004_I2_001.fastq.gz")</f>
        <v>ILB_BN1974_MTG_snRNAseq_rep1_L004_I2_001.fastq.gz</v>
      </c>
      <c r="J559" s="46" t="str">
        <f t="shared" si="2"/>
        <v>/data/neurogen/ASAP/scRNAseq/data/batch9_ASAP_snRNA-seq_*/Raw_Data_and_Processing/cellranger_processing/cellranger_fastqs/outs/fastq_path/H*/BN1974_S3_L004_I2_001.fastq.gz</v>
      </c>
      <c r="K559" s="46" t="s">
        <v>1350</v>
      </c>
      <c r="L559" s="46" t="s">
        <v>2441</v>
      </c>
      <c r="M559" s="46" t="s">
        <v>1309</v>
      </c>
      <c r="N559" s="46" t="s">
        <v>1310</v>
      </c>
      <c r="O559" s="46" t="s">
        <v>1311</v>
      </c>
      <c r="P559" s="46" t="s">
        <v>1312</v>
      </c>
      <c r="Q559" s="46" t="s">
        <v>31</v>
      </c>
      <c r="R559" s="46" t="s">
        <v>31</v>
      </c>
      <c r="S559" s="46" t="s">
        <v>31</v>
      </c>
      <c r="T559" s="46" t="s">
        <v>31</v>
      </c>
      <c r="U559" s="46" t="s">
        <v>49</v>
      </c>
    </row>
    <row r="560" spans="1:21">
      <c r="A560" s="46" t="s">
        <v>798</v>
      </c>
      <c r="B560" s="46" t="s">
        <v>239</v>
      </c>
      <c r="C560" s="46" t="s">
        <v>666</v>
      </c>
      <c r="D560" s="46">
        <v>1</v>
      </c>
      <c r="E560" s="46">
        <v>0</v>
      </c>
      <c r="F560" s="46" t="s">
        <v>773</v>
      </c>
      <c r="G560" s="46" t="s">
        <v>1305</v>
      </c>
      <c r="H560" s="46" t="s">
        <v>2442</v>
      </c>
      <c r="I560" s="46" t="str">
        <f ca="1">IFERROR(__xludf.DUMMYFUNCTION("CONCAT(A560,REGEXREPLACE(H560,"".*_L0"",""_L0""))"),"ILB_BN1974_MTG_snRNAseq_rep1_L004_R1_001.fastq.gz")</f>
        <v>ILB_BN1974_MTG_snRNAseq_rep1_L004_R1_001.fastq.gz</v>
      </c>
      <c r="J560" s="46" t="str">
        <f t="shared" si="2"/>
        <v>/data/neurogen/ASAP/scRNAseq/data/batch9_ASAP_snRNA-seq_*/Raw_Data_and_Processing/cellranger_processing/cellranger_fastqs/outs/fastq_path/H*/BN1974_S3_L004_R1_001.fastq.gz</v>
      </c>
      <c r="K560" s="46" t="s">
        <v>1353</v>
      </c>
      <c r="L560" s="46" t="s">
        <v>2443</v>
      </c>
      <c r="M560" s="46" t="s">
        <v>1309</v>
      </c>
      <c r="N560" s="46" t="s">
        <v>1310</v>
      </c>
      <c r="O560" s="46" t="s">
        <v>1311</v>
      </c>
      <c r="P560" s="46" t="s">
        <v>1312</v>
      </c>
      <c r="Q560" s="46" t="s">
        <v>31</v>
      </c>
      <c r="R560" s="46" t="s">
        <v>31</v>
      </c>
      <c r="S560" s="46" t="s">
        <v>31</v>
      </c>
      <c r="T560" s="46" t="s">
        <v>31</v>
      </c>
      <c r="U560" s="46" t="s">
        <v>49</v>
      </c>
    </row>
    <row r="561" spans="1:21">
      <c r="A561" s="46" t="s">
        <v>798</v>
      </c>
      <c r="B561" s="46" t="s">
        <v>239</v>
      </c>
      <c r="C561" s="46" t="s">
        <v>666</v>
      </c>
      <c r="D561" s="46">
        <v>1</v>
      </c>
      <c r="E561" s="46">
        <v>0</v>
      </c>
      <c r="F561" s="46" t="s">
        <v>773</v>
      </c>
      <c r="G561" s="46" t="s">
        <v>1305</v>
      </c>
      <c r="H561" s="46" t="s">
        <v>2444</v>
      </c>
      <c r="I561" s="46" t="str">
        <f ca="1">IFERROR(__xludf.DUMMYFUNCTION("CONCAT(A561,REGEXREPLACE(H561,"".*_L0"",""_L0""))"),"ILB_BN1974_MTG_snRNAseq_rep1_L004_R2_001.fastq.gz")</f>
        <v>ILB_BN1974_MTG_snRNAseq_rep1_L004_R2_001.fastq.gz</v>
      </c>
      <c r="J561" s="46" t="str">
        <f t="shared" si="2"/>
        <v>/data/neurogen/ASAP/scRNAseq/data/batch9_ASAP_snRNA-seq_*/Raw_Data_and_Processing/cellranger_processing/cellranger_fastqs/outs/fastq_path/H*/BN1974_S3_L004_R2_001.fastq.gz</v>
      </c>
      <c r="K561" s="46" t="s">
        <v>1356</v>
      </c>
      <c r="L561" s="46" t="s">
        <v>2445</v>
      </c>
      <c r="M561" s="46" t="s">
        <v>1309</v>
      </c>
      <c r="N561" s="46" t="s">
        <v>1310</v>
      </c>
      <c r="O561" s="46" t="s">
        <v>1311</v>
      </c>
      <c r="P561" s="46" t="s">
        <v>1312</v>
      </c>
      <c r="Q561" s="46" t="s">
        <v>31</v>
      </c>
      <c r="R561" s="46" t="s">
        <v>31</v>
      </c>
      <c r="S561" s="46" t="s">
        <v>31</v>
      </c>
      <c r="T561" s="46" t="s">
        <v>31</v>
      </c>
      <c r="U561" s="46" t="s">
        <v>49</v>
      </c>
    </row>
    <row r="562" spans="1:21">
      <c r="A562" s="46" t="s">
        <v>776</v>
      </c>
      <c r="B562" s="46" t="s">
        <v>203</v>
      </c>
      <c r="C562" s="46" t="s">
        <v>666</v>
      </c>
      <c r="D562" s="46">
        <v>1</v>
      </c>
      <c r="E562" s="46">
        <v>0</v>
      </c>
      <c r="F562" s="46" t="s">
        <v>777</v>
      </c>
      <c r="G562" s="46" t="s">
        <v>1305</v>
      </c>
      <c r="H562" s="46" t="s">
        <v>2446</v>
      </c>
      <c r="I562" s="46" t="str">
        <f ca="1">IFERROR(__xludf.DUMMYFUNCTION("CONCAT(A562,REGEXREPLACE(H562,"".*_L0"",""_L0""))"),"PD_BN1827_MTG_snRNAseq_rep1_L001_I1_001.fastq.gz")</f>
        <v>PD_BN1827_MTG_snRNAseq_rep1_L001_I1_001.fastq.gz</v>
      </c>
      <c r="J562" s="46" t="str">
        <f t="shared" si="2"/>
        <v>/data/neurogen/ASAP/scRNAseq/data/batch10_ASAP_snRNA-seq_*/Raw_Data_and_Processing/cellranger_processing/cellranger_fastqs/outs/fastq_path/H*/BN1827_S1_L001_I1_001.fastq.gz</v>
      </c>
      <c r="K562" s="46" t="s">
        <v>1307</v>
      </c>
      <c r="L562" s="46" t="s">
        <v>2447</v>
      </c>
      <c r="M562" s="46" t="s">
        <v>1309</v>
      </c>
      <c r="N562" s="46" t="s">
        <v>1310</v>
      </c>
      <c r="O562" s="46" t="s">
        <v>1311</v>
      </c>
      <c r="P562" s="46" t="s">
        <v>1312</v>
      </c>
      <c r="Q562" s="46" t="s">
        <v>31</v>
      </c>
      <c r="R562" s="46" t="s">
        <v>31</v>
      </c>
      <c r="S562" s="46" t="s">
        <v>31</v>
      </c>
      <c r="T562" s="46" t="s">
        <v>31</v>
      </c>
      <c r="U562" s="46" t="s">
        <v>49</v>
      </c>
    </row>
    <row r="563" spans="1:21">
      <c r="A563" s="46" t="s">
        <v>776</v>
      </c>
      <c r="B563" s="46" t="s">
        <v>203</v>
      </c>
      <c r="C563" s="46" t="s">
        <v>666</v>
      </c>
      <c r="D563" s="46">
        <v>1</v>
      </c>
      <c r="E563" s="46">
        <v>0</v>
      </c>
      <c r="F563" s="46" t="s">
        <v>777</v>
      </c>
      <c r="G563" s="46" t="s">
        <v>1305</v>
      </c>
      <c r="H563" s="46" t="s">
        <v>2448</v>
      </c>
      <c r="I563" s="46" t="str">
        <f ca="1">IFERROR(__xludf.DUMMYFUNCTION("CONCAT(A563,REGEXREPLACE(H563,"".*_L0"",""_L0""))"),"PD_BN1827_MTG_snRNAseq_rep1_L001_I2_001.fastq.gz")</f>
        <v>PD_BN1827_MTG_snRNAseq_rep1_L001_I2_001.fastq.gz</v>
      </c>
      <c r="J563" s="46" t="str">
        <f t="shared" si="2"/>
        <v>/data/neurogen/ASAP/scRNAseq/data/batch10_ASAP_snRNA-seq_*/Raw_Data_and_Processing/cellranger_processing/cellranger_fastqs/outs/fastq_path/H*/BN1827_S1_L001_I2_001.fastq.gz</v>
      </c>
      <c r="K563" s="46" t="s">
        <v>1314</v>
      </c>
      <c r="L563" s="46" t="s">
        <v>2449</v>
      </c>
      <c r="M563" s="46" t="s">
        <v>1309</v>
      </c>
      <c r="N563" s="46" t="s">
        <v>1310</v>
      </c>
      <c r="O563" s="46" t="s">
        <v>1311</v>
      </c>
      <c r="P563" s="46" t="s">
        <v>1312</v>
      </c>
      <c r="Q563" s="46" t="s">
        <v>31</v>
      </c>
      <c r="R563" s="46" t="s">
        <v>31</v>
      </c>
      <c r="S563" s="46" t="s">
        <v>31</v>
      </c>
      <c r="T563" s="46" t="s">
        <v>31</v>
      </c>
      <c r="U563" s="46" t="s">
        <v>49</v>
      </c>
    </row>
    <row r="564" spans="1:21">
      <c r="A564" s="46" t="s">
        <v>776</v>
      </c>
      <c r="B564" s="46" t="s">
        <v>203</v>
      </c>
      <c r="C564" s="46" t="s">
        <v>666</v>
      </c>
      <c r="D564" s="46">
        <v>1</v>
      </c>
      <c r="E564" s="46">
        <v>0</v>
      </c>
      <c r="F564" s="46" t="s">
        <v>777</v>
      </c>
      <c r="G564" s="46" t="s">
        <v>1305</v>
      </c>
      <c r="H564" s="46" t="s">
        <v>2450</v>
      </c>
      <c r="I564" s="46" t="str">
        <f ca="1">IFERROR(__xludf.DUMMYFUNCTION("CONCAT(A564,REGEXREPLACE(H564,"".*_L0"",""_L0""))"),"PD_BN1827_MTG_snRNAseq_rep1_L001_R1_001.fastq.gz")</f>
        <v>PD_BN1827_MTG_snRNAseq_rep1_L001_R1_001.fastq.gz</v>
      </c>
      <c r="J564" s="46" t="str">
        <f t="shared" si="2"/>
        <v>/data/neurogen/ASAP/scRNAseq/data/batch10_ASAP_snRNA-seq_*/Raw_Data_and_Processing/cellranger_processing/cellranger_fastqs/outs/fastq_path/H*/BN1827_S1_L001_R1_001.fastq.gz</v>
      </c>
      <c r="K564" s="46" t="s">
        <v>1317</v>
      </c>
      <c r="L564" s="46" t="s">
        <v>2451</v>
      </c>
      <c r="M564" s="46" t="s">
        <v>1309</v>
      </c>
      <c r="N564" s="46" t="s">
        <v>1310</v>
      </c>
      <c r="O564" s="46" t="s">
        <v>1311</v>
      </c>
      <c r="P564" s="46" t="s">
        <v>1312</v>
      </c>
      <c r="Q564" s="46" t="s">
        <v>31</v>
      </c>
      <c r="R564" s="46" t="s">
        <v>31</v>
      </c>
      <c r="S564" s="46" t="s">
        <v>31</v>
      </c>
      <c r="T564" s="46" t="s">
        <v>31</v>
      </c>
      <c r="U564" s="46" t="s">
        <v>49</v>
      </c>
    </row>
    <row r="565" spans="1:21">
      <c r="A565" s="46" t="s">
        <v>776</v>
      </c>
      <c r="B565" s="46" t="s">
        <v>203</v>
      </c>
      <c r="C565" s="46" t="s">
        <v>666</v>
      </c>
      <c r="D565" s="46">
        <v>1</v>
      </c>
      <c r="E565" s="46">
        <v>0</v>
      </c>
      <c r="F565" s="46" t="s">
        <v>777</v>
      </c>
      <c r="G565" s="46" t="s">
        <v>1305</v>
      </c>
      <c r="H565" s="46" t="s">
        <v>2452</v>
      </c>
      <c r="I565" s="46" t="str">
        <f ca="1">IFERROR(__xludf.DUMMYFUNCTION("CONCAT(A565,REGEXREPLACE(H565,"".*_L0"",""_L0""))"),"PD_BN1827_MTG_snRNAseq_rep1_L001_R2_001.fastq.gz")</f>
        <v>PD_BN1827_MTG_snRNAseq_rep1_L001_R2_001.fastq.gz</v>
      </c>
      <c r="J565" s="46" t="str">
        <f t="shared" si="2"/>
        <v>/data/neurogen/ASAP/scRNAseq/data/batch10_ASAP_snRNA-seq_*/Raw_Data_and_Processing/cellranger_processing/cellranger_fastqs/outs/fastq_path/H*/BN1827_S1_L001_R2_001.fastq.gz</v>
      </c>
      <c r="K565" s="46" t="s">
        <v>1320</v>
      </c>
      <c r="L565" s="46" t="s">
        <v>2453</v>
      </c>
      <c r="M565" s="46" t="s">
        <v>1309</v>
      </c>
      <c r="N565" s="46" t="s">
        <v>1310</v>
      </c>
      <c r="O565" s="46" t="s">
        <v>1311</v>
      </c>
      <c r="P565" s="46" t="s">
        <v>1312</v>
      </c>
      <c r="Q565" s="46" t="s">
        <v>31</v>
      </c>
      <c r="R565" s="46" t="s">
        <v>31</v>
      </c>
      <c r="S565" s="46" t="s">
        <v>31</v>
      </c>
      <c r="T565" s="46" t="s">
        <v>31</v>
      </c>
      <c r="U565" s="46" t="s">
        <v>49</v>
      </c>
    </row>
    <row r="566" spans="1:21">
      <c r="A566" s="46" t="s">
        <v>776</v>
      </c>
      <c r="B566" s="46" t="s">
        <v>203</v>
      </c>
      <c r="C566" s="46" t="s">
        <v>666</v>
      </c>
      <c r="D566" s="46">
        <v>1</v>
      </c>
      <c r="E566" s="46">
        <v>0</v>
      </c>
      <c r="F566" s="46" t="s">
        <v>777</v>
      </c>
      <c r="G566" s="46" t="s">
        <v>1305</v>
      </c>
      <c r="H566" s="46" t="s">
        <v>2454</v>
      </c>
      <c r="I566" s="46" t="str">
        <f ca="1">IFERROR(__xludf.DUMMYFUNCTION("CONCAT(A566,REGEXREPLACE(H566,"".*_L0"",""_L0""))"),"PD_BN1827_MTG_snRNAseq_rep1_L002_I1_001.fastq.gz")</f>
        <v>PD_BN1827_MTG_snRNAseq_rep1_L002_I1_001.fastq.gz</v>
      </c>
      <c r="J566" s="46" t="str">
        <f t="shared" si="2"/>
        <v>/data/neurogen/ASAP/scRNAseq/data/batch10_ASAP_snRNA-seq_*/Raw_Data_and_Processing/cellranger_processing/cellranger_fastqs/outs/fastq_path/H*/BN1827_S1_L002_I1_001.fastq.gz</v>
      </c>
      <c r="K566" s="46" t="s">
        <v>1323</v>
      </c>
      <c r="L566" s="46" t="s">
        <v>2455</v>
      </c>
      <c r="M566" s="46" t="s">
        <v>1309</v>
      </c>
      <c r="N566" s="46" t="s">
        <v>1310</v>
      </c>
      <c r="O566" s="46" t="s">
        <v>1311</v>
      </c>
      <c r="P566" s="46" t="s">
        <v>1312</v>
      </c>
      <c r="Q566" s="46" t="s">
        <v>31</v>
      </c>
      <c r="R566" s="46" t="s">
        <v>31</v>
      </c>
      <c r="S566" s="46" t="s">
        <v>31</v>
      </c>
      <c r="T566" s="46" t="s">
        <v>31</v>
      </c>
      <c r="U566" s="46" t="s">
        <v>49</v>
      </c>
    </row>
    <row r="567" spans="1:21">
      <c r="A567" s="46" t="s">
        <v>776</v>
      </c>
      <c r="B567" s="46" t="s">
        <v>203</v>
      </c>
      <c r="C567" s="46" t="s">
        <v>666</v>
      </c>
      <c r="D567" s="46">
        <v>1</v>
      </c>
      <c r="E567" s="46">
        <v>0</v>
      </c>
      <c r="F567" s="46" t="s">
        <v>777</v>
      </c>
      <c r="G567" s="46" t="s">
        <v>1305</v>
      </c>
      <c r="H567" s="46" t="s">
        <v>2456</v>
      </c>
      <c r="I567" s="46" t="str">
        <f ca="1">IFERROR(__xludf.DUMMYFUNCTION("CONCAT(A567,REGEXREPLACE(H567,"".*_L0"",""_L0""))"),"PD_BN1827_MTG_snRNAseq_rep1_L002_I2_001.fastq.gz")</f>
        <v>PD_BN1827_MTG_snRNAseq_rep1_L002_I2_001.fastq.gz</v>
      </c>
      <c r="J567" s="46" t="str">
        <f t="shared" si="2"/>
        <v>/data/neurogen/ASAP/scRNAseq/data/batch10_ASAP_snRNA-seq_*/Raw_Data_and_Processing/cellranger_processing/cellranger_fastqs/outs/fastq_path/H*/BN1827_S1_L002_I2_001.fastq.gz</v>
      </c>
      <c r="K567" s="46" t="s">
        <v>1326</v>
      </c>
      <c r="L567" s="47" t="s">
        <v>2457</v>
      </c>
      <c r="M567" s="46" t="s">
        <v>1309</v>
      </c>
      <c r="N567" s="46" t="s">
        <v>1310</v>
      </c>
      <c r="O567" s="46" t="s">
        <v>1311</v>
      </c>
      <c r="P567" s="46" t="s">
        <v>1312</v>
      </c>
      <c r="Q567" s="46" t="s">
        <v>31</v>
      </c>
      <c r="R567" s="46" t="s">
        <v>31</v>
      </c>
      <c r="S567" s="46" t="s">
        <v>31</v>
      </c>
      <c r="T567" s="46" t="s">
        <v>31</v>
      </c>
      <c r="U567" s="46" t="s">
        <v>49</v>
      </c>
    </row>
    <row r="568" spans="1:21">
      <c r="A568" s="46" t="s">
        <v>776</v>
      </c>
      <c r="B568" s="46" t="s">
        <v>203</v>
      </c>
      <c r="C568" s="46" t="s">
        <v>666</v>
      </c>
      <c r="D568" s="46">
        <v>1</v>
      </c>
      <c r="E568" s="46">
        <v>0</v>
      </c>
      <c r="F568" s="46" t="s">
        <v>777</v>
      </c>
      <c r="G568" s="46" t="s">
        <v>1305</v>
      </c>
      <c r="H568" s="46" t="s">
        <v>2458</v>
      </c>
      <c r="I568" s="46" t="str">
        <f ca="1">IFERROR(__xludf.DUMMYFUNCTION("CONCAT(A568,REGEXREPLACE(H568,"".*_L0"",""_L0""))"),"PD_BN1827_MTG_snRNAseq_rep1_L002_R1_001.fastq.gz")</f>
        <v>PD_BN1827_MTG_snRNAseq_rep1_L002_R1_001.fastq.gz</v>
      </c>
      <c r="J568" s="46" t="str">
        <f t="shared" si="2"/>
        <v>/data/neurogen/ASAP/scRNAseq/data/batch10_ASAP_snRNA-seq_*/Raw_Data_and_Processing/cellranger_processing/cellranger_fastqs/outs/fastq_path/H*/BN1827_S1_L002_R1_001.fastq.gz</v>
      </c>
      <c r="K568" s="46" t="s">
        <v>1329</v>
      </c>
      <c r="L568" s="46" t="s">
        <v>2459</v>
      </c>
      <c r="M568" s="46" t="s">
        <v>1309</v>
      </c>
      <c r="N568" s="46" t="s">
        <v>1310</v>
      </c>
      <c r="O568" s="46" t="s">
        <v>1311</v>
      </c>
      <c r="P568" s="46" t="s">
        <v>1312</v>
      </c>
      <c r="Q568" s="46" t="s">
        <v>31</v>
      </c>
      <c r="R568" s="46" t="s">
        <v>31</v>
      </c>
      <c r="S568" s="46" t="s">
        <v>31</v>
      </c>
      <c r="T568" s="46" t="s">
        <v>31</v>
      </c>
      <c r="U568" s="46" t="s">
        <v>49</v>
      </c>
    </row>
    <row r="569" spans="1:21">
      <c r="A569" s="46" t="s">
        <v>776</v>
      </c>
      <c r="B569" s="46" t="s">
        <v>203</v>
      </c>
      <c r="C569" s="46" t="s">
        <v>666</v>
      </c>
      <c r="D569" s="46">
        <v>1</v>
      </c>
      <c r="E569" s="46">
        <v>0</v>
      </c>
      <c r="F569" s="46" t="s">
        <v>777</v>
      </c>
      <c r="G569" s="46" t="s">
        <v>1305</v>
      </c>
      <c r="H569" s="46" t="s">
        <v>2460</v>
      </c>
      <c r="I569" s="46" t="str">
        <f ca="1">IFERROR(__xludf.DUMMYFUNCTION("CONCAT(A569,REGEXREPLACE(H569,"".*_L0"",""_L0""))"),"PD_BN1827_MTG_snRNAseq_rep1_L002_R2_001.fastq.gz")</f>
        <v>PD_BN1827_MTG_snRNAseq_rep1_L002_R2_001.fastq.gz</v>
      </c>
      <c r="J569" s="46" t="str">
        <f t="shared" si="2"/>
        <v>/data/neurogen/ASAP/scRNAseq/data/batch10_ASAP_snRNA-seq_*/Raw_Data_and_Processing/cellranger_processing/cellranger_fastqs/outs/fastq_path/H*/BN1827_S1_L002_R2_001.fastq.gz</v>
      </c>
      <c r="K569" s="46" t="s">
        <v>1332</v>
      </c>
      <c r="L569" s="46" t="s">
        <v>2461</v>
      </c>
      <c r="M569" s="46" t="s">
        <v>1309</v>
      </c>
      <c r="N569" s="46" t="s">
        <v>1310</v>
      </c>
      <c r="O569" s="46" t="s">
        <v>1311</v>
      </c>
      <c r="P569" s="46" t="s">
        <v>1312</v>
      </c>
      <c r="Q569" s="46" t="s">
        <v>31</v>
      </c>
      <c r="R569" s="46" t="s">
        <v>31</v>
      </c>
      <c r="S569" s="46" t="s">
        <v>31</v>
      </c>
      <c r="T569" s="46" t="s">
        <v>31</v>
      </c>
      <c r="U569" s="46" t="s">
        <v>49</v>
      </c>
    </row>
    <row r="570" spans="1:21">
      <c r="A570" s="46" t="s">
        <v>776</v>
      </c>
      <c r="B570" s="46" t="s">
        <v>203</v>
      </c>
      <c r="C570" s="46" t="s">
        <v>666</v>
      </c>
      <c r="D570" s="46">
        <v>1</v>
      </c>
      <c r="E570" s="46">
        <v>0</v>
      </c>
      <c r="F570" s="46" t="s">
        <v>777</v>
      </c>
      <c r="G570" s="46" t="s">
        <v>1305</v>
      </c>
      <c r="H570" s="46" t="s">
        <v>2462</v>
      </c>
      <c r="I570" s="46" t="str">
        <f ca="1">IFERROR(__xludf.DUMMYFUNCTION("CONCAT(A570,REGEXREPLACE(H570,"".*_L0"",""_L0""))"),"PD_BN1827_MTG_snRNAseq_rep1_L003_I1_001.fastq.gz")</f>
        <v>PD_BN1827_MTG_snRNAseq_rep1_L003_I1_001.fastq.gz</v>
      </c>
      <c r="J570" s="46" t="str">
        <f t="shared" si="2"/>
        <v>/data/neurogen/ASAP/scRNAseq/data/batch10_ASAP_snRNA-seq_*/Raw_Data_and_Processing/cellranger_processing/cellranger_fastqs/outs/fastq_path/H*/BN1827_S1_L003_I1_001.fastq.gz</v>
      </c>
      <c r="K570" s="46" t="s">
        <v>1335</v>
      </c>
      <c r="L570" s="46" t="s">
        <v>2463</v>
      </c>
      <c r="M570" s="46" t="s">
        <v>1309</v>
      </c>
      <c r="N570" s="46" t="s">
        <v>1310</v>
      </c>
      <c r="O570" s="46" t="s">
        <v>1311</v>
      </c>
      <c r="P570" s="46" t="s">
        <v>1312</v>
      </c>
      <c r="Q570" s="46" t="s">
        <v>31</v>
      </c>
      <c r="R570" s="46" t="s">
        <v>31</v>
      </c>
      <c r="S570" s="46" t="s">
        <v>31</v>
      </c>
      <c r="T570" s="46" t="s">
        <v>31</v>
      </c>
      <c r="U570" s="46" t="s">
        <v>49</v>
      </c>
    </row>
    <row r="571" spans="1:21">
      <c r="A571" s="46" t="s">
        <v>776</v>
      </c>
      <c r="B571" s="46" t="s">
        <v>203</v>
      </c>
      <c r="C571" s="46" t="s">
        <v>666</v>
      </c>
      <c r="D571" s="46">
        <v>1</v>
      </c>
      <c r="E571" s="46">
        <v>0</v>
      </c>
      <c r="F571" s="46" t="s">
        <v>777</v>
      </c>
      <c r="G571" s="46" t="s">
        <v>1305</v>
      </c>
      <c r="H571" s="46" t="s">
        <v>2464</v>
      </c>
      <c r="I571" s="46" t="str">
        <f ca="1">IFERROR(__xludf.DUMMYFUNCTION("CONCAT(A571,REGEXREPLACE(H571,"".*_L0"",""_L0""))"),"PD_BN1827_MTG_snRNAseq_rep1_L003_I2_001.fastq.gz")</f>
        <v>PD_BN1827_MTG_snRNAseq_rep1_L003_I2_001.fastq.gz</v>
      </c>
      <c r="J571" s="46" t="str">
        <f t="shared" si="2"/>
        <v>/data/neurogen/ASAP/scRNAseq/data/batch10_ASAP_snRNA-seq_*/Raw_Data_and_Processing/cellranger_processing/cellranger_fastqs/outs/fastq_path/H*/BN1827_S1_L003_I2_001.fastq.gz</v>
      </c>
      <c r="K571" s="46" t="s">
        <v>1338</v>
      </c>
      <c r="L571" s="46" t="s">
        <v>2465</v>
      </c>
      <c r="M571" s="46" t="s">
        <v>1309</v>
      </c>
      <c r="N571" s="46" t="s">
        <v>1310</v>
      </c>
      <c r="O571" s="46" t="s">
        <v>1311</v>
      </c>
      <c r="P571" s="46" t="s">
        <v>1312</v>
      </c>
      <c r="Q571" s="46" t="s">
        <v>31</v>
      </c>
      <c r="R571" s="46" t="s">
        <v>31</v>
      </c>
      <c r="S571" s="46" t="s">
        <v>31</v>
      </c>
      <c r="T571" s="46" t="s">
        <v>31</v>
      </c>
      <c r="U571" s="46" t="s">
        <v>49</v>
      </c>
    </row>
    <row r="572" spans="1:21">
      <c r="A572" s="46" t="s">
        <v>776</v>
      </c>
      <c r="B572" s="46" t="s">
        <v>203</v>
      </c>
      <c r="C572" s="46" t="s">
        <v>666</v>
      </c>
      <c r="D572" s="46">
        <v>1</v>
      </c>
      <c r="E572" s="46">
        <v>0</v>
      </c>
      <c r="F572" s="46" t="s">
        <v>777</v>
      </c>
      <c r="G572" s="46" t="s">
        <v>1305</v>
      </c>
      <c r="H572" s="46" t="s">
        <v>2466</v>
      </c>
      <c r="I572" s="46" t="str">
        <f ca="1">IFERROR(__xludf.DUMMYFUNCTION("CONCAT(A572,REGEXREPLACE(H572,"".*_L0"",""_L0""))"),"PD_BN1827_MTG_snRNAseq_rep1_L003_R1_001.fastq.gz")</f>
        <v>PD_BN1827_MTG_snRNAseq_rep1_L003_R1_001.fastq.gz</v>
      </c>
      <c r="J572" s="46" t="str">
        <f t="shared" si="2"/>
        <v>/data/neurogen/ASAP/scRNAseq/data/batch10_ASAP_snRNA-seq_*/Raw_Data_and_Processing/cellranger_processing/cellranger_fastqs/outs/fastq_path/H*/BN1827_S1_L003_R1_001.fastq.gz</v>
      </c>
      <c r="K572" s="46" t="s">
        <v>1341</v>
      </c>
      <c r="L572" s="46" t="s">
        <v>2467</v>
      </c>
      <c r="M572" s="46" t="s">
        <v>1309</v>
      </c>
      <c r="N572" s="46" t="s">
        <v>1310</v>
      </c>
      <c r="O572" s="46" t="s">
        <v>1311</v>
      </c>
      <c r="P572" s="46" t="s">
        <v>1312</v>
      </c>
      <c r="Q572" s="46" t="s">
        <v>31</v>
      </c>
      <c r="R572" s="46" t="s">
        <v>31</v>
      </c>
      <c r="S572" s="46" t="s">
        <v>31</v>
      </c>
      <c r="T572" s="46" t="s">
        <v>31</v>
      </c>
      <c r="U572" s="46" t="s">
        <v>49</v>
      </c>
    </row>
    <row r="573" spans="1:21">
      <c r="A573" s="46" t="s">
        <v>776</v>
      </c>
      <c r="B573" s="46" t="s">
        <v>203</v>
      </c>
      <c r="C573" s="46" t="s">
        <v>666</v>
      </c>
      <c r="D573" s="46">
        <v>1</v>
      </c>
      <c r="E573" s="46">
        <v>0</v>
      </c>
      <c r="F573" s="46" t="s">
        <v>777</v>
      </c>
      <c r="G573" s="46" t="s">
        <v>1305</v>
      </c>
      <c r="H573" s="46" t="s">
        <v>2468</v>
      </c>
      <c r="I573" s="46" t="str">
        <f ca="1">IFERROR(__xludf.DUMMYFUNCTION("CONCAT(A573,REGEXREPLACE(H573,"".*_L0"",""_L0""))"),"PD_BN1827_MTG_snRNAseq_rep1_L003_R2_001.fastq.gz")</f>
        <v>PD_BN1827_MTG_snRNAseq_rep1_L003_R2_001.fastq.gz</v>
      </c>
      <c r="J573" s="46" t="str">
        <f t="shared" si="2"/>
        <v>/data/neurogen/ASAP/scRNAseq/data/batch10_ASAP_snRNA-seq_*/Raw_Data_and_Processing/cellranger_processing/cellranger_fastqs/outs/fastq_path/H*/BN1827_S1_L003_R2_001.fastq.gz</v>
      </c>
      <c r="K573" s="46" t="s">
        <v>1344</v>
      </c>
      <c r="L573" s="46" t="s">
        <v>2469</v>
      </c>
      <c r="M573" s="46" t="s">
        <v>1309</v>
      </c>
      <c r="N573" s="46" t="s">
        <v>1310</v>
      </c>
      <c r="O573" s="46" t="s">
        <v>1311</v>
      </c>
      <c r="P573" s="46" t="s">
        <v>1312</v>
      </c>
      <c r="Q573" s="46" t="s">
        <v>31</v>
      </c>
      <c r="R573" s="46" t="s">
        <v>31</v>
      </c>
      <c r="S573" s="46" t="s">
        <v>31</v>
      </c>
      <c r="T573" s="46" t="s">
        <v>31</v>
      </c>
      <c r="U573" s="46" t="s">
        <v>49</v>
      </c>
    </row>
    <row r="574" spans="1:21">
      <c r="A574" s="46" t="s">
        <v>776</v>
      </c>
      <c r="B574" s="46" t="s">
        <v>203</v>
      </c>
      <c r="C574" s="46" t="s">
        <v>666</v>
      </c>
      <c r="D574" s="46">
        <v>1</v>
      </c>
      <c r="E574" s="46">
        <v>0</v>
      </c>
      <c r="F574" s="46" t="s">
        <v>777</v>
      </c>
      <c r="G574" s="46" t="s">
        <v>1305</v>
      </c>
      <c r="H574" s="46" t="s">
        <v>2470</v>
      </c>
      <c r="I574" s="46" t="str">
        <f ca="1">IFERROR(__xludf.DUMMYFUNCTION("CONCAT(A574,REGEXREPLACE(H574,"".*_L0"",""_L0""))"),"PD_BN1827_MTG_snRNAseq_rep1_L004_I1_001.fastq.gz")</f>
        <v>PD_BN1827_MTG_snRNAseq_rep1_L004_I1_001.fastq.gz</v>
      </c>
      <c r="J574" s="46" t="str">
        <f t="shared" si="2"/>
        <v>/data/neurogen/ASAP/scRNAseq/data/batch10_ASAP_snRNA-seq_*/Raw_Data_and_Processing/cellranger_processing/cellranger_fastqs/outs/fastq_path/H*/BN1827_S1_L004_I1_001.fastq.gz</v>
      </c>
      <c r="K574" s="46" t="s">
        <v>1347</v>
      </c>
      <c r="L574" s="46" t="s">
        <v>2471</v>
      </c>
      <c r="M574" s="46" t="s">
        <v>1309</v>
      </c>
      <c r="N574" s="46" t="s">
        <v>1310</v>
      </c>
      <c r="O574" s="46" t="s">
        <v>1311</v>
      </c>
      <c r="P574" s="46" t="s">
        <v>1312</v>
      </c>
      <c r="Q574" s="46" t="s">
        <v>31</v>
      </c>
      <c r="R574" s="46" t="s">
        <v>31</v>
      </c>
      <c r="S574" s="46" t="s">
        <v>31</v>
      </c>
      <c r="T574" s="46" t="s">
        <v>31</v>
      </c>
      <c r="U574" s="46" t="s">
        <v>49</v>
      </c>
    </row>
    <row r="575" spans="1:21">
      <c r="A575" s="46" t="s">
        <v>776</v>
      </c>
      <c r="B575" s="46" t="s">
        <v>203</v>
      </c>
      <c r="C575" s="46" t="s">
        <v>666</v>
      </c>
      <c r="D575" s="46">
        <v>1</v>
      </c>
      <c r="E575" s="46">
        <v>0</v>
      </c>
      <c r="F575" s="46" t="s">
        <v>777</v>
      </c>
      <c r="G575" s="46" t="s">
        <v>1305</v>
      </c>
      <c r="H575" s="46" t="s">
        <v>2472</v>
      </c>
      <c r="I575" s="46" t="str">
        <f ca="1">IFERROR(__xludf.DUMMYFUNCTION("CONCAT(A575,REGEXREPLACE(H575,"".*_L0"",""_L0""))"),"PD_BN1827_MTG_snRNAseq_rep1_L004_I2_001.fastq.gz")</f>
        <v>PD_BN1827_MTG_snRNAseq_rep1_L004_I2_001.fastq.gz</v>
      </c>
      <c r="J575" s="46" t="str">
        <f t="shared" si="2"/>
        <v>/data/neurogen/ASAP/scRNAseq/data/batch10_ASAP_snRNA-seq_*/Raw_Data_and_Processing/cellranger_processing/cellranger_fastqs/outs/fastq_path/H*/BN1827_S1_L004_I2_001.fastq.gz</v>
      </c>
      <c r="K575" s="46" t="s">
        <v>1350</v>
      </c>
      <c r="L575" s="46" t="s">
        <v>2473</v>
      </c>
      <c r="M575" s="46" t="s">
        <v>1309</v>
      </c>
      <c r="N575" s="46" t="s">
        <v>1310</v>
      </c>
      <c r="O575" s="46" t="s">
        <v>1311</v>
      </c>
      <c r="P575" s="46" t="s">
        <v>1312</v>
      </c>
      <c r="Q575" s="46" t="s">
        <v>31</v>
      </c>
      <c r="R575" s="46" t="s">
        <v>31</v>
      </c>
      <c r="S575" s="46" t="s">
        <v>31</v>
      </c>
      <c r="T575" s="46" t="s">
        <v>31</v>
      </c>
      <c r="U575" s="46" t="s">
        <v>49</v>
      </c>
    </row>
    <row r="576" spans="1:21">
      <c r="A576" s="46" t="s">
        <v>776</v>
      </c>
      <c r="B576" s="46" t="s">
        <v>203</v>
      </c>
      <c r="C576" s="46" t="s">
        <v>666</v>
      </c>
      <c r="D576" s="46">
        <v>1</v>
      </c>
      <c r="E576" s="46">
        <v>0</v>
      </c>
      <c r="F576" s="46" t="s">
        <v>777</v>
      </c>
      <c r="G576" s="46" t="s">
        <v>1305</v>
      </c>
      <c r="H576" s="46" t="s">
        <v>2474</v>
      </c>
      <c r="I576" s="46" t="str">
        <f ca="1">IFERROR(__xludf.DUMMYFUNCTION("CONCAT(A576,REGEXREPLACE(H576,"".*_L0"",""_L0""))"),"PD_BN1827_MTG_snRNAseq_rep1_L004_R1_001.fastq.gz")</f>
        <v>PD_BN1827_MTG_snRNAseq_rep1_L004_R1_001.fastq.gz</v>
      </c>
      <c r="J576" s="46" t="str">
        <f t="shared" si="2"/>
        <v>/data/neurogen/ASAP/scRNAseq/data/batch10_ASAP_snRNA-seq_*/Raw_Data_and_Processing/cellranger_processing/cellranger_fastqs/outs/fastq_path/H*/BN1827_S1_L004_R1_001.fastq.gz</v>
      </c>
      <c r="K576" s="46" t="s">
        <v>1353</v>
      </c>
      <c r="L576" s="46" t="s">
        <v>2475</v>
      </c>
      <c r="M576" s="46" t="s">
        <v>1309</v>
      </c>
      <c r="N576" s="46" t="s">
        <v>1310</v>
      </c>
      <c r="O576" s="46" t="s">
        <v>1311</v>
      </c>
      <c r="P576" s="46" t="s">
        <v>1312</v>
      </c>
      <c r="Q576" s="46" t="s">
        <v>31</v>
      </c>
      <c r="R576" s="46" t="s">
        <v>31</v>
      </c>
      <c r="S576" s="46" t="s">
        <v>31</v>
      </c>
      <c r="T576" s="46" t="s">
        <v>31</v>
      </c>
      <c r="U576" s="46" t="s">
        <v>49</v>
      </c>
    </row>
    <row r="577" spans="1:21">
      <c r="A577" s="46" t="s">
        <v>776</v>
      </c>
      <c r="B577" s="46" t="s">
        <v>203</v>
      </c>
      <c r="C577" s="46" t="s">
        <v>666</v>
      </c>
      <c r="D577" s="46">
        <v>1</v>
      </c>
      <c r="E577" s="46">
        <v>0</v>
      </c>
      <c r="F577" s="46" t="s">
        <v>777</v>
      </c>
      <c r="G577" s="46" t="s">
        <v>1305</v>
      </c>
      <c r="H577" s="46" t="s">
        <v>2476</v>
      </c>
      <c r="I577" s="46" t="str">
        <f ca="1">IFERROR(__xludf.DUMMYFUNCTION("CONCAT(A577,REGEXREPLACE(H577,"".*_L0"",""_L0""))"),"PD_BN1827_MTG_snRNAseq_rep1_L004_R2_001.fastq.gz")</f>
        <v>PD_BN1827_MTG_snRNAseq_rep1_L004_R2_001.fastq.gz</v>
      </c>
      <c r="J577" s="46" t="str">
        <f t="shared" si="2"/>
        <v>/data/neurogen/ASAP/scRNAseq/data/batch10_ASAP_snRNA-seq_*/Raw_Data_and_Processing/cellranger_processing/cellranger_fastqs/outs/fastq_path/H*/BN1827_S1_L004_R2_001.fastq.gz</v>
      </c>
      <c r="K577" s="46" t="s">
        <v>1356</v>
      </c>
      <c r="L577" s="46" t="s">
        <v>2477</v>
      </c>
      <c r="M577" s="46" t="s">
        <v>1309</v>
      </c>
      <c r="N577" s="46" t="s">
        <v>1310</v>
      </c>
      <c r="O577" s="46" t="s">
        <v>1311</v>
      </c>
      <c r="P577" s="46" t="s">
        <v>1312</v>
      </c>
      <c r="Q577" s="46" t="s">
        <v>31</v>
      </c>
      <c r="R577" s="46" t="s">
        <v>31</v>
      </c>
      <c r="S577" s="46" t="s">
        <v>31</v>
      </c>
      <c r="T577" s="46" t="s">
        <v>31</v>
      </c>
      <c r="U577" s="46" t="s">
        <v>49</v>
      </c>
    </row>
    <row r="578" spans="1:21">
      <c r="A578" s="46" t="s">
        <v>779</v>
      </c>
      <c r="B578" s="46" t="s">
        <v>207</v>
      </c>
      <c r="C578" s="46" t="s">
        <v>666</v>
      </c>
      <c r="D578" s="46">
        <v>1</v>
      </c>
      <c r="E578" s="46">
        <v>0</v>
      </c>
      <c r="F578" s="46" t="s">
        <v>777</v>
      </c>
      <c r="G578" s="46" t="s">
        <v>1305</v>
      </c>
      <c r="H578" s="46" t="s">
        <v>2478</v>
      </c>
      <c r="I578" s="46" t="str">
        <f ca="1">IFERROR(__xludf.DUMMYFUNCTION("CONCAT(A578,REGEXREPLACE(H578,"".*_L0"",""_L0""))"),"PD_BN1839_MTG_snRNAseq_rep1_L001_I1_001.fastq.gz")</f>
        <v>PD_BN1839_MTG_snRNAseq_rep1_L001_I1_001.fastq.gz</v>
      </c>
      <c r="J578" s="46" t="str">
        <f t="shared" si="2"/>
        <v>/data/neurogen/ASAP/scRNAseq/data/batch10_ASAP_snRNA-seq_*/Raw_Data_and_Processing/cellranger_processing/cellranger_fastqs/outs/fastq_path/H*/BN1839_S4_L001_I1_001.fastq.gz</v>
      </c>
      <c r="K578" s="46" t="s">
        <v>1307</v>
      </c>
      <c r="L578" s="46" t="s">
        <v>2479</v>
      </c>
      <c r="M578" s="46" t="s">
        <v>1309</v>
      </c>
      <c r="N578" s="46" t="s">
        <v>1310</v>
      </c>
      <c r="O578" s="46" t="s">
        <v>1311</v>
      </c>
      <c r="P578" s="46" t="s">
        <v>1312</v>
      </c>
      <c r="Q578" s="46" t="s">
        <v>31</v>
      </c>
      <c r="R578" s="46" t="s">
        <v>31</v>
      </c>
      <c r="S578" s="46" t="s">
        <v>31</v>
      </c>
      <c r="T578" s="46" t="s">
        <v>31</v>
      </c>
      <c r="U578" s="46" t="s">
        <v>49</v>
      </c>
    </row>
    <row r="579" spans="1:21">
      <c r="A579" s="46" t="s">
        <v>779</v>
      </c>
      <c r="B579" s="46" t="s">
        <v>207</v>
      </c>
      <c r="C579" s="46" t="s">
        <v>666</v>
      </c>
      <c r="D579" s="46">
        <v>1</v>
      </c>
      <c r="E579" s="46">
        <v>0</v>
      </c>
      <c r="F579" s="46" t="s">
        <v>777</v>
      </c>
      <c r="G579" s="46" t="s">
        <v>1305</v>
      </c>
      <c r="H579" s="46" t="s">
        <v>2480</v>
      </c>
      <c r="I579" s="46" t="str">
        <f ca="1">IFERROR(__xludf.DUMMYFUNCTION("CONCAT(A579,REGEXREPLACE(H579,"".*_L0"",""_L0""))"),"PD_BN1839_MTG_snRNAseq_rep1_L001_I2_001.fastq.gz")</f>
        <v>PD_BN1839_MTG_snRNAseq_rep1_L001_I2_001.fastq.gz</v>
      </c>
      <c r="J579" s="46" t="str">
        <f t="shared" si="2"/>
        <v>/data/neurogen/ASAP/scRNAseq/data/batch10_ASAP_snRNA-seq_*/Raw_Data_and_Processing/cellranger_processing/cellranger_fastqs/outs/fastq_path/H*/BN1839_S4_L001_I2_001.fastq.gz</v>
      </c>
      <c r="K579" s="46" t="s">
        <v>1314</v>
      </c>
      <c r="L579" s="46" t="s">
        <v>2481</v>
      </c>
      <c r="M579" s="46" t="s">
        <v>1309</v>
      </c>
      <c r="N579" s="46" t="s">
        <v>1310</v>
      </c>
      <c r="O579" s="46" t="s">
        <v>1311</v>
      </c>
      <c r="P579" s="46" t="s">
        <v>1312</v>
      </c>
      <c r="Q579" s="46" t="s">
        <v>31</v>
      </c>
      <c r="R579" s="46" t="s">
        <v>31</v>
      </c>
      <c r="S579" s="46" t="s">
        <v>31</v>
      </c>
      <c r="T579" s="46" t="s">
        <v>31</v>
      </c>
      <c r="U579" s="46" t="s">
        <v>49</v>
      </c>
    </row>
    <row r="580" spans="1:21">
      <c r="A580" s="46" t="s">
        <v>779</v>
      </c>
      <c r="B580" s="46" t="s">
        <v>207</v>
      </c>
      <c r="C580" s="46" t="s">
        <v>666</v>
      </c>
      <c r="D580" s="46">
        <v>1</v>
      </c>
      <c r="E580" s="46">
        <v>0</v>
      </c>
      <c r="F580" s="46" t="s">
        <v>777</v>
      </c>
      <c r="G580" s="46" t="s">
        <v>1305</v>
      </c>
      <c r="H580" s="46" t="s">
        <v>2482</v>
      </c>
      <c r="I580" s="46" t="str">
        <f ca="1">IFERROR(__xludf.DUMMYFUNCTION("CONCAT(A580,REGEXREPLACE(H580,"".*_L0"",""_L0""))"),"PD_BN1839_MTG_snRNAseq_rep1_L001_R1_001.fastq.gz")</f>
        <v>PD_BN1839_MTG_snRNAseq_rep1_L001_R1_001.fastq.gz</v>
      </c>
      <c r="J580" s="46" t="str">
        <f t="shared" si="2"/>
        <v>/data/neurogen/ASAP/scRNAseq/data/batch10_ASAP_snRNA-seq_*/Raw_Data_and_Processing/cellranger_processing/cellranger_fastqs/outs/fastq_path/H*/BN1839_S4_L001_R1_001.fastq.gz</v>
      </c>
      <c r="K580" s="46" t="s">
        <v>1317</v>
      </c>
      <c r="L580" s="46" t="s">
        <v>2483</v>
      </c>
      <c r="M580" s="46" t="s">
        <v>1309</v>
      </c>
      <c r="N580" s="46" t="s">
        <v>1310</v>
      </c>
      <c r="O580" s="46" t="s">
        <v>1311</v>
      </c>
      <c r="P580" s="46" t="s">
        <v>1312</v>
      </c>
      <c r="Q580" s="46" t="s">
        <v>31</v>
      </c>
      <c r="R580" s="46" t="s">
        <v>31</v>
      </c>
      <c r="S580" s="46" t="s">
        <v>31</v>
      </c>
      <c r="T580" s="46" t="s">
        <v>31</v>
      </c>
      <c r="U580" s="46" t="s">
        <v>49</v>
      </c>
    </row>
    <row r="581" spans="1:21">
      <c r="A581" s="46" t="s">
        <v>779</v>
      </c>
      <c r="B581" s="46" t="s">
        <v>207</v>
      </c>
      <c r="C581" s="46" t="s">
        <v>666</v>
      </c>
      <c r="D581" s="46">
        <v>1</v>
      </c>
      <c r="E581" s="46">
        <v>0</v>
      </c>
      <c r="F581" s="46" t="s">
        <v>777</v>
      </c>
      <c r="G581" s="46" t="s">
        <v>1305</v>
      </c>
      <c r="H581" s="46" t="s">
        <v>2484</v>
      </c>
      <c r="I581" s="46" t="str">
        <f ca="1">IFERROR(__xludf.DUMMYFUNCTION("CONCAT(A581,REGEXREPLACE(H581,"".*_L0"",""_L0""))"),"PD_BN1839_MTG_snRNAseq_rep1_L001_R2_001.fastq.gz")</f>
        <v>PD_BN1839_MTG_snRNAseq_rep1_L001_R2_001.fastq.gz</v>
      </c>
      <c r="J581" s="46" t="str">
        <f t="shared" si="2"/>
        <v>/data/neurogen/ASAP/scRNAseq/data/batch10_ASAP_snRNA-seq_*/Raw_Data_and_Processing/cellranger_processing/cellranger_fastqs/outs/fastq_path/H*/BN1839_S4_L001_R2_001.fastq.gz</v>
      </c>
      <c r="K581" s="46" t="s">
        <v>1320</v>
      </c>
      <c r="L581" s="46" t="s">
        <v>2485</v>
      </c>
      <c r="M581" s="46" t="s">
        <v>1309</v>
      </c>
      <c r="N581" s="46" t="s">
        <v>1310</v>
      </c>
      <c r="O581" s="46" t="s">
        <v>1311</v>
      </c>
      <c r="P581" s="46" t="s">
        <v>1312</v>
      </c>
      <c r="Q581" s="46" t="s">
        <v>31</v>
      </c>
      <c r="R581" s="46" t="s">
        <v>31</v>
      </c>
      <c r="S581" s="46" t="s">
        <v>31</v>
      </c>
      <c r="T581" s="46" t="s">
        <v>31</v>
      </c>
      <c r="U581" s="46" t="s">
        <v>49</v>
      </c>
    </row>
    <row r="582" spans="1:21">
      <c r="A582" s="46" t="s">
        <v>779</v>
      </c>
      <c r="B582" s="46" t="s">
        <v>207</v>
      </c>
      <c r="C582" s="46" t="s">
        <v>666</v>
      </c>
      <c r="D582" s="46">
        <v>1</v>
      </c>
      <c r="E582" s="46">
        <v>0</v>
      </c>
      <c r="F582" s="46" t="s">
        <v>777</v>
      </c>
      <c r="G582" s="46" t="s">
        <v>1305</v>
      </c>
      <c r="H582" s="46" t="s">
        <v>2486</v>
      </c>
      <c r="I582" s="46" t="str">
        <f ca="1">IFERROR(__xludf.DUMMYFUNCTION("CONCAT(A582,REGEXREPLACE(H582,"".*_L0"",""_L0""))"),"PD_BN1839_MTG_snRNAseq_rep1_L002_I1_001.fastq.gz")</f>
        <v>PD_BN1839_MTG_snRNAseq_rep1_L002_I1_001.fastq.gz</v>
      </c>
      <c r="J582" s="46" t="str">
        <f t="shared" si="2"/>
        <v>/data/neurogen/ASAP/scRNAseq/data/batch10_ASAP_snRNA-seq_*/Raw_Data_and_Processing/cellranger_processing/cellranger_fastqs/outs/fastq_path/H*/BN1839_S4_L002_I1_001.fastq.gz</v>
      </c>
      <c r="K582" s="46" t="s">
        <v>1323</v>
      </c>
      <c r="L582" s="46" t="s">
        <v>2487</v>
      </c>
      <c r="M582" s="46" t="s">
        <v>1309</v>
      </c>
      <c r="N582" s="46" t="s">
        <v>1310</v>
      </c>
      <c r="O582" s="46" t="s">
        <v>1311</v>
      </c>
      <c r="P582" s="46" t="s">
        <v>1312</v>
      </c>
      <c r="Q582" s="46" t="s">
        <v>31</v>
      </c>
      <c r="R582" s="46" t="s">
        <v>31</v>
      </c>
      <c r="S582" s="46" t="s">
        <v>31</v>
      </c>
      <c r="T582" s="46" t="s">
        <v>31</v>
      </c>
      <c r="U582" s="46" t="s">
        <v>49</v>
      </c>
    </row>
    <row r="583" spans="1:21">
      <c r="A583" s="46" t="s">
        <v>779</v>
      </c>
      <c r="B583" s="46" t="s">
        <v>207</v>
      </c>
      <c r="C583" s="46" t="s">
        <v>666</v>
      </c>
      <c r="D583" s="46">
        <v>1</v>
      </c>
      <c r="E583" s="46">
        <v>0</v>
      </c>
      <c r="F583" s="46" t="s">
        <v>777</v>
      </c>
      <c r="G583" s="46" t="s">
        <v>1305</v>
      </c>
      <c r="H583" s="46" t="s">
        <v>2488</v>
      </c>
      <c r="I583" s="46" t="str">
        <f ca="1">IFERROR(__xludf.DUMMYFUNCTION("CONCAT(A583,REGEXREPLACE(H583,"".*_L0"",""_L0""))"),"PD_BN1839_MTG_snRNAseq_rep1_L002_I2_001.fastq.gz")</f>
        <v>PD_BN1839_MTG_snRNAseq_rep1_L002_I2_001.fastq.gz</v>
      </c>
      <c r="J583" s="46" t="str">
        <f t="shared" si="2"/>
        <v>/data/neurogen/ASAP/scRNAseq/data/batch10_ASAP_snRNA-seq_*/Raw_Data_and_Processing/cellranger_processing/cellranger_fastqs/outs/fastq_path/H*/BN1839_S4_L002_I2_001.fastq.gz</v>
      </c>
      <c r="K583" s="46" t="s">
        <v>1326</v>
      </c>
      <c r="L583" s="46" t="s">
        <v>2489</v>
      </c>
      <c r="M583" s="46" t="s">
        <v>1309</v>
      </c>
      <c r="N583" s="46" t="s">
        <v>1310</v>
      </c>
      <c r="O583" s="46" t="s">
        <v>1311</v>
      </c>
      <c r="P583" s="46" t="s">
        <v>1312</v>
      </c>
      <c r="Q583" s="46" t="s">
        <v>31</v>
      </c>
      <c r="R583" s="46" t="s">
        <v>31</v>
      </c>
      <c r="S583" s="46" t="s">
        <v>31</v>
      </c>
      <c r="T583" s="46" t="s">
        <v>31</v>
      </c>
      <c r="U583" s="46" t="s">
        <v>49</v>
      </c>
    </row>
    <row r="584" spans="1:21">
      <c r="A584" s="46" t="s">
        <v>779</v>
      </c>
      <c r="B584" s="46" t="s">
        <v>207</v>
      </c>
      <c r="C584" s="46" t="s">
        <v>666</v>
      </c>
      <c r="D584" s="46">
        <v>1</v>
      </c>
      <c r="E584" s="46">
        <v>0</v>
      </c>
      <c r="F584" s="46" t="s">
        <v>777</v>
      </c>
      <c r="G584" s="46" t="s">
        <v>1305</v>
      </c>
      <c r="H584" s="46" t="s">
        <v>2490</v>
      </c>
      <c r="I584" s="46" t="str">
        <f ca="1">IFERROR(__xludf.DUMMYFUNCTION("CONCAT(A584,REGEXREPLACE(H584,"".*_L0"",""_L0""))"),"PD_BN1839_MTG_snRNAseq_rep1_L002_R1_001.fastq.gz")</f>
        <v>PD_BN1839_MTG_snRNAseq_rep1_L002_R1_001.fastq.gz</v>
      </c>
      <c r="J584" s="46" t="str">
        <f t="shared" si="2"/>
        <v>/data/neurogen/ASAP/scRNAseq/data/batch10_ASAP_snRNA-seq_*/Raw_Data_and_Processing/cellranger_processing/cellranger_fastqs/outs/fastq_path/H*/BN1839_S4_L002_R1_001.fastq.gz</v>
      </c>
      <c r="K584" s="46" t="s">
        <v>1329</v>
      </c>
      <c r="L584" s="46" t="s">
        <v>2491</v>
      </c>
      <c r="M584" s="46" t="s">
        <v>1309</v>
      </c>
      <c r="N584" s="46" t="s">
        <v>1310</v>
      </c>
      <c r="O584" s="46" t="s">
        <v>1311</v>
      </c>
      <c r="P584" s="46" t="s">
        <v>1312</v>
      </c>
      <c r="Q584" s="46" t="s">
        <v>31</v>
      </c>
      <c r="R584" s="46" t="s">
        <v>31</v>
      </c>
      <c r="S584" s="46" t="s">
        <v>31</v>
      </c>
      <c r="T584" s="46" t="s">
        <v>31</v>
      </c>
      <c r="U584" s="46" t="s">
        <v>49</v>
      </c>
    </row>
    <row r="585" spans="1:21">
      <c r="A585" s="46" t="s">
        <v>779</v>
      </c>
      <c r="B585" s="46" t="s">
        <v>207</v>
      </c>
      <c r="C585" s="46" t="s">
        <v>666</v>
      </c>
      <c r="D585" s="46">
        <v>1</v>
      </c>
      <c r="E585" s="46">
        <v>0</v>
      </c>
      <c r="F585" s="46" t="s">
        <v>777</v>
      </c>
      <c r="G585" s="46" t="s">
        <v>1305</v>
      </c>
      <c r="H585" s="46" t="s">
        <v>2492</v>
      </c>
      <c r="I585" s="46" t="str">
        <f ca="1">IFERROR(__xludf.DUMMYFUNCTION("CONCAT(A585,REGEXREPLACE(H585,"".*_L0"",""_L0""))"),"PD_BN1839_MTG_snRNAseq_rep1_L002_R2_001.fastq.gz")</f>
        <v>PD_BN1839_MTG_snRNAseq_rep1_L002_R2_001.fastq.gz</v>
      </c>
      <c r="J585" s="46" t="str">
        <f t="shared" si="2"/>
        <v>/data/neurogen/ASAP/scRNAseq/data/batch10_ASAP_snRNA-seq_*/Raw_Data_and_Processing/cellranger_processing/cellranger_fastqs/outs/fastq_path/H*/BN1839_S4_L002_R2_001.fastq.gz</v>
      </c>
      <c r="K585" s="46" t="s">
        <v>1332</v>
      </c>
      <c r="L585" s="46" t="s">
        <v>2493</v>
      </c>
      <c r="M585" s="46" t="s">
        <v>1309</v>
      </c>
      <c r="N585" s="46" t="s">
        <v>1310</v>
      </c>
      <c r="O585" s="46" t="s">
        <v>1311</v>
      </c>
      <c r="P585" s="46" t="s">
        <v>1312</v>
      </c>
      <c r="Q585" s="46" t="s">
        <v>31</v>
      </c>
      <c r="R585" s="46" t="s">
        <v>31</v>
      </c>
      <c r="S585" s="46" t="s">
        <v>31</v>
      </c>
      <c r="T585" s="46" t="s">
        <v>31</v>
      </c>
      <c r="U585" s="46" t="s">
        <v>49</v>
      </c>
    </row>
    <row r="586" spans="1:21">
      <c r="A586" s="46" t="s">
        <v>779</v>
      </c>
      <c r="B586" s="46" t="s">
        <v>207</v>
      </c>
      <c r="C586" s="46" t="s">
        <v>666</v>
      </c>
      <c r="D586" s="46">
        <v>1</v>
      </c>
      <c r="E586" s="46">
        <v>0</v>
      </c>
      <c r="F586" s="46" t="s">
        <v>777</v>
      </c>
      <c r="G586" s="46" t="s">
        <v>1305</v>
      </c>
      <c r="H586" s="46" t="s">
        <v>2494</v>
      </c>
      <c r="I586" s="46" t="str">
        <f ca="1">IFERROR(__xludf.DUMMYFUNCTION("CONCAT(A586,REGEXREPLACE(H586,"".*_L0"",""_L0""))"),"PD_BN1839_MTG_snRNAseq_rep1_L003_I1_001.fastq.gz")</f>
        <v>PD_BN1839_MTG_snRNAseq_rep1_L003_I1_001.fastq.gz</v>
      </c>
      <c r="J586" s="46" t="str">
        <f t="shared" si="2"/>
        <v>/data/neurogen/ASAP/scRNAseq/data/batch10_ASAP_snRNA-seq_*/Raw_Data_and_Processing/cellranger_processing/cellranger_fastqs/outs/fastq_path/H*/BN1839_S4_L003_I1_001.fastq.gz</v>
      </c>
      <c r="K586" s="46" t="s">
        <v>1335</v>
      </c>
      <c r="L586" s="46" t="s">
        <v>2495</v>
      </c>
      <c r="M586" s="46" t="s">
        <v>1309</v>
      </c>
      <c r="N586" s="46" t="s">
        <v>1310</v>
      </c>
      <c r="O586" s="46" t="s">
        <v>1311</v>
      </c>
      <c r="P586" s="46" t="s">
        <v>1312</v>
      </c>
      <c r="Q586" s="46" t="s">
        <v>31</v>
      </c>
      <c r="R586" s="46" t="s">
        <v>31</v>
      </c>
      <c r="S586" s="46" t="s">
        <v>31</v>
      </c>
      <c r="T586" s="46" t="s">
        <v>31</v>
      </c>
      <c r="U586" s="46" t="s">
        <v>49</v>
      </c>
    </row>
    <row r="587" spans="1:21">
      <c r="A587" s="46" t="s">
        <v>779</v>
      </c>
      <c r="B587" s="46" t="s">
        <v>207</v>
      </c>
      <c r="C587" s="46" t="s">
        <v>666</v>
      </c>
      <c r="D587" s="46">
        <v>1</v>
      </c>
      <c r="E587" s="46">
        <v>0</v>
      </c>
      <c r="F587" s="46" t="s">
        <v>777</v>
      </c>
      <c r="G587" s="46" t="s">
        <v>1305</v>
      </c>
      <c r="H587" s="46" t="s">
        <v>2496</v>
      </c>
      <c r="I587" s="46" t="str">
        <f ca="1">IFERROR(__xludf.DUMMYFUNCTION("CONCAT(A587,REGEXREPLACE(H587,"".*_L0"",""_L0""))"),"PD_BN1839_MTG_snRNAseq_rep1_L003_I2_001.fastq.gz")</f>
        <v>PD_BN1839_MTG_snRNAseq_rep1_L003_I2_001.fastq.gz</v>
      </c>
      <c r="J587" s="46" t="str">
        <f t="shared" si="2"/>
        <v>/data/neurogen/ASAP/scRNAseq/data/batch10_ASAP_snRNA-seq_*/Raw_Data_and_Processing/cellranger_processing/cellranger_fastqs/outs/fastq_path/H*/BN1839_S4_L003_I2_001.fastq.gz</v>
      </c>
      <c r="K587" s="46" t="s">
        <v>1338</v>
      </c>
      <c r="L587" s="46" t="s">
        <v>2497</v>
      </c>
      <c r="M587" s="46" t="s">
        <v>1309</v>
      </c>
      <c r="N587" s="46" t="s">
        <v>1310</v>
      </c>
      <c r="O587" s="46" t="s">
        <v>1311</v>
      </c>
      <c r="P587" s="46" t="s">
        <v>1312</v>
      </c>
      <c r="Q587" s="46" t="s">
        <v>31</v>
      </c>
      <c r="R587" s="46" t="s">
        <v>31</v>
      </c>
      <c r="S587" s="46" t="s">
        <v>31</v>
      </c>
      <c r="T587" s="46" t="s">
        <v>31</v>
      </c>
      <c r="U587" s="46" t="s">
        <v>49</v>
      </c>
    </row>
    <row r="588" spans="1:21">
      <c r="A588" s="46" t="s">
        <v>779</v>
      </c>
      <c r="B588" s="46" t="s">
        <v>207</v>
      </c>
      <c r="C588" s="46" t="s">
        <v>666</v>
      </c>
      <c r="D588" s="46">
        <v>1</v>
      </c>
      <c r="E588" s="46">
        <v>0</v>
      </c>
      <c r="F588" s="46" t="s">
        <v>777</v>
      </c>
      <c r="G588" s="46" t="s">
        <v>1305</v>
      </c>
      <c r="H588" s="46" t="s">
        <v>2498</v>
      </c>
      <c r="I588" s="46" t="str">
        <f ca="1">IFERROR(__xludf.DUMMYFUNCTION("CONCAT(A588,REGEXREPLACE(H588,"".*_L0"",""_L0""))"),"PD_BN1839_MTG_snRNAseq_rep1_L003_R1_001.fastq.gz")</f>
        <v>PD_BN1839_MTG_snRNAseq_rep1_L003_R1_001.fastq.gz</v>
      </c>
      <c r="J588" s="46" t="str">
        <f t="shared" si="2"/>
        <v>/data/neurogen/ASAP/scRNAseq/data/batch10_ASAP_snRNA-seq_*/Raw_Data_and_Processing/cellranger_processing/cellranger_fastqs/outs/fastq_path/H*/BN1839_S4_L003_R1_001.fastq.gz</v>
      </c>
      <c r="K588" s="46" t="s">
        <v>1341</v>
      </c>
      <c r="L588" s="46" t="s">
        <v>2499</v>
      </c>
      <c r="M588" s="46" t="s">
        <v>1309</v>
      </c>
      <c r="N588" s="46" t="s">
        <v>1310</v>
      </c>
      <c r="O588" s="46" t="s">
        <v>1311</v>
      </c>
      <c r="P588" s="46" t="s">
        <v>1312</v>
      </c>
      <c r="Q588" s="46" t="s">
        <v>31</v>
      </c>
      <c r="R588" s="46" t="s">
        <v>31</v>
      </c>
      <c r="S588" s="46" t="s">
        <v>31</v>
      </c>
      <c r="T588" s="46" t="s">
        <v>31</v>
      </c>
      <c r="U588" s="46" t="s">
        <v>49</v>
      </c>
    </row>
    <row r="589" spans="1:21">
      <c r="A589" s="46" t="s">
        <v>779</v>
      </c>
      <c r="B589" s="46" t="s">
        <v>207</v>
      </c>
      <c r="C589" s="46" t="s">
        <v>666</v>
      </c>
      <c r="D589" s="46">
        <v>1</v>
      </c>
      <c r="E589" s="46">
        <v>0</v>
      </c>
      <c r="F589" s="46" t="s">
        <v>777</v>
      </c>
      <c r="G589" s="46" t="s">
        <v>1305</v>
      </c>
      <c r="H589" s="46" t="s">
        <v>2500</v>
      </c>
      <c r="I589" s="46" t="str">
        <f ca="1">IFERROR(__xludf.DUMMYFUNCTION("CONCAT(A589,REGEXREPLACE(H589,"".*_L0"",""_L0""))"),"PD_BN1839_MTG_snRNAseq_rep1_L003_R2_001.fastq.gz")</f>
        <v>PD_BN1839_MTG_snRNAseq_rep1_L003_R2_001.fastq.gz</v>
      </c>
      <c r="J589" s="46" t="str">
        <f t="shared" si="2"/>
        <v>/data/neurogen/ASAP/scRNAseq/data/batch10_ASAP_snRNA-seq_*/Raw_Data_and_Processing/cellranger_processing/cellranger_fastqs/outs/fastq_path/H*/BN1839_S4_L003_R2_001.fastq.gz</v>
      </c>
      <c r="K589" s="46" t="s">
        <v>1344</v>
      </c>
      <c r="L589" s="46" t="s">
        <v>2501</v>
      </c>
      <c r="M589" s="46" t="s">
        <v>1309</v>
      </c>
      <c r="N589" s="46" t="s">
        <v>1310</v>
      </c>
      <c r="O589" s="46" t="s">
        <v>1311</v>
      </c>
      <c r="P589" s="46" t="s">
        <v>1312</v>
      </c>
      <c r="Q589" s="46" t="s">
        <v>31</v>
      </c>
      <c r="R589" s="46" t="s">
        <v>31</v>
      </c>
      <c r="S589" s="46" t="s">
        <v>31</v>
      </c>
      <c r="T589" s="46" t="s">
        <v>31</v>
      </c>
      <c r="U589" s="46" t="s">
        <v>49</v>
      </c>
    </row>
    <row r="590" spans="1:21">
      <c r="A590" s="46" t="s">
        <v>779</v>
      </c>
      <c r="B590" s="46" t="s">
        <v>207</v>
      </c>
      <c r="C590" s="46" t="s">
        <v>666</v>
      </c>
      <c r="D590" s="46">
        <v>1</v>
      </c>
      <c r="E590" s="46">
        <v>0</v>
      </c>
      <c r="F590" s="46" t="s">
        <v>777</v>
      </c>
      <c r="G590" s="46" t="s">
        <v>1305</v>
      </c>
      <c r="H590" s="46" t="s">
        <v>2502</v>
      </c>
      <c r="I590" s="46" t="str">
        <f ca="1">IFERROR(__xludf.DUMMYFUNCTION("CONCAT(A590,REGEXREPLACE(H590,"".*_L0"",""_L0""))"),"PD_BN1839_MTG_snRNAseq_rep1_L004_I1_001.fastq.gz")</f>
        <v>PD_BN1839_MTG_snRNAseq_rep1_L004_I1_001.fastq.gz</v>
      </c>
      <c r="J590" s="46" t="str">
        <f t="shared" si="2"/>
        <v>/data/neurogen/ASAP/scRNAseq/data/batch10_ASAP_snRNA-seq_*/Raw_Data_and_Processing/cellranger_processing/cellranger_fastqs/outs/fastq_path/H*/BN1839_S4_L004_I1_001.fastq.gz</v>
      </c>
      <c r="K590" s="46" t="s">
        <v>1347</v>
      </c>
      <c r="L590" s="46" t="s">
        <v>2503</v>
      </c>
      <c r="M590" s="46" t="s">
        <v>1309</v>
      </c>
      <c r="N590" s="46" t="s">
        <v>1310</v>
      </c>
      <c r="O590" s="46" t="s">
        <v>1311</v>
      </c>
      <c r="P590" s="46" t="s">
        <v>1312</v>
      </c>
      <c r="Q590" s="46" t="s">
        <v>31</v>
      </c>
      <c r="R590" s="46" t="s">
        <v>31</v>
      </c>
      <c r="S590" s="46" t="s">
        <v>31</v>
      </c>
      <c r="T590" s="46" t="s">
        <v>31</v>
      </c>
      <c r="U590" s="46" t="s">
        <v>49</v>
      </c>
    </row>
    <row r="591" spans="1:21">
      <c r="A591" s="46" t="s">
        <v>779</v>
      </c>
      <c r="B591" s="46" t="s">
        <v>207</v>
      </c>
      <c r="C591" s="46" t="s">
        <v>666</v>
      </c>
      <c r="D591" s="46">
        <v>1</v>
      </c>
      <c r="E591" s="46">
        <v>0</v>
      </c>
      <c r="F591" s="46" t="s">
        <v>777</v>
      </c>
      <c r="G591" s="46" t="s">
        <v>1305</v>
      </c>
      <c r="H591" s="46" t="s">
        <v>2504</v>
      </c>
      <c r="I591" s="46" t="str">
        <f ca="1">IFERROR(__xludf.DUMMYFUNCTION("CONCAT(A591,REGEXREPLACE(H591,"".*_L0"",""_L0""))"),"PD_BN1839_MTG_snRNAseq_rep1_L004_I2_001.fastq.gz")</f>
        <v>PD_BN1839_MTG_snRNAseq_rep1_L004_I2_001.fastq.gz</v>
      </c>
      <c r="J591" s="46" t="str">
        <f t="shared" si="2"/>
        <v>/data/neurogen/ASAP/scRNAseq/data/batch10_ASAP_snRNA-seq_*/Raw_Data_and_Processing/cellranger_processing/cellranger_fastqs/outs/fastq_path/H*/BN1839_S4_L004_I2_001.fastq.gz</v>
      </c>
      <c r="K591" s="46" t="s">
        <v>1350</v>
      </c>
      <c r="L591" s="46" t="s">
        <v>2505</v>
      </c>
      <c r="M591" s="46" t="s">
        <v>1309</v>
      </c>
      <c r="N591" s="46" t="s">
        <v>1310</v>
      </c>
      <c r="O591" s="46" t="s">
        <v>1311</v>
      </c>
      <c r="P591" s="46" t="s">
        <v>1312</v>
      </c>
      <c r="Q591" s="46" t="s">
        <v>31</v>
      </c>
      <c r="R591" s="46" t="s">
        <v>31</v>
      </c>
      <c r="S591" s="46" t="s">
        <v>31</v>
      </c>
      <c r="T591" s="46" t="s">
        <v>31</v>
      </c>
      <c r="U591" s="46" t="s">
        <v>49</v>
      </c>
    </row>
    <row r="592" spans="1:21">
      <c r="A592" s="46" t="s">
        <v>779</v>
      </c>
      <c r="B592" s="46" t="s">
        <v>207</v>
      </c>
      <c r="C592" s="46" t="s">
        <v>666</v>
      </c>
      <c r="D592" s="46">
        <v>1</v>
      </c>
      <c r="E592" s="46">
        <v>0</v>
      </c>
      <c r="F592" s="46" t="s">
        <v>777</v>
      </c>
      <c r="G592" s="46" t="s">
        <v>1305</v>
      </c>
      <c r="H592" s="46" t="s">
        <v>2506</v>
      </c>
      <c r="I592" s="46" t="str">
        <f ca="1">IFERROR(__xludf.DUMMYFUNCTION("CONCAT(A592,REGEXREPLACE(H592,"".*_L0"",""_L0""))"),"PD_BN1839_MTG_snRNAseq_rep1_L004_R1_001.fastq.gz")</f>
        <v>PD_BN1839_MTG_snRNAseq_rep1_L004_R1_001.fastq.gz</v>
      </c>
      <c r="J592" s="46" t="str">
        <f t="shared" si="2"/>
        <v>/data/neurogen/ASAP/scRNAseq/data/batch10_ASAP_snRNA-seq_*/Raw_Data_and_Processing/cellranger_processing/cellranger_fastqs/outs/fastq_path/H*/BN1839_S4_L004_R1_001.fastq.gz</v>
      </c>
      <c r="K592" s="46" t="s">
        <v>1353</v>
      </c>
      <c r="L592" s="46" t="s">
        <v>2507</v>
      </c>
      <c r="M592" s="46" t="s">
        <v>1309</v>
      </c>
      <c r="N592" s="46" t="s">
        <v>1310</v>
      </c>
      <c r="O592" s="46" t="s">
        <v>1311</v>
      </c>
      <c r="P592" s="46" t="s">
        <v>1312</v>
      </c>
      <c r="Q592" s="46" t="s">
        <v>31</v>
      </c>
      <c r="R592" s="46" t="s">
        <v>31</v>
      </c>
      <c r="S592" s="46" t="s">
        <v>31</v>
      </c>
      <c r="T592" s="46" t="s">
        <v>31</v>
      </c>
      <c r="U592" s="46" t="s">
        <v>49</v>
      </c>
    </row>
    <row r="593" spans="1:21">
      <c r="A593" s="46" t="s">
        <v>779</v>
      </c>
      <c r="B593" s="46" t="s">
        <v>207</v>
      </c>
      <c r="C593" s="46" t="s">
        <v>666</v>
      </c>
      <c r="D593" s="46">
        <v>1</v>
      </c>
      <c r="E593" s="46">
        <v>0</v>
      </c>
      <c r="F593" s="46" t="s">
        <v>777</v>
      </c>
      <c r="G593" s="46" t="s">
        <v>1305</v>
      </c>
      <c r="H593" s="46" t="s">
        <v>2508</v>
      </c>
      <c r="I593" s="46" t="str">
        <f ca="1">IFERROR(__xludf.DUMMYFUNCTION("CONCAT(A593,REGEXREPLACE(H593,"".*_L0"",""_L0""))"),"PD_BN1839_MTG_snRNAseq_rep1_L004_R2_001.fastq.gz")</f>
        <v>PD_BN1839_MTG_snRNAseq_rep1_L004_R2_001.fastq.gz</v>
      </c>
      <c r="J593" s="46" t="str">
        <f t="shared" si="2"/>
        <v>/data/neurogen/ASAP/scRNAseq/data/batch10_ASAP_snRNA-seq_*/Raw_Data_and_Processing/cellranger_processing/cellranger_fastqs/outs/fastq_path/H*/BN1839_S4_L004_R2_001.fastq.gz</v>
      </c>
      <c r="K593" s="46" t="s">
        <v>1356</v>
      </c>
      <c r="L593" s="46" t="s">
        <v>2509</v>
      </c>
      <c r="M593" s="46" t="s">
        <v>1309</v>
      </c>
      <c r="N593" s="46" t="s">
        <v>1310</v>
      </c>
      <c r="O593" s="46" t="s">
        <v>1311</v>
      </c>
      <c r="P593" s="46" t="s">
        <v>1312</v>
      </c>
      <c r="Q593" s="46" t="s">
        <v>31</v>
      </c>
      <c r="R593" s="46" t="s">
        <v>31</v>
      </c>
      <c r="S593" s="46" t="s">
        <v>31</v>
      </c>
      <c r="T593" s="46" t="s">
        <v>31</v>
      </c>
      <c r="U593" s="46" t="s">
        <v>49</v>
      </c>
    </row>
    <row r="594" spans="1:21">
      <c r="A594" s="46" t="s">
        <v>785</v>
      </c>
      <c r="B594" s="46" t="s">
        <v>217</v>
      </c>
      <c r="C594" s="46" t="s">
        <v>666</v>
      </c>
      <c r="D594" s="46">
        <v>1</v>
      </c>
      <c r="E594" s="46">
        <v>0</v>
      </c>
      <c r="F594" s="46" t="s">
        <v>777</v>
      </c>
      <c r="G594" s="46" t="s">
        <v>1305</v>
      </c>
      <c r="H594" s="46" t="s">
        <v>2510</v>
      </c>
      <c r="I594" s="46" t="str">
        <f ca="1">IFERROR(__xludf.DUMMYFUNCTION("CONCAT(A594,REGEXREPLACE(H594,"".*_L0"",""_L0""))"),"ILB_BN1862_MTG_snRNAseq_rep1_L001_I1_001.fastq.gz")</f>
        <v>ILB_BN1862_MTG_snRNAseq_rep1_L001_I1_001.fastq.gz</v>
      </c>
      <c r="J594" s="46" t="str">
        <f t="shared" si="2"/>
        <v>/data/neurogen/ASAP/scRNAseq/data/batch10_ASAP_snRNA-seq_*/Raw_Data_and_Processing/cellranger_processing/cellranger_fastqs/outs/fastq_path/H*/BN1862_S2_L001_I1_001.fastq.gz</v>
      </c>
      <c r="K594" s="46" t="s">
        <v>1307</v>
      </c>
      <c r="L594" s="46" t="s">
        <v>2511</v>
      </c>
      <c r="M594" s="46" t="s">
        <v>1309</v>
      </c>
      <c r="N594" s="46" t="s">
        <v>1310</v>
      </c>
      <c r="O594" s="46" t="s">
        <v>1311</v>
      </c>
      <c r="P594" s="46" t="s">
        <v>1312</v>
      </c>
      <c r="Q594" s="46" t="s">
        <v>31</v>
      </c>
      <c r="R594" s="46" t="s">
        <v>31</v>
      </c>
      <c r="S594" s="46" t="s">
        <v>31</v>
      </c>
      <c r="T594" s="46" t="s">
        <v>31</v>
      </c>
      <c r="U594" s="46" t="s">
        <v>49</v>
      </c>
    </row>
    <row r="595" spans="1:21">
      <c r="A595" s="46" t="s">
        <v>785</v>
      </c>
      <c r="B595" s="46" t="s">
        <v>217</v>
      </c>
      <c r="C595" s="46" t="s">
        <v>666</v>
      </c>
      <c r="D595" s="46">
        <v>1</v>
      </c>
      <c r="E595" s="46">
        <v>0</v>
      </c>
      <c r="F595" s="46" t="s">
        <v>777</v>
      </c>
      <c r="G595" s="46" t="s">
        <v>1305</v>
      </c>
      <c r="H595" s="46" t="s">
        <v>2512</v>
      </c>
      <c r="I595" s="46" t="str">
        <f ca="1">IFERROR(__xludf.DUMMYFUNCTION("CONCAT(A595,REGEXREPLACE(H595,"".*_L0"",""_L0""))"),"ILB_BN1862_MTG_snRNAseq_rep1_L001_I2_001.fastq.gz")</f>
        <v>ILB_BN1862_MTG_snRNAseq_rep1_L001_I2_001.fastq.gz</v>
      </c>
      <c r="J595" s="46" t="str">
        <f t="shared" si="2"/>
        <v>/data/neurogen/ASAP/scRNAseq/data/batch10_ASAP_snRNA-seq_*/Raw_Data_and_Processing/cellranger_processing/cellranger_fastqs/outs/fastq_path/H*/BN1862_S2_L001_I2_001.fastq.gz</v>
      </c>
      <c r="K595" s="46" t="s">
        <v>1314</v>
      </c>
      <c r="L595" s="46" t="s">
        <v>2513</v>
      </c>
      <c r="M595" s="46" t="s">
        <v>1309</v>
      </c>
      <c r="N595" s="46" t="s">
        <v>1310</v>
      </c>
      <c r="O595" s="46" t="s">
        <v>1311</v>
      </c>
      <c r="P595" s="46" t="s">
        <v>1312</v>
      </c>
      <c r="Q595" s="46" t="s">
        <v>31</v>
      </c>
      <c r="R595" s="46" t="s">
        <v>31</v>
      </c>
      <c r="S595" s="46" t="s">
        <v>31</v>
      </c>
      <c r="T595" s="46" t="s">
        <v>31</v>
      </c>
      <c r="U595" s="46" t="s">
        <v>49</v>
      </c>
    </row>
    <row r="596" spans="1:21">
      <c r="A596" s="46" t="s">
        <v>785</v>
      </c>
      <c r="B596" s="46" t="s">
        <v>217</v>
      </c>
      <c r="C596" s="46" t="s">
        <v>666</v>
      </c>
      <c r="D596" s="46">
        <v>1</v>
      </c>
      <c r="E596" s="46">
        <v>0</v>
      </c>
      <c r="F596" s="46" t="s">
        <v>777</v>
      </c>
      <c r="G596" s="46" t="s">
        <v>1305</v>
      </c>
      <c r="H596" s="46" t="s">
        <v>2514</v>
      </c>
      <c r="I596" s="46" t="str">
        <f ca="1">IFERROR(__xludf.DUMMYFUNCTION("CONCAT(A596,REGEXREPLACE(H596,"".*_L0"",""_L0""))"),"ILB_BN1862_MTG_snRNAseq_rep1_L001_R1_001.fastq.gz")</f>
        <v>ILB_BN1862_MTG_snRNAseq_rep1_L001_R1_001.fastq.gz</v>
      </c>
      <c r="J596" s="46" t="str">
        <f t="shared" si="2"/>
        <v>/data/neurogen/ASAP/scRNAseq/data/batch10_ASAP_snRNA-seq_*/Raw_Data_and_Processing/cellranger_processing/cellranger_fastqs/outs/fastq_path/H*/BN1862_S2_L001_R1_001.fastq.gz</v>
      </c>
      <c r="K596" s="46" t="s">
        <v>1317</v>
      </c>
      <c r="L596" s="46" t="s">
        <v>2515</v>
      </c>
      <c r="M596" s="46" t="s">
        <v>1309</v>
      </c>
      <c r="N596" s="46" t="s">
        <v>1310</v>
      </c>
      <c r="O596" s="46" t="s">
        <v>1311</v>
      </c>
      <c r="P596" s="46" t="s">
        <v>1312</v>
      </c>
      <c r="Q596" s="46" t="s">
        <v>31</v>
      </c>
      <c r="R596" s="46" t="s">
        <v>31</v>
      </c>
      <c r="S596" s="46" t="s">
        <v>31</v>
      </c>
      <c r="T596" s="46" t="s">
        <v>31</v>
      </c>
      <c r="U596" s="46" t="s">
        <v>49</v>
      </c>
    </row>
    <row r="597" spans="1:21">
      <c r="A597" s="46" t="s">
        <v>785</v>
      </c>
      <c r="B597" s="46" t="s">
        <v>217</v>
      </c>
      <c r="C597" s="46" t="s">
        <v>666</v>
      </c>
      <c r="D597" s="46">
        <v>1</v>
      </c>
      <c r="E597" s="46">
        <v>0</v>
      </c>
      <c r="F597" s="46" t="s">
        <v>777</v>
      </c>
      <c r="G597" s="46" t="s">
        <v>1305</v>
      </c>
      <c r="H597" s="46" t="s">
        <v>2516</v>
      </c>
      <c r="I597" s="46" t="str">
        <f ca="1">IFERROR(__xludf.DUMMYFUNCTION("CONCAT(A597,REGEXREPLACE(H597,"".*_L0"",""_L0""))"),"ILB_BN1862_MTG_snRNAseq_rep1_L001_R2_001.fastq.gz")</f>
        <v>ILB_BN1862_MTG_snRNAseq_rep1_L001_R2_001.fastq.gz</v>
      </c>
      <c r="J597" s="46" t="str">
        <f t="shared" si="2"/>
        <v>/data/neurogen/ASAP/scRNAseq/data/batch10_ASAP_snRNA-seq_*/Raw_Data_and_Processing/cellranger_processing/cellranger_fastqs/outs/fastq_path/H*/BN1862_S2_L001_R2_001.fastq.gz</v>
      </c>
      <c r="K597" s="46" t="s">
        <v>1320</v>
      </c>
      <c r="L597" s="46" t="s">
        <v>2517</v>
      </c>
      <c r="M597" s="46" t="s">
        <v>1309</v>
      </c>
      <c r="N597" s="46" t="s">
        <v>1310</v>
      </c>
      <c r="O597" s="46" t="s">
        <v>1311</v>
      </c>
      <c r="P597" s="46" t="s">
        <v>1312</v>
      </c>
      <c r="Q597" s="46" t="s">
        <v>31</v>
      </c>
      <c r="R597" s="46" t="s">
        <v>31</v>
      </c>
      <c r="S597" s="46" t="s">
        <v>31</v>
      </c>
      <c r="T597" s="46" t="s">
        <v>31</v>
      </c>
      <c r="U597" s="46" t="s">
        <v>49</v>
      </c>
    </row>
    <row r="598" spans="1:21">
      <c r="A598" s="46" t="s">
        <v>785</v>
      </c>
      <c r="B598" s="46" t="s">
        <v>217</v>
      </c>
      <c r="C598" s="46" t="s">
        <v>666</v>
      </c>
      <c r="D598" s="46">
        <v>1</v>
      </c>
      <c r="E598" s="46">
        <v>0</v>
      </c>
      <c r="F598" s="46" t="s">
        <v>777</v>
      </c>
      <c r="G598" s="46" t="s">
        <v>1305</v>
      </c>
      <c r="H598" s="46" t="s">
        <v>2518</v>
      </c>
      <c r="I598" s="46" t="str">
        <f ca="1">IFERROR(__xludf.DUMMYFUNCTION("CONCAT(A598,REGEXREPLACE(H598,"".*_L0"",""_L0""))"),"ILB_BN1862_MTG_snRNAseq_rep1_L002_I1_001.fastq.gz")</f>
        <v>ILB_BN1862_MTG_snRNAseq_rep1_L002_I1_001.fastq.gz</v>
      </c>
      <c r="J598" s="46" t="str">
        <f t="shared" si="2"/>
        <v>/data/neurogen/ASAP/scRNAseq/data/batch10_ASAP_snRNA-seq_*/Raw_Data_and_Processing/cellranger_processing/cellranger_fastqs/outs/fastq_path/H*/BN1862_S2_L002_I1_001.fastq.gz</v>
      </c>
      <c r="K598" s="46" t="s">
        <v>1323</v>
      </c>
      <c r="L598" s="46" t="s">
        <v>2519</v>
      </c>
      <c r="M598" s="46" t="s">
        <v>1309</v>
      </c>
      <c r="N598" s="46" t="s">
        <v>1310</v>
      </c>
      <c r="O598" s="46" t="s">
        <v>1311</v>
      </c>
      <c r="P598" s="46" t="s">
        <v>1312</v>
      </c>
      <c r="Q598" s="46" t="s">
        <v>31</v>
      </c>
      <c r="R598" s="46" t="s">
        <v>31</v>
      </c>
      <c r="S598" s="46" t="s">
        <v>31</v>
      </c>
      <c r="T598" s="46" t="s">
        <v>31</v>
      </c>
      <c r="U598" s="46" t="s">
        <v>49</v>
      </c>
    </row>
    <row r="599" spans="1:21">
      <c r="A599" s="46" t="s">
        <v>785</v>
      </c>
      <c r="B599" s="46" t="s">
        <v>217</v>
      </c>
      <c r="C599" s="46" t="s">
        <v>666</v>
      </c>
      <c r="D599" s="46">
        <v>1</v>
      </c>
      <c r="E599" s="46">
        <v>0</v>
      </c>
      <c r="F599" s="46" t="s">
        <v>777</v>
      </c>
      <c r="G599" s="46" t="s">
        <v>1305</v>
      </c>
      <c r="H599" s="46" t="s">
        <v>2520</v>
      </c>
      <c r="I599" s="46" t="str">
        <f ca="1">IFERROR(__xludf.DUMMYFUNCTION("CONCAT(A599,REGEXREPLACE(H599,"".*_L0"",""_L0""))"),"ILB_BN1862_MTG_snRNAseq_rep1_L002_I2_001.fastq.gz")</f>
        <v>ILB_BN1862_MTG_snRNAseq_rep1_L002_I2_001.fastq.gz</v>
      </c>
      <c r="J599" s="46" t="str">
        <f t="shared" si="2"/>
        <v>/data/neurogen/ASAP/scRNAseq/data/batch10_ASAP_snRNA-seq_*/Raw_Data_and_Processing/cellranger_processing/cellranger_fastqs/outs/fastq_path/H*/BN1862_S2_L002_I2_001.fastq.gz</v>
      </c>
      <c r="K599" s="46" t="s">
        <v>1326</v>
      </c>
      <c r="L599" s="46" t="s">
        <v>2521</v>
      </c>
      <c r="M599" s="46" t="s">
        <v>1309</v>
      </c>
      <c r="N599" s="46" t="s">
        <v>1310</v>
      </c>
      <c r="O599" s="46" t="s">
        <v>1311</v>
      </c>
      <c r="P599" s="46" t="s">
        <v>1312</v>
      </c>
      <c r="Q599" s="46" t="s">
        <v>31</v>
      </c>
      <c r="R599" s="46" t="s">
        <v>31</v>
      </c>
      <c r="S599" s="46" t="s">
        <v>31</v>
      </c>
      <c r="T599" s="46" t="s">
        <v>31</v>
      </c>
      <c r="U599" s="46" t="s">
        <v>49</v>
      </c>
    </row>
    <row r="600" spans="1:21">
      <c r="A600" s="46" t="s">
        <v>785</v>
      </c>
      <c r="B600" s="46" t="s">
        <v>217</v>
      </c>
      <c r="C600" s="46" t="s">
        <v>666</v>
      </c>
      <c r="D600" s="46">
        <v>1</v>
      </c>
      <c r="E600" s="46">
        <v>0</v>
      </c>
      <c r="F600" s="46" t="s">
        <v>777</v>
      </c>
      <c r="G600" s="46" t="s">
        <v>1305</v>
      </c>
      <c r="H600" s="46" t="s">
        <v>2522</v>
      </c>
      <c r="I600" s="46" t="str">
        <f ca="1">IFERROR(__xludf.DUMMYFUNCTION("CONCAT(A600,REGEXREPLACE(H600,"".*_L0"",""_L0""))"),"ILB_BN1862_MTG_snRNAseq_rep1_L002_R1_001.fastq.gz")</f>
        <v>ILB_BN1862_MTG_snRNAseq_rep1_L002_R1_001.fastq.gz</v>
      </c>
      <c r="J600" s="46" t="str">
        <f t="shared" si="2"/>
        <v>/data/neurogen/ASAP/scRNAseq/data/batch10_ASAP_snRNA-seq_*/Raw_Data_and_Processing/cellranger_processing/cellranger_fastqs/outs/fastq_path/H*/BN1862_S2_L002_R1_001.fastq.gz</v>
      </c>
      <c r="K600" s="46" t="s">
        <v>1329</v>
      </c>
      <c r="L600" s="46" t="s">
        <v>2523</v>
      </c>
      <c r="M600" s="46" t="s">
        <v>1309</v>
      </c>
      <c r="N600" s="46" t="s">
        <v>1310</v>
      </c>
      <c r="O600" s="46" t="s">
        <v>1311</v>
      </c>
      <c r="P600" s="46" t="s">
        <v>1312</v>
      </c>
      <c r="Q600" s="46" t="s">
        <v>31</v>
      </c>
      <c r="R600" s="46" t="s">
        <v>31</v>
      </c>
      <c r="S600" s="46" t="s">
        <v>31</v>
      </c>
      <c r="T600" s="46" t="s">
        <v>31</v>
      </c>
      <c r="U600" s="46" t="s">
        <v>49</v>
      </c>
    </row>
    <row r="601" spans="1:21">
      <c r="A601" s="46" t="s">
        <v>785</v>
      </c>
      <c r="B601" s="46" t="s">
        <v>217</v>
      </c>
      <c r="C601" s="46" t="s">
        <v>666</v>
      </c>
      <c r="D601" s="46">
        <v>1</v>
      </c>
      <c r="E601" s="46">
        <v>0</v>
      </c>
      <c r="F601" s="46" t="s">
        <v>777</v>
      </c>
      <c r="G601" s="46" t="s">
        <v>1305</v>
      </c>
      <c r="H601" s="46" t="s">
        <v>2524</v>
      </c>
      <c r="I601" s="46" t="str">
        <f ca="1">IFERROR(__xludf.DUMMYFUNCTION("CONCAT(A601,REGEXREPLACE(H601,"".*_L0"",""_L0""))"),"ILB_BN1862_MTG_snRNAseq_rep1_L002_R2_001.fastq.gz")</f>
        <v>ILB_BN1862_MTG_snRNAseq_rep1_L002_R2_001.fastq.gz</v>
      </c>
      <c r="J601" s="46" t="str">
        <f t="shared" si="2"/>
        <v>/data/neurogen/ASAP/scRNAseq/data/batch10_ASAP_snRNA-seq_*/Raw_Data_and_Processing/cellranger_processing/cellranger_fastqs/outs/fastq_path/H*/BN1862_S2_L002_R2_001.fastq.gz</v>
      </c>
      <c r="K601" s="46" t="s">
        <v>1332</v>
      </c>
      <c r="L601" s="46" t="s">
        <v>2525</v>
      </c>
      <c r="M601" s="46" t="s">
        <v>1309</v>
      </c>
      <c r="N601" s="46" t="s">
        <v>1310</v>
      </c>
      <c r="O601" s="46" t="s">
        <v>1311</v>
      </c>
      <c r="P601" s="46" t="s">
        <v>1312</v>
      </c>
      <c r="Q601" s="46" t="s">
        <v>31</v>
      </c>
      <c r="R601" s="46" t="s">
        <v>31</v>
      </c>
      <c r="S601" s="46" t="s">
        <v>31</v>
      </c>
      <c r="T601" s="46" t="s">
        <v>31</v>
      </c>
      <c r="U601" s="46" t="s">
        <v>49</v>
      </c>
    </row>
    <row r="602" spans="1:21">
      <c r="A602" s="46" t="s">
        <v>785</v>
      </c>
      <c r="B602" s="46" t="s">
        <v>217</v>
      </c>
      <c r="C602" s="46" t="s">
        <v>666</v>
      </c>
      <c r="D602" s="46">
        <v>1</v>
      </c>
      <c r="E602" s="46">
        <v>0</v>
      </c>
      <c r="F602" s="46" t="s">
        <v>777</v>
      </c>
      <c r="G602" s="46" t="s">
        <v>1305</v>
      </c>
      <c r="H602" s="46" t="s">
        <v>2526</v>
      </c>
      <c r="I602" s="46" t="str">
        <f ca="1">IFERROR(__xludf.DUMMYFUNCTION("CONCAT(A602,REGEXREPLACE(H602,"".*_L0"",""_L0""))"),"ILB_BN1862_MTG_snRNAseq_rep1_L003_I1_001.fastq.gz")</f>
        <v>ILB_BN1862_MTG_snRNAseq_rep1_L003_I1_001.fastq.gz</v>
      </c>
      <c r="J602" s="46" t="str">
        <f t="shared" si="2"/>
        <v>/data/neurogen/ASAP/scRNAseq/data/batch10_ASAP_snRNA-seq_*/Raw_Data_and_Processing/cellranger_processing/cellranger_fastqs/outs/fastq_path/H*/BN1862_S2_L003_I1_001.fastq.gz</v>
      </c>
      <c r="K602" s="46" t="s">
        <v>1335</v>
      </c>
      <c r="L602" s="46" t="s">
        <v>2527</v>
      </c>
      <c r="M602" s="46" t="s">
        <v>1309</v>
      </c>
      <c r="N602" s="46" t="s">
        <v>1310</v>
      </c>
      <c r="O602" s="46" t="s">
        <v>1311</v>
      </c>
      <c r="P602" s="46" t="s">
        <v>1312</v>
      </c>
      <c r="Q602" s="46" t="s">
        <v>31</v>
      </c>
      <c r="R602" s="46" t="s">
        <v>31</v>
      </c>
      <c r="S602" s="46" t="s">
        <v>31</v>
      </c>
      <c r="T602" s="46" t="s">
        <v>31</v>
      </c>
      <c r="U602" s="46" t="s">
        <v>49</v>
      </c>
    </row>
    <row r="603" spans="1:21">
      <c r="A603" s="46" t="s">
        <v>785</v>
      </c>
      <c r="B603" s="46" t="s">
        <v>217</v>
      </c>
      <c r="C603" s="46" t="s">
        <v>666</v>
      </c>
      <c r="D603" s="46">
        <v>1</v>
      </c>
      <c r="E603" s="46">
        <v>0</v>
      </c>
      <c r="F603" s="46" t="s">
        <v>777</v>
      </c>
      <c r="G603" s="46" t="s">
        <v>1305</v>
      </c>
      <c r="H603" s="46" t="s">
        <v>2528</v>
      </c>
      <c r="I603" s="46" t="str">
        <f ca="1">IFERROR(__xludf.DUMMYFUNCTION("CONCAT(A603,REGEXREPLACE(H603,"".*_L0"",""_L0""))"),"ILB_BN1862_MTG_snRNAseq_rep1_L003_I2_001.fastq.gz")</f>
        <v>ILB_BN1862_MTG_snRNAseq_rep1_L003_I2_001.fastq.gz</v>
      </c>
      <c r="J603" s="46" t="str">
        <f t="shared" si="2"/>
        <v>/data/neurogen/ASAP/scRNAseq/data/batch10_ASAP_snRNA-seq_*/Raw_Data_and_Processing/cellranger_processing/cellranger_fastqs/outs/fastq_path/H*/BN1862_S2_L003_I2_001.fastq.gz</v>
      </c>
      <c r="K603" s="46" t="s">
        <v>1338</v>
      </c>
      <c r="L603" s="46" t="s">
        <v>2529</v>
      </c>
      <c r="M603" s="46" t="s">
        <v>1309</v>
      </c>
      <c r="N603" s="46" t="s">
        <v>1310</v>
      </c>
      <c r="O603" s="46" t="s">
        <v>1311</v>
      </c>
      <c r="P603" s="46" t="s">
        <v>1312</v>
      </c>
      <c r="Q603" s="46" t="s">
        <v>31</v>
      </c>
      <c r="R603" s="46" t="s">
        <v>31</v>
      </c>
      <c r="S603" s="46" t="s">
        <v>31</v>
      </c>
      <c r="T603" s="46" t="s">
        <v>31</v>
      </c>
      <c r="U603" s="46" t="s">
        <v>49</v>
      </c>
    </row>
    <row r="604" spans="1:21">
      <c r="A604" s="46" t="s">
        <v>785</v>
      </c>
      <c r="B604" s="46" t="s">
        <v>217</v>
      </c>
      <c r="C604" s="46" t="s">
        <v>666</v>
      </c>
      <c r="D604" s="46">
        <v>1</v>
      </c>
      <c r="E604" s="46">
        <v>0</v>
      </c>
      <c r="F604" s="46" t="s">
        <v>777</v>
      </c>
      <c r="G604" s="46" t="s">
        <v>1305</v>
      </c>
      <c r="H604" s="46" t="s">
        <v>2530</v>
      </c>
      <c r="I604" s="46" t="str">
        <f ca="1">IFERROR(__xludf.DUMMYFUNCTION("CONCAT(A604,REGEXREPLACE(H604,"".*_L0"",""_L0""))"),"ILB_BN1862_MTG_snRNAseq_rep1_L003_R1_001.fastq.gz")</f>
        <v>ILB_BN1862_MTG_snRNAseq_rep1_L003_R1_001.fastq.gz</v>
      </c>
      <c r="J604" s="46" t="str">
        <f t="shared" si="2"/>
        <v>/data/neurogen/ASAP/scRNAseq/data/batch10_ASAP_snRNA-seq_*/Raw_Data_and_Processing/cellranger_processing/cellranger_fastqs/outs/fastq_path/H*/BN1862_S2_L003_R1_001.fastq.gz</v>
      </c>
      <c r="K604" s="46" t="s">
        <v>1341</v>
      </c>
      <c r="L604" s="46" t="s">
        <v>2531</v>
      </c>
      <c r="M604" s="46" t="s">
        <v>1309</v>
      </c>
      <c r="N604" s="46" t="s">
        <v>1310</v>
      </c>
      <c r="O604" s="46" t="s">
        <v>1311</v>
      </c>
      <c r="P604" s="46" t="s">
        <v>1312</v>
      </c>
      <c r="Q604" s="46" t="s">
        <v>31</v>
      </c>
      <c r="R604" s="46" t="s">
        <v>31</v>
      </c>
      <c r="S604" s="46" t="s">
        <v>31</v>
      </c>
      <c r="T604" s="46" t="s">
        <v>31</v>
      </c>
      <c r="U604" s="46" t="s">
        <v>49</v>
      </c>
    </row>
    <row r="605" spans="1:21">
      <c r="A605" s="46" t="s">
        <v>785</v>
      </c>
      <c r="B605" s="46" t="s">
        <v>217</v>
      </c>
      <c r="C605" s="46" t="s">
        <v>666</v>
      </c>
      <c r="D605" s="46">
        <v>1</v>
      </c>
      <c r="E605" s="46">
        <v>0</v>
      </c>
      <c r="F605" s="46" t="s">
        <v>777</v>
      </c>
      <c r="G605" s="46" t="s">
        <v>1305</v>
      </c>
      <c r="H605" s="46" t="s">
        <v>2532</v>
      </c>
      <c r="I605" s="46" t="str">
        <f ca="1">IFERROR(__xludf.DUMMYFUNCTION("CONCAT(A605,REGEXREPLACE(H605,"".*_L0"",""_L0""))"),"ILB_BN1862_MTG_snRNAseq_rep1_L003_R2_001.fastq.gz")</f>
        <v>ILB_BN1862_MTG_snRNAseq_rep1_L003_R2_001.fastq.gz</v>
      </c>
      <c r="J605" s="46" t="str">
        <f t="shared" si="2"/>
        <v>/data/neurogen/ASAP/scRNAseq/data/batch10_ASAP_snRNA-seq_*/Raw_Data_and_Processing/cellranger_processing/cellranger_fastqs/outs/fastq_path/H*/BN1862_S2_L003_R2_001.fastq.gz</v>
      </c>
      <c r="K605" s="46" t="s">
        <v>1344</v>
      </c>
      <c r="L605" s="46" t="s">
        <v>2533</v>
      </c>
      <c r="M605" s="46" t="s">
        <v>1309</v>
      </c>
      <c r="N605" s="46" t="s">
        <v>1310</v>
      </c>
      <c r="O605" s="46" t="s">
        <v>1311</v>
      </c>
      <c r="P605" s="46" t="s">
        <v>1312</v>
      </c>
      <c r="Q605" s="46" t="s">
        <v>31</v>
      </c>
      <c r="R605" s="46" t="s">
        <v>31</v>
      </c>
      <c r="S605" s="46" t="s">
        <v>31</v>
      </c>
      <c r="T605" s="46" t="s">
        <v>31</v>
      </c>
      <c r="U605" s="46" t="s">
        <v>49</v>
      </c>
    </row>
    <row r="606" spans="1:21">
      <c r="A606" s="46" t="s">
        <v>785</v>
      </c>
      <c r="B606" s="46" t="s">
        <v>217</v>
      </c>
      <c r="C606" s="46" t="s">
        <v>666</v>
      </c>
      <c r="D606" s="46">
        <v>1</v>
      </c>
      <c r="E606" s="46">
        <v>0</v>
      </c>
      <c r="F606" s="46" t="s">
        <v>777</v>
      </c>
      <c r="G606" s="46" t="s">
        <v>1305</v>
      </c>
      <c r="H606" s="46" t="s">
        <v>2534</v>
      </c>
      <c r="I606" s="46" t="str">
        <f ca="1">IFERROR(__xludf.DUMMYFUNCTION("CONCAT(A606,REGEXREPLACE(H606,"".*_L0"",""_L0""))"),"ILB_BN1862_MTG_snRNAseq_rep1_L004_I1_001.fastq.gz")</f>
        <v>ILB_BN1862_MTG_snRNAseq_rep1_L004_I1_001.fastq.gz</v>
      </c>
      <c r="J606" s="46" t="str">
        <f t="shared" si="2"/>
        <v>/data/neurogen/ASAP/scRNAseq/data/batch10_ASAP_snRNA-seq_*/Raw_Data_and_Processing/cellranger_processing/cellranger_fastqs/outs/fastq_path/H*/BN1862_S2_L004_I1_001.fastq.gz</v>
      </c>
      <c r="K606" s="46" t="s">
        <v>1347</v>
      </c>
      <c r="L606" s="46" t="s">
        <v>2535</v>
      </c>
      <c r="M606" s="46" t="s">
        <v>1309</v>
      </c>
      <c r="N606" s="46" t="s">
        <v>1310</v>
      </c>
      <c r="O606" s="46" t="s">
        <v>1311</v>
      </c>
      <c r="P606" s="46" t="s">
        <v>1312</v>
      </c>
      <c r="Q606" s="46" t="s">
        <v>31</v>
      </c>
      <c r="R606" s="46" t="s">
        <v>31</v>
      </c>
      <c r="S606" s="46" t="s">
        <v>31</v>
      </c>
      <c r="T606" s="46" t="s">
        <v>31</v>
      </c>
      <c r="U606" s="46" t="s">
        <v>49</v>
      </c>
    </row>
    <row r="607" spans="1:21">
      <c r="A607" s="46" t="s">
        <v>785</v>
      </c>
      <c r="B607" s="46" t="s">
        <v>217</v>
      </c>
      <c r="C607" s="46" t="s">
        <v>666</v>
      </c>
      <c r="D607" s="46">
        <v>1</v>
      </c>
      <c r="E607" s="46">
        <v>0</v>
      </c>
      <c r="F607" s="46" t="s">
        <v>777</v>
      </c>
      <c r="G607" s="46" t="s">
        <v>1305</v>
      </c>
      <c r="H607" s="46" t="s">
        <v>2536</v>
      </c>
      <c r="I607" s="46" t="str">
        <f ca="1">IFERROR(__xludf.DUMMYFUNCTION("CONCAT(A607,REGEXREPLACE(H607,"".*_L0"",""_L0""))"),"ILB_BN1862_MTG_snRNAseq_rep1_L004_I2_001.fastq.gz")</f>
        <v>ILB_BN1862_MTG_snRNAseq_rep1_L004_I2_001.fastq.gz</v>
      </c>
      <c r="J607" s="46" t="str">
        <f t="shared" si="2"/>
        <v>/data/neurogen/ASAP/scRNAseq/data/batch10_ASAP_snRNA-seq_*/Raw_Data_and_Processing/cellranger_processing/cellranger_fastqs/outs/fastq_path/H*/BN1862_S2_L004_I2_001.fastq.gz</v>
      </c>
      <c r="K607" s="46" t="s">
        <v>1350</v>
      </c>
      <c r="L607" s="46" t="s">
        <v>2537</v>
      </c>
      <c r="M607" s="46" t="s">
        <v>1309</v>
      </c>
      <c r="N607" s="46" t="s">
        <v>1310</v>
      </c>
      <c r="O607" s="46" t="s">
        <v>1311</v>
      </c>
      <c r="P607" s="46" t="s">
        <v>1312</v>
      </c>
      <c r="Q607" s="46" t="s">
        <v>31</v>
      </c>
      <c r="R607" s="46" t="s">
        <v>31</v>
      </c>
      <c r="S607" s="46" t="s">
        <v>31</v>
      </c>
      <c r="T607" s="46" t="s">
        <v>31</v>
      </c>
      <c r="U607" s="46" t="s">
        <v>49</v>
      </c>
    </row>
    <row r="608" spans="1:21">
      <c r="A608" s="46" t="s">
        <v>785</v>
      </c>
      <c r="B608" s="46" t="s">
        <v>217</v>
      </c>
      <c r="C608" s="46" t="s">
        <v>666</v>
      </c>
      <c r="D608" s="46">
        <v>1</v>
      </c>
      <c r="E608" s="46">
        <v>0</v>
      </c>
      <c r="F608" s="46" t="s">
        <v>777</v>
      </c>
      <c r="G608" s="46" t="s">
        <v>1305</v>
      </c>
      <c r="H608" s="46" t="s">
        <v>2538</v>
      </c>
      <c r="I608" s="46" t="str">
        <f ca="1">IFERROR(__xludf.DUMMYFUNCTION("CONCAT(A608,REGEXREPLACE(H608,"".*_L0"",""_L0""))"),"ILB_BN1862_MTG_snRNAseq_rep1_L004_R1_001.fastq.gz")</f>
        <v>ILB_BN1862_MTG_snRNAseq_rep1_L004_R1_001.fastq.gz</v>
      </c>
      <c r="J608" s="46" t="str">
        <f t="shared" si="2"/>
        <v>/data/neurogen/ASAP/scRNAseq/data/batch10_ASAP_snRNA-seq_*/Raw_Data_and_Processing/cellranger_processing/cellranger_fastqs/outs/fastq_path/H*/BN1862_S2_L004_R1_001.fastq.gz</v>
      </c>
      <c r="K608" s="46" t="s">
        <v>1353</v>
      </c>
      <c r="L608" s="46" t="s">
        <v>2539</v>
      </c>
      <c r="M608" s="46" t="s">
        <v>1309</v>
      </c>
      <c r="N608" s="46" t="s">
        <v>1310</v>
      </c>
      <c r="O608" s="46" t="s">
        <v>1311</v>
      </c>
      <c r="P608" s="46" t="s">
        <v>1312</v>
      </c>
      <c r="Q608" s="46" t="s">
        <v>31</v>
      </c>
      <c r="R608" s="46" t="s">
        <v>31</v>
      </c>
      <c r="S608" s="46" t="s">
        <v>31</v>
      </c>
      <c r="T608" s="46" t="s">
        <v>31</v>
      </c>
      <c r="U608" s="46" t="s">
        <v>49</v>
      </c>
    </row>
    <row r="609" spans="1:21">
      <c r="A609" s="46" t="s">
        <v>785</v>
      </c>
      <c r="B609" s="46" t="s">
        <v>217</v>
      </c>
      <c r="C609" s="46" t="s">
        <v>666</v>
      </c>
      <c r="D609" s="46">
        <v>1</v>
      </c>
      <c r="E609" s="46">
        <v>0</v>
      </c>
      <c r="F609" s="46" t="s">
        <v>777</v>
      </c>
      <c r="G609" s="46" t="s">
        <v>1305</v>
      </c>
      <c r="H609" s="46" t="s">
        <v>2540</v>
      </c>
      <c r="I609" s="46" t="str">
        <f ca="1">IFERROR(__xludf.DUMMYFUNCTION("CONCAT(A609,REGEXREPLACE(H609,"".*_L0"",""_L0""))"),"ILB_BN1862_MTG_snRNAseq_rep1_L004_R2_001.fastq.gz")</f>
        <v>ILB_BN1862_MTG_snRNAseq_rep1_L004_R2_001.fastq.gz</v>
      </c>
      <c r="J609" s="46" t="str">
        <f t="shared" si="2"/>
        <v>/data/neurogen/ASAP/scRNAseq/data/batch10_ASAP_snRNA-seq_*/Raw_Data_and_Processing/cellranger_processing/cellranger_fastqs/outs/fastq_path/H*/BN1862_S2_L004_R2_001.fastq.gz</v>
      </c>
      <c r="K609" s="46" t="s">
        <v>1356</v>
      </c>
      <c r="L609" s="46" t="s">
        <v>2541</v>
      </c>
      <c r="M609" s="46" t="s">
        <v>1309</v>
      </c>
      <c r="N609" s="46" t="s">
        <v>1310</v>
      </c>
      <c r="O609" s="46" t="s">
        <v>1311</v>
      </c>
      <c r="P609" s="46" t="s">
        <v>1312</v>
      </c>
      <c r="Q609" s="46" t="s">
        <v>31</v>
      </c>
      <c r="R609" s="46" t="s">
        <v>31</v>
      </c>
      <c r="S609" s="46" t="s">
        <v>31</v>
      </c>
      <c r="T609" s="46" t="s">
        <v>31</v>
      </c>
      <c r="U609" s="46" t="s">
        <v>49</v>
      </c>
    </row>
    <row r="610" spans="1:21">
      <c r="A610" s="46" t="s">
        <v>712</v>
      </c>
      <c r="B610" s="46" t="s">
        <v>112</v>
      </c>
      <c r="C610" s="46" t="s">
        <v>666</v>
      </c>
      <c r="D610" s="46">
        <v>1</v>
      </c>
      <c r="E610" s="46">
        <v>0</v>
      </c>
      <c r="F610" s="46" t="s">
        <v>713</v>
      </c>
      <c r="G610" s="46" t="s">
        <v>1305</v>
      </c>
      <c r="H610" s="46" t="s">
        <v>2542</v>
      </c>
      <c r="I610" s="46" t="str">
        <f ca="1">IFERROR(__xludf.DUMMYFUNCTION("CONCAT(A610,REGEXREPLACE(H610,"".*_L0"",""_L0""))"),"HC_BN1022_MTG_snRNAseq_rep1_L001_I1_001.fastq.gz")</f>
        <v>HC_BN1022_MTG_snRNAseq_rep1_L001_I1_001.fastq.gz</v>
      </c>
      <c r="J610" s="46" t="str">
        <f t="shared" si="2"/>
        <v>/data/neurogen/ASAP/scRNAseq/data/batch11_ASAP_snRNA-seq_*/Raw_Data_and_Processing/cellranger_processing/cellranger_fastqs/outs/fastq_path/H*/BN1022_S3_L001_I1_001.fastq.gz</v>
      </c>
      <c r="K610" s="46" t="s">
        <v>1307</v>
      </c>
      <c r="L610" s="46" t="s">
        <v>2543</v>
      </c>
      <c r="M610" s="46" t="s">
        <v>1309</v>
      </c>
      <c r="N610" s="46" t="s">
        <v>1310</v>
      </c>
      <c r="O610" s="46" t="s">
        <v>1311</v>
      </c>
      <c r="P610" s="46" t="s">
        <v>1312</v>
      </c>
      <c r="Q610" s="46" t="s">
        <v>31</v>
      </c>
      <c r="R610" s="46" t="s">
        <v>31</v>
      </c>
      <c r="S610" s="46" t="s">
        <v>31</v>
      </c>
      <c r="T610" s="46" t="s">
        <v>31</v>
      </c>
      <c r="U610" s="46" t="s">
        <v>49</v>
      </c>
    </row>
    <row r="611" spans="1:21">
      <c r="A611" s="46" t="s">
        <v>712</v>
      </c>
      <c r="B611" s="46" t="s">
        <v>112</v>
      </c>
      <c r="C611" s="46" t="s">
        <v>666</v>
      </c>
      <c r="D611" s="46">
        <v>1</v>
      </c>
      <c r="E611" s="46">
        <v>0</v>
      </c>
      <c r="F611" s="46" t="s">
        <v>713</v>
      </c>
      <c r="G611" s="46" t="s">
        <v>1305</v>
      </c>
      <c r="H611" s="46" t="s">
        <v>2544</v>
      </c>
      <c r="I611" s="46" t="str">
        <f ca="1">IFERROR(__xludf.DUMMYFUNCTION("CONCAT(A611,REGEXREPLACE(H611,"".*_L0"",""_L0""))"),"HC_BN1022_MTG_snRNAseq_rep1_L001_I2_001.fastq.gz")</f>
        <v>HC_BN1022_MTG_snRNAseq_rep1_L001_I2_001.fastq.gz</v>
      </c>
      <c r="J611" s="46" t="str">
        <f t="shared" si="2"/>
        <v>/data/neurogen/ASAP/scRNAseq/data/batch11_ASAP_snRNA-seq_*/Raw_Data_and_Processing/cellranger_processing/cellranger_fastqs/outs/fastq_path/H*/BN1022_S3_L001_I2_001.fastq.gz</v>
      </c>
      <c r="K611" s="46" t="s">
        <v>1314</v>
      </c>
      <c r="L611" s="46" t="s">
        <v>2545</v>
      </c>
      <c r="M611" s="46" t="s">
        <v>1309</v>
      </c>
      <c r="N611" s="46" t="s">
        <v>1310</v>
      </c>
      <c r="O611" s="46" t="s">
        <v>1311</v>
      </c>
      <c r="P611" s="46" t="s">
        <v>1312</v>
      </c>
      <c r="Q611" s="46" t="s">
        <v>31</v>
      </c>
      <c r="R611" s="46" t="s">
        <v>31</v>
      </c>
      <c r="S611" s="46" t="s">
        <v>31</v>
      </c>
      <c r="T611" s="46" t="s">
        <v>31</v>
      </c>
      <c r="U611" s="46" t="s">
        <v>49</v>
      </c>
    </row>
    <row r="612" spans="1:21">
      <c r="A612" s="46" t="s">
        <v>712</v>
      </c>
      <c r="B612" s="46" t="s">
        <v>112</v>
      </c>
      <c r="C612" s="46" t="s">
        <v>666</v>
      </c>
      <c r="D612" s="46">
        <v>1</v>
      </c>
      <c r="E612" s="46">
        <v>0</v>
      </c>
      <c r="F612" s="46" t="s">
        <v>713</v>
      </c>
      <c r="G612" s="46" t="s">
        <v>1305</v>
      </c>
      <c r="H612" s="46" t="s">
        <v>2546</v>
      </c>
      <c r="I612" s="46" t="str">
        <f ca="1">IFERROR(__xludf.DUMMYFUNCTION("CONCAT(A612,REGEXREPLACE(H612,"".*_L0"",""_L0""))"),"HC_BN1022_MTG_snRNAseq_rep1_L001_R1_001.fastq.gz")</f>
        <v>HC_BN1022_MTG_snRNAseq_rep1_L001_R1_001.fastq.gz</v>
      </c>
      <c r="J612" s="46" t="str">
        <f t="shared" si="2"/>
        <v>/data/neurogen/ASAP/scRNAseq/data/batch11_ASAP_snRNA-seq_*/Raw_Data_and_Processing/cellranger_processing/cellranger_fastqs/outs/fastq_path/H*/BN1022_S3_L001_R1_001.fastq.gz</v>
      </c>
      <c r="K612" s="46" t="s">
        <v>1317</v>
      </c>
      <c r="L612" s="46" t="s">
        <v>2547</v>
      </c>
      <c r="M612" s="46" t="s">
        <v>1309</v>
      </c>
      <c r="N612" s="46" t="s">
        <v>1310</v>
      </c>
      <c r="O612" s="46" t="s">
        <v>1311</v>
      </c>
      <c r="P612" s="46" t="s">
        <v>1312</v>
      </c>
      <c r="Q612" s="46" t="s">
        <v>31</v>
      </c>
      <c r="R612" s="46" t="s">
        <v>31</v>
      </c>
      <c r="S612" s="46" t="s">
        <v>31</v>
      </c>
      <c r="T612" s="46" t="s">
        <v>31</v>
      </c>
      <c r="U612" s="46" t="s">
        <v>49</v>
      </c>
    </row>
    <row r="613" spans="1:21">
      <c r="A613" s="46" t="s">
        <v>712</v>
      </c>
      <c r="B613" s="46" t="s">
        <v>112</v>
      </c>
      <c r="C613" s="46" t="s">
        <v>666</v>
      </c>
      <c r="D613" s="46">
        <v>1</v>
      </c>
      <c r="E613" s="46">
        <v>0</v>
      </c>
      <c r="F613" s="46" t="s">
        <v>713</v>
      </c>
      <c r="G613" s="46" t="s">
        <v>1305</v>
      </c>
      <c r="H613" s="46" t="s">
        <v>2548</v>
      </c>
      <c r="I613" s="46" t="str">
        <f ca="1">IFERROR(__xludf.DUMMYFUNCTION("CONCAT(A613,REGEXREPLACE(H613,"".*_L0"",""_L0""))"),"HC_BN1022_MTG_snRNAseq_rep1_L001_R2_001.fastq.gz")</f>
        <v>HC_BN1022_MTG_snRNAseq_rep1_L001_R2_001.fastq.gz</v>
      </c>
      <c r="J613" s="46" t="str">
        <f t="shared" si="2"/>
        <v>/data/neurogen/ASAP/scRNAseq/data/batch11_ASAP_snRNA-seq_*/Raw_Data_and_Processing/cellranger_processing/cellranger_fastqs/outs/fastq_path/H*/BN1022_S3_L001_R2_001.fastq.gz</v>
      </c>
      <c r="K613" s="46" t="s">
        <v>1320</v>
      </c>
      <c r="L613" s="46" t="s">
        <v>2549</v>
      </c>
      <c r="M613" s="46" t="s">
        <v>1309</v>
      </c>
      <c r="N613" s="46" t="s">
        <v>1310</v>
      </c>
      <c r="O613" s="46" t="s">
        <v>1311</v>
      </c>
      <c r="P613" s="46" t="s">
        <v>1312</v>
      </c>
      <c r="Q613" s="46" t="s">
        <v>31</v>
      </c>
      <c r="R613" s="46" t="s">
        <v>31</v>
      </c>
      <c r="S613" s="46" t="s">
        <v>31</v>
      </c>
      <c r="T613" s="46" t="s">
        <v>31</v>
      </c>
      <c r="U613" s="46" t="s">
        <v>49</v>
      </c>
    </row>
    <row r="614" spans="1:21">
      <c r="A614" s="46" t="s">
        <v>712</v>
      </c>
      <c r="B614" s="46" t="s">
        <v>112</v>
      </c>
      <c r="C614" s="46" t="s">
        <v>666</v>
      </c>
      <c r="D614" s="46">
        <v>1</v>
      </c>
      <c r="E614" s="46">
        <v>0</v>
      </c>
      <c r="F614" s="46" t="s">
        <v>713</v>
      </c>
      <c r="G614" s="46" t="s">
        <v>1305</v>
      </c>
      <c r="H614" s="46" t="s">
        <v>2550</v>
      </c>
      <c r="I614" s="46" t="str">
        <f ca="1">IFERROR(__xludf.DUMMYFUNCTION("CONCAT(A614,REGEXREPLACE(H614,"".*_L0"",""_L0""))"),"HC_BN1022_MTG_snRNAseq_rep1_L002_I1_001.fastq.gz")</f>
        <v>HC_BN1022_MTG_snRNAseq_rep1_L002_I1_001.fastq.gz</v>
      </c>
      <c r="J614" s="46" t="str">
        <f t="shared" si="2"/>
        <v>/data/neurogen/ASAP/scRNAseq/data/batch11_ASAP_snRNA-seq_*/Raw_Data_and_Processing/cellranger_processing/cellranger_fastqs/outs/fastq_path/H*/BN1022_S3_L002_I1_001.fastq.gz</v>
      </c>
      <c r="K614" s="46" t="s">
        <v>1323</v>
      </c>
      <c r="L614" s="46" t="s">
        <v>2551</v>
      </c>
      <c r="M614" s="46" t="s">
        <v>1309</v>
      </c>
      <c r="N614" s="46" t="s">
        <v>1310</v>
      </c>
      <c r="O614" s="46" t="s">
        <v>1311</v>
      </c>
      <c r="P614" s="46" t="s">
        <v>1312</v>
      </c>
      <c r="Q614" s="46" t="s">
        <v>31</v>
      </c>
      <c r="R614" s="46" t="s">
        <v>31</v>
      </c>
      <c r="S614" s="46" t="s">
        <v>31</v>
      </c>
      <c r="T614" s="46" t="s">
        <v>31</v>
      </c>
      <c r="U614" s="46" t="s">
        <v>49</v>
      </c>
    </row>
    <row r="615" spans="1:21">
      <c r="A615" s="46" t="s">
        <v>712</v>
      </c>
      <c r="B615" s="46" t="s">
        <v>112</v>
      </c>
      <c r="C615" s="46" t="s">
        <v>666</v>
      </c>
      <c r="D615" s="46">
        <v>1</v>
      </c>
      <c r="E615" s="46">
        <v>0</v>
      </c>
      <c r="F615" s="46" t="s">
        <v>713</v>
      </c>
      <c r="G615" s="46" t="s">
        <v>1305</v>
      </c>
      <c r="H615" s="46" t="s">
        <v>2552</v>
      </c>
      <c r="I615" s="46" t="str">
        <f ca="1">IFERROR(__xludf.DUMMYFUNCTION("CONCAT(A615,REGEXREPLACE(H615,"".*_L0"",""_L0""))"),"HC_BN1022_MTG_snRNAseq_rep1_L002_I2_001.fastq.gz")</f>
        <v>HC_BN1022_MTG_snRNAseq_rep1_L002_I2_001.fastq.gz</v>
      </c>
      <c r="J615" s="46" t="str">
        <f t="shared" si="2"/>
        <v>/data/neurogen/ASAP/scRNAseq/data/batch11_ASAP_snRNA-seq_*/Raw_Data_and_Processing/cellranger_processing/cellranger_fastqs/outs/fastq_path/H*/BN1022_S3_L002_I2_001.fastq.gz</v>
      </c>
      <c r="K615" s="46" t="s">
        <v>1326</v>
      </c>
      <c r="L615" s="46" t="s">
        <v>2553</v>
      </c>
      <c r="M615" s="46" t="s">
        <v>1309</v>
      </c>
      <c r="N615" s="46" t="s">
        <v>1310</v>
      </c>
      <c r="O615" s="46" t="s">
        <v>1311</v>
      </c>
      <c r="P615" s="46" t="s">
        <v>1312</v>
      </c>
      <c r="Q615" s="46" t="s">
        <v>31</v>
      </c>
      <c r="R615" s="46" t="s">
        <v>31</v>
      </c>
      <c r="S615" s="46" t="s">
        <v>31</v>
      </c>
      <c r="T615" s="46" t="s">
        <v>31</v>
      </c>
      <c r="U615" s="46" t="s">
        <v>49</v>
      </c>
    </row>
    <row r="616" spans="1:21">
      <c r="A616" s="46" t="s">
        <v>712</v>
      </c>
      <c r="B616" s="46" t="s">
        <v>112</v>
      </c>
      <c r="C616" s="46" t="s">
        <v>666</v>
      </c>
      <c r="D616" s="46">
        <v>1</v>
      </c>
      <c r="E616" s="46">
        <v>0</v>
      </c>
      <c r="F616" s="46" t="s">
        <v>713</v>
      </c>
      <c r="G616" s="46" t="s">
        <v>1305</v>
      </c>
      <c r="H616" s="46" t="s">
        <v>2554</v>
      </c>
      <c r="I616" s="46" t="str">
        <f ca="1">IFERROR(__xludf.DUMMYFUNCTION("CONCAT(A616,REGEXREPLACE(H616,"".*_L0"",""_L0""))"),"HC_BN1022_MTG_snRNAseq_rep1_L002_R1_001.fastq.gz")</f>
        <v>HC_BN1022_MTG_snRNAseq_rep1_L002_R1_001.fastq.gz</v>
      </c>
      <c r="J616" s="46" t="str">
        <f t="shared" si="2"/>
        <v>/data/neurogen/ASAP/scRNAseq/data/batch11_ASAP_snRNA-seq_*/Raw_Data_and_Processing/cellranger_processing/cellranger_fastqs/outs/fastq_path/H*/BN1022_S3_L002_R1_001.fastq.gz</v>
      </c>
      <c r="K616" s="46" t="s">
        <v>1329</v>
      </c>
      <c r="L616" s="46" t="s">
        <v>2555</v>
      </c>
      <c r="M616" s="46" t="s">
        <v>1309</v>
      </c>
      <c r="N616" s="46" t="s">
        <v>1310</v>
      </c>
      <c r="O616" s="46" t="s">
        <v>1311</v>
      </c>
      <c r="P616" s="46" t="s">
        <v>1312</v>
      </c>
      <c r="Q616" s="46" t="s">
        <v>31</v>
      </c>
      <c r="R616" s="46" t="s">
        <v>31</v>
      </c>
      <c r="S616" s="46" t="s">
        <v>31</v>
      </c>
      <c r="T616" s="46" t="s">
        <v>31</v>
      </c>
      <c r="U616" s="46" t="s">
        <v>49</v>
      </c>
    </row>
    <row r="617" spans="1:21">
      <c r="A617" s="46" t="s">
        <v>712</v>
      </c>
      <c r="B617" s="46" t="s">
        <v>112</v>
      </c>
      <c r="C617" s="46" t="s">
        <v>666</v>
      </c>
      <c r="D617" s="46">
        <v>1</v>
      </c>
      <c r="E617" s="46">
        <v>0</v>
      </c>
      <c r="F617" s="46" t="s">
        <v>713</v>
      </c>
      <c r="G617" s="46" t="s">
        <v>1305</v>
      </c>
      <c r="H617" s="46" t="s">
        <v>2556</v>
      </c>
      <c r="I617" s="46" t="str">
        <f ca="1">IFERROR(__xludf.DUMMYFUNCTION("CONCAT(A617,REGEXREPLACE(H617,"".*_L0"",""_L0""))"),"HC_BN1022_MTG_snRNAseq_rep1_L002_R2_001.fastq.gz")</f>
        <v>HC_BN1022_MTG_snRNAseq_rep1_L002_R2_001.fastq.gz</v>
      </c>
      <c r="J617" s="46" t="str">
        <f t="shared" si="2"/>
        <v>/data/neurogen/ASAP/scRNAseq/data/batch11_ASAP_snRNA-seq_*/Raw_Data_and_Processing/cellranger_processing/cellranger_fastqs/outs/fastq_path/H*/BN1022_S3_L002_R2_001.fastq.gz</v>
      </c>
      <c r="K617" s="46" t="s">
        <v>1332</v>
      </c>
      <c r="L617" s="46" t="s">
        <v>2557</v>
      </c>
      <c r="M617" s="46" t="s">
        <v>1309</v>
      </c>
      <c r="N617" s="46" t="s">
        <v>1310</v>
      </c>
      <c r="O617" s="46" t="s">
        <v>1311</v>
      </c>
      <c r="P617" s="46" t="s">
        <v>1312</v>
      </c>
      <c r="Q617" s="46" t="s">
        <v>31</v>
      </c>
      <c r="R617" s="46" t="s">
        <v>31</v>
      </c>
      <c r="S617" s="46" t="s">
        <v>31</v>
      </c>
      <c r="T617" s="46" t="s">
        <v>31</v>
      </c>
      <c r="U617" s="46" t="s">
        <v>49</v>
      </c>
    </row>
    <row r="618" spans="1:21">
      <c r="A618" s="46" t="s">
        <v>712</v>
      </c>
      <c r="B618" s="46" t="s">
        <v>112</v>
      </c>
      <c r="C618" s="46" t="s">
        <v>666</v>
      </c>
      <c r="D618" s="46">
        <v>1</v>
      </c>
      <c r="E618" s="46">
        <v>0</v>
      </c>
      <c r="F618" s="46" t="s">
        <v>713</v>
      </c>
      <c r="G618" s="46" t="s">
        <v>1305</v>
      </c>
      <c r="H618" s="46" t="s">
        <v>2558</v>
      </c>
      <c r="I618" s="46" t="str">
        <f ca="1">IFERROR(__xludf.DUMMYFUNCTION("CONCAT(A618,REGEXREPLACE(H618,"".*_L0"",""_L0""))"),"HC_BN1022_MTG_snRNAseq_rep1_L003_I1_001.fastq.gz")</f>
        <v>HC_BN1022_MTG_snRNAseq_rep1_L003_I1_001.fastq.gz</v>
      </c>
      <c r="J618" s="46" t="str">
        <f t="shared" si="2"/>
        <v>/data/neurogen/ASAP/scRNAseq/data/batch11_ASAP_snRNA-seq_*/Raw_Data_and_Processing/cellranger_processing/cellranger_fastqs/outs/fastq_path/H*/BN1022_S3_L003_I1_001.fastq.gz</v>
      </c>
      <c r="K618" s="46" t="s">
        <v>1335</v>
      </c>
      <c r="L618" s="46" t="s">
        <v>2559</v>
      </c>
      <c r="M618" s="46" t="s">
        <v>1309</v>
      </c>
      <c r="N618" s="46" t="s">
        <v>1310</v>
      </c>
      <c r="O618" s="46" t="s">
        <v>1311</v>
      </c>
      <c r="P618" s="46" t="s">
        <v>1312</v>
      </c>
      <c r="Q618" s="46" t="s">
        <v>31</v>
      </c>
      <c r="R618" s="46" t="s">
        <v>31</v>
      </c>
      <c r="S618" s="46" t="s">
        <v>31</v>
      </c>
      <c r="T618" s="46" t="s">
        <v>31</v>
      </c>
      <c r="U618" s="46" t="s">
        <v>49</v>
      </c>
    </row>
    <row r="619" spans="1:21">
      <c r="A619" s="46" t="s">
        <v>712</v>
      </c>
      <c r="B619" s="46" t="s">
        <v>112</v>
      </c>
      <c r="C619" s="46" t="s">
        <v>666</v>
      </c>
      <c r="D619" s="46">
        <v>1</v>
      </c>
      <c r="E619" s="46">
        <v>0</v>
      </c>
      <c r="F619" s="46" t="s">
        <v>713</v>
      </c>
      <c r="G619" s="46" t="s">
        <v>1305</v>
      </c>
      <c r="H619" s="46" t="s">
        <v>2560</v>
      </c>
      <c r="I619" s="46" t="str">
        <f ca="1">IFERROR(__xludf.DUMMYFUNCTION("CONCAT(A619,REGEXREPLACE(H619,"".*_L0"",""_L0""))"),"HC_BN1022_MTG_snRNAseq_rep1_L003_I2_001.fastq.gz")</f>
        <v>HC_BN1022_MTG_snRNAseq_rep1_L003_I2_001.fastq.gz</v>
      </c>
      <c r="J619" s="46" t="str">
        <f t="shared" si="2"/>
        <v>/data/neurogen/ASAP/scRNAseq/data/batch11_ASAP_snRNA-seq_*/Raw_Data_and_Processing/cellranger_processing/cellranger_fastqs/outs/fastq_path/H*/BN1022_S3_L003_I2_001.fastq.gz</v>
      </c>
      <c r="K619" s="46" t="s">
        <v>1338</v>
      </c>
      <c r="L619" s="46" t="s">
        <v>2561</v>
      </c>
      <c r="M619" s="46" t="s">
        <v>1309</v>
      </c>
      <c r="N619" s="46" t="s">
        <v>1310</v>
      </c>
      <c r="O619" s="46" t="s">
        <v>1311</v>
      </c>
      <c r="P619" s="46" t="s">
        <v>1312</v>
      </c>
      <c r="Q619" s="46" t="s">
        <v>31</v>
      </c>
      <c r="R619" s="46" t="s">
        <v>31</v>
      </c>
      <c r="S619" s="46" t="s">
        <v>31</v>
      </c>
      <c r="T619" s="46" t="s">
        <v>31</v>
      </c>
      <c r="U619" s="46" t="s">
        <v>49</v>
      </c>
    </row>
    <row r="620" spans="1:21">
      <c r="A620" s="46" t="s">
        <v>712</v>
      </c>
      <c r="B620" s="46" t="s">
        <v>112</v>
      </c>
      <c r="C620" s="46" t="s">
        <v>666</v>
      </c>
      <c r="D620" s="46">
        <v>1</v>
      </c>
      <c r="E620" s="46">
        <v>0</v>
      </c>
      <c r="F620" s="46" t="s">
        <v>713</v>
      </c>
      <c r="G620" s="46" t="s">
        <v>1305</v>
      </c>
      <c r="H620" s="46" t="s">
        <v>2562</v>
      </c>
      <c r="I620" s="46" t="str">
        <f ca="1">IFERROR(__xludf.DUMMYFUNCTION("CONCAT(A620,REGEXREPLACE(H620,"".*_L0"",""_L0""))"),"HC_BN1022_MTG_snRNAseq_rep1_L003_R1_001.fastq.gz")</f>
        <v>HC_BN1022_MTG_snRNAseq_rep1_L003_R1_001.fastq.gz</v>
      </c>
      <c r="J620" s="46" t="str">
        <f t="shared" si="2"/>
        <v>/data/neurogen/ASAP/scRNAseq/data/batch11_ASAP_snRNA-seq_*/Raw_Data_and_Processing/cellranger_processing/cellranger_fastqs/outs/fastq_path/H*/BN1022_S3_L003_R1_001.fastq.gz</v>
      </c>
      <c r="K620" s="46" t="s">
        <v>1341</v>
      </c>
      <c r="L620" s="47" t="s">
        <v>2563</v>
      </c>
      <c r="M620" s="46" t="s">
        <v>1309</v>
      </c>
      <c r="N620" s="46" t="s">
        <v>1310</v>
      </c>
      <c r="O620" s="46" t="s">
        <v>1311</v>
      </c>
      <c r="P620" s="46" t="s">
        <v>1312</v>
      </c>
      <c r="Q620" s="46" t="s">
        <v>31</v>
      </c>
      <c r="R620" s="46" t="s">
        <v>31</v>
      </c>
      <c r="S620" s="46" t="s">
        <v>31</v>
      </c>
      <c r="T620" s="46" t="s">
        <v>31</v>
      </c>
      <c r="U620" s="46" t="s">
        <v>49</v>
      </c>
    </row>
    <row r="621" spans="1:21">
      <c r="A621" s="46" t="s">
        <v>712</v>
      </c>
      <c r="B621" s="46" t="s">
        <v>112</v>
      </c>
      <c r="C621" s="46" t="s">
        <v>666</v>
      </c>
      <c r="D621" s="46">
        <v>1</v>
      </c>
      <c r="E621" s="46">
        <v>0</v>
      </c>
      <c r="F621" s="46" t="s">
        <v>713</v>
      </c>
      <c r="G621" s="46" t="s">
        <v>1305</v>
      </c>
      <c r="H621" s="46" t="s">
        <v>2564</v>
      </c>
      <c r="I621" s="46" t="str">
        <f ca="1">IFERROR(__xludf.DUMMYFUNCTION("CONCAT(A621,REGEXREPLACE(H621,"".*_L0"",""_L0""))"),"HC_BN1022_MTG_snRNAseq_rep1_L003_R2_001.fastq.gz")</f>
        <v>HC_BN1022_MTG_snRNAseq_rep1_L003_R2_001.fastq.gz</v>
      </c>
      <c r="J621" s="46" t="str">
        <f t="shared" si="2"/>
        <v>/data/neurogen/ASAP/scRNAseq/data/batch11_ASAP_snRNA-seq_*/Raw_Data_and_Processing/cellranger_processing/cellranger_fastqs/outs/fastq_path/H*/BN1022_S3_L003_R2_001.fastq.gz</v>
      </c>
      <c r="K621" s="46" t="s">
        <v>1344</v>
      </c>
      <c r="L621" s="46" t="s">
        <v>2565</v>
      </c>
      <c r="M621" s="46" t="s">
        <v>1309</v>
      </c>
      <c r="N621" s="46" t="s">
        <v>1310</v>
      </c>
      <c r="O621" s="46" t="s">
        <v>1311</v>
      </c>
      <c r="P621" s="46" t="s">
        <v>1312</v>
      </c>
      <c r="Q621" s="46" t="s">
        <v>31</v>
      </c>
      <c r="R621" s="46" t="s">
        <v>31</v>
      </c>
      <c r="S621" s="46" t="s">
        <v>31</v>
      </c>
      <c r="T621" s="46" t="s">
        <v>31</v>
      </c>
      <c r="U621" s="46" t="s">
        <v>49</v>
      </c>
    </row>
    <row r="622" spans="1:21">
      <c r="A622" s="46" t="s">
        <v>712</v>
      </c>
      <c r="B622" s="46" t="s">
        <v>112</v>
      </c>
      <c r="C622" s="46" t="s">
        <v>666</v>
      </c>
      <c r="D622" s="46">
        <v>1</v>
      </c>
      <c r="E622" s="46">
        <v>0</v>
      </c>
      <c r="F622" s="46" t="s">
        <v>713</v>
      </c>
      <c r="G622" s="46" t="s">
        <v>1305</v>
      </c>
      <c r="H622" s="46" t="s">
        <v>2566</v>
      </c>
      <c r="I622" s="46" t="str">
        <f ca="1">IFERROR(__xludf.DUMMYFUNCTION("CONCAT(A622,REGEXREPLACE(H622,"".*_L0"",""_L0""))"),"HC_BN1022_MTG_snRNAseq_rep1_L004_I1_001.fastq.gz")</f>
        <v>HC_BN1022_MTG_snRNAseq_rep1_L004_I1_001.fastq.gz</v>
      </c>
      <c r="J622" s="46" t="str">
        <f t="shared" si="2"/>
        <v>/data/neurogen/ASAP/scRNAseq/data/batch11_ASAP_snRNA-seq_*/Raw_Data_and_Processing/cellranger_processing/cellranger_fastqs/outs/fastq_path/H*/BN1022_S3_L004_I1_001.fastq.gz</v>
      </c>
      <c r="K622" s="46" t="s">
        <v>1347</v>
      </c>
      <c r="L622" s="46" t="s">
        <v>2567</v>
      </c>
      <c r="M622" s="46" t="s">
        <v>1309</v>
      </c>
      <c r="N622" s="46" t="s">
        <v>1310</v>
      </c>
      <c r="O622" s="46" t="s">
        <v>1311</v>
      </c>
      <c r="P622" s="46" t="s">
        <v>1312</v>
      </c>
      <c r="Q622" s="46" t="s">
        <v>31</v>
      </c>
      <c r="R622" s="46" t="s">
        <v>31</v>
      </c>
      <c r="S622" s="46" t="s">
        <v>31</v>
      </c>
      <c r="T622" s="46" t="s">
        <v>31</v>
      </c>
      <c r="U622" s="46" t="s">
        <v>49</v>
      </c>
    </row>
    <row r="623" spans="1:21">
      <c r="A623" s="46" t="s">
        <v>712</v>
      </c>
      <c r="B623" s="46" t="s">
        <v>112</v>
      </c>
      <c r="C623" s="46" t="s">
        <v>666</v>
      </c>
      <c r="D623" s="46">
        <v>1</v>
      </c>
      <c r="E623" s="46">
        <v>0</v>
      </c>
      <c r="F623" s="46" t="s">
        <v>713</v>
      </c>
      <c r="G623" s="46" t="s">
        <v>1305</v>
      </c>
      <c r="H623" s="46" t="s">
        <v>2568</v>
      </c>
      <c r="I623" s="46" t="str">
        <f ca="1">IFERROR(__xludf.DUMMYFUNCTION("CONCAT(A623,REGEXREPLACE(H623,"".*_L0"",""_L0""))"),"HC_BN1022_MTG_snRNAseq_rep1_L004_I2_001.fastq.gz")</f>
        <v>HC_BN1022_MTG_snRNAseq_rep1_L004_I2_001.fastq.gz</v>
      </c>
      <c r="J623" s="46" t="str">
        <f t="shared" si="2"/>
        <v>/data/neurogen/ASAP/scRNAseq/data/batch11_ASAP_snRNA-seq_*/Raw_Data_and_Processing/cellranger_processing/cellranger_fastqs/outs/fastq_path/H*/BN1022_S3_L004_I2_001.fastq.gz</v>
      </c>
      <c r="K623" s="46" t="s">
        <v>1350</v>
      </c>
      <c r="L623" s="46" t="s">
        <v>2569</v>
      </c>
      <c r="M623" s="46" t="s">
        <v>1309</v>
      </c>
      <c r="N623" s="46" t="s">
        <v>1310</v>
      </c>
      <c r="O623" s="46" t="s">
        <v>1311</v>
      </c>
      <c r="P623" s="46" t="s">
        <v>1312</v>
      </c>
      <c r="Q623" s="46" t="s">
        <v>31</v>
      </c>
      <c r="R623" s="46" t="s">
        <v>31</v>
      </c>
      <c r="S623" s="46" t="s">
        <v>31</v>
      </c>
      <c r="T623" s="46" t="s">
        <v>31</v>
      </c>
      <c r="U623" s="46" t="s">
        <v>49</v>
      </c>
    </row>
    <row r="624" spans="1:21">
      <c r="A624" s="46" t="s">
        <v>712</v>
      </c>
      <c r="B624" s="46" t="s">
        <v>112</v>
      </c>
      <c r="C624" s="46" t="s">
        <v>666</v>
      </c>
      <c r="D624" s="46">
        <v>1</v>
      </c>
      <c r="E624" s="46">
        <v>0</v>
      </c>
      <c r="F624" s="46" t="s">
        <v>713</v>
      </c>
      <c r="G624" s="46" t="s">
        <v>1305</v>
      </c>
      <c r="H624" s="46" t="s">
        <v>2570</v>
      </c>
      <c r="I624" s="46" t="str">
        <f ca="1">IFERROR(__xludf.DUMMYFUNCTION("CONCAT(A624,REGEXREPLACE(H624,"".*_L0"",""_L0""))"),"HC_BN1022_MTG_snRNAseq_rep1_L004_R1_001.fastq.gz")</f>
        <v>HC_BN1022_MTG_snRNAseq_rep1_L004_R1_001.fastq.gz</v>
      </c>
      <c r="J624" s="46" t="str">
        <f t="shared" si="2"/>
        <v>/data/neurogen/ASAP/scRNAseq/data/batch11_ASAP_snRNA-seq_*/Raw_Data_and_Processing/cellranger_processing/cellranger_fastqs/outs/fastq_path/H*/BN1022_S3_L004_R1_001.fastq.gz</v>
      </c>
      <c r="K624" s="46" t="s">
        <v>1353</v>
      </c>
      <c r="L624" s="46" t="s">
        <v>2571</v>
      </c>
      <c r="M624" s="46" t="s">
        <v>1309</v>
      </c>
      <c r="N624" s="46" t="s">
        <v>1310</v>
      </c>
      <c r="O624" s="46" t="s">
        <v>1311</v>
      </c>
      <c r="P624" s="46" t="s">
        <v>1312</v>
      </c>
      <c r="Q624" s="46" t="s">
        <v>31</v>
      </c>
      <c r="R624" s="46" t="s">
        <v>31</v>
      </c>
      <c r="S624" s="46" t="s">
        <v>31</v>
      </c>
      <c r="T624" s="46" t="s">
        <v>31</v>
      </c>
      <c r="U624" s="46" t="s">
        <v>49</v>
      </c>
    </row>
    <row r="625" spans="1:21">
      <c r="A625" s="46" t="s">
        <v>712</v>
      </c>
      <c r="B625" s="46" t="s">
        <v>112</v>
      </c>
      <c r="C625" s="46" t="s">
        <v>666</v>
      </c>
      <c r="D625" s="46">
        <v>1</v>
      </c>
      <c r="E625" s="46">
        <v>0</v>
      </c>
      <c r="F625" s="46" t="s">
        <v>713</v>
      </c>
      <c r="G625" s="46" t="s">
        <v>1305</v>
      </c>
      <c r="H625" s="46" t="s">
        <v>2572</v>
      </c>
      <c r="I625" s="46" t="str">
        <f ca="1">IFERROR(__xludf.DUMMYFUNCTION("CONCAT(A625,REGEXREPLACE(H625,"".*_L0"",""_L0""))"),"HC_BN1022_MTG_snRNAseq_rep1_L004_R2_001.fastq.gz")</f>
        <v>HC_BN1022_MTG_snRNAseq_rep1_L004_R2_001.fastq.gz</v>
      </c>
      <c r="J625" s="46" t="str">
        <f t="shared" si="2"/>
        <v>/data/neurogen/ASAP/scRNAseq/data/batch11_ASAP_snRNA-seq_*/Raw_Data_and_Processing/cellranger_processing/cellranger_fastqs/outs/fastq_path/H*/BN1022_S3_L004_R2_001.fastq.gz</v>
      </c>
      <c r="K625" s="46" t="s">
        <v>1356</v>
      </c>
      <c r="L625" s="46" t="s">
        <v>2573</v>
      </c>
      <c r="M625" s="46" t="s">
        <v>1309</v>
      </c>
      <c r="N625" s="46" t="s">
        <v>1310</v>
      </c>
      <c r="O625" s="46" t="s">
        <v>1311</v>
      </c>
      <c r="P625" s="46" t="s">
        <v>1312</v>
      </c>
      <c r="Q625" s="46" t="s">
        <v>31</v>
      </c>
      <c r="R625" s="46" t="s">
        <v>31</v>
      </c>
      <c r="S625" s="46" t="s">
        <v>31</v>
      </c>
      <c r="T625" s="46" t="s">
        <v>31</v>
      </c>
      <c r="U625" s="46" t="s">
        <v>49</v>
      </c>
    </row>
    <row r="626" spans="1:21">
      <c r="A626" s="46" t="s">
        <v>736</v>
      </c>
      <c r="B626" s="46" t="s">
        <v>139</v>
      </c>
      <c r="C626" s="46" t="s">
        <v>666</v>
      </c>
      <c r="D626" s="46">
        <v>1</v>
      </c>
      <c r="E626" s="46">
        <v>0</v>
      </c>
      <c r="F626" s="46" t="s">
        <v>713</v>
      </c>
      <c r="G626" s="46" t="s">
        <v>1305</v>
      </c>
      <c r="H626" s="46" t="s">
        <v>2574</v>
      </c>
      <c r="I626" s="46" t="str">
        <f ca="1">IFERROR(__xludf.DUMMYFUNCTION("CONCAT(A626,REGEXREPLACE(H626,"".*_L0"",""_L0""))"),"ILB_BN1361_MTG_snRNAseq_rep1_L001_I1_001.fastq.gz")</f>
        <v>ILB_BN1361_MTG_snRNAseq_rep1_L001_I1_001.fastq.gz</v>
      </c>
      <c r="J626" s="46" t="str">
        <f t="shared" si="2"/>
        <v>/data/neurogen/ASAP/scRNAseq/data/batch11_ASAP_snRNA-seq_*/Raw_Data_and_Processing/cellranger_processing/cellranger_fastqs/outs/fastq_path/H*/BN1361_S2_L001_I1_001.fastq.gz</v>
      </c>
      <c r="K626" s="46" t="s">
        <v>1307</v>
      </c>
      <c r="L626" s="46" t="s">
        <v>2575</v>
      </c>
      <c r="M626" s="46" t="s">
        <v>1309</v>
      </c>
      <c r="N626" s="46" t="s">
        <v>1310</v>
      </c>
      <c r="O626" s="46" t="s">
        <v>1311</v>
      </c>
      <c r="P626" s="46" t="s">
        <v>1312</v>
      </c>
      <c r="Q626" s="46" t="s">
        <v>31</v>
      </c>
      <c r="R626" s="46" t="s">
        <v>31</v>
      </c>
      <c r="S626" s="46" t="s">
        <v>31</v>
      </c>
      <c r="T626" s="46" t="s">
        <v>31</v>
      </c>
      <c r="U626" s="46" t="s">
        <v>49</v>
      </c>
    </row>
    <row r="627" spans="1:21">
      <c r="A627" s="46" t="s">
        <v>736</v>
      </c>
      <c r="B627" s="46" t="s">
        <v>139</v>
      </c>
      <c r="C627" s="46" t="s">
        <v>666</v>
      </c>
      <c r="D627" s="46">
        <v>1</v>
      </c>
      <c r="E627" s="46">
        <v>0</v>
      </c>
      <c r="F627" s="46" t="s">
        <v>713</v>
      </c>
      <c r="G627" s="46" t="s">
        <v>1305</v>
      </c>
      <c r="H627" s="46" t="s">
        <v>2576</v>
      </c>
      <c r="I627" s="46" t="str">
        <f ca="1">IFERROR(__xludf.DUMMYFUNCTION("CONCAT(A627,REGEXREPLACE(H627,"".*_L0"",""_L0""))"),"ILB_BN1361_MTG_snRNAseq_rep1_L001_I2_001.fastq.gz")</f>
        <v>ILB_BN1361_MTG_snRNAseq_rep1_L001_I2_001.fastq.gz</v>
      </c>
      <c r="J627" s="46" t="str">
        <f t="shared" si="2"/>
        <v>/data/neurogen/ASAP/scRNAseq/data/batch11_ASAP_snRNA-seq_*/Raw_Data_and_Processing/cellranger_processing/cellranger_fastqs/outs/fastq_path/H*/BN1361_S2_L001_I2_001.fastq.gz</v>
      </c>
      <c r="K627" s="46" t="s">
        <v>1314</v>
      </c>
      <c r="L627" s="46" t="s">
        <v>2577</v>
      </c>
      <c r="M627" s="46" t="s">
        <v>1309</v>
      </c>
      <c r="N627" s="46" t="s">
        <v>1310</v>
      </c>
      <c r="O627" s="46" t="s">
        <v>1311</v>
      </c>
      <c r="P627" s="46" t="s">
        <v>1312</v>
      </c>
      <c r="Q627" s="46" t="s">
        <v>31</v>
      </c>
      <c r="R627" s="46" t="s">
        <v>31</v>
      </c>
      <c r="S627" s="46" t="s">
        <v>31</v>
      </c>
      <c r="T627" s="46" t="s">
        <v>31</v>
      </c>
      <c r="U627" s="46" t="s">
        <v>49</v>
      </c>
    </row>
    <row r="628" spans="1:21">
      <c r="A628" s="46" t="s">
        <v>736</v>
      </c>
      <c r="B628" s="46" t="s">
        <v>139</v>
      </c>
      <c r="C628" s="46" t="s">
        <v>666</v>
      </c>
      <c r="D628" s="46">
        <v>1</v>
      </c>
      <c r="E628" s="46">
        <v>0</v>
      </c>
      <c r="F628" s="46" t="s">
        <v>713</v>
      </c>
      <c r="G628" s="46" t="s">
        <v>1305</v>
      </c>
      <c r="H628" s="46" t="s">
        <v>2578</v>
      </c>
      <c r="I628" s="46" t="str">
        <f ca="1">IFERROR(__xludf.DUMMYFUNCTION("CONCAT(A628,REGEXREPLACE(H628,"".*_L0"",""_L0""))"),"ILB_BN1361_MTG_snRNAseq_rep1_L001_R1_001.fastq.gz")</f>
        <v>ILB_BN1361_MTG_snRNAseq_rep1_L001_R1_001.fastq.gz</v>
      </c>
      <c r="J628" s="46" t="str">
        <f t="shared" si="2"/>
        <v>/data/neurogen/ASAP/scRNAseq/data/batch11_ASAP_snRNA-seq_*/Raw_Data_and_Processing/cellranger_processing/cellranger_fastqs/outs/fastq_path/H*/BN1361_S2_L001_R1_001.fastq.gz</v>
      </c>
      <c r="K628" s="46" t="s">
        <v>1317</v>
      </c>
      <c r="L628" s="46" t="s">
        <v>2579</v>
      </c>
      <c r="M628" s="46" t="s">
        <v>1309</v>
      </c>
      <c r="N628" s="46" t="s">
        <v>1310</v>
      </c>
      <c r="O628" s="46" t="s">
        <v>1311</v>
      </c>
      <c r="P628" s="46" t="s">
        <v>1312</v>
      </c>
      <c r="Q628" s="46" t="s">
        <v>31</v>
      </c>
      <c r="R628" s="46" t="s">
        <v>31</v>
      </c>
      <c r="S628" s="46" t="s">
        <v>31</v>
      </c>
      <c r="T628" s="46" t="s">
        <v>31</v>
      </c>
      <c r="U628" s="46" t="s">
        <v>49</v>
      </c>
    </row>
    <row r="629" spans="1:21">
      <c r="A629" s="46" t="s">
        <v>736</v>
      </c>
      <c r="B629" s="46" t="s">
        <v>139</v>
      </c>
      <c r="C629" s="46" t="s">
        <v>666</v>
      </c>
      <c r="D629" s="46">
        <v>1</v>
      </c>
      <c r="E629" s="46">
        <v>0</v>
      </c>
      <c r="F629" s="46" t="s">
        <v>713</v>
      </c>
      <c r="G629" s="46" t="s">
        <v>1305</v>
      </c>
      <c r="H629" s="46" t="s">
        <v>2580</v>
      </c>
      <c r="I629" s="46" t="str">
        <f ca="1">IFERROR(__xludf.DUMMYFUNCTION("CONCAT(A629,REGEXREPLACE(H629,"".*_L0"",""_L0""))"),"ILB_BN1361_MTG_snRNAseq_rep1_L001_R2_001.fastq.gz")</f>
        <v>ILB_BN1361_MTG_snRNAseq_rep1_L001_R2_001.fastq.gz</v>
      </c>
      <c r="J629" s="46" t="str">
        <f t="shared" si="2"/>
        <v>/data/neurogen/ASAP/scRNAseq/data/batch11_ASAP_snRNA-seq_*/Raw_Data_and_Processing/cellranger_processing/cellranger_fastqs/outs/fastq_path/H*/BN1361_S2_L001_R2_001.fastq.gz</v>
      </c>
      <c r="K629" s="46" t="s">
        <v>1320</v>
      </c>
      <c r="L629" s="46" t="s">
        <v>2581</v>
      </c>
      <c r="M629" s="46" t="s">
        <v>1309</v>
      </c>
      <c r="N629" s="46" t="s">
        <v>1310</v>
      </c>
      <c r="O629" s="46" t="s">
        <v>1311</v>
      </c>
      <c r="P629" s="46" t="s">
        <v>1312</v>
      </c>
      <c r="Q629" s="46" t="s">
        <v>31</v>
      </c>
      <c r="R629" s="46" t="s">
        <v>31</v>
      </c>
      <c r="S629" s="46" t="s">
        <v>31</v>
      </c>
      <c r="T629" s="46" t="s">
        <v>31</v>
      </c>
      <c r="U629" s="46" t="s">
        <v>49</v>
      </c>
    </row>
    <row r="630" spans="1:21">
      <c r="A630" s="46" t="s">
        <v>736</v>
      </c>
      <c r="B630" s="46" t="s">
        <v>139</v>
      </c>
      <c r="C630" s="46" t="s">
        <v>666</v>
      </c>
      <c r="D630" s="46">
        <v>1</v>
      </c>
      <c r="E630" s="46">
        <v>0</v>
      </c>
      <c r="F630" s="46" t="s">
        <v>713</v>
      </c>
      <c r="G630" s="46" t="s">
        <v>1305</v>
      </c>
      <c r="H630" s="46" t="s">
        <v>2582</v>
      </c>
      <c r="I630" s="46" t="str">
        <f ca="1">IFERROR(__xludf.DUMMYFUNCTION("CONCAT(A630,REGEXREPLACE(H630,"".*_L0"",""_L0""))"),"ILB_BN1361_MTG_snRNAseq_rep1_L002_I1_001.fastq.gz")</f>
        <v>ILB_BN1361_MTG_snRNAseq_rep1_L002_I1_001.fastq.gz</v>
      </c>
      <c r="J630" s="46" t="str">
        <f t="shared" si="2"/>
        <v>/data/neurogen/ASAP/scRNAseq/data/batch11_ASAP_snRNA-seq_*/Raw_Data_and_Processing/cellranger_processing/cellranger_fastqs/outs/fastq_path/H*/BN1361_S2_L002_I1_001.fastq.gz</v>
      </c>
      <c r="K630" s="46" t="s">
        <v>1323</v>
      </c>
      <c r="L630" s="46" t="s">
        <v>2583</v>
      </c>
      <c r="M630" s="46" t="s">
        <v>1309</v>
      </c>
      <c r="N630" s="46" t="s">
        <v>1310</v>
      </c>
      <c r="O630" s="46" t="s">
        <v>1311</v>
      </c>
      <c r="P630" s="46" t="s">
        <v>1312</v>
      </c>
      <c r="Q630" s="46" t="s">
        <v>31</v>
      </c>
      <c r="R630" s="46" t="s">
        <v>31</v>
      </c>
      <c r="S630" s="46" t="s">
        <v>31</v>
      </c>
      <c r="T630" s="46" t="s">
        <v>31</v>
      </c>
      <c r="U630" s="46" t="s">
        <v>49</v>
      </c>
    </row>
    <row r="631" spans="1:21">
      <c r="A631" s="46" t="s">
        <v>736</v>
      </c>
      <c r="B631" s="46" t="s">
        <v>139</v>
      </c>
      <c r="C631" s="46" t="s">
        <v>666</v>
      </c>
      <c r="D631" s="46">
        <v>1</v>
      </c>
      <c r="E631" s="46">
        <v>0</v>
      </c>
      <c r="F631" s="46" t="s">
        <v>713</v>
      </c>
      <c r="G631" s="46" t="s">
        <v>1305</v>
      </c>
      <c r="H631" s="46" t="s">
        <v>2584</v>
      </c>
      <c r="I631" s="46" t="str">
        <f ca="1">IFERROR(__xludf.DUMMYFUNCTION("CONCAT(A631,REGEXREPLACE(H631,"".*_L0"",""_L0""))"),"ILB_BN1361_MTG_snRNAseq_rep1_L002_I2_001.fastq.gz")</f>
        <v>ILB_BN1361_MTG_snRNAseq_rep1_L002_I2_001.fastq.gz</v>
      </c>
      <c r="J631" s="46" t="str">
        <f t="shared" si="2"/>
        <v>/data/neurogen/ASAP/scRNAseq/data/batch11_ASAP_snRNA-seq_*/Raw_Data_and_Processing/cellranger_processing/cellranger_fastqs/outs/fastq_path/H*/BN1361_S2_L002_I2_001.fastq.gz</v>
      </c>
      <c r="K631" s="46" t="s">
        <v>1326</v>
      </c>
      <c r="L631" s="46" t="s">
        <v>2585</v>
      </c>
      <c r="M631" s="46" t="s">
        <v>1309</v>
      </c>
      <c r="N631" s="46" t="s">
        <v>1310</v>
      </c>
      <c r="O631" s="46" t="s">
        <v>1311</v>
      </c>
      <c r="P631" s="46" t="s">
        <v>1312</v>
      </c>
      <c r="Q631" s="46" t="s">
        <v>31</v>
      </c>
      <c r="R631" s="46" t="s">
        <v>31</v>
      </c>
      <c r="S631" s="46" t="s">
        <v>31</v>
      </c>
      <c r="T631" s="46" t="s">
        <v>31</v>
      </c>
      <c r="U631" s="46" t="s">
        <v>49</v>
      </c>
    </row>
    <row r="632" spans="1:21">
      <c r="A632" s="46" t="s">
        <v>736</v>
      </c>
      <c r="B632" s="46" t="s">
        <v>139</v>
      </c>
      <c r="C632" s="46" t="s">
        <v>666</v>
      </c>
      <c r="D632" s="46">
        <v>1</v>
      </c>
      <c r="E632" s="46">
        <v>0</v>
      </c>
      <c r="F632" s="46" t="s">
        <v>713</v>
      </c>
      <c r="G632" s="46" t="s">
        <v>1305</v>
      </c>
      <c r="H632" s="46" t="s">
        <v>2586</v>
      </c>
      <c r="I632" s="46" t="str">
        <f ca="1">IFERROR(__xludf.DUMMYFUNCTION("CONCAT(A632,REGEXREPLACE(H632,"".*_L0"",""_L0""))"),"ILB_BN1361_MTG_snRNAseq_rep1_L002_R1_001.fastq.gz")</f>
        <v>ILB_BN1361_MTG_snRNAseq_rep1_L002_R1_001.fastq.gz</v>
      </c>
      <c r="J632" s="46" t="str">
        <f t="shared" si="2"/>
        <v>/data/neurogen/ASAP/scRNAseq/data/batch11_ASAP_snRNA-seq_*/Raw_Data_and_Processing/cellranger_processing/cellranger_fastqs/outs/fastq_path/H*/BN1361_S2_L002_R1_001.fastq.gz</v>
      </c>
      <c r="K632" s="46" t="s">
        <v>1329</v>
      </c>
      <c r="L632" s="46" t="s">
        <v>2587</v>
      </c>
      <c r="M632" s="46" t="s">
        <v>1309</v>
      </c>
      <c r="N632" s="46" t="s">
        <v>1310</v>
      </c>
      <c r="O632" s="46" t="s">
        <v>1311</v>
      </c>
      <c r="P632" s="46" t="s">
        <v>1312</v>
      </c>
      <c r="Q632" s="46" t="s">
        <v>31</v>
      </c>
      <c r="R632" s="46" t="s">
        <v>31</v>
      </c>
      <c r="S632" s="46" t="s">
        <v>31</v>
      </c>
      <c r="T632" s="46" t="s">
        <v>31</v>
      </c>
      <c r="U632" s="46" t="s">
        <v>49</v>
      </c>
    </row>
    <row r="633" spans="1:21">
      <c r="A633" s="46" t="s">
        <v>736</v>
      </c>
      <c r="B633" s="46" t="s">
        <v>139</v>
      </c>
      <c r="C633" s="46" t="s">
        <v>666</v>
      </c>
      <c r="D633" s="46">
        <v>1</v>
      </c>
      <c r="E633" s="46">
        <v>0</v>
      </c>
      <c r="F633" s="46" t="s">
        <v>713</v>
      </c>
      <c r="G633" s="46" t="s">
        <v>1305</v>
      </c>
      <c r="H633" s="46" t="s">
        <v>2588</v>
      </c>
      <c r="I633" s="46" t="str">
        <f ca="1">IFERROR(__xludf.DUMMYFUNCTION("CONCAT(A633,REGEXREPLACE(H633,"".*_L0"",""_L0""))"),"ILB_BN1361_MTG_snRNAseq_rep1_L002_R2_001.fastq.gz")</f>
        <v>ILB_BN1361_MTG_snRNAseq_rep1_L002_R2_001.fastq.gz</v>
      </c>
      <c r="J633" s="46" t="str">
        <f t="shared" si="2"/>
        <v>/data/neurogen/ASAP/scRNAseq/data/batch11_ASAP_snRNA-seq_*/Raw_Data_and_Processing/cellranger_processing/cellranger_fastqs/outs/fastq_path/H*/BN1361_S2_L002_R2_001.fastq.gz</v>
      </c>
      <c r="K633" s="46" t="s">
        <v>1332</v>
      </c>
      <c r="L633" s="46" t="s">
        <v>2589</v>
      </c>
      <c r="M633" s="46" t="s">
        <v>1309</v>
      </c>
      <c r="N633" s="46" t="s">
        <v>1310</v>
      </c>
      <c r="O633" s="46" t="s">
        <v>1311</v>
      </c>
      <c r="P633" s="46" t="s">
        <v>1312</v>
      </c>
      <c r="Q633" s="46" t="s">
        <v>31</v>
      </c>
      <c r="R633" s="46" t="s">
        <v>31</v>
      </c>
      <c r="S633" s="46" t="s">
        <v>31</v>
      </c>
      <c r="T633" s="46" t="s">
        <v>31</v>
      </c>
      <c r="U633" s="46" t="s">
        <v>49</v>
      </c>
    </row>
    <row r="634" spans="1:21">
      <c r="A634" s="46" t="s">
        <v>736</v>
      </c>
      <c r="B634" s="46" t="s">
        <v>139</v>
      </c>
      <c r="C634" s="46" t="s">
        <v>666</v>
      </c>
      <c r="D634" s="46">
        <v>1</v>
      </c>
      <c r="E634" s="46">
        <v>0</v>
      </c>
      <c r="F634" s="46" t="s">
        <v>713</v>
      </c>
      <c r="G634" s="46" t="s">
        <v>1305</v>
      </c>
      <c r="H634" s="46" t="s">
        <v>2590</v>
      </c>
      <c r="I634" s="46" t="str">
        <f ca="1">IFERROR(__xludf.DUMMYFUNCTION("CONCAT(A634,REGEXREPLACE(H634,"".*_L0"",""_L0""))"),"ILB_BN1361_MTG_snRNAseq_rep1_L003_I1_001.fastq.gz")</f>
        <v>ILB_BN1361_MTG_snRNAseq_rep1_L003_I1_001.fastq.gz</v>
      </c>
      <c r="J634" s="46" t="str">
        <f t="shared" si="2"/>
        <v>/data/neurogen/ASAP/scRNAseq/data/batch11_ASAP_snRNA-seq_*/Raw_Data_and_Processing/cellranger_processing/cellranger_fastqs/outs/fastq_path/H*/BN1361_S2_L003_I1_001.fastq.gz</v>
      </c>
      <c r="K634" s="46" t="s">
        <v>1335</v>
      </c>
      <c r="L634" s="46" t="s">
        <v>2591</v>
      </c>
      <c r="M634" s="46" t="s">
        <v>1309</v>
      </c>
      <c r="N634" s="46" t="s">
        <v>1310</v>
      </c>
      <c r="O634" s="46" t="s">
        <v>1311</v>
      </c>
      <c r="P634" s="46" t="s">
        <v>1312</v>
      </c>
      <c r="Q634" s="46" t="s">
        <v>31</v>
      </c>
      <c r="R634" s="46" t="s">
        <v>31</v>
      </c>
      <c r="S634" s="46" t="s">
        <v>31</v>
      </c>
      <c r="T634" s="46" t="s">
        <v>31</v>
      </c>
      <c r="U634" s="46" t="s">
        <v>49</v>
      </c>
    </row>
    <row r="635" spans="1:21">
      <c r="A635" s="46" t="s">
        <v>736</v>
      </c>
      <c r="B635" s="46" t="s">
        <v>139</v>
      </c>
      <c r="C635" s="46" t="s">
        <v>666</v>
      </c>
      <c r="D635" s="46">
        <v>1</v>
      </c>
      <c r="E635" s="46">
        <v>0</v>
      </c>
      <c r="F635" s="46" t="s">
        <v>713</v>
      </c>
      <c r="G635" s="46" t="s">
        <v>1305</v>
      </c>
      <c r="H635" s="46" t="s">
        <v>2592</v>
      </c>
      <c r="I635" s="46" t="str">
        <f ca="1">IFERROR(__xludf.DUMMYFUNCTION("CONCAT(A635,REGEXREPLACE(H635,"".*_L0"",""_L0""))"),"ILB_BN1361_MTG_snRNAseq_rep1_L003_I2_001.fastq.gz")</f>
        <v>ILB_BN1361_MTG_snRNAseq_rep1_L003_I2_001.fastq.gz</v>
      </c>
      <c r="J635" s="46" t="str">
        <f t="shared" si="2"/>
        <v>/data/neurogen/ASAP/scRNAseq/data/batch11_ASAP_snRNA-seq_*/Raw_Data_and_Processing/cellranger_processing/cellranger_fastqs/outs/fastq_path/H*/BN1361_S2_L003_I2_001.fastq.gz</v>
      </c>
      <c r="K635" s="46" t="s">
        <v>1338</v>
      </c>
      <c r="L635" s="46" t="s">
        <v>2593</v>
      </c>
      <c r="M635" s="46" t="s">
        <v>1309</v>
      </c>
      <c r="N635" s="46" t="s">
        <v>1310</v>
      </c>
      <c r="O635" s="46" t="s">
        <v>1311</v>
      </c>
      <c r="P635" s="46" t="s">
        <v>1312</v>
      </c>
      <c r="Q635" s="46" t="s">
        <v>31</v>
      </c>
      <c r="R635" s="46" t="s">
        <v>31</v>
      </c>
      <c r="S635" s="46" t="s">
        <v>31</v>
      </c>
      <c r="T635" s="46" t="s">
        <v>31</v>
      </c>
      <c r="U635" s="46" t="s">
        <v>49</v>
      </c>
    </row>
    <row r="636" spans="1:21">
      <c r="A636" s="46" t="s">
        <v>736</v>
      </c>
      <c r="B636" s="46" t="s">
        <v>139</v>
      </c>
      <c r="C636" s="46" t="s">
        <v>666</v>
      </c>
      <c r="D636" s="46">
        <v>1</v>
      </c>
      <c r="E636" s="46">
        <v>0</v>
      </c>
      <c r="F636" s="46" t="s">
        <v>713</v>
      </c>
      <c r="G636" s="46" t="s">
        <v>1305</v>
      </c>
      <c r="H636" s="46" t="s">
        <v>2594</v>
      </c>
      <c r="I636" s="46" t="str">
        <f ca="1">IFERROR(__xludf.DUMMYFUNCTION("CONCAT(A636,REGEXREPLACE(H636,"".*_L0"",""_L0""))"),"ILB_BN1361_MTG_snRNAseq_rep1_L003_R1_001.fastq.gz")</f>
        <v>ILB_BN1361_MTG_snRNAseq_rep1_L003_R1_001.fastq.gz</v>
      </c>
      <c r="J636" s="46" t="str">
        <f t="shared" si="2"/>
        <v>/data/neurogen/ASAP/scRNAseq/data/batch11_ASAP_snRNA-seq_*/Raw_Data_and_Processing/cellranger_processing/cellranger_fastqs/outs/fastq_path/H*/BN1361_S2_L003_R1_001.fastq.gz</v>
      </c>
      <c r="K636" s="46" t="s">
        <v>1341</v>
      </c>
      <c r="L636" s="46" t="s">
        <v>2595</v>
      </c>
      <c r="M636" s="46" t="s">
        <v>1309</v>
      </c>
      <c r="N636" s="46" t="s">
        <v>1310</v>
      </c>
      <c r="O636" s="46" t="s">
        <v>1311</v>
      </c>
      <c r="P636" s="46" t="s">
        <v>1312</v>
      </c>
      <c r="Q636" s="46" t="s">
        <v>31</v>
      </c>
      <c r="R636" s="46" t="s">
        <v>31</v>
      </c>
      <c r="S636" s="46" t="s">
        <v>31</v>
      </c>
      <c r="T636" s="46" t="s">
        <v>31</v>
      </c>
      <c r="U636" s="46" t="s">
        <v>49</v>
      </c>
    </row>
    <row r="637" spans="1:21">
      <c r="A637" s="46" t="s">
        <v>736</v>
      </c>
      <c r="B637" s="46" t="s">
        <v>139</v>
      </c>
      <c r="C637" s="46" t="s">
        <v>666</v>
      </c>
      <c r="D637" s="46">
        <v>1</v>
      </c>
      <c r="E637" s="46">
        <v>0</v>
      </c>
      <c r="F637" s="46" t="s">
        <v>713</v>
      </c>
      <c r="G637" s="46" t="s">
        <v>1305</v>
      </c>
      <c r="H637" s="46" t="s">
        <v>2596</v>
      </c>
      <c r="I637" s="46" t="str">
        <f ca="1">IFERROR(__xludf.DUMMYFUNCTION("CONCAT(A637,REGEXREPLACE(H637,"".*_L0"",""_L0""))"),"ILB_BN1361_MTG_snRNAseq_rep1_L003_R2_001.fastq.gz")</f>
        <v>ILB_BN1361_MTG_snRNAseq_rep1_L003_R2_001.fastq.gz</v>
      </c>
      <c r="J637" s="46" t="str">
        <f t="shared" si="2"/>
        <v>/data/neurogen/ASAP/scRNAseq/data/batch11_ASAP_snRNA-seq_*/Raw_Data_and_Processing/cellranger_processing/cellranger_fastqs/outs/fastq_path/H*/BN1361_S2_L003_R2_001.fastq.gz</v>
      </c>
      <c r="K637" s="46" t="s">
        <v>1344</v>
      </c>
      <c r="L637" s="46" t="s">
        <v>2597</v>
      </c>
      <c r="M637" s="46" t="s">
        <v>1309</v>
      </c>
      <c r="N637" s="46" t="s">
        <v>1310</v>
      </c>
      <c r="O637" s="46" t="s">
        <v>1311</v>
      </c>
      <c r="P637" s="46" t="s">
        <v>1312</v>
      </c>
      <c r="Q637" s="46" t="s">
        <v>31</v>
      </c>
      <c r="R637" s="46" t="s">
        <v>31</v>
      </c>
      <c r="S637" s="46" t="s">
        <v>31</v>
      </c>
      <c r="T637" s="46" t="s">
        <v>31</v>
      </c>
      <c r="U637" s="46" t="s">
        <v>49</v>
      </c>
    </row>
    <row r="638" spans="1:21">
      <c r="A638" s="46" t="s">
        <v>736</v>
      </c>
      <c r="B638" s="46" t="s">
        <v>139</v>
      </c>
      <c r="C638" s="46" t="s">
        <v>666</v>
      </c>
      <c r="D638" s="46">
        <v>1</v>
      </c>
      <c r="E638" s="46">
        <v>0</v>
      </c>
      <c r="F638" s="46" t="s">
        <v>713</v>
      </c>
      <c r="G638" s="46" t="s">
        <v>1305</v>
      </c>
      <c r="H638" s="46" t="s">
        <v>2598</v>
      </c>
      <c r="I638" s="46" t="str">
        <f ca="1">IFERROR(__xludf.DUMMYFUNCTION("CONCAT(A638,REGEXREPLACE(H638,"".*_L0"",""_L0""))"),"ILB_BN1361_MTG_snRNAseq_rep1_L004_I1_001.fastq.gz")</f>
        <v>ILB_BN1361_MTG_snRNAseq_rep1_L004_I1_001.fastq.gz</v>
      </c>
      <c r="J638" s="46" t="str">
        <f t="shared" si="2"/>
        <v>/data/neurogen/ASAP/scRNAseq/data/batch11_ASAP_snRNA-seq_*/Raw_Data_and_Processing/cellranger_processing/cellranger_fastqs/outs/fastq_path/H*/BN1361_S2_L004_I1_001.fastq.gz</v>
      </c>
      <c r="K638" s="46" t="s">
        <v>1347</v>
      </c>
      <c r="L638" s="46" t="s">
        <v>2599</v>
      </c>
      <c r="M638" s="46" t="s">
        <v>1309</v>
      </c>
      <c r="N638" s="46" t="s">
        <v>1310</v>
      </c>
      <c r="O638" s="46" t="s">
        <v>1311</v>
      </c>
      <c r="P638" s="46" t="s">
        <v>1312</v>
      </c>
      <c r="Q638" s="46" t="s">
        <v>31</v>
      </c>
      <c r="R638" s="46" t="s">
        <v>31</v>
      </c>
      <c r="S638" s="46" t="s">
        <v>31</v>
      </c>
      <c r="T638" s="46" t="s">
        <v>31</v>
      </c>
      <c r="U638" s="46" t="s">
        <v>49</v>
      </c>
    </row>
    <row r="639" spans="1:21">
      <c r="A639" s="46" t="s">
        <v>736</v>
      </c>
      <c r="B639" s="46" t="s">
        <v>139</v>
      </c>
      <c r="C639" s="46" t="s">
        <v>666</v>
      </c>
      <c r="D639" s="46">
        <v>1</v>
      </c>
      <c r="E639" s="46">
        <v>0</v>
      </c>
      <c r="F639" s="46" t="s">
        <v>713</v>
      </c>
      <c r="G639" s="46" t="s">
        <v>1305</v>
      </c>
      <c r="H639" s="46" t="s">
        <v>2600</v>
      </c>
      <c r="I639" s="46" t="str">
        <f ca="1">IFERROR(__xludf.DUMMYFUNCTION("CONCAT(A639,REGEXREPLACE(H639,"".*_L0"",""_L0""))"),"ILB_BN1361_MTG_snRNAseq_rep1_L004_I2_001.fastq.gz")</f>
        <v>ILB_BN1361_MTG_snRNAseq_rep1_L004_I2_001.fastq.gz</v>
      </c>
      <c r="J639" s="46" t="str">
        <f t="shared" si="2"/>
        <v>/data/neurogen/ASAP/scRNAseq/data/batch11_ASAP_snRNA-seq_*/Raw_Data_and_Processing/cellranger_processing/cellranger_fastqs/outs/fastq_path/H*/BN1361_S2_L004_I2_001.fastq.gz</v>
      </c>
      <c r="K639" s="46" t="s">
        <v>1350</v>
      </c>
      <c r="L639" s="46" t="s">
        <v>2601</v>
      </c>
      <c r="M639" s="46" t="s">
        <v>1309</v>
      </c>
      <c r="N639" s="46" t="s">
        <v>1310</v>
      </c>
      <c r="O639" s="46" t="s">
        <v>1311</v>
      </c>
      <c r="P639" s="46" t="s">
        <v>1312</v>
      </c>
      <c r="Q639" s="46" t="s">
        <v>31</v>
      </c>
      <c r="R639" s="46" t="s">
        <v>31</v>
      </c>
      <c r="S639" s="46" t="s">
        <v>31</v>
      </c>
      <c r="T639" s="46" t="s">
        <v>31</v>
      </c>
      <c r="U639" s="46" t="s">
        <v>49</v>
      </c>
    </row>
    <row r="640" spans="1:21">
      <c r="A640" s="46" t="s">
        <v>736</v>
      </c>
      <c r="B640" s="46" t="s">
        <v>139</v>
      </c>
      <c r="C640" s="46" t="s">
        <v>666</v>
      </c>
      <c r="D640" s="46">
        <v>1</v>
      </c>
      <c r="E640" s="46">
        <v>0</v>
      </c>
      <c r="F640" s="46" t="s">
        <v>713</v>
      </c>
      <c r="G640" s="46" t="s">
        <v>1305</v>
      </c>
      <c r="H640" s="46" t="s">
        <v>2602</v>
      </c>
      <c r="I640" s="46" t="str">
        <f ca="1">IFERROR(__xludf.DUMMYFUNCTION("CONCAT(A640,REGEXREPLACE(H640,"".*_L0"",""_L0""))"),"ILB_BN1361_MTG_snRNAseq_rep1_L004_R1_001.fastq.gz")</f>
        <v>ILB_BN1361_MTG_snRNAseq_rep1_L004_R1_001.fastq.gz</v>
      </c>
      <c r="J640" s="46" t="str">
        <f t="shared" si="2"/>
        <v>/data/neurogen/ASAP/scRNAseq/data/batch11_ASAP_snRNA-seq_*/Raw_Data_and_Processing/cellranger_processing/cellranger_fastqs/outs/fastq_path/H*/BN1361_S2_L004_R1_001.fastq.gz</v>
      </c>
      <c r="K640" s="46" t="s">
        <v>1353</v>
      </c>
      <c r="L640" s="46" t="s">
        <v>2603</v>
      </c>
      <c r="M640" s="46" t="s">
        <v>1309</v>
      </c>
      <c r="N640" s="46" t="s">
        <v>1310</v>
      </c>
      <c r="O640" s="46" t="s">
        <v>1311</v>
      </c>
      <c r="P640" s="46" t="s">
        <v>1312</v>
      </c>
      <c r="Q640" s="46" t="s">
        <v>31</v>
      </c>
      <c r="R640" s="46" t="s">
        <v>31</v>
      </c>
      <c r="S640" s="46" t="s">
        <v>31</v>
      </c>
      <c r="T640" s="46" t="s">
        <v>31</v>
      </c>
      <c r="U640" s="46" t="s">
        <v>49</v>
      </c>
    </row>
    <row r="641" spans="1:21">
      <c r="A641" s="46" t="s">
        <v>736</v>
      </c>
      <c r="B641" s="46" t="s">
        <v>139</v>
      </c>
      <c r="C641" s="46" t="s">
        <v>666</v>
      </c>
      <c r="D641" s="46">
        <v>1</v>
      </c>
      <c r="E641" s="46">
        <v>0</v>
      </c>
      <c r="F641" s="46" t="s">
        <v>713</v>
      </c>
      <c r="G641" s="46" t="s">
        <v>1305</v>
      </c>
      <c r="H641" s="46" t="s">
        <v>2604</v>
      </c>
      <c r="I641" s="46" t="str">
        <f ca="1">IFERROR(__xludf.DUMMYFUNCTION("CONCAT(A641,REGEXREPLACE(H641,"".*_L0"",""_L0""))"),"ILB_BN1361_MTG_snRNAseq_rep1_L004_R2_001.fastq.gz")</f>
        <v>ILB_BN1361_MTG_snRNAseq_rep1_L004_R2_001.fastq.gz</v>
      </c>
      <c r="J641" s="46" t="str">
        <f t="shared" si="2"/>
        <v>/data/neurogen/ASAP/scRNAseq/data/batch11_ASAP_snRNA-seq_*/Raw_Data_and_Processing/cellranger_processing/cellranger_fastqs/outs/fastq_path/H*/BN1361_S2_L004_R2_001.fastq.gz</v>
      </c>
      <c r="K641" s="46" t="s">
        <v>1356</v>
      </c>
      <c r="L641" s="47" t="s">
        <v>2605</v>
      </c>
      <c r="M641" s="46" t="s">
        <v>1309</v>
      </c>
      <c r="N641" s="46" t="s">
        <v>1310</v>
      </c>
      <c r="O641" s="46" t="s">
        <v>1311</v>
      </c>
      <c r="P641" s="46" t="s">
        <v>1312</v>
      </c>
      <c r="Q641" s="46" t="s">
        <v>31</v>
      </c>
      <c r="R641" s="46" t="s">
        <v>31</v>
      </c>
      <c r="S641" s="46" t="s">
        <v>31</v>
      </c>
      <c r="T641" s="46" t="s">
        <v>31</v>
      </c>
      <c r="U641" s="46" t="s">
        <v>49</v>
      </c>
    </row>
    <row r="642" spans="1:21">
      <c r="A642" s="46" t="s">
        <v>737</v>
      </c>
      <c r="B642" s="46" t="s">
        <v>141</v>
      </c>
      <c r="C642" s="46" t="s">
        <v>666</v>
      </c>
      <c r="D642" s="46">
        <v>1</v>
      </c>
      <c r="E642" s="46">
        <v>0</v>
      </c>
      <c r="F642" s="46" t="s">
        <v>713</v>
      </c>
      <c r="G642" s="46" t="s">
        <v>1305</v>
      </c>
      <c r="H642" s="46" t="s">
        <v>2606</v>
      </c>
      <c r="I642" s="46" t="str">
        <f ca="1">IFERROR(__xludf.DUMMYFUNCTION("CONCAT(A642,REGEXREPLACE(H642,"".*_L0"",""_L0""))"),"PD_BN1412_MTG_snRNAseq_rep1_L001_I1_001.fastq.gz")</f>
        <v>PD_BN1412_MTG_snRNAseq_rep1_L001_I1_001.fastq.gz</v>
      </c>
      <c r="J642" s="46" t="str">
        <f t="shared" si="2"/>
        <v>/data/neurogen/ASAP/scRNAseq/data/batch11_ASAP_snRNA-seq_*/Raw_Data_and_Processing/cellranger_processing/cellranger_fastqs/outs/fastq_path/H*/BN1412_S1_L001_I1_001.fastq.gz</v>
      </c>
      <c r="K642" s="46" t="s">
        <v>1307</v>
      </c>
      <c r="L642" s="46" t="s">
        <v>2607</v>
      </c>
      <c r="M642" s="46" t="s">
        <v>1309</v>
      </c>
      <c r="N642" s="46" t="s">
        <v>1310</v>
      </c>
      <c r="O642" s="46" t="s">
        <v>1311</v>
      </c>
      <c r="P642" s="46" t="s">
        <v>1312</v>
      </c>
      <c r="Q642" s="46" t="s">
        <v>31</v>
      </c>
      <c r="R642" s="46" t="s">
        <v>31</v>
      </c>
      <c r="S642" s="46" t="s">
        <v>31</v>
      </c>
      <c r="T642" s="46" t="s">
        <v>31</v>
      </c>
      <c r="U642" s="46" t="s">
        <v>49</v>
      </c>
    </row>
    <row r="643" spans="1:21">
      <c r="A643" s="46" t="s">
        <v>737</v>
      </c>
      <c r="B643" s="46" t="s">
        <v>141</v>
      </c>
      <c r="C643" s="46" t="s">
        <v>666</v>
      </c>
      <c r="D643" s="46">
        <v>1</v>
      </c>
      <c r="E643" s="46">
        <v>0</v>
      </c>
      <c r="F643" s="46" t="s">
        <v>713</v>
      </c>
      <c r="G643" s="46" t="s">
        <v>1305</v>
      </c>
      <c r="H643" s="46" t="s">
        <v>2608</v>
      </c>
      <c r="I643" s="46" t="str">
        <f ca="1">IFERROR(__xludf.DUMMYFUNCTION("CONCAT(A643,REGEXREPLACE(H643,"".*_L0"",""_L0""))"),"PD_BN1412_MTG_snRNAseq_rep1_L001_I2_001.fastq.gz")</f>
        <v>PD_BN1412_MTG_snRNAseq_rep1_L001_I2_001.fastq.gz</v>
      </c>
      <c r="J643" s="46" t="str">
        <f t="shared" si="2"/>
        <v>/data/neurogen/ASAP/scRNAseq/data/batch11_ASAP_snRNA-seq_*/Raw_Data_and_Processing/cellranger_processing/cellranger_fastqs/outs/fastq_path/H*/BN1412_S1_L001_I2_001.fastq.gz</v>
      </c>
      <c r="K643" s="46" t="s">
        <v>1314</v>
      </c>
      <c r="L643" s="46" t="s">
        <v>2609</v>
      </c>
      <c r="M643" s="46" t="s">
        <v>1309</v>
      </c>
      <c r="N643" s="46" t="s">
        <v>1310</v>
      </c>
      <c r="O643" s="46" t="s">
        <v>1311</v>
      </c>
      <c r="P643" s="46" t="s">
        <v>1312</v>
      </c>
      <c r="Q643" s="46" t="s">
        <v>31</v>
      </c>
      <c r="R643" s="46" t="s">
        <v>31</v>
      </c>
      <c r="S643" s="46" t="s">
        <v>31</v>
      </c>
      <c r="T643" s="46" t="s">
        <v>31</v>
      </c>
      <c r="U643" s="46" t="s">
        <v>49</v>
      </c>
    </row>
    <row r="644" spans="1:21">
      <c r="A644" s="46" t="s">
        <v>737</v>
      </c>
      <c r="B644" s="46" t="s">
        <v>141</v>
      </c>
      <c r="C644" s="46" t="s">
        <v>666</v>
      </c>
      <c r="D644" s="46">
        <v>1</v>
      </c>
      <c r="E644" s="46">
        <v>0</v>
      </c>
      <c r="F644" s="46" t="s">
        <v>713</v>
      </c>
      <c r="G644" s="46" t="s">
        <v>1305</v>
      </c>
      <c r="H644" s="46" t="s">
        <v>2610</v>
      </c>
      <c r="I644" s="46" t="str">
        <f ca="1">IFERROR(__xludf.DUMMYFUNCTION("CONCAT(A644,REGEXREPLACE(H644,"".*_L0"",""_L0""))"),"PD_BN1412_MTG_snRNAseq_rep1_L001_R1_001.fastq.gz")</f>
        <v>PD_BN1412_MTG_snRNAseq_rep1_L001_R1_001.fastq.gz</v>
      </c>
      <c r="J644" s="46" t="str">
        <f t="shared" si="2"/>
        <v>/data/neurogen/ASAP/scRNAseq/data/batch11_ASAP_snRNA-seq_*/Raw_Data_and_Processing/cellranger_processing/cellranger_fastqs/outs/fastq_path/H*/BN1412_S1_L001_R1_001.fastq.gz</v>
      </c>
      <c r="K644" s="46" t="s">
        <v>1317</v>
      </c>
      <c r="L644" s="46" t="s">
        <v>2611</v>
      </c>
      <c r="M644" s="46" t="s">
        <v>1309</v>
      </c>
      <c r="N644" s="46" t="s">
        <v>1310</v>
      </c>
      <c r="O644" s="46" t="s">
        <v>1311</v>
      </c>
      <c r="P644" s="46" t="s">
        <v>1312</v>
      </c>
      <c r="Q644" s="46" t="s">
        <v>31</v>
      </c>
      <c r="R644" s="46" t="s">
        <v>31</v>
      </c>
      <c r="S644" s="46" t="s">
        <v>31</v>
      </c>
      <c r="T644" s="46" t="s">
        <v>31</v>
      </c>
      <c r="U644" s="46" t="s">
        <v>49</v>
      </c>
    </row>
    <row r="645" spans="1:21">
      <c r="A645" s="46" t="s">
        <v>737</v>
      </c>
      <c r="B645" s="46" t="s">
        <v>141</v>
      </c>
      <c r="C645" s="46" t="s">
        <v>666</v>
      </c>
      <c r="D645" s="46">
        <v>1</v>
      </c>
      <c r="E645" s="46">
        <v>0</v>
      </c>
      <c r="F645" s="46" t="s">
        <v>713</v>
      </c>
      <c r="G645" s="46" t="s">
        <v>1305</v>
      </c>
      <c r="H645" s="46" t="s">
        <v>2612</v>
      </c>
      <c r="I645" s="46" t="str">
        <f ca="1">IFERROR(__xludf.DUMMYFUNCTION("CONCAT(A645,REGEXREPLACE(H645,"".*_L0"",""_L0""))"),"PD_BN1412_MTG_snRNAseq_rep1_L001_R2_001.fastq.gz")</f>
        <v>PD_BN1412_MTG_snRNAseq_rep1_L001_R2_001.fastq.gz</v>
      </c>
      <c r="J645" s="46" t="str">
        <f t="shared" si="2"/>
        <v>/data/neurogen/ASAP/scRNAseq/data/batch11_ASAP_snRNA-seq_*/Raw_Data_and_Processing/cellranger_processing/cellranger_fastqs/outs/fastq_path/H*/BN1412_S1_L001_R2_001.fastq.gz</v>
      </c>
      <c r="K645" s="46" t="s">
        <v>1320</v>
      </c>
      <c r="L645" s="46" t="s">
        <v>2613</v>
      </c>
      <c r="M645" s="46" t="s">
        <v>1309</v>
      </c>
      <c r="N645" s="46" t="s">
        <v>1310</v>
      </c>
      <c r="O645" s="46" t="s">
        <v>1311</v>
      </c>
      <c r="P645" s="46" t="s">
        <v>1312</v>
      </c>
      <c r="Q645" s="46" t="s">
        <v>31</v>
      </c>
      <c r="R645" s="46" t="s">
        <v>31</v>
      </c>
      <c r="S645" s="46" t="s">
        <v>31</v>
      </c>
      <c r="T645" s="46" t="s">
        <v>31</v>
      </c>
      <c r="U645" s="46" t="s">
        <v>49</v>
      </c>
    </row>
    <row r="646" spans="1:21">
      <c r="A646" s="46" t="s">
        <v>737</v>
      </c>
      <c r="B646" s="46" t="s">
        <v>141</v>
      </c>
      <c r="C646" s="46" t="s">
        <v>666</v>
      </c>
      <c r="D646" s="46">
        <v>1</v>
      </c>
      <c r="E646" s="46">
        <v>0</v>
      </c>
      <c r="F646" s="46" t="s">
        <v>713</v>
      </c>
      <c r="G646" s="46" t="s">
        <v>1305</v>
      </c>
      <c r="H646" s="46" t="s">
        <v>2614</v>
      </c>
      <c r="I646" s="46" t="str">
        <f ca="1">IFERROR(__xludf.DUMMYFUNCTION("CONCAT(A646,REGEXREPLACE(H646,"".*_L0"",""_L0""))"),"PD_BN1412_MTG_snRNAseq_rep1_L002_I1_001.fastq.gz")</f>
        <v>PD_BN1412_MTG_snRNAseq_rep1_L002_I1_001.fastq.gz</v>
      </c>
      <c r="J646" s="46" t="str">
        <f t="shared" si="2"/>
        <v>/data/neurogen/ASAP/scRNAseq/data/batch11_ASAP_snRNA-seq_*/Raw_Data_and_Processing/cellranger_processing/cellranger_fastqs/outs/fastq_path/H*/BN1412_S1_L002_I1_001.fastq.gz</v>
      </c>
      <c r="K646" s="46" t="s">
        <v>1323</v>
      </c>
      <c r="L646" s="46" t="s">
        <v>2615</v>
      </c>
      <c r="M646" s="46" t="s">
        <v>1309</v>
      </c>
      <c r="N646" s="46" t="s">
        <v>1310</v>
      </c>
      <c r="O646" s="46" t="s">
        <v>1311</v>
      </c>
      <c r="P646" s="46" t="s">
        <v>1312</v>
      </c>
      <c r="Q646" s="46" t="s">
        <v>31</v>
      </c>
      <c r="R646" s="46" t="s">
        <v>31</v>
      </c>
      <c r="S646" s="46" t="s">
        <v>31</v>
      </c>
      <c r="T646" s="46" t="s">
        <v>31</v>
      </c>
      <c r="U646" s="46" t="s">
        <v>49</v>
      </c>
    </row>
    <row r="647" spans="1:21">
      <c r="A647" s="46" t="s">
        <v>737</v>
      </c>
      <c r="B647" s="46" t="s">
        <v>141</v>
      </c>
      <c r="C647" s="46" t="s">
        <v>666</v>
      </c>
      <c r="D647" s="46">
        <v>1</v>
      </c>
      <c r="E647" s="46">
        <v>0</v>
      </c>
      <c r="F647" s="46" t="s">
        <v>713</v>
      </c>
      <c r="G647" s="46" t="s">
        <v>1305</v>
      </c>
      <c r="H647" s="46" t="s">
        <v>2616</v>
      </c>
      <c r="I647" s="46" t="str">
        <f ca="1">IFERROR(__xludf.DUMMYFUNCTION("CONCAT(A647,REGEXREPLACE(H647,"".*_L0"",""_L0""))"),"PD_BN1412_MTG_snRNAseq_rep1_L002_I2_001.fastq.gz")</f>
        <v>PD_BN1412_MTG_snRNAseq_rep1_L002_I2_001.fastq.gz</v>
      </c>
      <c r="J647" s="46" t="str">
        <f t="shared" si="2"/>
        <v>/data/neurogen/ASAP/scRNAseq/data/batch11_ASAP_snRNA-seq_*/Raw_Data_and_Processing/cellranger_processing/cellranger_fastqs/outs/fastq_path/H*/BN1412_S1_L002_I2_001.fastq.gz</v>
      </c>
      <c r="K647" s="46" t="s">
        <v>1326</v>
      </c>
      <c r="L647" s="46" t="s">
        <v>2617</v>
      </c>
      <c r="M647" s="46" t="s">
        <v>1309</v>
      </c>
      <c r="N647" s="46" t="s">
        <v>1310</v>
      </c>
      <c r="O647" s="46" t="s">
        <v>1311</v>
      </c>
      <c r="P647" s="46" t="s">
        <v>1312</v>
      </c>
      <c r="Q647" s="46" t="s">
        <v>31</v>
      </c>
      <c r="R647" s="46" t="s">
        <v>31</v>
      </c>
      <c r="S647" s="46" t="s">
        <v>31</v>
      </c>
      <c r="T647" s="46" t="s">
        <v>31</v>
      </c>
      <c r="U647" s="46" t="s">
        <v>49</v>
      </c>
    </row>
    <row r="648" spans="1:21">
      <c r="A648" s="46" t="s">
        <v>737</v>
      </c>
      <c r="B648" s="46" t="s">
        <v>141</v>
      </c>
      <c r="C648" s="46" t="s">
        <v>666</v>
      </c>
      <c r="D648" s="46">
        <v>1</v>
      </c>
      <c r="E648" s="46">
        <v>0</v>
      </c>
      <c r="F648" s="46" t="s">
        <v>713</v>
      </c>
      <c r="G648" s="46" t="s">
        <v>1305</v>
      </c>
      <c r="H648" s="46" t="s">
        <v>2618</v>
      </c>
      <c r="I648" s="46" t="str">
        <f ca="1">IFERROR(__xludf.DUMMYFUNCTION("CONCAT(A648,REGEXREPLACE(H648,"".*_L0"",""_L0""))"),"PD_BN1412_MTG_snRNAseq_rep1_L002_R1_001.fastq.gz")</f>
        <v>PD_BN1412_MTG_snRNAseq_rep1_L002_R1_001.fastq.gz</v>
      </c>
      <c r="J648" s="46" t="str">
        <f t="shared" si="2"/>
        <v>/data/neurogen/ASAP/scRNAseq/data/batch11_ASAP_snRNA-seq_*/Raw_Data_and_Processing/cellranger_processing/cellranger_fastqs/outs/fastq_path/H*/BN1412_S1_L002_R1_001.fastq.gz</v>
      </c>
      <c r="K648" s="46" t="s">
        <v>1329</v>
      </c>
      <c r="L648" s="46" t="s">
        <v>2619</v>
      </c>
      <c r="M648" s="46" t="s">
        <v>1309</v>
      </c>
      <c r="N648" s="46" t="s">
        <v>1310</v>
      </c>
      <c r="O648" s="46" t="s">
        <v>1311</v>
      </c>
      <c r="P648" s="46" t="s">
        <v>1312</v>
      </c>
      <c r="Q648" s="46" t="s">
        <v>31</v>
      </c>
      <c r="R648" s="46" t="s">
        <v>31</v>
      </c>
      <c r="S648" s="46" t="s">
        <v>31</v>
      </c>
      <c r="T648" s="46" t="s">
        <v>31</v>
      </c>
      <c r="U648" s="46" t="s">
        <v>49</v>
      </c>
    </row>
    <row r="649" spans="1:21">
      <c r="A649" s="46" t="s">
        <v>737</v>
      </c>
      <c r="B649" s="46" t="s">
        <v>141</v>
      </c>
      <c r="C649" s="46" t="s">
        <v>666</v>
      </c>
      <c r="D649" s="46">
        <v>1</v>
      </c>
      <c r="E649" s="46">
        <v>0</v>
      </c>
      <c r="F649" s="46" t="s">
        <v>713</v>
      </c>
      <c r="G649" s="46" t="s">
        <v>1305</v>
      </c>
      <c r="H649" s="46" t="s">
        <v>2620</v>
      </c>
      <c r="I649" s="46" t="str">
        <f ca="1">IFERROR(__xludf.DUMMYFUNCTION("CONCAT(A649,REGEXREPLACE(H649,"".*_L0"",""_L0""))"),"PD_BN1412_MTG_snRNAseq_rep1_L002_R2_001.fastq.gz")</f>
        <v>PD_BN1412_MTG_snRNAseq_rep1_L002_R2_001.fastq.gz</v>
      </c>
      <c r="J649" s="46" t="str">
        <f t="shared" si="2"/>
        <v>/data/neurogen/ASAP/scRNAseq/data/batch11_ASAP_snRNA-seq_*/Raw_Data_and_Processing/cellranger_processing/cellranger_fastqs/outs/fastq_path/H*/BN1412_S1_L002_R2_001.fastq.gz</v>
      </c>
      <c r="K649" s="46" t="s">
        <v>1332</v>
      </c>
      <c r="L649" s="46" t="s">
        <v>2621</v>
      </c>
      <c r="M649" s="46" t="s">
        <v>1309</v>
      </c>
      <c r="N649" s="46" t="s">
        <v>1310</v>
      </c>
      <c r="O649" s="46" t="s">
        <v>1311</v>
      </c>
      <c r="P649" s="46" t="s">
        <v>1312</v>
      </c>
      <c r="Q649" s="46" t="s">
        <v>31</v>
      </c>
      <c r="R649" s="46" t="s">
        <v>31</v>
      </c>
      <c r="S649" s="46" t="s">
        <v>31</v>
      </c>
      <c r="T649" s="46" t="s">
        <v>31</v>
      </c>
      <c r="U649" s="46" t="s">
        <v>49</v>
      </c>
    </row>
    <row r="650" spans="1:21">
      <c r="A650" s="46" t="s">
        <v>737</v>
      </c>
      <c r="B650" s="46" t="s">
        <v>141</v>
      </c>
      <c r="C650" s="46" t="s">
        <v>666</v>
      </c>
      <c r="D650" s="46">
        <v>1</v>
      </c>
      <c r="E650" s="46">
        <v>0</v>
      </c>
      <c r="F650" s="46" t="s">
        <v>713</v>
      </c>
      <c r="G650" s="46" t="s">
        <v>1305</v>
      </c>
      <c r="H650" s="46" t="s">
        <v>2622</v>
      </c>
      <c r="I650" s="46" t="str">
        <f ca="1">IFERROR(__xludf.DUMMYFUNCTION("CONCAT(A650,REGEXREPLACE(H650,"".*_L0"",""_L0""))"),"PD_BN1412_MTG_snRNAseq_rep1_L003_I1_001.fastq.gz")</f>
        <v>PD_BN1412_MTG_snRNAseq_rep1_L003_I1_001.fastq.gz</v>
      </c>
      <c r="J650" s="46" t="str">
        <f t="shared" si="2"/>
        <v>/data/neurogen/ASAP/scRNAseq/data/batch11_ASAP_snRNA-seq_*/Raw_Data_and_Processing/cellranger_processing/cellranger_fastqs/outs/fastq_path/H*/BN1412_S1_L003_I1_001.fastq.gz</v>
      </c>
      <c r="K650" s="46" t="s">
        <v>1335</v>
      </c>
      <c r="L650" s="46" t="s">
        <v>2623</v>
      </c>
      <c r="M650" s="46" t="s">
        <v>1309</v>
      </c>
      <c r="N650" s="46" t="s">
        <v>1310</v>
      </c>
      <c r="O650" s="46" t="s">
        <v>1311</v>
      </c>
      <c r="P650" s="46" t="s">
        <v>1312</v>
      </c>
      <c r="Q650" s="46" t="s">
        <v>31</v>
      </c>
      <c r="R650" s="46" t="s">
        <v>31</v>
      </c>
      <c r="S650" s="46" t="s">
        <v>31</v>
      </c>
      <c r="T650" s="46" t="s">
        <v>31</v>
      </c>
      <c r="U650" s="46" t="s">
        <v>49</v>
      </c>
    </row>
    <row r="651" spans="1:21">
      <c r="A651" s="46" t="s">
        <v>737</v>
      </c>
      <c r="B651" s="46" t="s">
        <v>141</v>
      </c>
      <c r="C651" s="46" t="s">
        <v>666</v>
      </c>
      <c r="D651" s="46">
        <v>1</v>
      </c>
      <c r="E651" s="46">
        <v>0</v>
      </c>
      <c r="F651" s="46" t="s">
        <v>713</v>
      </c>
      <c r="G651" s="46" t="s">
        <v>1305</v>
      </c>
      <c r="H651" s="46" t="s">
        <v>2624</v>
      </c>
      <c r="I651" s="46" t="str">
        <f ca="1">IFERROR(__xludf.DUMMYFUNCTION("CONCAT(A651,REGEXREPLACE(H651,"".*_L0"",""_L0""))"),"PD_BN1412_MTG_snRNAseq_rep1_L003_I2_001.fastq.gz")</f>
        <v>PD_BN1412_MTG_snRNAseq_rep1_L003_I2_001.fastq.gz</v>
      </c>
      <c r="J651" s="46" t="str">
        <f t="shared" si="2"/>
        <v>/data/neurogen/ASAP/scRNAseq/data/batch11_ASAP_snRNA-seq_*/Raw_Data_and_Processing/cellranger_processing/cellranger_fastqs/outs/fastq_path/H*/BN1412_S1_L003_I2_001.fastq.gz</v>
      </c>
      <c r="K651" s="46" t="s">
        <v>1338</v>
      </c>
      <c r="L651" s="46" t="s">
        <v>2625</v>
      </c>
      <c r="M651" s="46" t="s">
        <v>1309</v>
      </c>
      <c r="N651" s="46" t="s">
        <v>1310</v>
      </c>
      <c r="O651" s="46" t="s">
        <v>1311</v>
      </c>
      <c r="P651" s="46" t="s">
        <v>1312</v>
      </c>
      <c r="Q651" s="46" t="s">
        <v>31</v>
      </c>
      <c r="R651" s="46" t="s">
        <v>31</v>
      </c>
      <c r="S651" s="46" t="s">
        <v>31</v>
      </c>
      <c r="T651" s="46" t="s">
        <v>31</v>
      </c>
      <c r="U651" s="46" t="s">
        <v>49</v>
      </c>
    </row>
    <row r="652" spans="1:21">
      <c r="A652" s="46" t="s">
        <v>737</v>
      </c>
      <c r="B652" s="46" t="s">
        <v>141</v>
      </c>
      <c r="C652" s="46" t="s">
        <v>666</v>
      </c>
      <c r="D652" s="46">
        <v>1</v>
      </c>
      <c r="E652" s="46">
        <v>0</v>
      </c>
      <c r="F652" s="46" t="s">
        <v>713</v>
      </c>
      <c r="G652" s="46" t="s">
        <v>1305</v>
      </c>
      <c r="H652" s="46" t="s">
        <v>2626</v>
      </c>
      <c r="I652" s="46" t="str">
        <f ca="1">IFERROR(__xludf.DUMMYFUNCTION("CONCAT(A652,REGEXREPLACE(H652,"".*_L0"",""_L0""))"),"PD_BN1412_MTG_snRNAseq_rep1_L003_R1_001.fastq.gz")</f>
        <v>PD_BN1412_MTG_snRNAseq_rep1_L003_R1_001.fastq.gz</v>
      </c>
      <c r="J652" s="46" t="str">
        <f t="shared" si="2"/>
        <v>/data/neurogen/ASAP/scRNAseq/data/batch11_ASAP_snRNA-seq_*/Raw_Data_and_Processing/cellranger_processing/cellranger_fastqs/outs/fastq_path/H*/BN1412_S1_L003_R1_001.fastq.gz</v>
      </c>
      <c r="K652" s="46" t="s">
        <v>1341</v>
      </c>
      <c r="L652" s="46" t="s">
        <v>2627</v>
      </c>
      <c r="M652" s="46" t="s">
        <v>1309</v>
      </c>
      <c r="N652" s="46" t="s">
        <v>1310</v>
      </c>
      <c r="O652" s="46" t="s">
        <v>1311</v>
      </c>
      <c r="P652" s="46" t="s">
        <v>1312</v>
      </c>
      <c r="Q652" s="46" t="s">
        <v>31</v>
      </c>
      <c r="R652" s="46" t="s">
        <v>31</v>
      </c>
      <c r="S652" s="46" t="s">
        <v>31</v>
      </c>
      <c r="T652" s="46" t="s">
        <v>31</v>
      </c>
      <c r="U652" s="46" t="s">
        <v>49</v>
      </c>
    </row>
    <row r="653" spans="1:21">
      <c r="A653" s="46" t="s">
        <v>737</v>
      </c>
      <c r="B653" s="46" t="s">
        <v>141</v>
      </c>
      <c r="C653" s="46" t="s">
        <v>666</v>
      </c>
      <c r="D653" s="46">
        <v>1</v>
      </c>
      <c r="E653" s="46">
        <v>0</v>
      </c>
      <c r="F653" s="46" t="s">
        <v>713</v>
      </c>
      <c r="G653" s="46" t="s">
        <v>1305</v>
      </c>
      <c r="H653" s="46" t="s">
        <v>2628</v>
      </c>
      <c r="I653" s="46" t="str">
        <f ca="1">IFERROR(__xludf.DUMMYFUNCTION("CONCAT(A653,REGEXREPLACE(H653,"".*_L0"",""_L0""))"),"PD_BN1412_MTG_snRNAseq_rep1_L003_R2_001.fastq.gz")</f>
        <v>PD_BN1412_MTG_snRNAseq_rep1_L003_R2_001.fastq.gz</v>
      </c>
      <c r="J653" s="46" t="str">
        <f t="shared" si="2"/>
        <v>/data/neurogen/ASAP/scRNAseq/data/batch11_ASAP_snRNA-seq_*/Raw_Data_and_Processing/cellranger_processing/cellranger_fastqs/outs/fastq_path/H*/BN1412_S1_L003_R2_001.fastq.gz</v>
      </c>
      <c r="K653" s="46" t="s">
        <v>1344</v>
      </c>
      <c r="L653" s="46" t="s">
        <v>2629</v>
      </c>
      <c r="M653" s="46" t="s">
        <v>1309</v>
      </c>
      <c r="N653" s="46" t="s">
        <v>1310</v>
      </c>
      <c r="O653" s="46" t="s">
        <v>1311</v>
      </c>
      <c r="P653" s="46" t="s">
        <v>1312</v>
      </c>
      <c r="Q653" s="46" t="s">
        <v>31</v>
      </c>
      <c r="R653" s="46" t="s">
        <v>31</v>
      </c>
      <c r="S653" s="46" t="s">
        <v>31</v>
      </c>
      <c r="T653" s="46" t="s">
        <v>31</v>
      </c>
      <c r="U653" s="46" t="s">
        <v>49</v>
      </c>
    </row>
    <row r="654" spans="1:21">
      <c r="A654" s="46" t="s">
        <v>737</v>
      </c>
      <c r="B654" s="46" t="s">
        <v>141</v>
      </c>
      <c r="C654" s="46" t="s">
        <v>666</v>
      </c>
      <c r="D654" s="46">
        <v>1</v>
      </c>
      <c r="E654" s="46">
        <v>0</v>
      </c>
      <c r="F654" s="46" t="s">
        <v>713</v>
      </c>
      <c r="G654" s="46" t="s">
        <v>1305</v>
      </c>
      <c r="H654" s="46" t="s">
        <v>2630</v>
      </c>
      <c r="I654" s="46" t="str">
        <f ca="1">IFERROR(__xludf.DUMMYFUNCTION("CONCAT(A654,REGEXREPLACE(H654,"".*_L0"",""_L0""))"),"PD_BN1412_MTG_snRNAseq_rep1_L004_I1_001.fastq.gz")</f>
        <v>PD_BN1412_MTG_snRNAseq_rep1_L004_I1_001.fastq.gz</v>
      </c>
      <c r="J654" s="46" t="str">
        <f t="shared" si="2"/>
        <v>/data/neurogen/ASAP/scRNAseq/data/batch11_ASAP_snRNA-seq_*/Raw_Data_and_Processing/cellranger_processing/cellranger_fastqs/outs/fastq_path/H*/BN1412_S1_L004_I1_001.fastq.gz</v>
      </c>
      <c r="K654" s="46" t="s">
        <v>1347</v>
      </c>
      <c r="L654" s="46" t="s">
        <v>2631</v>
      </c>
      <c r="M654" s="46" t="s">
        <v>1309</v>
      </c>
      <c r="N654" s="46" t="s">
        <v>1310</v>
      </c>
      <c r="O654" s="46" t="s">
        <v>1311</v>
      </c>
      <c r="P654" s="46" t="s">
        <v>1312</v>
      </c>
      <c r="Q654" s="46" t="s">
        <v>31</v>
      </c>
      <c r="R654" s="46" t="s">
        <v>31</v>
      </c>
      <c r="S654" s="46" t="s">
        <v>31</v>
      </c>
      <c r="T654" s="46" t="s">
        <v>31</v>
      </c>
      <c r="U654" s="46" t="s">
        <v>49</v>
      </c>
    </row>
    <row r="655" spans="1:21">
      <c r="A655" s="46" t="s">
        <v>737</v>
      </c>
      <c r="B655" s="46" t="s">
        <v>141</v>
      </c>
      <c r="C655" s="46" t="s">
        <v>666</v>
      </c>
      <c r="D655" s="46">
        <v>1</v>
      </c>
      <c r="E655" s="46">
        <v>0</v>
      </c>
      <c r="F655" s="46" t="s">
        <v>713</v>
      </c>
      <c r="G655" s="46" t="s">
        <v>1305</v>
      </c>
      <c r="H655" s="46" t="s">
        <v>2632</v>
      </c>
      <c r="I655" s="46" t="str">
        <f ca="1">IFERROR(__xludf.DUMMYFUNCTION("CONCAT(A655,REGEXREPLACE(H655,"".*_L0"",""_L0""))"),"PD_BN1412_MTG_snRNAseq_rep1_L004_I2_001.fastq.gz")</f>
        <v>PD_BN1412_MTG_snRNAseq_rep1_L004_I2_001.fastq.gz</v>
      </c>
      <c r="J655" s="46" t="str">
        <f t="shared" si="2"/>
        <v>/data/neurogen/ASAP/scRNAseq/data/batch11_ASAP_snRNA-seq_*/Raw_Data_and_Processing/cellranger_processing/cellranger_fastqs/outs/fastq_path/H*/BN1412_S1_L004_I2_001.fastq.gz</v>
      </c>
      <c r="K655" s="46" t="s">
        <v>1350</v>
      </c>
      <c r="L655" s="46" t="s">
        <v>2633</v>
      </c>
      <c r="M655" s="46" t="s">
        <v>1309</v>
      </c>
      <c r="N655" s="46" t="s">
        <v>1310</v>
      </c>
      <c r="O655" s="46" t="s">
        <v>1311</v>
      </c>
      <c r="P655" s="46" t="s">
        <v>1312</v>
      </c>
      <c r="Q655" s="46" t="s">
        <v>31</v>
      </c>
      <c r="R655" s="46" t="s">
        <v>31</v>
      </c>
      <c r="S655" s="46" t="s">
        <v>31</v>
      </c>
      <c r="T655" s="46" t="s">
        <v>31</v>
      </c>
      <c r="U655" s="46" t="s">
        <v>49</v>
      </c>
    </row>
    <row r="656" spans="1:21">
      <c r="A656" s="46" t="s">
        <v>737</v>
      </c>
      <c r="B656" s="46" t="s">
        <v>141</v>
      </c>
      <c r="C656" s="46" t="s">
        <v>666</v>
      </c>
      <c r="D656" s="46">
        <v>1</v>
      </c>
      <c r="E656" s="46">
        <v>0</v>
      </c>
      <c r="F656" s="46" t="s">
        <v>713</v>
      </c>
      <c r="G656" s="46" t="s">
        <v>1305</v>
      </c>
      <c r="H656" s="46" t="s">
        <v>2634</v>
      </c>
      <c r="I656" s="46" t="str">
        <f ca="1">IFERROR(__xludf.DUMMYFUNCTION("CONCAT(A656,REGEXREPLACE(H656,"".*_L0"",""_L0""))"),"PD_BN1412_MTG_snRNAseq_rep1_L004_R1_001.fastq.gz")</f>
        <v>PD_BN1412_MTG_snRNAseq_rep1_L004_R1_001.fastq.gz</v>
      </c>
      <c r="J656" s="46" t="str">
        <f t="shared" si="2"/>
        <v>/data/neurogen/ASAP/scRNAseq/data/batch11_ASAP_snRNA-seq_*/Raw_Data_and_Processing/cellranger_processing/cellranger_fastqs/outs/fastq_path/H*/BN1412_S1_L004_R1_001.fastq.gz</v>
      </c>
      <c r="K656" s="46" t="s">
        <v>1353</v>
      </c>
      <c r="L656" s="46" t="s">
        <v>2635</v>
      </c>
      <c r="M656" s="46" t="s">
        <v>1309</v>
      </c>
      <c r="N656" s="46" t="s">
        <v>1310</v>
      </c>
      <c r="O656" s="46" t="s">
        <v>1311</v>
      </c>
      <c r="P656" s="46" t="s">
        <v>1312</v>
      </c>
      <c r="Q656" s="46" t="s">
        <v>31</v>
      </c>
      <c r="R656" s="46" t="s">
        <v>31</v>
      </c>
      <c r="S656" s="46" t="s">
        <v>31</v>
      </c>
      <c r="T656" s="46" t="s">
        <v>31</v>
      </c>
      <c r="U656" s="46" t="s">
        <v>49</v>
      </c>
    </row>
    <row r="657" spans="1:21">
      <c r="A657" s="46" t="s">
        <v>737</v>
      </c>
      <c r="B657" s="46" t="s">
        <v>141</v>
      </c>
      <c r="C657" s="46" t="s">
        <v>666</v>
      </c>
      <c r="D657" s="46">
        <v>1</v>
      </c>
      <c r="E657" s="46">
        <v>0</v>
      </c>
      <c r="F657" s="46" t="s">
        <v>713</v>
      </c>
      <c r="G657" s="46" t="s">
        <v>1305</v>
      </c>
      <c r="H657" s="46" t="s">
        <v>2636</v>
      </c>
      <c r="I657" s="46" t="str">
        <f ca="1">IFERROR(__xludf.DUMMYFUNCTION("CONCAT(A657,REGEXREPLACE(H657,"".*_L0"",""_L0""))"),"PD_BN1412_MTG_snRNAseq_rep1_L004_R2_001.fastq.gz")</f>
        <v>PD_BN1412_MTG_snRNAseq_rep1_L004_R2_001.fastq.gz</v>
      </c>
      <c r="J657" s="46" t="str">
        <f t="shared" si="2"/>
        <v>/data/neurogen/ASAP/scRNAseq/data/batch11_ASAP_snRNA-seq_*/Raw_Data_and_Processing/cellranger_processing/cellranger_fastqs/outs/fastq_path/H*/BN1412_S1_L004_R2_001.fastq.gz</v>
      </c>
      <c r="K657" s="46" t="s">
        <v>1356</v>
      </c>
      <c r="L657" s="46" t="s">
        <v>2637</v>
      </c>
      <c r="M657" s="46" t="s">
        <v>1309</v>
      </c>
      <c r="N657" s="46" t="s">
        <v>1310</v>
      </c>
      <c r="O657" s="46" t="s">
        <v>1311</v>
      </c>
      <c r="P657" s="46" t="s">
        <v>1312</v>
      </c>
      <c r="Q657" s="46" t="s">
        <v>31</v>
      </c>
      <c r="R657" s="46" t="s">
        <v>31</v>
      </c>
      <c r="S657" s="46" t="s">
        <v>31</v>
      </c>
      <c r="T657" s="46" t="s">
        <v>31</v>
      </c>
      <c r="U657" s="46" t="s">
        <v>49</v>
      </c>
    </row>
    <row r="658" spans="1:21">
      <c r="A658" s="46" t="s">
        <v>734</v>
      </c>
      <c r="B658" s="46" t="s">
        <v>137</v>
      </c>
      <c r="C658" s="46" t="s">
        <v>666</v>
      </c>
      <c r="D658" s="46">
        <v>1</v>
      </c>
      <c r="E658" s="46">
        <v>0</v>
      </c>
      <c r="F658" s="46" t="s">
        <v>735</v>
      </c>
      <c r="G658" s="46" t="s">
        <v>1305</v>
      </c>
      <c r="H658" s="46" t="s">
        <v>2638</v>
      </c>
      <c r="I658" s="46" t="str">
        <f ca="1">IFERROR(__xludf.DUMMYFUNCTION("CONCAT(A658,REGEXREPLACE(H658,"".*_L0"",""_L0""))"),"ILB_BN1351_MTG_snRNAseq_rep1_L001_I1_001.fastq.gz")</f>
        <v>ILB_BN1351_MTG_snRNAseq_rep1_L001_I1_001.fastq.gz</v>
      </c>
      <c r="J658" s="46" t="str">
        <f t="shared" si="2"/>
        <v>/data/neurogen/ASAP/scRNAseq/data/batch12_ASAP_snRNA-seq_*/Raw_Data_and_Processing/cellranger_processing/cellranger_fastqs/outs/fastq_path/H*/BN1351_S3_L001_I1_001.fastq.gz</v>
      </c>
      <c r="K658" s="46" t="s">
        <v>1307</v>
      </c>
      <c r="L658" s="46" t="s">
        <v>2639</v>
      </c>
      <c r="M658" s="46" t="s">
        <v>1309</v>
      </c>
      <c r="N658" s="46" t="s">
        <v>1310</v>
      </c>
      <c r="O658" s="46" t="s">
        <v>1311</v>
      </c>
      <c r="P658" s="46" t="s">
        <v>1312</v>
      </c>
      <c r="Q658" s="46" t="s">
        <v>31</v>
      </c>
      <c r="R658" s="46" t="s">
        <v>31</v>
      </c>
      <c r="S658" s="46" t="s">
        <v>31</v>
      </c>
      <c r="T658" s="46" t="s">
        <v>31</v>
      </c>
      <c r="U658" s="46" t="s">
        <v>49</v>
      </c>
    </row>
    <row r="659" spans="1:21">
      <c r="A659" s="46" t="s">
        <v>734</v>
      </c>
      <c r="B659" s="46" t="s">
        <v>137</v>
      </c>
      <c r="C659" s="46" t="s">
        <v>666</v>
      </c>
      <c r="D659" s="46">
        <v>1</v>
      </c>
      <c r="E659" s="46">
        <v>0</v>
      </c>
      <c r="F659" s="46" t="s">
        <v>735</v>
      </c>
      <c r="G659" s="46" t="s">
        <v>1305</v>
      </c>
      <c r="H659" s="46" t="s">
        <v>2640</v>
      </c>
      <c r="I659" s="46" t="str">
        <f ca="1">IFERROR(__xludf.DUMMYFUNCTION("CONCAT(A659,REGEXREPLACE(H659,"".*_L0"",""_L0""))"),"ILB_BN1351_MTG_snRNAseq_rep1_L001_I2_001.fastq.gz")</f>
        <v>ILB_BN1351_MTG_snRNAseq_rep1_L001_I2_001.fastq.gz</v>
      </c>
      <c r="J659" s="46" t="str">
        <f t="shared" si="2"/>
        <v>/data/neurogen/ASAP/scRNAseq/data/batch12_ASAP_snRNA-seq_*/Raw_Data_and_Processing/cellranger_processing/cellranger_fastqs/outs/fastq_path/H*/BN1351_S3_L001_I2_001.fastq.gz</v>
      </c>
      <c r="K659" s="46" t="s">
        <v>1314</v>
      </c>
      <c r="L659" s="46" t="s">
        <v>2641</v>
      </c>
      <c r="M659" s="46" t="s">
        <v>1309</v>
      </c>
      <c r="N659" s="46" t="s">
        <v>1310</v>
      </c>
      <c r="O659" s="46" t="s">
        <v>1311</v>
      </c>
      <c r="P659" s="46" t="s">
        <v>1312</v>
      </c>
      <c r="Q659" s="46" t="s">
        <v>31</v>
      </c>
      <c r="R659" s="46" t="s">
        <v>31</v>
      </c>
      <c r="S659" s="46" t="s">
        <v>31</v>
      </c>
      <c r="T659" s="46" t="s">
        <v>31</v>
      </c>
      <c r="U659" s="46" t="s">
        <v>49</v>
      </c>
    </row>
    <row r="660" spans="1:21">
      <c r="A660" s="46" t="s">
        <v>734</v>
      </c>
      <c r="B660" s="46" t="s">
        <v>137</v>
      </c>
      <c r="C660" s="46" t="s">
        <v>666</v>
      </c>
      <c r="D660" s="46">
        <v>1</v>
      </c>
      <c r="E660" s="46">
        <v>0</v>
      </c>
      <c r="F660" s="46" t="s">
        <v>735</v>
      </c>
      <c r="G660" s="46" t="s">
        <v>1305</v>
      </c>
      <c r="H660" s="46" t="s">
        <v>2642</v>
      </c>
      <c r="I660" s="46" t="str">
        <f ca="1">IFERROR(__xludf.DUMMYFUNCTION("CONCAT(A660,REGEXREPLACE(H660,"".*_L0"",""_L0""))"),"ILB_BN1351_MTG_snRNAseq_rep1_L001_R1_001.fastq.gz")</f>
        <v>ILB_BN1351_MTG_snRNAseq_rep1_L001_R1_001.fastq.gz</v>
      </c>
      <c r="J660" s="46" t="str">
        <f t="shared" si="2"/>
        <v>/data/neurogen/ASAP/scRNAseq/data/batch12_ASAP_snRNA-seq_*/Raw_Data_and_Processing/cellranger_processing/cellranger_fastqs/outs/fastq_path/H*/BN1351_S3_L001_R1_001.fastq.gz</v>
      </c>
      <c r="K660" s="46" t="s">
        <v>1317</v>
      </c>
      <c r="L660" s="46" t="s">
        <v>2643</v>
      </c>
      <c r="M660" s="46" t="s">
        <v>1309</v>
      </c>
      <c r="N660" s="46" t="s">
        <v>1310</v>
      </c>
      <c r="O660" s="46" t="s">
        <v>1311</v>
      </c>
      <c r="P660" s="46" t="s">
        <v>1312</v>
      </c>
      <c r="Q660" s="46" t="s">
        <v>31</v>
      </c>
      <c r="R660" s="46" t="s">
        <v>31</v>
      </c>
      <c r="S660" s="46" t="s">
        <v>31</v>
      </c>
      <c r="T660" s="46" t="s">
        <v>31</v>
      </c>
      <c r="U660" s="46" t="s">
        <v>49</v>
      </c>
    </row>
    <row r="661" spans="1:21">
      <c r="A661" s="46" t="s">
        <v>734</v>
      </c>
      <c r="B661" s="46" t="s">
        <v>137</v>
      </c>
      <c r="C661" s="46" t="s">
        <v>666</v>
      </c>
      <c r="D661" s="46">
        <v>1</v>
      </c>
      <c r="E661" s="46">
        <v>0</v>
      </c>
      <c r="F661" s="46" t="s">
        <v>735</v>
      </c>
      <c r="G661" s="46" t="s">
        <v>1305</v>
      </c>
      <c r="H661" s="46" t="s">
        <v>2644</v>
      </c>
      <c r="I661" s="46" t="str">
        <f ca="1">IFERROR(__xludf.DUMMYFUNCTION("CONCAT(A661,REGEXREPLACE(H661,"".*_L0"",""_L0""))"),"ILB_BN1351_MTG_snRNAseq_rep1_L001_R2_001.fastq.gz")</f>
        <v>ILB_BN1351_MTG_snRNAseq_rep1_L001_R2_001.fastq.gz</v>
      </c>
      <c r="J661" s="46" t="str">
        <f t="shared" si="2"/>
        <v>/data/neurogen/ASAP/scRNAseq/data/batch12_ASAP_snRNA-seq_*/Raw_Data_and_Processing/cellranger_processing/cellranger_fastqs/outs/fastq_path/H*/BN1351_S3_L001_R2_001.fastq.gz</v>
      </c>
      <c r="K661" s="46" t="s">
        <v>1320</v>
      </c>
      <c r="L661" s="46" t="s">
        <v>2645</v>
      </c>
      <c r="M661" s="46" t="s">
        <v>1309</v>
      </c>
      <c r="N661" s="46" t="s">
        <v>1310</v>
      </c>
      <c r="O661" s="46" t="s">
        <v>1311</v>
      </c>
      <c r="P661" s="46" t="s">
        <v>1312</v>
      </c>
      <c r="Q661" s="46" t="s">
        <v>31</v>
      </c>
      <c r="R661" s="46" t="s">
        <v>31</v>
      </c>
      <c r="S661" s="46" t="s">
        <v>31</v>
      </c>
      <c r="T661" s="46" t="s">
        <v>31</v>
      </c>
      <c r="U661" s="46" t="s">
        <v>49</v>
      </c>
    </row>
    <row r="662" spans="1:21">
      <c r="A662" s="46" t="s">
        <v>734</v>
      </c>
      <c r="B662" s="46" t="s">
        <v>137</v>
      </c>
      <c r="C662" s="46" t="s">
        <v>666</v>
      </c>
      <c r="D662" s="46">
        <v>1</v>
      </c>
      <c r="E662" s="46">
        <v>0</v>
      </c>
      <c r="F662" s="46" t="s">
        <v>735</v>
      </c>
      <c r="G662" s="46" t="s">
        <v>1305</v>
      </c>
      <c r="H662" s="46" t="s">
        <v>2646</v>
      </c>
      <c r="I662" s="46" t="str">
        <f ca="1">IFERROR(__xludf.DUMMYFUNCTION("CONCAT(A662,REGEXREPLACE(H662,"".*_L0"",""_L0""))"),"ILB_BN1351_MTG_snRNAseq_rep1_L002_I1_001.fastq.gz")</f>
        <v>ILB_BN1351_MTG_snRNAseq_rep1_L002_I1_001.fastq.gz</v>
      </c>
      <c r="J662" s="46" t="str">
        <f t="shared" si="2"/>
        <v>/data/neurogen/ASAP/scRNAseq/data/batch12_ASAP_snRNA-seq_*/Raw_Data_and_Processing/cellranger_processing/cellranger_fastqs/outs/fastq_path/H*/BN1351_S3_L002_I1_001.fastq.gz</v>
      </c>
      <c r="K662" s="46" t="s">
        <v>1323</v>
      </c>
      <c r="L662" s="46" t="s">
        <v>2647</v>
      </c>
      <c r="M662" s="46" t="s">
        <v>1309</v>
      </c>
      <c r="N662" s="46" t="s">
        <v>1310</v>
      </c>
      <c r="O662" s="46" t="s">
        <v>1311</v>
      </c>
      <c r="P662" s="46" t="s">
        <v>1312</v>
      </c>
      <c r="Q662" s="46" t="s">
        <v>31</v>
      </c>
      <c r="R662" s="46" t="s">
        <v>31</v>
      </c>
      <c r="S662" s="46" t="s">
        <v>31</v>
      </c>
      <c r="T662" s="46" t="s">
        <v>31</v>
      </c>
      <c r="U662" s="46" t="s">
        <v>49</v>
      </c>
    </row>
    <row r="663" spans="1:21">
      <c r="A663" s="46" t="s">
        <v>734</v>
      </c>
      <c r="B663" s="46" t="s">
        <v>137</v>
      </c>
      <c r="C663" s="46" t="s">
        <v>666</v>
      </c>
      <c r="D663" s="46">
        <v>1</v>
      </c>
      <c r="E663" s="46">
        <v>0</v>
      </c>
      <c r="F663" s="46" t="s">
        <v>735</v>
      </c>
      <c r="G663" s="46" t="s">
        <v>1305</v>
      </c>
      <c r="H663" s="46" t="s">
        <v>2648</v>
      </c>
      <c r="I663" s="46" t="str">
        <f ca="1">IFERROR(__xludf.DUMMYFUNCTION("CONCAT(A663,REGEXREPLACE(H663,"".*_L0"",""_L0""))"),"ILB_BN1351_MTG_snRNAseq_rep1_L002_I2_001.fastq.gz")</f>
        <v>ILB_BN1351_MTG_snRNAseq_rep1_L002_I2_001.fastq.gz</v>
      </c>
      <c r="J663" s="46" t="str">
        <f t="shared" si="2"/>
        <v>/data/neurogen/ASAP/scRNAseq/data/batch12_ASAP_snRNA-seq_*/Raw_Data_and_Processing/cellranger_processing/cellranger_fastqs/outs/fastq_path/H*/BN1351_S3_L002_I2_001.fastq.gz</v>
      </c>
      <c r="K663" s="46" t="s">
        <v>1326</v>
      </c>
      <c r="L663" s="46" t="s">
        <v>2649</v>
      </c>
      <c r="M663" s="46" t="s">
        <v>1309</v>
      </c>
      <c r="N663" s="46" t="s">
        <v>1310</v>
      </c>
      <c r="O663" s="46" t="s">
        <v>1311</v>
      </c>
      <c r="P663" s="46" t="s">
        <v>1312</v>
      </c>
      <c r="Q663" s="46" t="s">
        <v>31</v>
      </c>
      <c r="R663" s="46" t="s">
        <v>31</v>
      </c>
      <c r="S663" s="46" t="s">
        <v>31</v>
      </c>
      <c r="T663" s="46" t="s">
        <v>31</v>
      </c>
      <c r="U663" s="46" t="s">
        <v>49</v>
      </c>
    </row>
    <row r="664" spans="1:21">
      <c r="A664" s="46" t="s">
        <v>734</v>
      </c>
      <c r="B664" s="46" t="s">
        <v>137</v>
      </c>
      <c r="C664" s="46" t="s">
        <v>666</v>
      </c>
      <c r="D664" s="46">
        <v>1</v>
      </c>
      <c r="E664" s="46">
        <v>0</v>
      </c>
      <c r="F664" s="46" t="s">
        <v>735</v>
      </c>
      <c r="G664" s="46" t="s">
        <v>1305</v>
      </c>
      <c r="H664" s="46" t="s">
        <v>2650</v>
      </c>
      <c r="I664" s="46" t="str">
        <f ca="1">IFERROR(__xludf.DUMMYFUNCTION("CONCAT(A664,REGEXREPLACE(H664,"".*_L0"",""_L0""))"),"ILB_BN1351_MTG_snRNAseq_rep1_L002_R1_001.fastq.gz")</f>
        <v>ILB_BN1351_MTG_snRNAseq_rep1_L002_R1_001.fastq.gz</v>
      </c>
      <c r="J664" s="46" t="str">
        <f t="shared" si="2"/>
        <v>/data/neurogen/ASAP/scRNAseq/data/batch12_ASAP_snRNA-seq_*/Raw_Data_and_Processing/cellranger_processing/cellranger_fastqs/outs/fastq_path/H*/BN1351_S3_L002_R1_001.fastq.gz</v>
      </c>
      <c r="K664" s="46" t="s">
        <v>1329</v>
      </c>
      <c r="L664" s="46" t="s">
        <v>2651</v>
      </c>
      <c r="M664" s="46" t="s">
        <v>1309</v>
      </c>
      <c r="N664" s="46" t="s">
        <v>1310</v>
      </c>
      <c r="O664" s="46" t="s">
        <v>1311</v>
      </c>
      <c r="P664" s="46" t="s">
        <v>1312</v>
      </c>
      <c r="Q664" s="46" t="s">
        <v>31</v>
      </c>
      <c r="R664" s="46" t="s">
        <v>31</v>
      </c>
      <c r="S664" s="46" t="s">
        <v>31</v>
      </c>
      <c r="T664" s="46" t="s">
        <v>31</v>
      </c>
      <c r="U664" s="46" t="s">
        <v>49</v>
      </c>
    </row>
    <row r="665" spans="1:21">
      <c r="A665" s="46" t="s">
        <v>734</v>
      </c>
      <c r="B665" s="46" t="s">
        <v>137</v>
      </c>
      <c r="C665" s="46" t="s">
        <v>666</v>
      </c>
      <c r="D665" s="46">
        <v>1</v>
      </c>
      <c r="E665" s="46">
        <v>0</v>
      </c>
      <c r="F665" s="46" t="s">
        <v>735</v>
      </c>
      <c r="G665" s="46" t="s">
        <v>1305</v>
      </c>
      <c r="H665" s="46" t="s">
        <v>2652</v>
      </c>
      <c r="I665" s="46" t="str">
        <f ca="1">IFERROR(__xludf.DUMMYFUNCTION("CONCAT(A665,REGEXREPLACE(H665,"".*_L0"",""_L0""))"),"ILB_BN1351_MTG_snRNAseq_rep1_L002_R2_001.fastq.gz")</f>
        <v>ILB_BN1351_MTG_snRNAseq_rep1_L002_R2_001.fastq.gz</v>
      </c>
      <c r="J665" s="46" t="str">
        <f t="shared" si="2"/>
        <v>/data/neurogen/ASAP/scRNAseq/data/batch12_ASAP_snRNA-seq_*/Raw_Data_and_Processing/cellranger_processing/cellranger_fastqs/outs/fastq_path/H*/BN1351_S3_L002_R2_001.fastq.gz</v>
      </c>
      <c r="K665" s="46" t="s">
        <v>1332</v>
      </c>
      <c r="L665" s="46" t="s">
        <v>2653</v>
      </c>
      <c r="M665" s="46" t="s">
        <v>1309</v>
      </c>
      <c r="N665" s="46" t="s">
        <v>1310</v>
      </c>
      <c r="O665" s="46" t="s">
        <v>1311</v>
      </c>
      <c r="P665" s="46" t="s">
        <v>1312</v>
      </c>
      <c r="Q665" s="46" t="s">
        <v>31</v>
      </c>
      <c r="R665" s="46" t="s">
        <v>31</v>
      </c>
      <c r="S665" s="46" t="s">
        <v>31</v>
      </c>
      <c r="T665" s="46" t="s">
        <v>31</v>
      </c>
      <c r="U665" s="46" t="s">
        <v>49</v>
      </c>
    </row>
    <row r="666" spans="1:21">
      <c r="A666" s="46" t="s">
        <v>734</v>
      </c>
      <c r="B666" s="46" t="s">
        <v>137</v>
      </c>
      <c r="C666" s="46" t="s">
        <v>666</v>
      </c>
      <c r="D666" s="46">
        <v>1</v>
      </c>
      <c r="E666" s="46">
        <v>0</v>
      </c>
      <c r="F666" s="46" t="s">
        <v>735</v>
      </c>
      <c r="G666" s="46" t="s">
        <v>1305</v>
      </c>
      <c r="H666" s="46" t="s">
        <v>2654</v>
      </c>
      <c r="I666" s="46" t="str">
        <f ca="1">IFERROR(__xludf.DUMMYFUNCTION("CONCAT(A666,REGEXREPLACE(H666,"".*_L0"",""_L0""))"),"ILB_BN1351_MTG_snRNAseq_rep1_L003_I1_001.fastq.gz")</f>
        <v>ILB_BN1351_MTG_snRNAseq_rep1_L003_I1_001.fastq.gz</v>
      </c>
      <c r="J666" s="46" t="str">
        <f t="shared" si="2"/>
        <v>/data/neurogen/ASAP/scRNAseq/data/batch12_ASAP_snRNA-seq_*/Raw_Data_and_Processing/cellranger_processing/cellranger_fastqs/outs/fastq_path/H*/BN1351_S3_L003_I1_001.fastq.gz</v>
      </c>
      <c r="K666" s="46" t="s">
        <v>1335</v>
      </c>
      <c r="L666" s="46" t="s">
        <v>2655</v>
      </c>
      <c r="M666" s="46" t="s">
        <v>1309</v>
      </c>
      <c r="N666" s="46" t="s">
        <v>1310</v>
      </c>
      <c r="O666" s="46" t="s">
        <v>1311</v>
      </c>
      <c r="P666" s="46" t="s">
        <v>1312</v>
      </c>
      <c r="Q666" s="46" t="s">
        <v>31</v>
      </c>
      <c r="R666" s="46" t="s">
        <v>31</v>
      </c>
      <c r="S666" s="46" t="s">
        <v>31</v>
      </c>
      <c r="T666" s="46" t="s">
        <v>31</v>
      </c>
      <c r="U666" s="46" t="s">
        <v>49</v>
      </c>
    </row>
    <row r="667" spans="1:21">
      <c r="A667" s="46" t="s">
        <v>734</v>
      </c>
      <c r="B667" s="46" t="s">
        <v>137</v>
      </c>
      <c r="C667" s="46" t="s">
        <v>666</v>
      </c>
      <c r="D667" s="46">
        <v>1</v>
      </c>
      <c r="E667" s="46">
        <v>0</v>
      </c>
      <c r="F667" s="46" t="s">
        <v>735</v>
      </c>
      <c r="G667" s="46" t="s">
        <v>1305</v>
      </c>
      <c r="H667" s="46" t="s">
        <v>2656</v>
      </c>
      <c r="I667" s="46" t="str">
        <f ca="1">IFERROR(__xludf.DUMMYFUNCTION("CONCAT(A667,REGEXREPLACE(H667,"".*_L0"",""_L0""))"),"ILB_BN1351_MTG_snRNAseq_rep1_L003_I2_001.fastq.gz")</f>
        <v>ILB_BN1351_MTG_snRNAseq_rep1_L003_I2_001.fastq.gz</v>
      </c>
      <c r="J667" s="46" t="str">
        <f t="shared" si="2"/>
        <v>/data/neurogen/ASAP/scRNAseq/data/batch12_ASAP_snRNA-seq_*/Raw_Data_and_Processing/cellranger_processing/cellranger_fastqs/outs/fastq_path/H*/BN1351_S3_L003_I2_001.fastq.gz</v>
      </c>
      <c r="K667" s="46" t="s">
        <v>1338</v>
      </c>
      <c r="L667" s="46" t="s">
        <v>2657</v>
      </c>
      <c r="M667" s="46" t="s">
        <v>1309</v>
      </c>
      <c r="N667" s="46" t="s">
        <v>1310</v>
      </c>
      <c r="O667" s="46" t="s">
        <v>1311</v>
      </c>
      <c r="P667" s="46" t="s">
        <v>1312</v>
      </c>
      <c r="Q667" s="46" t="s">
        <v>31</v>
      </c>
      <c r="R667" s="46" t="s">
        <v>31</v>
      </c>
      <c r="S667" s="46" t="s">
        <v>31</v>
      </c>
      <c r="T667" s="46" t="s">
        <v>31</v>
      </c>
      <c r="U667" s="46" t="s">
        <v>49</v>
      </c>
    </row>
    <row r="668" spans="1:21">
      <c r="A668" s="46" t="s">
        <v>734</v>
      </c>
      <c r="B668" s="46" t="s">
        <v>137</v>
      </c>
      <c r="C668" s="46" t="s">
        <v>666</v>
      </c>
      <c r="D668" s="46">
        <v>1</v>
      </c>
      <c r="E668" s="46">
        <v>0</v>
      </c>
      <c r="F668" s="46" t="s">
        <v>735</v>
      </c>
      <c r="G668" s="46" t="s">
        <v>1305</v>
      </c>
      <c r="H668" s="46" t="s">
        <v>2658</v>
      </c>
      <c r="I668" s="46" t="str">
        <f ca="1">IFERROR(__xludf.DUMMYFUNCTION("CONCAT(A668,REGEXREPLACE(H668,"".*_L0"",""_L0""))"),"ILB_BN1351_MTG_snRNAseq_rep1_L003_R1_001.fastq.gz")</f>
        <v>ILB_BN1351_MTG_snRNAseq_rep1_L003_R1_001.fastq.gz</v>
      </c>
      <c r="J668" s="46" t="str">
        <f t="shared" si="2"/>
        <v>/data/neurogen/ASAP/scRNAseq/data/batch12_ASAP_snRNA-seq_*/Raw_Data_and_Processing/cellranger_processing/cellranger_fastqs/outs/fastq_path/H*/BN1351_S3_L003_R1_001.fastq.gz</v>
      </c>
      <c r="K668" s="46" t="s">
        <v>1341</v>
      </c>
      <c r="L668" s="46" t="s">
        <v>2659</v>
      </c>
      <c r="M668" s="46" t="s">
        <v>1309</v>
      </c>
      <c r="N668" s="46" t="s">
        <v>1310</v>
      </c>
      <c r="O668" s="46" t="s">
        <v>1311</v>
      </c>
      <c r="P668" s="46" t="s">
        <v>1312</v>
      </c>
      <c r="Q668" s="46" t="s">
        <v>31</v>
      </c>
      <c r="R668" s="46" t="s">
        <v>31</v>
      </c>
      <c r="S668" s="46" t="s">
        <v>31</v>
      </c>
      <c r="T668" s="46" t="s">
        <v>31</v>
      </c>
      <c r="U668" s="46" t="s">
        <v>49</v>
      </c>
    </row>
    <row r="669" spans="1:21">
      <c r="A669" s="46" t="s">
        <v>734</v>
      </c>
      <c r="B669" s="46" t="s">
        <v>137</v>
      </c>
      <c r="C669" s="46" t="s">
        <v>666</v>
      </c>
      <c r="D669" s="46">
        <v>1</v>
      </c>
      <c r="E669" s="46">
        <v>0</v>
      </c>
      <c r="F669" s="46" t="s">
        <v>735</v>
      </c>
      <c r="G669" s="46" t="s">
        <v>1305</v>
      </c>
      <c r="H669" s="46" t="s">
        <v>2660</v>
      </c>
      <c r="I669" s="46" t="str">
        <f ca="1">IFERROR(__xludf.DUMMYFUNCTION("CONCAT(A669,REGEXREPLACE(H669,"".*_L0"",""_L0""))"),"ILB_BN1351_MTG_snRNAseq_rep1_L003_R2_001.fastq.gz")</f>
        <v>ILB_BN1351_MTG_snRNAseq_rep1_L003_R2_001.fastq.gz</v>
      </c>
      <c r="J669" s="46" t="str">
        <f t="shared" si="2"/>
        <v>/data/neurogen/ASAP/scRNAseq/data/batch12_ASAP_snRNA-seq_*/Raw_Data_and_Processing/cellranger_processing/cellranger_fastqs/outs/fastq_path/H*/BN1351_S3_L003_R2_001.fastq.gz</v>
      </c>
      <c r="K669" s="46" t="s">
        <v>1344</v>
      </c>
      <c r="L669" s="46" t="s">
        <v>2661</v>
      </c>
      <c r="M669" s="46" t="s">
        <v>1309</v>
      </c>
      <c r="N669" s="46" t="s">
        <v>1310</v>
      </c>
      <c r="O669" s="46" t="s">
        <v>1311</v>
      </c>
      <c r="P669" s="46" t="s">
        <v>1312</v>
      </c>
      <c r="Q669" s="46" t="s">
        <v>31</v>
      </c>
      <c r="R669" s="46" t="s">
        <v>31</v>
      </c>
      <c r="S669" s="46" t="s">
        <v>31</v>
      </c>
      <c r="T669" s="46" t="s">
        <v>31</v>
      </c>
      <c r="U669" s="46" t="s">
        <v>49</v>
      </c>
    </row>
    <row r="670" spans="1:21">
      <c r="A670" s="46" t="s">
        <v>734</v>
      </c>
      <c r="B670" s="46" t="s">
        <v>137</v>
      </c>
      <c r="C670" s="46" t="s">
        <v>666</v>
      </c>
      <c r="D670" s="46">
        <v>1</v>
      </c>
      <c r="E670" s="46">
        <v>0</v>
      </c>
      <c r="F670" s="46" t="s">
        <v>735</v>
      </c>
      <c r="G670" s="46" t="s">
        <v>1305</v>
      </c>
      <c r="H670" s="46" t="s">
        <v>2662</v>
      </c>
      <c r="I670" s="46" t="str">
        <f ca="1">IFERROR(__xludf.DUMMYFUNCTION("CONCAT(A670,REGEXREPLACE(H670,"".*_L0"",""_L0""))"),"ILB_BN1351_MTG_snRNAseq_rep1_L004_I1_001.fastq.gz")</f>
        <v>ILB_BN1351_MTG_snRNAseq_rep1_L004_I1_001.fastq.gz</v>
      </c>
      <c r="J670" s="46" t="str">
        <f t="shared" si="2"/>
        <v>/data/neurogen/ASAP/scRNAseq/data/batch12_ASAP_snRNA-seq_*/Raw_Data_and_Processing/cellranger_processing/cellranger_fastqs/outs/fastq_path/H*/BN1351_S3_L004_I1_001.fastq.gz</v>
      </c>
      <c r="K670" s="46" t="s">
        <v>1347</v>
      </c>
      <c r="L670" s="46" t="s">
        <v>2663</v>
      </c>
      <c r="M670" s="46" t="s">
        <v>1309</v>
      </c>
      <c r="N670" s="46" t="s">
        <v>1310</v>
      </c>
      <c r="O670" s="46" t="s">
        <v>1311</v>
      </c>
      <c r="P670" s="46" t="s">
        <v>1312</v>
      </c>
      <c r="Q670" s="46" t="s">
        <v>31</v>
      </c>
      <c r="R670" s="46" t="s">
        <v>31</v>
      </c>
      <c r="S670" s="46" t="s">
        <v>31</v>
      </c>
      <c r="T670" s="46" t="s">
        <v>31</v>
      </c>
      <c r="U670" s="46" t="s">
        <v>49</v>
      </c>
    </row>
    <row r="671" spans="1:21">
      <c r="A671" s="46" t="s">
        <v>734</v>
      </c>
      <c r="B671" s="46" t="s">
        <v>137</v>
      </c>
      <c r="C671" s="46" t="s">
        <v>666</v>
      </c>
      <c r="D671" s="46">
        <v>1</v>
      </c>
      <c r="E671" s="46">
        <v>0</v>
      </c>
      <c r="F671" s="46" t="s">
        <v>735</v>
      </c>
      <c r="G671" s="46" t="s">
        <v>1305</v>
      </c>
      <c r="H671" s="46" t="s">
        <v>2664</v>
      </c>
      <c r="I671" s="46" t="str">
        <f ca="1">IFERROR(__xludf.DUMMYFUNCTION("CONCAT(A671,REGEXREPLACE(H671,"".*_L0"",""_L0""))"),"ILB_BN1351_MTG_snRNAseq_rep1_L004_I2_001.fastq.gz")</f>
        <v>ILB_BN1351_MTG_snRNAseq_rep1_L004_I2_001.fastq.gz</v>
      </c>
      <c r="J671" s="46" t="str">
        <f t="shared" si="2"/>
        <v>/data/neurogen/ASAP/scRNAseq/data/batch12_ASAP_snRNA-seq_*/Raw_Data_and_Processing/cellranger_processing/cellranger_fastqs/outs/fastq_path/H*/BN1351_S3_L004_I2_001.fastq.gz</v>
      </c>
      <c r="K671" s="46" t="s">
        <v>1350</v>
      </c>
      <c r="L671" s="46" t="s">
        <v>2665</v>
      </c>
      <c r="M671" s="46" t="s">
        <v>1309</v>
      </c>
      <c r="N671" s="46" t="s">
        <v>1310</v>
      </c>
      <c r="O671" s="46" t="s">
        <v>1311</v>
      </c>
      <c r="P671" s="46" t="s">
        <v>1312</v>
      </c>
      <c r="Q671" s="46" t="s">
        <v>31</v>
      </c>
      <c r="R671" s="46" t="s">
        <v>31</v>
      </c>
      <c r="S671" s="46" t="s">
        <v>31</v>
      </c>
      <c r="T671" s="46" t="s">
        <v>31</v>
      </c>
      <c r="U671" s="46" t="s">
        <v>49</v>
      </c>
    </row>
    <row r="672" spans="1:21">
      <c r="A672" s="46" t="s">
        <v>734</v>
      </c>
      <c r="B672" s="46" t="s">
        <v>137</v>
      </c>
      <c r="C672" s="46" t="s">
        <v>666</v>
      </c>
      <c r="D672" s="46">
        <v>1</v>
      </c>
      <c r="E672" s="46">
        <v>0</v>
      </c>
      <c r="F672" s="46" t="s">
        <v>735</v>
      </c>
      <c r="G672" s="46" t="s">
        <v>1305</v>
      </c>
      <c r="H672" s="46" t="s">
        <v>2666</v>
      </c>
      <c r="I672" s="46" t="str">
        <f ca="1">IFERROR(__xludf.DUMMYFUNCTION("CONCAT(A672,REGEXREPLACE(H672,"".*_L0"",""_L0""))"),"ILB_BN1351_MTG_snRNAseq_rep1_L004_R1_001.fastq.gz")</f>
        <v>ILB_BN1351_MTG_snRNAseq_rep1_L004_R1_001.fastq.gz</v>
      </c>
      <c r="J672" s="46" t="str">
        <f t="shared" si="2"/>
        <v>/data/neurogen/ASAP/scRNAseq/data/batch12_ASAP_snRNA-seq_*/Raw_Data_and_Processing/cellranger_processing/cellranger_fastqs/outs/fastq_path/H*/BN1351_S3_L004_R1_001.fastq.gz</v>
      </c>
      <c r="K672" s="46" t="s">
        <v>1353</v>
      </c>
      <c r="L672" s="46" t="s">
        <v>2667</v>
      </c>
      <c r="M672" s="46" t="s">
        <v>1309</v>
      </c>
      <c r="N672" s="46" t="s">
        <v>1310</v>
      </c>
      <c r="O672" s="46" t="s">
        <v>1311</v>
      </c>
      <c r="P672" s="46" t="s">
        <v>1312</v>
      </c>
      <c r="Q672" s="46" t="s">
        <v>31</v>
      </c>
      <c r="R672" s="46" t="s">
        <v>31</v>
      </c>
      <c r="S672" s="46" t="s">
        <v>31</v>
      </c>
      <c r="T672" s="46" t="s">
        <v>31</v>
      </c>
      <c r="U672" s="46" t="s">
        <v>49</v>
      </c>
    </row>
    <row r="673" spans="1:21">
      <c r="A673" s="46" t="s">
        <v>734</v>
      </c>
      <c r="B673" s="46" t="s">
        <v>137</v>
      </c>
      <c r="C673" s="46" t="s">
        <v>666</v>
      </c>
      <c r="D673" s="46">
        <v>1</v>
      </c>
      <c r="E673" s="46">
        <v>0</v>
      </c>
      <c r="F673" s="46" t="s">
        <v>735</v>
      </c>
      <c r="G673" s="46" t="s">
        <v>1305</v>
      </c>
      <c r="H673" s="46" t="s">
        <v>2668</v>
      </c>
      <c r="I673" s="46" t="str">
        <f ca="1">IFERROR(__xludf.DUMMYFUNCTION("CONCAT(A673,REGEXREPLACE(H673,"".*_L0"",""_L0""))"),"ILB_BN1351_MTG_snRNAseq_rep1_L004_R2_001.fastq.gz")</f>
        <v>ILB_BN1351_MTG_snRNAseq_rep1_L004_R2_001.fastq.gz</v>
      </c>
      <c r="J673" s="46" t="str">
        <f t="shared" si="2"/>
        <v>/data/neurogen/ASAP/scRNAseq/data/batch12_ASAP_snRNA-seq_*/Raw_Data_and_Processing/cellranger_processing/cellranger_fastqs/outs/fastq_path/H*/BN1351_S3_L004_R2_001.fastq.gz</v>
      </c>
      <c r="K673" s="46" t="s">
        <v>1356</v>
      </c>
      <c r="L673" s="46" t="s">
        <v>2669</v>
      </c>
      <c r="M673" s="46" t="s">
        <v>1309</v>
      </c>
      <c r="N673" s="46" t="s">
        <v>1310</v>
      </c>
      <c r="O673" s="46" t="s">
        <v>1311</v>
      </c>
      <c r="P673" s="46" t="s">
        <v>1312</v>
      </c>
      <c r="Q673" s="46" t="s">
        <v>31</v>
      </c>
      <c r="R673" s="46" t="s">
        <v>31</v>
      </c>
      <c r="S673" s="46" t="s">
        <v>31</v>
      </c>
      <c r="T673" s="46" t="s">
        <v>31</v>
      </c>
      <c r="U673" s="46" t="s">
        <v>49</v>
      </c>
    </row>
    <row r="674" spans="1:21">
      <c r="A674" s="46" t="s">
        <v>742</v>
      </c>
      <c r="B674" s="46" t="s">
        <v>149</v>
      </c>
      <c r="C674" s="46" t="s">
        <v>666</v>
      </c>
      <c r="D674" s="46">
        <v>1</v>
      </c>
      <c r="E674" s="46">
        <v>0</v>
      </c>
      <c r="F674" s="46" t="s">
        <v>735</v>
      </c>
      <c r="G674" s="46" t="s">
        <v>1305</v>
      </c>
      <c r="H674" s="46" t="s">
        <v>2670</v>
      </c>
      <c r="I674" s="46" t="str">
        <f ca="1">IFERROR(__xludf.DUMMYFUNCTION("CONCAT(A674,REGEXREPLACE(H674,"".*_L0"",""_L0""))"),"PD_BN1506_MTG_snRNAseq_rep1_L001_I1_001.fastq.gz")</f>
        <v>PD_BN1506_MTG_snRNAseq_rep1_L001_I1_001.fastq.gz</v>
      </c>
      <c r="J674" s="46" t="str">
        <f t="shared" si="2"/>
        <v>/data/neurogen/ASAP/scRNAseq/data/batch12_ASAP_snRNA-seq_*/Raw_Data_and_Processing/cellranger_processing/cellranger_fastqs/outs/fastq_path/H*/BN1506_S2_L001_I1_001.fastq.gz</v>
      </c>
      <c r="K674" s="46" t="s">
        <v>1307</v>
      </c>
      <c r="L674" s="46" t="s">
        <v>2671</v>
      </c>
      <c r="M674" s="46" t="s">
        <v>1309</v>
      </c>
      <c r="N674" s="46" t="s">
        <v>1310</v>
      </c>
      <c r="O674" s="46" t="s">
        <v>1311</v>
      </c>
      <c r="P674" s="46" t="s">
        <v>1312</v>
      </c>
      <c r="Q674" s="46" t="s">
        <v>31</v>
      </c>
      <c r="R674" s="46" t="s">
        <v>31</v>
      </c>
      <c r="S674" s="46" t="s">
        <v>31</v>
      </c>
      <c r="T674" s="46" t="s">
        <v>31</v>
      </c>
      <c r="U674" s="46" t="s">
        <v>49</v>
      </c>
    </row>
    <row r="675" spans="1:21">
      <c r="A675" s="46" t="s">
        <v>742</v>
      </c>
      <c r="B675" s="46" t="s">
        <v>149</v>
      </c>
      <c r="C675" s="46" t="s">
        <v>666</v>
      </c>
      <c r="D675" s="46">
        <v>1</v>
      </c>
      <c r="E675" s="46">
        <v>0</v>
      </c>
      <c r="F675" s="46" t="s">
        <v>735</v>
      </c>
      <c r="G675" s="46" t="s">
        <v>1305</v>
      </c>
      <c r="H675" s="46" t="s">
        <v>2672</v>
      </c>
      <c r="I675" s="46" t="str">
        <f ca="1">IFERROR(__xludf.DUMMYFUNCTION("CONCAT(A675,REGEXREPLACE(H675,"".*_L0"",""_L0""))"),"PD_BN1506_MTG_snRNAseq_rep1_L001_I2_001.fastq.gz")</f>
        <v>PD_BN1506_MTG_snRNAseq_rep1_L001_I2_001.fastq.gz</v>
      </c>
      <c r="J675" s="46" t="str">
        <f t="shared" si="2"/>
        <v>/data/neurogen/ASAP/scRNAseq/data/batch12_ASAP_snRNA-seq_*/Raw_Data_and_Processing/cellranger_processing/cellranger_fastqs/outs/fastq_path/H*/BN1506_S2_L001_I2_001.fastq.gz</v>
      </c>
      <c r="K675" s="46" t="s">
        <v>1314</v>
      </c>
      <c r="L675" s="46" t="s">
        <v>2673</v>
      </c>
      <c r="M675" s="46" t="s">
        <v>1309</v>
      </c>
      <c r="N675" s="46" t="s">
        <v>1310</v>
      </c>
      <c r="O675" s="46" t="s">
        <v>1311</v>
      </c>
      <c r="P675" s="46" t="s">
        <v>1312</v>
      </c>
      <c r="Q675" s="46" t="s">
        <v>31</v>
      </c>
      <c r="R675" s="46" t="s">
        <v>31</v>
      </c>
      <c r="S675" s="46" t="s">
        <v>31</v>
      </c>
      <c r="T675" s="46" t="s">
        <v>31</v>
      </c>
      <c r="U675" s="46" t="s">
        <v>49</v>
      </c>
    </row>
    <row r="676" spans="1:21">
      <c r="A676" s="46" t="s">
        <v>742</v>
      </c>
      <c r="B676" s="46" t="s">
        <v>149</v>
      </c>
      <c r="C676" s="46" t="s">
        <v>666</v>
      </c>
      <c r="D676" s="46">
        <v>1</v>
      </c>
      <c r="E676" s="46">
        <v>0</v>
      </c>
      <c r="F676" s="46" t="s">
        <v>735</v>
      </c>
      <c r="G676" s="46" t="s">
        <v>1305</v>
      </c>
      <c r="H676" s="46" t="s">
        <v>2674</v>
      </c>
      <c r="I676" s="46" t="str">
        <f ca="1">IFERROR(__xludf.DUMMYFUNCTION("CONCAT(A676,REGEXREPLACE(H676,"".*_L0"",""_L0""))"),"PD_BN1506_MTG_snRNAseq_rep1_L001_R1_001.fastq.gz")</f>
        <v>PD_BN1506_MTG_snRNAseq_rep1_L001_R1_001.fastq.gz</v>
      </c>
      <c r="J676" s="46" t="str">
        <f t="shared" si="2"/>
        <v>/data/neurogen/ASAP/scRNAseq/data/batch12_ASAP_snRNA-seq_*/Raw_Data_and_Processing/cellranger_processing/cellranger_fastqs/outs/fastq_path/H*/BN1506_S2_L001_R1_001.fastq.gz</v>
      </c>
      <c r="K676" s="46" t="s">
        <v>1317</v>
      </c>
      <c r="L676" s="46" t="s">
        <v>2675</v>
      </c>
      <c r="M676" s="46" t="s">
        <v>1309</v>
      </c>
      <c r="N676" s="46" t="s">
        <v>1310</v>
      </c>
      <c r="O676" s="46" t="s">
        <v>1311</v>
      </c>
      <c r="P676" s="46" t="s">
        <v>1312</v>
      </c>
      <c r="Q676" s="46" t="s">
        <v>31</v>
      </c>
      <c r="R676" s="46" t="s">
        <v>31</v>
      </c>
      <c r="S676" s="46" t="s">
        <v>31</v>
      </c>
      <c r="T676" s="46" t="s">
        <v>31</v>
      </c>
      <c r="U676" s="46" t="s">
        <v>49</v>
      </c>
    </row>
    <row r="677" spans="1:21">
      <c r="A677" s="46" t="s">
        <v>742</v>
      </c>
      <c r="B677" s="46" t="s">
        <v>149</v>
      </c>
      <c r="C677" s="46" t="s">
        <v>666</v>
      </c>
      <c r="D677" s="46">
        <v>1</v>
      </c>
      <c r="E677" s="46">
        <v>0</v>
      </c>
      <c r="F677" s="46" t="s">
        <v>735</v>
      </c>
      <c r="G677" s="46" t="s">
        <v>1305</v>
      </c>
      <c r="H677" s="46" t="s">
        <v>2676</v>
      </c>
      <c r="I677" s="46" t="str">
        <f ca="1">IFERROR(__xludf.DUMMYFUNCTION("CONCAT(A677,REGEXREPLACE(H677,"".*_L0"",""_L0""))"),"PD_BN1506_MTG_snRNAseq_rep1_L001_R2_001.fastq.gz")</f>
        <v>PD_BN1506_MTG_snRNAseq_rep1_L001_R2_001.fastq.gz</v>
      </c>
      <c r="J677" s="46" t="str">
        <f t="shared" si="2"/>
        <v>/data/neurogen/ASAP/scRNAseq/data/batch12_ASAP_snRNA-seq_*/Raw_Data_and_Processing/cellranger_processing/cellranger_fastqs/outs/fastq_path/H*/BN1506_S2_L001_R2_001.fastq.gz</v>
      </c>
      <c r="K677" s="46" t="s">
        <v>1320</v>
      </c>
      <c r="L677" s="46" t="s">
        <v>2677</v>
      </c>
      <c r="M677" s="46" t="s">
        <v>1309</v>
      </c>
      <c r="N677" s="46" t="s">
        <v>1310</v>
      </c>
      <c r="O677" s="46" t="s">
        <v>1311</v>
      </c>
      <c r="P677" s="46" t="s">
        <v>1312</v>
      </c>
      <c r="Q677" s="46" t="s">
        <v>31</v>
      </c>
      <c r="R677" s="46" t="s">
        <v>31</v>
      </c>
      <c r="S677" s="46" t="s">
        <v>31</v>
      </c>
      <c r="T677" s="46" t="s">
        <v>31</v>
      </c>
      <c r="U677" s="46" t="s">
        <v>49</v>
      </c>
    </row>
    <row r="678" spans="1:21">
      <c r="A678" s="46" t="s">
        <v>742</v>
      </c>
      <c r="B678" s="46" t="s">
        <v>149</v>
      </c>
      <c r="C678" s="46" t="s">
        <v>666</v>
      </c>
      <c r="D678" s="46">
        <v>1</v>
      </c>
      <c r="E678" s="46">
        <v>0</v>
      </c>
      <c r="F678" s="46" t="s">
        <v>735</v>
      </c>
      <c r="G678" s="46" t="s">
        <v>1305</v>
      </c>
      <c r="H678" s="46" t="s">
        <v>2678</v>
      </c>
      <c r="I678" s="46" t="str">
        <f ca="1">IFERROR(__xludf.DUMMYFUNCTION("CONCAT(A678,REGEXREPLACE(H678,"".*_L0"",""_L0""))"),"PD_BN1506_MTG_snRNAseq_rep1_L002_I1_001.fastq.gz")</f>
        <v>PD_BN1506_MTG_snRNAseq_rep1_L002_I1_001.fastq.gz</v>
      </c>
      <c r="J678" s="46" t="str">
        <f t="shared" si="2"/>
        <v>/data/neurogen/ASAP/scRNAseq/data/batch12_ASAP_snRNA-seq_*/Raw_Data_and_Processing/cellranger_processing/cellranger_fastqs/outs/fastq_path/H*/BN1506_S2_L002_I1_001.fastq.gz</v>
      </c>
      <c r="K678" s="46" t="s">
        <v>1323</v>
      </c>
      <c r="L678" s="46" t="s">
        <v>2679</v>
      </c>
      <c r="M678" s="46" t="s">
        <v>1309</v>
      </c>
      <c r="N678" s="46" t="s">
        <v>1310</v>
      </c>
      <c r="O678" s="46" t="s">
        <v>1311</v>
      </c>
      <c r="P678" s="46" t="s">
        <v>1312</v>
      </c>
      <c r="Q678" s="46" t="s">
        <v>31</v>
      </c>
      <c r="R678" s="46" t="s">
        <v>31</v>
      </c>
      <c r="S678" s="46" t="s">
        <v>31</v>
      </c>
      <c r="T678" s="46" t="s">
        <v>31</v>
      </c>
      <c r="U678" s="46" t="s">
        <v>49</v>
      </c>
    </row>
    <row r="679" spans="1:21">
      <c r="A679" s="46" t="s">
        <v>742</v>
      </c>
      <c r="B679" s="46" t="s">
        <v>149</v>
      </c>
      <c r="C679" s="46" t="s">
        <v>666</v>
      </c>
      <c r="D679" s="46">
        <v>1</v>
      </c>
      <c r="E679" s="46">
        <v>0</v>
      </c>
      <c r="F679" s="46" t="s">
        <v>735</v>
      </c>
      <c r="G679" s="46" t="s">
        <v>1305</v>
      </c>
      <c r="H679" s="46" t="s">
        <v>2680</v>
      </c>
      <c r="I679" s="46" t="str">
        <f ca="1">IFERROR(__xludf.DUMMYFUNCTION("CONCAT(A679,REGEXREPLACE(H679,"".*_L0"",""_L0""))"),"PD_BN1506_MTG_snRNAseq_rep1_L002_I2_001.fastq.gz")</f>
        <v>PD_BN1506_MTG_snRNAseq_rep1_L002_I2_001.fastq.gz</v>
      </c>
      <c r="J679" s="46" t="str">
        <f t="shared" si="2"/>
        <v>/data/neurogen/ASAP/scRNAseq/data/batch12_ASAP_snRNA-seq_*/Raw_Data_and_Processing/cellranger_processing/cellranger_fastqs/outs/fastq_path/H*/BN1506_S2_L002_I2_001.fastq.gz</v>
      </c>
      <c r="K679" s="46" t="s">
        <v>1326</v>
      </c>
      <c r="L679" s="46" t="s">
        <v>2681</v>
      </c>
      <c r="M679" s="46" t="s">
        <v>1309</v>
      </c>
      <c r="N679" s="46" t="s">
        <v>1310</v>
      </c>
      <c r="O679" s="46" t="s">
        <v>1311</v>
      </c>
      <c r="P679" s="46" t="s">
        <v>1312</v>
      </c>
      <c r="Q679" s="46" t="s">
        <v>31</v>
      </c>
      <c r="R679" s="46" t="s">
        <v>31</v>
      </c>
      <c r="S679" s="46" t="s">
        <v>31</v>
      </c>
      <c r="T679" s="46" t="s">
        <v>31</v>
      </c>
      <c r="U679" s="46" t="s">
        <v>49</v>
      </c>
    </row>
    <row r="680" spans="1:21">
      <c r="A680" s="46" t="s">
        <v>742</v>
      </c>
      <c r="B680" s="46" t="s">
        <v>149</v>
      </c>
      <c r="C680" s="46" t="s">
        <v>666</v>
      </c>
      <c r="D680" s="46">
        <v>1</v>
      </c>
      <c r="E680" s="46">
        <v>0</v>
      </c>
      <c r="F680" s="46" t="s">
        <v>735</v>
      </c>
      <c r="G680" s="46" t="s">
        <v>1305</v>
      </c>
      <c r="H680" s="46" t="s">
        <v>2682</v>
      </c>
      <c r="I680" s="46" t="str">
        <f ca="1">IFERROR(__xludf.DUMMYFUNCTION("CONCAT(A680,REGEXREPLACE(H680,"".*_L0"",""_L0""))"),"PD_BN1506_MTG_snRNAseq_rep1_L002_R1_001.fastq.gz")</f>
        <v>PD_BN1506_MTG_snRNAseq_rep1_L002_R1_001.fastq.gz</v>
      </c>
      <c r="J680" s="46" t="str">
        <f t="shared" si="2"/>
        <v>/data/neurogen/ASAP/scRNAseq/data/batch12_ASAP_snRNA-seq_*/Raw_Data_and_Processing/cellranger_processing/cellranger_fastqs/outs/fastq_path/H*/BN1506_S2_L002_R1_001.fastq.gz</v>
      </c>
      <c r="K680" s="46" t="s">
        <v>1329</v>
      </c>
      <c r="L680" s="46" t="s">
        <v>2683</v>
      </c>
      <c r="M680" s="46" t="s">
        <v>1309</v>
      </c>
      <c r="N680" s="46" t="s">
        <v>1310</v>
      </c>
      <c r="O680" s="46" t="s">
        <v>1311</v>
      </c>
      <c r="P680" s="46" t="s">
        <v>1312</v>
      </c>
      <c r="Q680" s="46" t="s">
        <v>31</v>
      </c>
      <c r="R680" s="46" t="s">
        <v>31</v>
      </c>
      <c r="S680" s="46" t="s">
        <v>31</v>
      </c>
      <c r="T680" s="46" t="s">
        <v>31</v>
      </c>
      <c r="U680" s="46" t="s">
        <v>49</v>
      </c>
    </row>
    <row r="681" spans="1:21">
      <c r="A681" s="46" t="s">
        <v>742</v>
      </c>
      <c r="B681" s="46" t="s">
        <v>149</v>
      </c>
      <c r="C681" s="46" t="s">
        <v>666</v>
      </c>
      <c r="D681" s="46">
        <v>1</v>
      </c>
      <c r="E681" s="46">
        <v>0</v>
      </c>
      <c r="F681" s="46" t="s">
        <v>735</v>
      </c>
      <c r="G681" s="46" t="s">
        <v>1305</v>
      </c>
      <c r="H681" s="46" t="s">
        <v>2684</v>
      </c>
      <c r="I681" s="46" t="str">
        <f ca="1">IFERROR(__xludf.DUMMYFUNCTION("CONCAT(A681,REGEXREPLACE(H681,"".*_L0"",""_L0""))"),"PD_BN1506_MTG_snRNAseq_rep1_L002_R2_001.fastq.gz")</f>
        <v>PD_BN1506_MTG_snRNAseq_rep1_L002_R2_001.fastq.gz</v>
      </c>
      <c r="J681" s="46" t="str">
        <f t="shared" si="2"/>
        <v>/data/neurogen/ASAP/scRNAseq/data/batch12_ASAP_snRNA-seq_*/Raw_Data_and_Processing/cellranger_processing/cellranger_fastqs/outs/fastq_path/H*/BN1506_S2_L002_R2_001.fastq.gz</v>
      </c>
      <c r="K681" s="46" t="s">
        <v>1332</v>
      </c>
      <c r="L681" s="46" t="s">
        <v>2685</v>
      </c>
      <c r="M681" s="46" t="s">
        <v>1309</v>
      </c>
      <c r="N681" s="46" t="s">
        <v>1310</v>
      </c>
      <c r="O681" s="46" t="s">
        <v>1311</v>
      </c>
      <c r="P681" s="46" t="s">
        <v>1312</v>
      </c>
      <c r="Q681" s="46" t="s">
        <v>31</v>
      </c>
      <c r="R681" s="46" t="s">
        <v>31</v>
      </c>
      <c r="S681" s="46" t="s">
        <v>31</v>
      </c>
      <c r="T681" s="46" t="s">
        <v>31</v>
      </c>
      <c r="U681" s="46" t="s">
        <v>49</v>
      </c>
    </row>
    <row r="682" spans="1:21">
      <c r="A682" s="46" t="s">
        <v>742</v>
      </c>
      <c r="B682" s="46" t="s">
        <v>149</v>
      </c>
      <c r="C682" s="46" t="s">
        <v>666</v>
      </c>
      <c r="D682" s="46">
        <v>1</v>
      </c>
      <c r="E682" s="46">
        <v>0</v>
      </c>
      <c r="F682" s="46" t="s">
        <v>735</v>
      </c>
      <c r="G682" s="46" t="s">
        <v>1305</v>
      </c>
      <c r="H682" s="46" t="s">
        <v>2686</v>
      </c>
      <c r="I682" s="46" t="str">
        <f ca="1">IFERROR(__xludf.DUMMYFUNCTION("CONCAT(A682,REGEXREPLACE(H682,"".*_L0"",""_L0""))"),"PD_BN1506_MTG_snRNAseq_rep1_L003_I1_001.fastq.gz")</f>
        <v>PD_BN1506_MTG_snRNAseq_rep1_L003_I1_001.fastq.gz</v>
      </c>
      <c r="J682" s="46" t="str">
        <f t="shared" si="2"/>
        <v>/data/neurogen/ASAP/scRNAseq/data/batch12_ASAP_snRNA-seq_*/Raw_Data_and_Processing/cellranger_processing/cellranger_fastqs/outs/fastq_path/H*/BN1506_S2_L003_I1_001.fastq.gz</v>
      </c>
      <c r="K682" s="46" t="s">
        <v>1335</v>
      </c>
      <c r="L682" s="46" t="s">
        <v>2687</v>
      </c>
      <c r="M682" s="46" t="s">
        <v>1309</v>
      </c>
      <c r="N682" s="46" t="s">
        <v>1310</v>
      </c>
      <c r="O682" s="46" t="s">
        <v>1311</v>
      </c>
      <c r="P682" s="46" t="s">
        <v>1312</v>
      </c>
      <c r="Q682" s="46" t="s">
        <v>31</v>
      </c>
      <c r="R682" s="46" t="s">
        <v>31</v>
      </c>
      <c r="S682" s="46" t="s">
        <v>31</v>
      </c>
      <c r="T682" s="46" t="s">
        <v>31</v>
      </c>
      <c r="U682" s="46" t="s">
        <v>49</v>
      </c>
    </row>
    <row r="683" spans="1:21">
      <c r="A683" s="46" t="s">
        <v>742</v>
      </c>
      <c r="B683" s="46" t="s">
        <v>149</v>
      </c>
      <c r="C683" s="46" t="s">
        <v>666</v>
      </c>
      <c r="D683" s="46">
        <v>1</v>
      </c>
      <c r="E683" s="46">
        <v>0</v>
      </c>
      <c r="F683" s="46" t="s">
        <v>735</v>
      </c>
      <c r="G683" s="46" t="s">
        <v>1305</v>
      </c>
      <c r="H683" s="46" t="s">
        <v>2688</v>
      </c>
      <c r="I683" s="46" t="str">
        <f ca="1">IFERROR(__xludf.DUMMYFUNCTION("CONCAT(A683,REGEXREPLACE(H683,"".*_L0"",""_L0""))"),"PD_BN1506_MTG_snRNAseq_rep1_L003_I2_001.fastq.gz")</f>
        <v>PD_BN1506_MTG_snRNAseq_rep1_L003_I2_001.fastq.gz</v>
      </c>
      <c r="J683" s="46" t="str">
        <f t="shared" si="2"/>
        <v>/data/neurogen/ASAP/scRNAseq/data/batch12_ASAP_snRNA-seq_*/Raw_Data_and_Processing/cellranger_processing/cellranger_fastqs/outs/fastq_path/H*/BN1506_S2_L003_I2_001.fastq.gz</v>
      </c>
      <c r="K683" s="46" t="s">
        <v>1338</v>
      </c>
      <c r="L683" s="46" t="s">
        <v>2689</v>
      </c>
      <c r="M683" s="46" t="s">
        <v>1309</v>
      </c>
      <c r="N683" s="46" t="s">
        <v>1310</v>
      </c>
      <c r="O683" s="46" t="s">
        <v>1311</v>
      </c>
      <c r="P683" s="46" t="s">
        <v>1312</v>
      </c>
      <c r="Q683" s="46" t="s">
        <v>31</v>
      </c>
      <c r="R683" s="46" t="s">
        <v>31</v>
      </c>
      <c r="S683" s="46" t="s">
        <v>31</v>
      </c>
      <c r="T683" s="46" t="s">
        <v>31</v>
      </c>
      <c r="U683" s="46" t="s">
        <v>49</v>
      </c>
    </row>
    <row r="684" spans="1:21">
      <c r="A684" s="46" t="s">
        <v>742</v>
      </c>
      <c r="B684" s="46" t="s">
        <v>149</v>
      </c>
      <c r="C684" s="46" t="s">
        <v>666</v>
      </c>
      <c r="D684" s="46">
        <v>1</v>
      </c>
      <c r="E684" s="46">
        <v>0</v>
      </c>
      <c r="F684" s="46" t="s">
        <v>735</v>
      </c>
      <c r="G684" s="46" t="s">
        <v>1305</v>
      </c>
      <c r="H684" s="46" t="s">
        <v>2690</v>
      </c>
      <c r="I684" s="46" t="str">
        <f ca="1">IFERROR(__xludf.DUMMYFUNCTION("CONCAT(A684,REGEXREPLACE(H684,"".*_L0"",""_L0""))"),"PD_BN1506_MTG_snRNAseq_rep1_L003_R1_001.fastq.gz")</f>
        <v>PD_BN1506_MTG_snRNAseq_rep1_L003_R1_001.fastq.gz</v>
      </c>
      <c r="J684" s="46" t="str">
        <f t="shared" si="2"/>
        <v>/data/neurogen/ASAP/scRNAseq/data/batch12_ASAP_snRNA-seq_*/Raw_Data_and_Processing/cellranger_processing/cellranger_fastqs/outs/fastq_path/H*/BN1506_S2_L003_R1_001.fastq.gz</v>
      </c>
      <c r="K684" s="46" t="s">
        <v>1341</v>
      </c>
      <c r="L684" s="46" t="s">
        <v>2691</v>
      </c>
      <c r="M684" s="46" t="s">
        <v>1309</v>
      </c>
      <c r="N684" s="46" t="s">
        <v>1310</v>
      </c>
      <c r="O684" s="46" t="s">
        <v>1311</v>
      </c>
      <c r="P684" s="46" t="s">
        <v>1312</v>
      </c>
      <c r="Q684" s="46" t="s">
        <v>31</v>
      </c>
      <c r="R684" s="46" t="s">
        <v>31</v>
      </c>
      <c r="S684" s="46" t="s">
        <v>31</v>
      </c>
      <c r="T684" s="46" t="s">
        <v>31</v>
      </c>
      <c r="U684" s="46" t="s">
        <v>49</v>
      </c>
    </row>
    <row r="685" spans="1:21">
      <c r="A685" s="46" t="s">
        <v>742</v>
      </c>
      <c r="B685" s="46" t="s">
        <v>149</v>
      </c>
      <c r="C685" s="46" t="s">
        <v>666</v>
      </c>
      <c r="D685" s="46">
        <v>1</v>
      </c>
      <c r="E685" s="46">
        <v>0</v>
      </c>
      <c r="F685" s="46" t="s">
        <v>735</v>
      </c>
      <c r="G685" s="46" t="s">
        <v>1305</v>
      </c>
      <c r="H685" s="46" t="s">
        <v>2692</v>
      </c>
      <c r="I685" s="46" t="str">
        <f ca="1">IFERROR(__xludf.DUMMYFUNCTION("CONCAT(A685,REGEXREPLACE(H685,"".*_L0"",""_L0""))"),"PD_BN1506_MTG_snRNAseq_rep1_L003_R2_001.fastq.gz")</f>
        <v>PD_BN1506_MTG_snRNAseq_rep1_L003_R2_001.fastq.gz</v>
      </c>
      <c r="J685" s="46" t="str">
        <f t="shared" si="2"/>
        <v>/data/neurogen/ASAP/scRNAseq/data/batch12_ASAP_snRNA-seq_*/Raw_Data_and_Processing/cellranger_processing/cellranger_fastqs/outs/fastq_path/H*/BN1506_S2_L003_R2_001.fastq.gz</v>
      </c>
      <c r="K685" s="46" t="s">
        <v>1344</v>
      </c>
      <c r="L685" s="46" t="s">
        <v>2693</v>
      </c>
      <c r="M685" s="46" t="s">
        <v>1309</v>
      </c>
      <c r="N685" s="46" t="s">
        <v>1310</v>
      </c>
      <c r="O685" s="46" t="s">
        <v>1311</v>
      </c>
      <c r="P685" s="46" t="s">
        <v>1312</v>
      </c>
      <c r="Q685" s="46" t="s">
        <v>31</v>
      </c>
      <c r="R685" s="46" t="s">
        <v>31</v>
      </c>
      <c r="S685" s="46" t="s">
        <v>31</v>
      </c>
      <c r="T685" s="46" t="s">
        <v>31</v>
      </c>
      <c r="U685" s="46" t="s">
        <v>49</v>
      </c>
    </row>
    <row r="686" spans="1:21">
      <c r="A686" s="46" t="s">
        <v>742</v>
      </c>
      <c r="B686" s="46" t="s">
        <v>149</v>
      </c>
      <c r="C686" s="46" t="s">
        <v>666</v>
      </c>
      <c r="D686" s="46">
        <v>1</v>
      </c>
      <c r="E686" s="46">
        <v>0</v>
      </c>
      <c r="F686" s="46" t="s">
        <v>735</v>
      </c>
      <c r="G686" s="46" t="s">
        <v>1305</v>
      </c>
      <c r="H686" s="46" t="s">
        <v>2694</v>
      </c>
      <c r="I686" s="46" t="str">
        <f ca="1">IFERROR(__xludf.DUMMYFUNCTION("CONCAT(A686,REGEXREPLACE(H686,"".*_L0"",""_L0""))"),"PD_BN1506_MTG_snRNAseq_rep1_L004_I1_001.fastq.gz")</f>
        <v>PD_BN1506_MTG_snRNAseq_rep1_L004_I1_001.fastq.gz</v>
      </c>
      <c r="J686" s="46" t="str">
        <f t="shared" si="2"/>
        <v>/data/neurogen/ASAP/scRNAseq/data/batch12_ASAP_snRNA-seq_*/Raw_Data_and_Processing/cellranger_processing/cellranger_fastqs/outs/fastq_path/H*/BN1506_S2_L004_I1_001.fastq.gz</v>
      </c>
      <c r="K686" s="46" t="s">
        <v>1347</v>
      </c>
      <c r="L686" s="46" t="s">
        <v>2695</v>
      </c>
      <c r="M686" s="46" t="s">
        <v>1309</v>
      </c>
      <c r="N686" s="46" t="s">
        <v>1310</v>
      </c>
      <c r="O686" s="46" t="s">
        <v>1311</v>
      </c>
      <c r="P686" s="46" t="s">
        <v>1312</v>
      </c>
      <c r="Q686" s="46" t="s">
        <v>31</v>
      </c>
      <c r="R686" s="46" t="s">
        <v>31</v>
      </c>
      <c r="S686" s="46" t="s">
        <v>31</v>
      </c>
      <c r="T686" s="46" t="s">
        <v>31</v>
      </c>
      <c r="U686" s="46" t="s">
        <v>49</v>
      </c>
    </row>
    <row r="687" spans="1:21">
      <c r="A687" s="46" t="s">
        <v>742</v>
      </c>
      <c r="B687" s="46" t="s">
        <v>149</v>
      </c>
      <c r="C687" s="46" t="s">
        <v>666</v>
      </c>
      <c r="D687" s="46">
        <v>1</v>
      </c>
      <c r="E687" s="46">
        <v>0</v>
      </c>
      <c r="F687" s="46" t="s">
        <v>735</v>
      </c>
      <c r="G687" s="46" t="s">
        <v>1305</v>
      </c>
      <c r="H687" s="46" t="s">
        <v>2696</v>
      </c>
      <c r="I687" s="46" t="str">
        <f ca="1">IFERROR(__xludf.DUMMYFUNCTION("CONCAT(A687,REGEXREPLACE(H687,"".*_L0"",""_L0""))"),"PD_BN1506_MTG_snRNAseq_rep1_L004_I2_001.fastq.gz")</f>
        <v>PD_BN1506_MTG_snRNAseq_rep1_L004_I2_001.fastq.gz</v>
      </c>
      <c r="J687" s="46" t="str">
        <f t="shared" si="2"/>
        <v>/data/neurogen/ASAP/scRNAseq/data/batch12_ASAP_snRNA-seq_*/Raw_Data_and_Processing/cellranger_processing/cellranger_fastqs/outs/fastq_path/H*/BN1506_S2_L004_I2_001.fastq.gz</v>
      </c>
      <c r="K687" s="46" t="s">
        <v>1350</v>
      </c>
      <c r="L687" s="46" t="s">
        <v>2697</v>
      </c>
      <c r="M687" s="46" t="s">
        <v>1309</v>
      </c>
      <c r="N687" s="46" t="s">
        <v>1310</v>
      </c>
      <c r="O687" s="46" t="s">
        <v>1311</v>
      </c>
      <c r="P687" s="46" t="s">
        <v>1312</v>
      </c>
      <c r="Q687" s="46" t="s">
        <v>31</v>
      </c>
      <c r="R687" s="46" t="s">
        <v>31</v>
      </c>
      <c r="S687" s="46" t="s">
        <v>31</v>
      </c>
      <c r="T687" s="46" t="s">
        <v>31</v>
      </c>
      <c r="U687" s="46" t="s">
        <v>49</v>
      </c>
    </row>
    <row r="688" spans="1:21">
      <c r="A688" s="46" t="s">
        <v>742</v>
      </c>
      <c r="B688" s="46" t="s">
        <v>149</v>
      </c>
      <c r="C688" s="46" t="s">
        <v>666</v>
      </c>
      <c r="D688" s="46">
        <v>1</v>
      </c>
      <c r="E688" s="46">
        <v>0</v>
      </c>
      <c r="F688" s="46" t="s">
        <v>735</v>
      </c>
      <c r="G688" s="46" t="s">
        <v>1305</v>
      </c>
      <c r="H688" s="46" t="s">
        <v>2698</v>
      </c>
      <c r="I688" s="46" t="str">
        <f ca="1">IFERROR(__xludf.DUMMYFUNCTION("CONCAT(A688,REGEXREPLACE(H688,"".*_L0"",""_L0""))"),"PD_BN1506_MTG_snRNAseq_rep1_L004_R1_001.fastq.gz")</f>
        <v>PD_BN1506_MTG_snRNAseq_rep1_L004_R1_001.fastq.gz</v>
      </c>
      <c r="J688" s="46" t="str">
        <f t="shared" si="2"/>
        <v>/data/neurogen/ASAP/scRNAseq/data/batch12_ASAP_snRNA-seq_*/Raw_Data_and_Processing/cellranger_processing/cellranger_fastqs/outs/fastq_path/H*/BN1506_S2_L004_R1_001.fastq.gz</v>
      </c>
      <c r="K688" s="46" t="s">
        <v>1353</v>
      </c>
      <c r="L688" s="46" t="s">
        <v>2699</v>
      </c>
      <c r="M688" s="46" t="s">
        <v>1309</v>
      </c>
      <c r="N688" s="46" t="s">
        <v>1310</v>
      </c>
      <c r="O688" s="46" t="s">
        <v>1311</v>
      </c>
      <c r="P688" s="46" t="s">
        <v>1312</v>
      </c>
      <c r="Q688" s="46" t="s">
        <v>31</v>
      </c>
      <c r="R688" s="46" t="s">
        <v>31</v>
      </c>
      <c r="S688" s="46" t="s">
        <v>31</v>
      </c>
      <c r="T688" s="46" t="s">
        <v>31</v>
      </c>
      <c r="U688" s="46" t="s">
        <v>49</v>
      </c>
    </row>
    <row r="689" spans="1:21">
      <c r="A689" s="46" t="s">
        <v>742</v>
      </c>
      <c r="B689" s="46" t="s">
        <v>149</v>
      </c>
      <c r="C689" s="46" t="s">
        <v>666</v>
      </c>
      <c r="D689" s="46">
        <v>1</v>
      </c>
      <c r="E689" s="46">
        <v>0</v>
      </c>
      <c r="F689" s="46" t="s">
        <v>735</v>
      </c>
      <c r="G689" s="46" t="s">
        <v>1305</v>
      </c>
      <c r="H689" s="46" t="s">
        <v>2700</v>
      </c>
      <c r="I689" s="46" t="str">
        <f ca="1">IFERROR(__xludf.DUMMYFUNCTION("CONCAT(A689,REGEXREPLACE(H689,"".*_L0"",""_L0""))"),"PD_BN1506_MTG_snRNAseq_rep1_L004_R2_001.fastq.gz")</f>
        <v>PD_BN1506_MTG_snRNAseq_rep1_L004_R2_001.fastq.gz</v>
      </c>
      <c r="J689" s="46" t="str">
        <f t="shared" si="2"/>
        <v>/data/neurogen/ASAP/scRNAseq/data/batch12_ASAP_snRNA-seq_*/Raw_Data_and_Processing/cellranger_processing/cellranger_fastqs/outs/fastq_path/H*/BN1506_S2_L004_R2_001.fastq.gz</v>
      </c>
      <c r="K689" s="46" t="s">
        <v>1356</v>
      </c>
      <c r="L689" s="46" t="s">
        <v>2701</v>
      </c>
      <c r="M689" s="46" t="s">
        <v>1309</v>
      </c>
      <c r="N689" s="46" t="s">
        <v>1310</v>
      </c>
      <c r="O689" s="46" t="s">
        <v>1311</v>
      </c>
      <c r="P689" s="46" t="s">
        <v>1312</v>
      </c>
      <c r="Q689" s="46" t="s">
        <v>31</v>
      </c>
      <c r="R689" s="46" t="s">
        <v>31</v>
      </c>
      <c r="S689" s="46" t="s">
        <v>31</v>
      </c>
      <c r="T689" s="46" t="s">
        <v>31</v>
      </c>
      <c r="U689" s="46" t="s">
        <v>49</v>
      </c>
    </row>
    <row r="690" spans="1:21">
      <c r="A690" s="46" t="s">
        <v>759</v>
      </c>
      <c r="B690" s="46" t="s">
        <v>177</v>
      </c>
      <c r="C690" s="46" t="s">
        <v>666</v>
      </c>
      <c r="D690" s="46">
        <v>1</v>
      </c>
      <c r="E690" s="46">
        <v>0</v>
      </c>
      <c r="F690" s="46" t="s">
        <v>735</v>
      </c>
      <c r="G690" s="46" t="s">
        <v>1305</v>
      </c>
      <c r="H690" s="46" t="s">
        <v>2702</v>
      </c>
      <c r="I690" s="46" t="str">
        <f ca="1">IFERROR(__xludf.DUMMYFUNCTION("CONCAT(A690,REGEXREPLACE(H690,"".*_L0"",""_L0""))"),"HC_BN1737_MTG_snRNAseq_rep1_L001_I1_001.fastq.gz")</f>
        <v>HC_BN1737_MTG_snRNAseq_rep1_L001_I1_001.fastq.gz</v>
      </c>
      <c r="J690" s="46" t="str">
        <f t="shared" si="2"/>
        <v>/data/neurogen/ASAP/scRNAseq/data/batch12_ASAP_snRNA-seq_*/Raw_Data_and_Processing/cellranger_processing/cellranger_fastqs/outs/fastq_path/H*/BN1737_S1_L001_I1_001.fastq.gz</v>
      </c>
      <c r="K690" s="46" t="s">
        <v>1307</v>
      </c>
      <c r="L690" s="46" t="s">
        <v>2703</v>
      </c>
      <c r="M690" s="46" t="s">
        <v>1309</v>
      </c>
      <c r="N690" s="46" t="s">
        <v>1310</v>
      </c>
      <c r="O690" s="46" t="s">
        <v>1311</v>
      </c>
      <c r="P690" s="46" t="s">
        <v>1312</v>
      </c>
      <c r="Q690" s="46" t="s">
        <v>31</v>
      </c>
      <c r="R690" s="46" t="s">
        <v>31</v>
      </c>
      <c r="S690" s="46" t="s">
        <v>31</v>
      </c>
      <c r="T690" s="46" t="s">
        <v>31</v>
      </c>
      <c r="U690" s="46" t="s">
        <v>49</v>
      </c>
    </row>
    <row r="691" spans="1:21">
      <c r="A691" s="46" t="s">
        <v>759</v>
      </c>
      <c r="B691" s="46" t="s">
        <v>177</v>
      </c>
      <c r="C691" s="46" t="s">
        <v>666</v>
      </c>
      <c r="D691" s="46">
        <v>1</v>
      </c>
      <c r="E691" s="46">
        <v>0</v>
      </c>
      <c r="F691" s="46" t="s">
        <v>735</v>
      </c>
      <c r="G691" s="46" t="s">
        <v>1305</v>
      </c>
      <c r="H691" s="46" t="s">
        <v>2704</v>
      </c>
      <c r="I691" s="46" t="str">
        <f ca="1">IFERROR(__xludf.DUMMYFUNCTION("CONCAT(A691,REGEXREPLACE(H691,"".*_L0"",""_L0""))"),"HC_BN1737_MTG_snRNAseq_rep1_L001_I2_001.fastq.gz")</f>
        <v>HC_BN1737_MTG_snRNAseq_rep1_L001_I2_001.fastq.gz</v>
      </c>
      <c r="J691" s="46" t="str">
        <f t="shared" si="2"/>
        <v>/data/neurogen/ASAP/scRNAseq/data/batch12_ASAP_snRNA-seq_*/Raw_Data_and_Processing/cellranger_processing/cellranger_fastqs/outs/fastq_path/H*/BN1737_S1_L001_I2_001.fastq.gz</v>
      </c>
      <c r="K691" s="46" t="s">
        <v>1314</v>
      </c>
      <c r="L691" s="46" t="s">
        <v>2705</v>
      </c>
      <c r="M691" s="46" t="s">
        <v>1309</v>
      </c>
      <c r="N691" s="46" t="s">
        <v>1310</v>
      </c>
      <c r="O691" s="46" t="s">
        <v>1311</v>
      </c>
      <c r="P691" s="46" t="s">
        <v>1312</v>
      </c>
      <c r="Q691" s="46" t="s">
        <v>31</v>
      </c>
      <c r="R691" s="46" t="s">
        <v>31</v>
      </c>
      <c r="S691" s="46" t="s">
        <v>31</v>
      </c>
      <c r="T691" s="46" t="s">
        <v>31</v>
      </c>
      <c r="U691" s="46" t="s">
        <v>49</v>
      </c>
    </row>
    <row r="692" spans="1:21">
      <c r="A692" s="46" t="s">
        <v>759</v>
      </c>
      <c r="B692" s="46" t="s">
        <v>177</v>
      </c>
      <c r="C692" s="46" t="s">
        <v>666</v>
      </c>
      <c r="D692" s="46">
        <v>1</v>
      </c>
      <c r="E692" s="46">
        <v>0</v>
      </c>
      <c r="F692" s="46" t="s">
        <v>735</v>
      </c>
      <c r="G692" s="46" t="s">
        <v>1305</v>
      </c>
      <c r="H692" s="46" t="s">
        <v>2706</v>
      </c>
      <c r="I692" s="46" t="str">
        <f ca="1">IFERROR(__xludf.DUMMYFUNCTION("CONCAT(A692,REGEXREPLACE(H692,"".*_L0"",""_L0""))"),"HC_BN1737_MTG_snRNAseq_rep1_L001_R1_001.fastq.gz")</f>
        <v>HC_BN1737_MTG_snRNAseq_rep1_L001_R1_001.fastq.gz</v>
      </c>
      <c r="J692" s="46" t="str">
        <f t="shared" si="2"/>
        <v>/data/neurogen/ASAP/scRNAseq/data/batch12_ASAP_snRNA-seq_*/Raw_Data_and_Processing/cellranger_processing/cellranger_fastqs/outs/fastq_path/H*/BN1737_S1_L001_R1_001.fastq.gz</v>
      </c>
      <c r="K692" s="46" t="s">
        <v>1317</v>
      </c>
      <c r="L692" s="46" t="s">
        <v>2707</v>
      </c>
      <c r="M692" s="46" t="s">
        <v>1309</v>
      </c>
      <c r="N692" s="46" t="s">
        <v>1310</v>
      </c>
      <c r="O692" s="46" t="s">
        <v>1311</v>
      </c>
      <c r="P692" s="46" t="s">
        <v>1312</v>
      </c>
      <c r="Q692" s="46" t="s">
        <v>31</v>
      </c>
      <c r="R692" s="46" t="s">
        <v>31</v>
      </c>
      <c r="S692" s="46" t="s">
        <v>31</v>
      </c>
      <c r="T692" s="46" t="s">
        <v>31</v>
      </c>
      <c r="U692" s="46" t="s">
        <v>49</v>
      </c>
    </row>
    <row r="693" spans="1:21">
      <c r="A693" s="46" t="s">
        <v>759</v>
      </c>
      <c r="B693" s="46" t="s">
        <v>177</v>
      </c>
      <c r="C693" s="46" t="s">
        <v>666</v>
      </c>
      <c r="D693" s="46">
        <v>1</v>
      </c>
      <c r="E693" s="46">
        <v>0</v>
      </c>
      <c r="F693" s="46" t="s">
        <v>735</v>
      </c>
      <c r="G693" s="46" t="s">
        <v>1305</v>
      </c>
      <c r="H693" s="46" t="s">
        <v>2708</v>
      </c>
      <c r="I693" s="46" t="str">
        <f ca="1">IFERROR(__xludf.DUMMYFUNCTION("CONCAT(A693,REGEXREPLACE(H693,"".*_L0"",""_L0""))"),"HC_BN1737_MTG_snRNAseq_rep1_L001_R2_001.fastq.gz")</f>
        <v>HC_BN1737_MTG_snRNAseq_rep1_L001_R2_001.fastq.gz</v>
      </c>
      <c r="J693" s="46" t="str">
        <f t="shared" si="2"/>
        <v>/data/neurogen/ASAP/scRNAseq/data/batch12_ASAP_snRNA-seq_*/Raw_Data_and_Processing/cellranger_processing/cellranger_fastqs/outs/fastq_path/H*/BN1737_S1_L001_R2_001.fastq.gz</v>
      </c>
      <c r="K693" s="46" t="s">
        <v>1320</v>
      </c>
      <c r="L693" s="46" t="s">
        <v>2709</v>
      </c>
      <c r="M693" s="46" t="s">
        <v>1309</v>
      </c>
      <c r="N693" s="46" t="s">
        <v>1310</v>
      </c>
      <c r="O693" s="46" t="s">
        <v>1311</v>
      </c>
      <c r="P693" s="46" t="s">
        <v>1312</v>
      </c>
      <c r="Q693" s="46" t="s">
        <v>31</v>
      </c>
      <c r="R693" s="46" t="s">
        <v>31</v>
      </c>
      <c r="S693" s="46" t="s">
        <v>31</v>
      </c>
      <c r="T693" s="46" t="s">
        <v>31</v>
      </c>
      <c r="U693" s="46" t="s">
        <v>49</v>
      </c>
    </row>
    <row r="694" spans="1:21">
      <c r="A694" s="46" t="s">
        <v>759</v>
      </c>
      <c r="B694" s="46" t="s">
        <v>177</v>
      </c>
      <c r="C694" s="46" t="s">
        <v>666</v>
      </c>
      <c r="D694" s="46">
        <v>1</v>
      </c>
      <c r="E694" s="46">
        <v>0</v>
      </c>
      <c r="F694" s="46" t="s">
        <v>735</v>
      </c>
      <c r="G694" s="46" t="s">
        <v>1305</v>
      </c>
      <c r="H694" s="46" t="s">
        <v>2710</v>
      </c>
      <c r="I694" s="46" t="str">
        <f ca="1">IFERROR(__xludf.DUMMYFUNCTION("CONCAT(A694,REGEXREPLACE(H694,"".*_L0"",""_L0""))"),"HC_BN1737_MTG_snRNAseq_rep1_L002_I1_001.fastq.gz")</f>
        <v>HC_BN1737_MTG_snRNAseq_rep1_L002_I1_001.fastq.gz</v>
      </c>
      <c r="J694" s="46" t="str">
        <f t="shared" si="2"/>
        <v>/data/neurogen/ASAP/scRNAseq/data/batch12_ASAP_snRNA-seq_*/Raw_Data_and_Processing/cellranger_processing/cellranger_fastqs/outs/fastq_path/H*/BN1737_S1_L002_I1_001.fastq.gz</v>
      </c>
      <c r="K694" s="46" t="s">
        <v>1323</v>
      </c>
      <c r="L694" s="46" t="s">
        <v>2711</v>
      </c>
      <c r="M694" s="46" t="s">
        <v>1309</v>
      </c>
      <c r="N694" s="46" t="s">
        <v>1310</v>
      </c>
      <c r="O694" s="46" t="s">
        <v>1311</v>
      </c>
      <c r="P694" s="46" t="s">
        <v>1312</v>
      </c>
      <c r="Q694" s="46" t="s">
        <v>31</v>
      </c>
      <c r="R694" s="46" t="s">
        <v>31</v>
      </c>
      <c r="S694" s="46" t="s">
        <v>31</v>
      </c>
      <c r="T694" s="46" t="s">
        <v>31</v>
      </c>
      <c r="U694" s="46" t="s">
        <v>49</v>
      </c>
    </row>
    <row r="695" spans="1:21">
      <c r="A695" s="46" t="s">
        <v>759</v>
      </c>
      <c r="B695" s="46" t="s">
        <v>177</v>
      </c>
      <c r="C695" s="46" t="s">
        <v>666</v>
      </c>
      <c r="D695" s="46">
        <v>1</v>
      </c>
      <c r="E695" s="46">
        <v>0</v>
      </c>
      <c r="F695" s="46" t="s">
        <v>735</v>
      </c>
      <c r="G695" s="46" t="s">
        <v>1305</v>
      </c>
      <c r="H695" s="46" t="s">
        <v>2712</v>
      </c>
      <c r="I695" s="46" t="str">
        <f ca="1">IFERROR(__xludf.DUMMYFUNCTION("CONCAT(A695,REGEXREPLACE(H695,"".*_L0"",""_L0""))"),"HC_BN1737_MTG_snRNAseq_rep1_L002_I2_001.fastq.gz")</f>
        <v>HC_BN1737_MTG_snRNAseq_rep1_L002_I2_001.fastq.gz</v>
      </c>
      <c r="J695" s="46" t="str">
        <f t="shared" si="2"/>
        <v>/data/neurogen/ASAP/scRNAseq/data/batch12_ASAP_snRNA-seq_*/Raw_Data_and_Processing/cellranger_processing/cellranger_fastqs/outs/fastq_path/H*/BN1737_S1_L002_I2_001.fastq.gz</v>
      </c>
      <c r="K695" s="46" t="s">
        <v>1326</v>
      </c>
      <c r="L695" s="46" t="s">
        <v>2713</v>
      </c>
      <c r="M695" s="46" t="s">
        <v>1309</v>
      </c>
      <c r="N695" s="46" t="s">
        <v>1310</v>
      </c>
      <c r="O695" s="46" t="s">
        <v>1311</v>
      </c>
      <c r="P695" s="46" t="s">
        <v>1312</v>
      </c>
      <c r="Q695" s="46" t="s">
        <v>31</v>
      </c>
      <c r="R695" s="46" t="s">
        <v>31</v>
      </c>
      <c r="S695" s="46" t="s">
        <v>31</v>
      </c>
      <c r="T695" s="46" t="s">
        <v>31</v>
      </c>
      <c r="U695" s="46" t="s">
        <v>49</v>
      </c>
    </row>
    <row r="696" spans="1:21">
      <c r="A696" s="46" t="s">
        <v>759</v>
      </c>
      <c r="B696" s="46" t="s">
        <v>177</v>
      </c>
      <c r="C696" s="46" t="s">
        <v>666</v>
      </c>
      <c r="D696" s="46">
        <v>1</v>
      </c>
      <c r="E696" s="46">
        <v>0</v>
      </c>
      <c r="F696" s="46" t="s">
        <v>735</v>
      </c>
      <c r="G696" s="46" t="s">
        <v>1305</v>
      </c>
      <c r="H696" s="46" t="s">
        <v>2714</v>
      </c>
      <c r="I696" s="46" t="str">
        <f ca="1">IFERROR(__xludf.DUMMYFUNCTION("CONCAT(A696,REGEXREPLACE(H696,"".*_L0"",""_L0""))"),"HC_BN1737_MTG_snRNAseq_rep1_L002_R1_001.fastq.gz")</f>
        <v>HC_BN1737_MTG_snRNAseq_rep1_L002_R1_001.fastq.gz</v>
      </c>
      <c r="J696" s="46" t="str">
        <f t="shared" si="2"/>
        <v>/data/neurogen/ASAP/scRNAseq/data/batch12_ASAP_snRNA-seq_*/Raw_Data_and_Processing/cellranger_processing/cellranger_fastqs/outs/fastq_path/H*/BN1737_S1_L002_R1_001.fastq.gz</v>
      </c>
      <c r="K696" s="46" t="s">
        <v>1329</v>
      </c>
      <c r="L696" s="46" t="s">
        <v>2715</v>
      </c>
      <c r="M696" s="46" t="s">
        <v>1309</v>
      </c>
      <c r="N696" s="46" t="s">
        <v>1310</v>
      </c>
      <c r="O696" s="46" t="s">
        <v>1311</v>
      </c>
      <c r="P696" s="46" t="s">
        <v>1312</v>
      </c>
      <c r="Q696" s="46" t="s">
        <v>31</v>
      </c>
      <c r="R696" s="46" t="s">
        <v>31</v>
      </c>
      <c r="S696" s="46" t="s">
        <v>31</v>
      </c>
      <c r="T696" s="46" t="s">
        <v>31</v>
      </c>
      <c r="U696" s="46" t="s">
        <v>49</v>
      </c>
    </row>
    <row r="697" spans="1:21">
      <c r="A697" s="46" t="s">
        <v>759</v>
      </c>
      <c r="B697" s="46" t="s">
        <v>177</v>
      </c>
      <c r="C697" s="46" t="s">
        <v>666</v>
      </c>
      <c r="D697" s="46">
        <v>1</v>
      </c>
      <c r="E697" s="46">
        <v>0</v>
      </c>
      <c r="F697" s="46" t="s">
        <v>735</v>
      </c>
      <c r="G697" s="46" t="s">
        <v>1305</v>
      </c>
      <c r="H697" s="46" t="s">
        <v>2716</v>
      </c>
      <c r="I697" s="46" t="str">
        <f ca="1">IFERROR(__xludf.DUMMYFUNCTION("CONCAT(A697,REGEXREPLACE(H697,"".*_L0"",""_L0""))"),"HC_BN1737_MTG_snRNAseq_rep1_L002_R2_001.fastq.gz")</f>
        <v>HC_BN1737_MTG_snRNAseq_rep1_L002_R2_001.fastq.gz</v>
      </c>
      <c r="J697" s="46" t="str">
        <f t="shared" si="2"/>
        <v>/data/neurogen/ASAP/scRNAseq/data/batch12_ASAP_snRNA-seq_*/Raw_Data_and_Processing/cellranger_processing/cellranger_fastqs/outs/fastq_path/H*/BN1737_S1_L002_R2_001.fastq.gz</v>
      </c>
      <c r="K697" s="46" t="s">
        <v>1332</v>
      </c>
      <c r="L697" s="46" t="s">
        <v>2717</v>
      </c>
      <c r="M697" s="46" t="s">
        <v>1309</v>
      </c>
      <c r="N697" s="46" t="s">
        <v>1310</v>
      </c>
      <c r="O697" s="46" t="s">
        <v>1311</v>
      </c>
      <c r="P697" s="46" t="s">
        <v>1312</v>
      </c>
      <c r="Q697" s="46" t="s">
        <v>31</v>
      </c>
      <c r="R697" s="46" t="s">
        <v>31</v>
      </c>
      <c r="S697" s="46" t="s">
        <v>31</v>
      </c>
      <c r="T697" s="46" t="s">
        <v>31</v>
      </c>
      <c r="U697" s="46" t="s">
        <v>49</v>
      </c>
    </row>
    <row r="698" spans="1:21">
      <c r="A698" s="46" t="s">
        <v>759</v>
      </c>
      <c r="B698" s="46" t="s">
        <v>177</v>
      </c>
      <c r="C698" s="46" t="s">
        <v>666</v>
      </c>
      <c r="D698" s="46">
        <v>1</v>
      </c>
      <c r="E698" s="46">
        <v>0</v>
      </c>
      <c r="F698" s="46" t="s">
        <v>735</v>
      </c>
      <c r="G698" s="46" t="s">
        <v>1305</v>
      </c>
      <c r="H698" s="46" t="s">
        <v>2718</v>
      </c>
      <c r="I698" s="46" t="str">
        <f ca="1">IFERROR(__xludf.DUMMYFUNCTION("CONCAT(A698,REGEXREPLACE(H698,"".*_L0"",""_L0""))"),"HC_BN1737_MTG_snRNAseq_rep1_L003_I1_001.fastq.gz")</f>
        <v>HC_BN1737_MTG_snRNAseq_rep1_L003_I1_001.fastq.gz</v>
      </c>
      <c r="J698" s="46" t="str">
        <f t="shared" si="2"/>
        <v>/data/neurogen/ASAP/scRNAseq/data/batch12_ASAP_snRNA-seq_*/Raw_Data_and_Processing/cellranger_processing/cellranger_fastqs/outs/fastq_path/H*/BN1737_S1_L003_I1_001.fastq.gz</v>
      </c>
      <c r="K698" s="46" t="s">
        <v>1335</v>
      </c>
      <c r="L698" s="46" t="s">
        <v>2719</v>
      </c>
      <c r="M698" s="46" t="s">
        <v>1309</v>
      </c>
      <c r="N698" s="46" t="s">
        <v>1310</v>
      </c>
      <c r="O698" s="46" t="s">
        <v>1311</v>
      </c>
      <c r="P698" s="46" t="s">
        <v>1312</v>
      </c>
      <c r="Q698" s="46" t="s">
        <v>31</v>
      </c>
      <c r="R698" s="46" t="s">
        <v>31</v>
      </c>
      <c r="S698" s="46" t="s">
        <v>31</v>
      </c>
      <c r="T698" s="46" t="s">
        <v>31</v>
      </c>
      <c r="U698" s="46" t="s">
        <v>49</v>
      </c>
    </row>
    <row r="699" spans="1:21">
      <c r="A699" s="46" t="s">
        <v>759</v>
      </c>
      <c r="B699" s="46" t="s">
        <v>177</v>
      </c>
      <c r="C699" s="46" t="s">
        <v>666</v>
      </c>
      <c r="D699" s="46">
        <v>1</v>
      </c>
      <c r="E699" s="46">
        <v>0</v>
      </c>
      <c r="F699" s="46" t="s">
        <v>735</v>
      </c>
      <c r="G699" s="46" t="s">
        <v>1305</v>
      </c>
      <c r="H699" s="46" t="s">
        <v>2720</v>
      </c>
      <c r="I699" s="46" t="str">
        <f ca="1">IFERROR(__xludf.DUMMYFUNCTION("CONCAT(A699,REGEXREPLACE(H699,"".*_L0"",""_L0""))"),"HC_BN1737_MTG_snRNAseq_rep1_L003_I2_001.fastq.gz")</f>
        <v>HC_BN1737_MTG_snRNAseq_rep1_L003_I2_001.fastq.gz</v>
      </c>
      <c r="J699" s="46" t="str">
        <f t="shared" si="2"/>
        <v>/data/neurogen/ASAP/scRNAseq/data/batch12_ASAP_snRNA-seq_*/Raw_Data_and_Processing/cellranger_processing/cellranger_fastqs/outs/fastq_path/H*/BN1737_S1_L003_I2_001.fastq.gz</v>
      </c>
      <c r="K699" s="46" t="s">
        <v>1338</v>
      </c>
      <c r="L699" s="47" t="s">
        <v>2721</v>
      </c>
      <c r="M699" s="46" t="s">
        <v>1309</v>
      </c>
      <c r="N699" s="46" t="s">
        <v>1310</v>
      </c>
      <c r="O699" s="46" t="s">
        <v>1311</v>
      </c>
      <c r="P699" s="46" t="s">
        <v>1312</v>
      </c>
      <c r="Q699" s="46" t="s">
        <v>31</v>
      </c>
      <c r="R699" s="46" t="s">
        <v>31</v>
      </c>
      <c r="S699" s="46" t="s">
        <v>31</v>
      </c>
      <c r="T699" s="46" t="s">
        <v>31</v>
      </c>
      <c r="U699" s="46" t="s">
        <v>49</v>
      </c>
    </row>
    <row r="700" spans="1:21">
      <c r="A700" s="46" t="s">
        <v>759</v>
      </c>
      <c r="B700" s="46" t="s">
        <v>177</v>
      </c>
      <c r="C700" s="46" t="s">
        <v>666</v>
      </c>
      <c r="D700" s="46">
        <v>1</v>
      </c>
      <c r="E700" s="46">
        <v>0</v>
      </c>
      <c r="F700" s="46" t="s">
        <v>735</v>
      </c>
      <c r="G700" s="46" t="s">
        <v>1305</v>
      </c>
      <c r="H700" s="46" t="s">
        <v>2722</v>
      </c>
      <c r="I700" s="46" t="str">
        <f ca="1">IFERROR(__xludf.DUMMYFUNCTION("CONCAT(A700,REGEXREPLACE(H700,"".*_L0"",""_L0""))"),"HC_BN1737_MTG_snRNAseq_rep1_L003_R1_001.fastq.gz")</f>
        <v>HC_BN1737_MTG_snRNAseq_rep1_L003_R1_001.fastq.gz</v>
      </c>
      <c r="J700" s="46" t="str">
        <f t="shared" si="2"/>
        <v>/data/neurogen/ASAP/scRNAseq/data/batch12_ASAP_snRNA-seq_*/Raw_Data_and_Processing/cellranger_processing/cellranger_fastqs/outs/fastq_path/H*/BN1737_S1_L003_R1_001.fastq.gz</v>
      </c>
      <c r="K700" s="46" t="s">
        <v>1341</v>
      </c>
      <c r="L700" s="46" t="s">
        <v>2723</v>
      </c>
      <c r="M700" s="46" t="s">
        <v>1309</v>
      </c>
      <c r="N700" s="46" t="s">
        <v>1310</v>
      </c>
      <c r="O700" s="46" t="s">
        <v>1311</v>
      </c>
      <c r="P700" s="46" t="s">
        <v>1312</v>
      </c>
      <c r="Q700" s="46" t="s">
        <v>31</v>
      </c>
      <c r="R700" s="46" t="s">
        <v>31</v>
      </c>
      <c r="S700" s="46" t="s">
        <v>31</v>
      </c>
      <c r="T700" s="46" t="s">
        <v>31</v>
      </c>
      <c r="U700" s="46" t="s">
        <v>49</v>
      </c>
    </row>
    <row r="701" spans="1:21">
      <c r="A701" s="46" t="s">
        <v>759</v>
      </c>
      <c r="B701" s="46" t="s">
        <v>177</v>
      </c>
      <c r="C701" s="46" t="s">
        <v>666</v>
      </c>
      <c r="D701" s="46">
        <v>1</v>
      </c>
      <c r="E701" s="46">
        <v>0</v>
      </c>
      <c r="F701" s="46" t="s">
        <v>735</v>
      </c>
      <c r="G701" s="46" t="s">
        <v>1305</v>
      </c>
      <c r="H701" s="46" t="s">
        <v>2724</v>
      </c>
      <c r="I701" s="46" t="str">
        <f ca="1">IFERROR(__xludf.DUMMYFUNCTION("CONCAT(A701,REGEXREPLACE(H701,"".*_L0"",""_L0""))"),"HC_BN1737_MTG_snRNAseq_rep1_L003_R2_001.fastq.gz")</f>
        <v>HC_BN1737_MTG_snRNAseq_rep1_L003_R2_001.fastq.gz</v>
      </c>
      <c r="J701" s="46" t="str">
        <f t="shared" si="2"/>
        <v>/data/neurogen/ASAP/scRNAseq/data/batch12_ASAP_snRNA-seq_*/Raw_Data_and_Processing/cellranger_processing/cellranger_fastqs/outs/fastq_path/H*/BN1737_S1_L003_R2_001.fastq.gz</v>
      </c>
      <c r="K701" s="46" t="s">
        <v>1344</v>
      </c>
      <c r="L701" s="46" t="s">
        <v>2725</v>
      </c>
      <c r="M701" s="46" t="s">
        <v>1309</v>
      </c>
      <c r="N701" s="46" t="s">
        <v>1310</v>
      </c>
      <c r="O701" s="46" t="s">
        <v>1311</v>
      </c>
      <c r="P701" s="46" t="s">
        <v>1312</v>
      </c>
      <c r="Q701" s="46" t="s">
        <v>31</v>
      </c>
      <c r="R701" s="46" t="s">
        <v>31</v>
      </c>
      <c r="S701" s="46" t="s">
        <v>31</v>
      </c>
      <c r="T701" s="46" t="s">
        <v>31</v>
      </c>
      <c r="U701" s="46" t="s">
        <v>49</v>
      </c>
    </row>
    <row r="702" spans="1:21">
      <c r="A702" s="46" t="s">
        <v>759</v>
      </c>
      <c r="B702" s="46" t="s">
        <v>177</v>
      </c>
      <c r="C702" s="46" t="s">
        <v>666</v>
      </c>
      <c r="D702" s="46">
        <v>1</v>
      </c>
      <c r="E702" s="46">
        <v>0</v>
      </c>
      <c r="F702" s="46" t="s">
        <v>735</v>
      </c>
      <c r="G702" s="46" t="s">
        <v>1305</v>
      </c>
      <c r="H702" s="46" t="s">
        <v>2726</v>
      </c>
      <c r="I702" s="46" t="str">
        <f ca="1">IFERROR(__xludf.DUMMYFUNCTION("CONCAT(A702,REGEXREPLACE(H702,"".*_L0"",""_L0""))"),"HC_BN1737_MTG_snRNAseq_rep1_L004_I1_001.fastq.gz")</f>
        <v>HC_BN1737_MTG_snRNAseq_rep1_L004_I1_001.fastq.gz</v>
      </c>
      <c r="J702" s="46" t="str">
        <f t="shared" si="2"/>
        <v>/data/neurogen/ASAP/scRNAseq/data/batch12_ASAP_snRNA-seq_*/Raw_Data_and_Processing/cellranger_processing/cellranger_fastqs/outs/fastq_path/H*/BN1737_S1_L004_I1_001.fastq.gz</v>
      </c>
      <c r="K702" s="46" t="s">
        <v>1347</v>
      </c>
      <c r="L702" s="46" t="s">
        <v>2727</v>
      </c>
      <c r="M702" s="46" t="s">
        <v>1309</v>
      </c>
      <c r="N702" s="46" t="s">
        <v>1310</v>
      </c>
      <c r="O702" s="46" t="s">
        <v>1311</v>
      </c>
      <c r="P702" s="46" t="s">
        <v>1312</v>
      </c>
      <c r="Q702" s="46" t="s">
        <v>31</v>
      </c>
      <c r="R702" s="46" t="s">
        <v>31</v>
      </c>
      <c r="S702" s="46" t="s">
        <v>31</v>
      </c>
      <c r="T702" s="46" t="s">
        <v>31</v>
      </c>
      <c r="U702" s="46" t="s">
        <v>49</v>
      </c>
    </row>
    <row r="703" spans="1:21">
      <c r="A703" s="46" t="s">
        <v>759</v>
      </c>
      <c r="B703" s="46" t="s">
        <v>177</v>
      </c>
      <c r="C703" s="46" t="s">
        <v>666</v>
      </c>
      <c r="D703" s="46">
        <v>1</v>
      </c>
      <c r="E703" s="46">
        <v>0</v>
      </c>
      <c r="F703" s="46" t="s">
        <v>735</v>
      </c>
      <c r="G703" s="46" t="s">
        <v>1305</v>
      </c>
      <c r="H703" s="46" t="s">
        <v>2728</v>
      </c>
      <c r="I703" s="46" t="str">
        <f ca="1">IFERROR(__xludf.DUMMYFUNCTION("CONCAT(A703,REGEXREPLACE(H703,"".*_L0"",""_L0""))"),"HC_BN1737_MTG_snRNAseq_rep1_L004_I2_001.fastq.gz")</f>
        <v>HC_BN1737_MTG_snRNAseq_rep1_L004_I2_001.fastq.gz</v>
      </c>
      <c r="J703" s="46" t="str">
        <f t="shared" si="2"/>
        <v>/data/neurogen/ASAP/scRNAseq/data/batch12_ASAP_snRNA-seq_*/Raw_Data_and_Processing/cellranger_processing/cellranger_fastqs/outs/fastq_path/H*/BN1737_S1_L004_I2_001.fastq.gz</v>
      </c>
      <c r="K703" s="46" t="s">
        <v>1350</v>
      </c>
      <c r="L703" s="46" t="s">
        <v>2729</v>
      </c>
      <c r="M703" s="46" t="s">
        <v>1309</v>
      </c>
      <c r="N703" s="46" t="s">
        <v>1310</v>
      </c>
      <c r="O703" s="46" t="s">
        <v>1311</v>
      </c>
      <c r="P703" s="46" t="s">
        <v>1312</v>
      </c>
      <c r="Q703" s="46" t="s">
        <v>31</v>
      </c>
      <c r="R703" s="46" t="s">
        <v>31</v>
      </c>
      <c r="S703" s="46" t="s">
        <v>31</v>
      </c>
      <c r="T703" s="46" t="s">
        <v>31</v>
      </c>
      <c r="U703" s="46" t="s">
        <v>49</v>
      </c>
    </row>
    <row r="704" spans="1:21">
      <c r="A704" s="46" t="s">
        <v>759</v>
      </c>
      <c r="B704" s="46" t="s">
        <v>177</v>
      </c>
      <c r="C704" s="46" t="s">
        <v>666</v>
      </c>
      <c r="D704" s="46">
        <v>1</v>
      </c>
      <c r="E704" s="46">
        <v>0</v>
      </c>
      <c r="F704" s="46" t="s">
        <v>735</v>
      </c>
      <c r="G704" s="46" t="s">
        <v>1305</v>
      </c>
      <c r="H704" s="46" t="s">
        <v>2730</v>
      </c>
      <c r="I704" s="46" t="str">
        <f ca="1">IFERROR(__xludf.DUMMYFUNCTION("CONCAT(A704,REGEXREPLACE(H704,"".*_L0"",""_L0""))"),"HC_BN1737_MTG_snRNAseq_rep1_L004_R1_001.fastq.gz")</f>
        <v>HC_BN1737_MTG_snRNAseq_rep1_L004_R1_001.fastq.gz</v>
      </c>
      <c r="J704" s="46" t="str">
        <f t="shared" si="2"/>
        <v>/data/neurogen/ASAP/scRNAseq/data/batch12_ASAP_snRNA-seq_*/Raw_Data_and_Processing/cellranger_processing/cellranger_fastqs/outs/fastq_path/H*/BN1737_S1_L004_R1_001.fastq.gz</v>
      </c>
      <c r="K704" s="46" t="s">
        <v>1353</v>
      </c>
      <c r="L704" s="46" t="s">
        <v>2731</v>
      </c>
      <c r="M704" s="46" t="s">
        <v>1309</v>
      </c>
      <c r="N704" s="46" t="s">
        <v>1310</v>
      </c>
      <c r="O704" s="46" t="s">
        <v>1311</v>
      </c>
      <c r="P704" s="46" t="s">
        <v>1312</v>
      </c>
      <c r="Q704" s="46" t="s">
        <v>31</v>
      </c>
      <c r="R704" s="46" t="s">
        <v>31</v>
      </c>
      <c r="S704" s="46" t="s">
        <v>31</v>
      </c>
      <c r="T704" s="46" t="s">
        <v>31</v>
      </c>
      <c r="U704" s="46" t="s">
        <v>49</v>
      </c>
    </row>
    <row r="705" spans="1:21">
      <c r="A705" s="46" t="s">
        <v>759</v>
      </c>
      <c r="B705" s="46" t="s">
        <v>177</v>
      </c>
      <c r="C705" s="46" t="s">
        <v>666</v>
      </c>
      <c r="D705" s="46">
        <v>1</v>
      </c>
      <c r="E705" s="46">
        <v>0</v>
      </c>
      <c r="F705" s="46" t="s">
        <v>735</v>
      </c>
      <c r="G705" s="46" t="s">
        <v>1305</v>
      </c>
      <c r="H705" s="46" t="s">
        <v>2732</v>
      </c>
      <c r="I705" s="46" t="str">
        <f ca="1">IFERROR(__xludf.DUMMYFUNCTION("CONCAT(A705,REGEXREPLACE(H705,"".*_L0"",""_L0""))"),"HC_BN1737_MTG_snRNAseq_rep1_L004_R2_001.fastq.gz")</f>
        <v>HC_BN1737_MTG_snRNAseq_rep1_L004_R2_001.fastq.gz</v>
      </c>
      <c r="J705" s="46" t="str">
        <f t="shared" si="2"/>
        <v>/data/neurogen/ASAP/scRNAseq/data/batch12_ASAP_snRNA-seq_*/Raw_Data_and_Processing/cellranger_processing/cellranger_fastqs/outs/fastq_path/H*/BN1737_S1_L004_R2_001.fastq.gz</v>
      </c>
      <c r="K705" s="46" t="s">
        <v>1356</v>
      </c>
      <c r="L705" s="46" t="s">
        <v>2733</v>
      </c>
      <c r="M705" s="46" t="s">
        <v>1309</v>
      </c>
      <c r="N705" s="46" t="s">
        <v>1310</v>
      </c>
      <c r="O705" s="46" t="s">
        <v>1311</v>
      </c>
      <c r="P705" s="46" t="s">
        <v>1312</v>
      </c>
      <c r="Q705" s="46" t="s">
        <v>31</v>
      </c>
      <c r="R705" s="46" t="s">
        <v>31</v>
      </c>
      <c r="S705" s="46" t="s">
        <v>31</v>
      </c>
      <c r="T705" s="46" t="s">
        <v>31</v>
      </c>
      <c r="U705" s="46" t="s">
        <v>49</v>
      </c>
    </row>
    <row r="706" spans="1:21">
      <c r="A706" s="46" t="s">
        <v>717</v>
      </c>
      <c r="B706" s="46" t="s">
        <v>116</v>
      </c>
      <c r="C706" s="46" t="s">
        <v>666</v>
      </c>
      <c r="D706" s="46">
        <v>1</v>
      </c>
      <c r="E706" s="46">
        <v>0</v>
      </c>
      <c r="F706" s="46" t="s">
        <v>718</v>
      </c>
      <c r="G706" s="46" t="s">
        <v>1305</v>
      </c>
      <c r="H706" s="46" t="s">
        <v>2734</v>
      </c>
      <c r="I706" s="46" t="str">
        <f ca="1">IFERROR(__xludf.DUMMYFUNCTION("CONCAT(A706,REGEXREPLACE(H706,"".*_L0"",""_L0""))"),"HC_BN1144_MTG_snRNAseq_rep1_L001_I1_001.fastq.gz")</f>
        <v>HC_BN1144_MTG_snRNAseq_rep1_L001_I1_001.fastq.gz</v>
      </c>
      <c r="J706" s="46" t="str">
        <f t="shared" si="2"/>
        <v>/data/neurogen/ASAP/scRNAseq/data/batch13_ASAP_snRNA-seq_*/Raw_Data_and_Processing/cellranger_processing/cellranger_fastqs/outs/fastq_path/H*/BN1144_S1_L001_I1_001.fastq.gz</v>
      </c>
      <c r="K706" s="46" t="s">
        <v>1307</v>
      </c>
      <c r="L706" s="46" t="s">
        <v>2735</v>
      </c>
      <c r="M706" s="46" t="s">
        <v>1309</v>
      </c>
      <c r="N706" s="46" t="s">
        <v>1310</v>
      </c>
      <c r="O706" s="46" t="s">
        <v>1311</v>
      </c>
      <c r="P706" s="46" t="s">
        <v>1312</v>
      </c>
      <c r="Q706" s="46" t="s">
        <v>31</v>
      </c>
      <c r="R706" s="46" t="s">
        <v>31</v>
      </c>
      <c r="S706" s="46" t="s">
        <v>31</v>
      </c>
      <c r="T706" s="46" t="s">
        <v>31</v>
      </c>
      <c r="U706" s="46" t="s">
        <v>49</v>
      </c>
    </row>
    <row r="707" spans="1:21">
      <c r="A707" s="46" t="s">
        <v>717</v>
      </c>
      <c r="B707" s="46" t="s">
        <v>116</v>
      </c>
      <c r="C707" s="46" t="s">
        <v>666</v>
      </c>
      <c r="D707" s="46">
        <v>1</v>
      </c>
      <c r="E707" s="46">
        <v>0</v>
      </c>
      <c r="F707" s="46" t="s">
        <v>718</v>
      </c>
      <c r="G707" s="46" t="s">
        <v>1305</v>
      </c>
      <c r="H707" s="46" t="s">
        <v>2736</v>
      </c>
      <c r="I707" s="46" t="str">
        <f ca="1">IFERROR(__xludf.DUMMYFUNCTION("CONCAT(A707,REGEXREPLACE(H707,"".*_L0"",""_L0""))"),"HC_BN1144_MTG_snRNAseq_rep1_L001_I2_001.fastq.gz")</f>
        <v>HC_BN1144_MTG_snRNAseq_rep1_L001_I2_001.fastq.gz</v>
      </c>
      <c r="J707" s="46" t="str">
        <f t="shared" si="2"/>
        <v>/data/neurogen/ASAP/scRNAseq/data/batch13_ASAP_snRNA-seq_*/Raw_Data_and_Processing/cellranger_processing/cellranger_fastqs/outs/fastq_path/H*/BN1144_S1_L001_I2_001.fastq.gz</v>
      </c>
      <c r="K707" s="46" t="s">
        <v>1314</v>
      </c>
      <c r="L707" s="46" t="s">
        <v>2737</v>
      </c>
      <c r="M707" s="46" t="s">
        <v>1309</v>
      </c>
      <c r="N707" s="46" t="s">
        <v>1310</v>
      </c>
      <c r="O707" s="46" t="s">
        <v>1311</v>
      </c>
      <c r="P707" s="46" t="s">
        <v>1312</v>
      </c>
      <c r="Q707" s="46" t="s">
        <v>31</v>
      </c>
      <c r="R707" s="46" t="s">
        <v>31</v>
      </c>
      <c r="S707" s="46" t="s">
        <v>31</v>
      </c>
      <c r="T707" s="46" t="s">
        <v>31</v>
      </c>
      <c r="U707" s="46" t="s">
        <v>49</v>
      </c>
    </row>
    <row r="708" spans="1:21">
      <c r="A708" s="46" t="s">
        <v>717</v>
      </c>
      <c r="B708" s="46" t="s">
        <v>116</v>
      </c>
      <c r="C708" s="46" t="s">
        <v>666</v>
      </c>
      <c r="D708" s="46">
        <v>1</v>
      </c>
      <c r="E708" s="46">
        <v>0</v>
      </c>
      <c r="F708" s="46" t="s">
        <v>718</v>
      </c>
      <c r="G708" s="46" t="s">
        <v>1305</v>
      </c>
      <c r="H708" s="46" t="s">
        <v>2738</v>
      </c>
      <c r="I708" s="46" t="str">
        <f ca="1">IFERROR(__xludf.DUMMYFUNCTION("CONCAT(A708,REGEXREPLACE(H708,"".*_L0"",""_L0""))"),"HC_BN1144_MTG_snRNAseq_rep1_L001_R1_001.fastq.gz")</f>
        <v>HC_BN1144_MTG_snRNAseq_rep1_L001_R1_001.fastq.gz</v>
      </c>
      <c r="J708" s="46" t="str">
        <f t="shared" si="2"/>
        <v>/data/neurogen/ASAP/scRNAseq/data/batch13_ASAP_snRNA-seq_*/Raw_Data_and_Processing/cellranger_processing/cellranger_fastqs/outs/fastq_path/H*/BN1144_S1_L001_R1_001.fastq.gz</v>
      </c>
      <c r="K708" s="46" t="s">
        <v>1317</v>
      </c>
      <c r="L708" s="46" t="s">
        <v>2739</v>
      </c>
      <c r="M708" s="46" t="s">
        <v>1309</v>
      </c>
      <c r="N708" s="46" t="s">
        <v>1310</v>
      </c>
      <c r="O708" s="46" t="s">
        <v>1311</v>
      </c>
      <c r="P708" s="46" t="s">
        <v>1312</v>
      </c>
      <c r="Q708" s="46" t="s">
        <v>31</v>
      </c>
      <c r="R708" s="46" t="s">
        <v>31</v>
      </c>
      <c r="S708" s="46" t="s">
        <v>31</v>
      </c>
      <c r="T708" s="46" t="s">
        <v>31</v>
      </c>
      <c r="U708" s="46" t="s">
        <v>49</v>
      </c>
    </row>
    <row r="709" spans="1:21">
      <c r="A709" s="46" t="s">
        <v>717</v>
      </c>
      <c r="B709" s="46" t="s">
        <v>116</v>
      </c>
      <c r="C709" s="46" t="s">
        <v>666</v>
      </c>
      <c r="D709" s="46">
        <v>1</v>
      </c>
      <c r="E709" s="46">
        <v>0</v>
      </c>
      <c r="F709" s="46" t="s">
        <v>718</v>
      </c>
      <c r="G709" s="46" t="s">
        <v>1305</v>
      </c>
      <c r="H709" s="46" t="s">
        <v>2740</v>
      </c>
      <c r="I709" s="46" t="str">
        <f ca="1">IFERROR(__xludf.DUMMYFUNCTION("CONCAT(A709,REGEXREPLACE(H709,"".*_L0"",""_L0""))"),"HC_BN1144_MTG_snRNAseq_rep1_L001_R2_001.fastq.gz")</f>
        <v>HC_BN1144_MTG_snRNAseq_rep1_L001_R2_001.fastq.gz</v>
      </c>
      <c r="J709" s="46" t="str">
        <f t="shared" si="2"/>
        <v>/data/neurogen/ASAP/scRNAseq/data/batch13_ASAP_snRNA-seq_*/Raw_Data_and_Processing/cellranger_processing/cellranger_fastqs/outs/fastq_path/H*/BN1144_S1_L001_R2_001.fastq.gz</v>
      </c>
      <c r="K709" s="46" t="s">
        <v>1320</v>
      </c>
      <c r="L709" s="46" t="s">
        <v>2741</v>
      </c>
      <c r="M709" s="46" t="s">
        <v>1309</v>
      </c>
      <c r="N709" s="46" t="s">
        <v>1310</v>
      </c>
      <c r="O709" s="46" t="s">
        <v>1311</v>
      </c>
      <c r="P709" s="46" t="s">
        <v>1312</v>
      </c>
      <c r="Q709" s="46" t="s">
        <v>31</v>
      </c>
      <c r="R709" s="46" t="s">
        <v>31</v>
      </c>
      <c r="S709" s="46" t="s">
        <v>31</v>
      </c>
      <c r="T709" s="46" t="s">
        <v>31</v>
      </c>
      <c r="U709" s="46" t="s">
        <v>49</v>
      </c>
    </row>
    <row r="710" spans="1:21">
      <c r="A710" s="46" t="s">
        <v>717</v>
      </c>
      <c r="B710" s="46" t="s">
        <v>116</v>
      </c>
      <c r="C710" s="46" t="s">
        <v>666</v>
      </c>
      <c r="D710" s="46">
        <v>1</v>
      </c>
      <c r="E710" s="46">
        <v>0</v>
      </c>
      <c r="F710" s="46" t="s">
        <v>718</v>
      </c>
      <c r="G710" s="46" t="s">
        <v>1305</v>
      </c>
      <c r="H710" s="46" t="s">
        <v>2742</v>
      </c>
      <c r="I710" s="46" t="str">
        <f ca="1">IFERROR(__xludf.DUMMYFUNCTION("CONCAT(A710,REGEXREPLACE(H710,"".*_L0"",""_L0""))"),"HC_BN1144_MTG_snRNAseq_rep1_L002_I1_001.fastq.gz")</f>
        <v>HC_BN1144_MTG_snRNAseq_rep1_L002_I1_001.fastq.gz</v>
      </c>
      <c r="J710" s="46" t="str">
        <f t="shared" si="2"/>
        <v>/data/neurogen/ASAP/scRNAseq/data/batch13_ASAP_snRNA-seq_*/Raw_Data_and_Processing/cellranger_processing/cellranger_fastqs/outs/fastq_path/H*/BN1144_S1_L002_I1_001.fastq.gz</v>
      </c>
      <c r="K710" s="46" t="s">
        <v>1323</v>
      </c>
      <c r="L710" s="46" t="s">
        <v>2743</v>
      </c>
      <c r="M710" s="46" t="s">
        <v>1309</v>
      </c>
      <c r="N710" s="46" t="s">
        <v>1310</v>
      </c>
      <c r="O710" s="46" t="s">
        <v>1311</v>
      </c>
      <c r="P710" s="46" t="s">
        <v>1312</v>
      </c>
      <c r="Q710" s="46" t="s">
        <v>31</v>
      </c>
      <c r="R710" s="46" t="s">
        <v>31</v>
      </c>
      <c r="S710" s="46" t="s">
        <v>31</v>
      </c>
      <c r="T710" s="46" t="s">
        <v>31</v>
      </c>
      <c r="U710" s="46" t="s">
        <v>49</v>
      </c>
    </row>
    <row r="711" spans="1:21">
      <c r="A711" s="46" t="s">
        <v>717</v>
      </c>
      <c r="B711" s="46" t="s">
        <v>116</v>
      </c>
      <c r="C711" s="46" t="s">
        <v>666</v>
      </c>
      <c r="D711" s="46">
        <v>1</v>
      </c>
      <c r="E711" s="46">
        <v>0</v>
      </c>
      <c r="F711" s="46" t="s">
        <v>718</v>
      </c>
      <c r="G711" s="46" t="s">
        <v>1305</v>
      </c>
      <c r="H711" s="46" t="s">
        <v>2744</v>
      </c>
      <c r="I711" s="46" t="str">
        <f ca="1">IFERROR(__xludf.DUMMYFUNCTION("CONCAT(A711,REGEXREPLACE(H711,"".*_L0"",""_L0""))"),"HC_BN1144_MTG_snRNAseq_rep1_L002_I2_001.fastq.gz")</f>
        <v>HC_BN1144_MTG_snRNAseq_rep1_L002_I2_001.fastq.gz</v>
      </c>
      <c r="J711" s="46" t="str">
        <f t="shared" si="2"/>
        <v>/data/neurogen/ASAP/scRNAseq/data/batch13_ASAP_snRNA-seq_*/Raw_Data_and_Processing/cellranger_processing/cellranger_fastqs/outs/fastq_path/H*/BN1144_S1_L002_I2_001.fastq.gz</v>
      </c>
      <c r="K711" s="46" t="s">
        <v>1326</v>
      </c>
      <c r="L711" s="46" t="s">
        <v>2745</v>
      </c>
      <c r="M711" s="46" t="s">
        <v>1309</v>
      </c>
      <c r="N711" s="46" t="s">
        <v>1310</v>
      </c>
      <c r="O711" s="46" t="s">
        <v>1311</v>
      </c>
      <c r="P711" s="46" t="s">
        <v>1312</v>
      </c>
      <c r="Q711" s="46" t="s">
        <v>31</v>
      </c>
      <c r="R711" s="46" t="s">
        <v>31</v>
      </c>
      <c r="S711" s="46" t="s">
        <v>31</v>
      </c>
      <c r="T711" s="46" t="s">
        <v>31</v>
      </c>
      <c r="U711" s="46" t="s">
        <v>49</v>
      </c>
    </row>
    <row r="712" spans="1:21">
      <c r="A712" s="46" t="s">
        <v>717</v>
      </c>
      <c r="B712" s="46" t="s">
        <v>116</v>
      </c>
      <c r="C712" s="46" t="s">
        <v>666</v>
      </c>
      <c r="D712" s="46">
        <v>1</v>
      </c>
      <c r="E712" s="46">
        <v>0</v>
      </c>
      <c r="F712" s="46" t="s">
        <v>718</v>
      </c>
      <c r="G712" s="46" t="s">
        <v>1305</v>
      </c>
      <c r="H712" s="46" t="s">
        <v>2746</v>
      </c>
      <c r="I712" s="46" t="str">
        <f ca="1">IFERROR(__xludf.DUMMYFUNCTION("CONCAT(A712,REGEXREPLACE(H712,"".*_L0"",""_L0""))"),"HC_BN1144_MTG_snRNAseq_rep1_L002_R1_001.fastq.gz")</f>
        <v>HC_BN1144_MTG_snRNAseq_rep1_L002_R1_001.fastq.gz</v>
      </c>
      <c r="J712" s="46" t="str">
        <f t="shared" si="2"/>
        <v>/data/neurogen/ASAP/scRNAseq/data/batch13_ASAP_snRNA-seq_*/Raw_Data_and_Processing/cellranger_processing/cellranger_fastqs/outs/fastq_path/H*/BN1144_S1_L002_R1_001.fastq.gz</v>
      </c>
      <c r="K712" s="46" t="s">
        <v>1329</v>
      </c>
      <c r="L712" s="46" t="s">
        <v>2747</v>
      </c>
      <c r="M712" s="46" t="s">
        <v>1309</v>
      </c>
      <c r="N712" s="46" t="s">
        <v>1310</v>
      </c>
      <c r="O712" s="46" t="s">
        <v>1311</v>
      </c>
      <c r="P712" s="46" t="s">
        <v>1312</v>
      </c>
      <c r="Q712" s="46" t="s">
        <v>31</v>
      </c>
      <c r="R712" s="46" t="s">
        <v>31</v>
      </c>
      <c r="S712" s="46" t="s">
        <v>31</v>
      </c>
      <c r="T712" s="46" t="s">
        <v>31</v>
      </c>
      <c r="U712" s="46" t="s">
        <v>49</v>
      </c>
    </row>
    <row r="713" spans="1:21">
      <c r="A713" s="46" t="s">
        <v>717</v>
      </c>
      <c r="B713" s="46" t="s">
        <v>116</v>
      </c>
      <c r="C713" s="46" t="s">
        <v>666</v>
      </c>
      <c r="D713" s="46">
        <v>1</v>
      </c>
      <c r="E713" s="46">
        <v>0</v>
      </c>
      <c r="F713" s="46" t="s">
        <v>718</v>
      </c>
      <c r="G713" s="46" t="s">
        <v>1305</v>
      </c>
      <c r="H713" s="46" t="s">
        <v>2748</v>
      </c>
      <c r="I713" s="46" t="str">
        <f ca="1">IFERROR(__xludf.DUMMYFUNCTION("CONCAT(A713,REGEXREPLACE(H713,"".*_L0"",""_L0""))"),"HC_BN1144_MTG_snRNAseq_rep1_L002_R2_001.fastq.gz")</f>
        <v>HC_BN1144_MTG_snRNAseq_rep1_L002_R2_001.fastq.gz</v>
      </c>
      <c r="J713" s="46" t="str">
        <f t="shared" si="2"/>
        <v>/data/neurogen/ASAP/scRNAseq/data/batch13_ASAP_snRNA-seq_*/Raw_Data_and_Processing/cellranger_processing/cellranger_fastqs/outs/fastq_path/H*/BN1144_S1_L002_R2_001.fastq.gz</v>
      </c>
      <c r="K713" s="46" t="s">
        <v>1332</v>
      </c>
      <c r="L713" s="46" t="s">
        <v>2749</v>
      </c>
      <c r="M713" s="46" t="s">
        <v>1309</v>
      </c>
      <c r="N713" s="46" t="s">
        <v>1310</v>
      </c>
      <c r="O713" s="46" t="s">
        <v>1311</v>
      </c>
      <c r="P713" s="46" t="s">
        <v>1312</v>
      </c>
      <c r="Q713" s="46" t="s">
        <v>31</v>
      </c>
      <c r="R713" s="46" t="s">
        <v>31</v>
      </c>
      <c r="S713" s="46" t="s">
        <v>31</v>
      </c>
      <c r="T713" s="46" t="s">
        <v>31</v>
      </c>
      <c r="U713" s="46" t="s">
        <v>49</v>
      </c>
    </row>
    <row r="714" spans="1:21">
      <c r="A714" s="46" t="s">
        <v>717</v>
      </c>
      <c r="B714" s="46" t="s">
        <v>116</v>
      </c>
      <c r="C714" s="46" t="s">
        <v>666</v>
      </c>
      <c r="D714" s="46">
        <v>1</v>
      </c>
      <c r="E714" s="46">
        <v>0</v>
      </c>
      <c r="F714" s="46" t="s">
        <v>718</v>
      </c>
      <c r="G714" s="46" t="s">
        <v>1305</v>
      </c>
      <c r="H714" s="46" t="s">
        <v>2750</v>
      </c>
      <c r="I714" s="46" t="str">
        <f ca="1">IFERROR(__xludf.DUMMYFUNCTION("CONCAT(A714,REGEXREPLACE(H714,"".*_L0"",""_L0""))"),"HC_BN1144_MTG_snRNAseq_rep1_L003_I1_001.fastq.gz")</f>
        <v>HC_BN1144_MTG_snRNAseq_rep1_L003_I1_001.fastq.gz</v>
      </c>
      <c r="J714" s="46" t="str">
        <f t="shared" si="2"/>
        <v>/data/neurogen/ASAP/scRNAseq/data/batch13_ASAP_snRNA-seq_*/Raw_Data_and_Processing/cellranger_processing/cellranger_fastqs/outs/fastq_path/H*/BN1144_S1_L003_I1_001.fastq.gz</v>
      </c>
      <c r="K714" s="46" t="s">
        <v>1335</v>
      </c>
      <c r="L714" s="46" t="s">
        <v>2751</v>
      </c>
      <c r="M714" s="46" t="s">
        <v>1309</v>
      </c>
      <c r="N714" s="46" t="s">
        <v>1310</v>
      </c>
      <c r="O714" s="46" t="s">
        <v>1311</v>
      </c>
      <c r="P714" s="46" t="s">
        <v>1312</v>
      </c>
      <c r="Q714" s="46" t="s">
        <v>31</v>
      </c>
      <c r="R714" s="46" t="s">
        <v>31</v>
      </c>
      <c r="S714" s="46" t="s">
        <v>31</v>
      </c>
      <c r="T714" s="46" t="s">
        <v>31</v>
      </c>
      <c r="U714" s="46" t="s">
        <v>49</v>
      </c>
    </row>
    <row r="715" spans="1:21">
      <c r="A715" s="46" t="s">
        <v>717</v>
      </c>
      <c r="B715" s="46" t="s">
        <v>116</v>
      </c>
      <c r="C715" s="46" t="s">
        <v>666</v>
      </c>
      <c r="D715" s="46">
        <v>1</v>
      </c>
      <c r="E715" s="46">
        <v>0</v>
      </c>
      <c r="F715" s="46" t="s">
        <v>718</v>
      </c>
      <c r="G715" s="46" t="s">
        <v>1305</v>
      </c>
      <c r="H715" s="46" t="s">
        <v>2752</v>
      </c>
      <c r="I715" s="46" t="str">
        <f ca="1">IFERROR(__xludf.DUMMYFUNCTION("CONCAT(A715,REGEXREPLACE(H715,"".*_L0"",""_L0""))"),"HC_BN1144_MTG_snRNAseq_rep1_L003_I2_001.fastq.gz")</f>
        <v>HC_BN1144_MTG_snRNAseq_rep1_L003_I2_001.fastq.gz</v>
      </c>
      <c r="J715" s="46" t="str">
        <f t="shared" si="2"/>
        <v>/data/neurogen/ASAP/scRNAseq/data/batch13_ASAP_snRNA-seq_*/Raw_Data_and_Processing/cellranger_processing/cellranger_fastqs/outs/fastq_path/H*/BN1144_S1_L003_I2_001.fastq.gz</v>
      </c>
      <c r="K715" s="46" t="s">
        <v>1338</v>
      </c>
      <c r="L715" s="46" t="s">
        <v>2753</v>
      </c>
      <c r="M715" s="46" t="s">
        <v>1309</v>
      </c>
      <c r="N715" s="46" t="s">
        <v>1310</v>
      </c>
      <c r="O715" s="46" t="s">
        <v>1311</v>
      </c>
      <c r="P715" s="46" t="s">
        <v>1312</v>
      </c>
      <c r="Q715" s="46" t="s">
        <v>31</v>
      </c>
      <c r="R715" s="46" t="s">
        <v>31</v>
      </c>
      <c r="S715" s="46" t="s">
        <v>31</v>
      </c>
      <c r="T715" s="46" t="s">
        <v>31</v>
      </c>
      <c r="U715" s="46" t="s">
        <v>49</v>
      </c>
    </row>
    <row r="716" spans="1:21">
      <c r="A716" s="46" t="s">
        <v>717</v>
      </c>
      <c r="B716" s="46" t="s">
        <v>116</v>
      </c>
      <c r="C716" s="46" t="s">
        <v>666</v>
      </c>
      <c r="D716" s="46">
        <v>1</v>
      </c>
      <c r="E716" s="46">
        <v>0</v>
      </c>
      <c r="F716" s="46" t="s">
        <v>718</v>
      </c>
      <c r="G716" s="46" t="s">
        <v>1305</v>
      </c>
      <c r="H716" s="46" t="s">
        <v>2754</v>
      </c>
      <c r="I716" s="46" t="str">
        <f ca="1">IFERROR(__xludf.DUMMYFUNCTION("CONCAT(A716,REGEXREPLACE(H716,"".*_L0"",""_L0""))"),"HC_BN1144_MTG_snRNAseq_rep1_L003_R1_001.fastq.gz")</f>
        <v>HC_BN1144_MTG_snRNAseq_rep1_L003_R1_001.fastq.gz</v>
      </c>
      <c r="J716" s="46" t="str">
        <f t="shared" si="2"/>
        <v>/data/neurogen/ASAP/scRNAseq/data/batch13_ASAP_snRNA-seq_*/Raw_Data_and_Processing/cellranger_processing/cellranger_fastqs/outs/fastq_path/H*/BN1144_S1_L003_R1_001.fastq.gz</v>
      </c>
      <c r="K716" s="46" t="s">
        <v>1341</v>
      </c>
      <c r="L716" s="46" t="s">
        <v>2755</v>
      </c>
      <c r="M716" s="46" t="s">
        <v>1309</v>
      </c>
      <c r="N716" s="46" t="s">
        <v>1310</v>
      </c>
      <c r="O716" s="46" t="s">
        <v>1311</v>
      </c>
      <c r="P716" s="46" t="s">
        <v>1312</v>
      </c>
      <c r="Q716" s="46" t="s">
        <v>31</v>
      </c>
      <c r="R716" s="46" t="s">
        <v>31</v>
      </c>
      <c r="S716" s="46" t="s">
        <v>31</v>
      </c>
      <c r="T716" s="46" t="s">
        <v>31</v>
      </c>
      <c r="U716" s="46" t="s">
        <v>49</v>
      </c>
    </row>
    <row r="717" spans="1:21">
      <c r="A717" s="46" t="s">
        <v>717</v>
      </c>
      <c r="B717" s="46" t="s">
        <v>116</v>
      </c>
      <c r="C717" s="46" t="s">
        <v>666</v>
      </c>
      <c r="D717" s="46">
        <v>1</v>
      </c>
      <c r="E717" s="46">
        <v>0</v>
      </c>
      <c r="F717" s="46" t="s">
        <v>718</v>
      </c>
      <c r="G717" s="46" t="s">
        <v>1305</v>
      </c>
      <c r="H717" s="46" t="s">
        <v>2756</v>
      </c>
      <c r="I717" s="46" t="str">
        <f ca="1">IFERROR(__xludf.DUMMYFUNCTION("CONCAT(A717,REGEXREPLACE(H717,"".*_L0"",""_L0""))"),"HC_BN1144_MTG_snRNAseq_rep1_L003_R2_001.fastq.gz")</f>
        <v>HC_BN1144_MTG_snRNAseq_rep1_L003_R2_001.fastq.gz</v>
      </c>
      <c r="J717" s="46" t="str">
        <f t="shared" si="2"/>
        <v>/data/neurogen/ASAP/scRNAseq/data/batch13_ASAP_snRNA-seq_*/Raw_Data_and_Processing/cellranger_processing/cellranger_fastqs/outs/fastq_path/H*/BN1144_S1_L003_R2_001.fastq.gz</v>
      </c>
      <c r="K717" s="46" t="s">
        <v>1344</v>
      </c>
      <c r="L717" s="46" t="s">
        <v>2757</v>
      </c>
      <c r="M717" s="46" t="s">
        <v>1309</v>
      </c>
      <c r="N717" s="46" t="s">
        <v>1310</v>
      </c>
      <c r="O717" s="46" t="s">
        <v>1311</v>
      </c>
      <c r="P717" s="46" t="s">
        <v>1312</v>
      </c>
      <c r="Q717" s="46" t="s">
        <v>31</v>
      </c>
      <c r="R717" s="46" t="s">
        <v>31</v>
      </c>
      <c r="S717" s="46" t="s">
        <v>31</v>
      </c>
      <c r="T717" s="46" t="s">
        <v>31</v>
      </c>
      <c r="U717" s="46" t="s">
        <v>49</v>
      </c>
    </row>
    <row r="718" spans="1:21">
      <c r="A718" s="46" t="s">
        <v>717</v>
      </c>
      <c r="B718" s="46" t="s">
        <v>116</v>
      </c>
      <c r="C718" s="46" t="s">
        <v>666</v>
      </c>
      <c r="D718" s="46">
        <v>1</v>
      </c>
      <c r="E718" s="46">
        <v>0</v>
      </c>
      <c r="F718" s="46" t="s">
        <v>718</v>
      </c>
      <c r="G718" s="46" t="s">
        <v>1305</v>
      </c>
      <c r="H718" s="46" t="s">
        <v>2758</v>
      </c>
      <c r="I718" s="46" t="str">
        <f ca="1">IFERROR(__xludf.DUMMYFUNCTION("CONCAT(A718,REGEXREPLACE(H718,"".*_L0"",""_L0""))"),"HC_BN1144_MTG_snRNAseq_rep1_L004_I1_001.fastq.gz")</f>
        <v>HC_BN1144_MTG_snRNAseq_rep1_L004_I1_001.fastq.gz</v>
      </c>
      <c r="J718" s="46" t="str">
        <f t="shared" si="2"/>
        <v>/data/neurogen/ASAP/scRNAseq/data/batch13_ASAP_snRNA-seq_*/Raw_Data_and_Processing/cellranger_processing/cellranger_fastqs/outs/fastq_path/H*/BN1144_S1_L004_I1_001.fastq.gz</v>
      </c>
      <c r="K718" s="46" t="s">
        <v>1347</v>
      </c>
      <c r="L718" s="46" t="s">
        <v>2759</v>
      </c>
      <c r="M718" s="46" t="s">
        <v>1309</v>
      </c>
      <c r="N718" s="46" t="s">
        <v>1310</v>
      </c>
      <c r="O718" s="46" t="s">
        <v>1311</v>
      </c>
      <c r="P718" s="46" t="s">
        <v>1312</v>
      </c>
      <c r="Q718" s="46" t="s">
        <v>31</v>
      </c>
      <c r="R718" s="46" t="s">
        <v>31</v>
      </c>
      <c r="S718" s="46" t="s">
        <v>31</v>
      </c>
      <c r="T718" s="46" t="s">
        <v>31</v>
      </c>
      <c r="U718" s="46" t="s">
        <v>49</v>
      </c>
    </row>
    <row r="719" spans="1:21">
      <c r="A719" s="46" t="s">
        <v>717</v>
      </c>
      <c r="B719" s="46" t="s">
        <v>116</v>
      </c>
      <c r="C719" s="46" t="s">
        <v>666</v>
      </c>
      <c r="D719" s="46">
        <v>1</v>
      </c>
      <c r="E719" s="46">
        <v>0</v>
      </c>
      <c r="F719" s="46" t="s">
        <v>718</v>
      </c>
      <c r="G719" s="46" t="s">
        <v>1305</v>
      </c>
      <c r="H719" s="46" t="s">
        <v>2760</v>
      </c>
      <c r="I719" s="46" t="str">
        <f ca="1">IFERROR(__xludf.DUMMYFUNCTION("CONCAT(A719,REGEXREPLACE(H719,"".*_L0"",""_L0""))"),"HC_BN1144_MTG_snRNAseq_rep1_L004_I2_001.fastq.gz")</f>
        <v>HC_BN1144_MTG_snRNAseq_rep1_L004_I2_001.fastq.gz</v>
      </c>
      <c r="J719" s="46" t="str">
        <f t="shared" si="2"/>
        <v>/data/neurogen/ASAP/scRNAseq/data/batch13_ASAP_snRNA-seq_*/Raw_Data_and_Processing/cellranger_processing/cellranger_fastqs/outs/fastq_path/H*/BN1144_S1_L004_I2_001.fastq.gz</v>
      </c>
      <c r="K719" s="46" t="s">
        <v>1350</v>
      </c>
      <c r="L719" s="46" t="s">
        <v>2761</v>
      </c>
      <c r="M719" s="46" t="s">
        <v>1309</v>
      </c>
      <c r="N719" s="46" t="s">
        <v>1310</v>
      </c>
      <c r="O719" s="46" t="s">
        <v>1311</v>
      </c>
      <c r="P719" s="46" t="s">
        <v>1312</v>
      </c>
      <c r="Q719" s="46" t="s">
        <v>31</v>
      </c>
      <c r="R719" s="46" t="s">
        <v>31</v>
      </c>
      <c r="S719" s="46" t="s">
        <v>31</v>
      </c>
      <c r="T719" s="46" t="s">
        <v>31</v>
      </c>
      <c r="U719" s="46" t="s">
        <v>49</v>
      </c>
    </row>
    <row r="720" spans="1:21">
      <c r="A720" s="46" t="s">
        <v>717</v>
      </c>
      <c r="B720" s="46" t="s">
        <v>116</v>
      </c>
      <c r="C720" s="46" t="s">
        <v>666</v>
      </c>
      <c r="D720" s="46">
        <v>1</v>
      </c>
      <c r="E720" s="46">
        <v>0</v>
      </c>
      <c r="F720" s="46" t="s">
        <v>718</v>
      </c>
      <c r="G720" s="46" t="s">
        <v>1305</v>
      </c>
      <c r="H720" s="46" t="s">
        <v>2762</v>
      </c>
      <c r="I720" s="46" t="str">
        <f ca="1">IFERROR(__xludf.DUMMYFUNCTION("CONCAT(A720,REGEXREPLACE(H720,"".*_L0"",""_L0""))"),"HC_BN1144_MTG_snRNAseq_rep1_L004_R1_001.fastq.gz")</f>
        <v>HC_BN1144_MTG_snRNAseq_rep1_L004_R1_001.fastq.gz</v>
      </c>
      <c r="J720" s="46" t="str">
        <f t="shared" si="2"/>
        <v>/data/neurogen/ASAP/scRNAseq/data/batch13_ASAP_snRNA-seq_*/Raw_Data_and_Processing/cellranger_processing/cellranger_fastqs/outs/fastq_path/H*/BN1144_S1_L004_R1_001.fastq.gz</v>
      </c>
      <c r="K720" s="46" t="s">
        <v>1353</v>
      </c>
      <c r="L720" s="46" t="s">
        <v>2763</v>
      </c>
      <c r="M720" s="46" t="s">
        <v>1309</v>
      </c>
      <c r="N720" s="46" t="s">
        <v>1310</v>
      </c>
      <c r="O720" s="46" t="s">
        <v>1311</v>
      </c>
      <c r="P720" s="46" t="s">
        <v>1312</v>
      </c>
      <c r="Q720" s="46" t="s">
        <v>31</v>
      </c>
      <c r="R720" s="46" t="s">
        <v>31</v>
      </c>
      <c r="S720" s="46" t="s">
        <v>31</v>
      </c>
      <c r="T720" s="46" t="s">
        <v>31</v>
      </c>
      <c r="U720" s="46" t="s">
        <v>49</v>
      </c>
    </row>
    <row r="721" spans="1:21">
      <c r="A721" s="46" t="s">
        <v>717</v>
      </c>
      <c r="B721" s="46" t="s">
        <v>116</v>
      </c>
      <c r="C721" s="46" t="s">
        <v>666</v>
      </c>
      <c r="D721" s="46">
        <v>1</v>
      </c>
      <c r="E721" s="46">
        <v>0</v>
      </c>
      <c r="F721" s="46" t="s">
        <v>718</v>
      </c>
      <c r="G721" s="46" t="s">
        <v>1305</v>
      </c>
      <c r="H721" s="46" t="s">
        <v>2764</v>
      </c>
      <c r="I721" s="46" t="str">
        <f ca="1">IFERROR(__xludf.DUMMYFUNCTION("CONCAT(A721,REGEXREPLACE(H721,"".*_L0"",""_L0""))"),"HC_BN1144_MTG_snRNAseq_rep1_L004_R2_001.fastq.gz")</f>
        <v>HC_BN1144_MTG_snRNAseq_rep1_L004_R2_001.fastq.gz</v>
      </c>
      <c r="J721" s="46" t="str">
        <f t="shared" si="2"/>
        <v>/data/neurogen/ASAP/scRNAseq/data/batch13_ASAP_snRNA-seq_*/Raw_Data_and_Processing/cellranger_processing/cellranger_fastqs/outs/fastq_path/H*/BN1144_S1_L004_R2_001.fastq.gz</v>
      </c>
      <c r="K721" s="46" t="s">
        <v>1356</v>
      </c>
      <c r="L721" s="46" t="s">
        <v>2765</v>
      </c>
      <c r="M721" s="46" t="s">
        <v>1309</v>
      </c>
      <c r="N721" s="46" t="s">
        <v>1310</v>
      </c>
      <c r="O721" s="46" t="s">
        <v>1311</v>
      </c>
      <c r="P721" s="46" t="s">
        <v>1312</v>
      </c>
      <c r="Q721" s="46" t="s">
        <v>31</v>
      </c>
      <c r="R721" s="46" t="s">
        <v>31</v>
      </c>
      <c r="S721" s="46" t="s">
        <v>31</v>
      </c>
      <c r="T721" s="46" t="s">
        <v>31</v>
      </c>
      <c r="U721" s="46" t="s">
        <v>49</v>
      </c>
    </row>
    <row r="722" spans="1:21">
      <c r="A722" s="46" t="s">
        <v>738</v>
      </c>
      <c r="B722" s="46" t="s">
        <v>143</v>
      </c>
      <c r="C722" s="46" t="s">
        <v>666</v>
      </c>
      <c r="D722" s="46">
        <v>1</v>
      </c>
      <c r="E722" s="46">
        <v>0</v>
      </c>
      <c r="F722" s="46" t="s">
        <v>718</v>
      </c>
      <c r="G722" s="46" t="s">
        <v>1305</v>
      </c>
      <c r="H722" s="46" t="s">
        <v>2766</v>
      </c>
      <c r="I722" s="46" t="str">
        <f ca="1">IFERROR(__xludf.DUMMYFUNCTION("CONCAT(A722,REGEXREPLACE(H722,"".*_L0"",""_L0""))"),"ILB_BN1424_MTG_snRNAseq_rep1_L001_I1_001.fastq.gz")</f>
        <v>ILB_BN1424_MTG_snRNAseq_rep1_L001_I1_001.fastq.gz</v>
      </c>
      <c r="J722" s="46" t="str">
        <f t="shared" si="2"/>
        <v>/data/neurogen/ASAP/scRNAseq/data/batch13_ASAP_snRNA-seq_*/Raw_Data_and_Processing/cellranger_processing/cellranger_fastqs/outs/fastq_path/H*/BN1424_S2_L001_I1_001.fastq.gz</v>
      </c>
      <c r="K722" s="46" t="s">
        <v>1307</v>
      </c>
      <c r="L722" s="47" t="s">
        <v>2767</v>
      </c>
      <c r="M722" s="46" t="s">
        <v>1309</v>
      </c>
      <c r="N722" s="46" t="s">
        <v>1310</v>
      </c>
      <c r="O722" s="46" t="s">
        <v>1311</v>
      </c>
      <c r="P722" s="46" t="s">
        <v>1312</v>
      </c>
      <c r="Q722" s="46" t="s">
        <v>31</v>
      </c>
      <c r="R722" s="46" t="s">
        <v>31</v>
      </c>
      <c r="S722" s="46" t="s">
        <v>31</v>
      </c>
      <c r="T722" s="46" t="s">
        <v>31</v>
      </c>
      <c r="U722" s="46" t="s">
        <v>49</v>
      </c>
    </row>
    <row r="723" spans="1:21">
      <c r="A723" s="46" t="s">
        <v>738</v>
      </c>
      <c r="B723" s="46" t="s">
        <v>143</v>
      </c>
      <c r="C723" s="46" t="s">
        <v>666</v>
      </c>
      <c r="D723" s="46">
        <v>1</v>
      </c>
      <c r="E723" s="46">
        <v>0</v>
      </c>
      <c r="F723" s="46" t="s">
        <v>718</v>
      </c>
      <c r="G723" s="46" t="s">
        <v>1305</v>
      </c>
      <c r="H723" s="46" t="s">
        <v>2768</v>
      </c>
      <c r="I723" s="46" t="str">
        <f ca="1">IFERROR(__xludf.DUMMYFUNCTION("CONCAT(A723,REGEXREPLACE(H723,"".*_L0"",""_L0""))"),"ILB_BN1424_MTG_snRNAseq_rep1_L001_I2_001.fastq.gz")</f>
        <v>ILB_BN1424_MTG_snRNAseq_rep1_L001_I2_001.fastq.gz</v>
      </c>
      <c r="J723" s="46" t="str">
        <f t="shared" si="2"/>
        <v>/data/neurogen/ASAP/scRNAseq/data/batch13_ASAP_snRNA-seq_*/Raw_Data_and_Processing/cellranger_processing/cellranger_fastqs/outs/fastq_path/H*/BN1424_S2_L001_I2_001.fastq.gz</v>
      </c>
      <c r="K723" s="46" t="s">
        <v>1314</v>
      </c>
      <c r="L723" s="46" t="s">
        <v>2769</v>
      </c>
      <c r="M723" s="46" t="s">
        <v>1309</v>
      </c>
      <c r="N723" s="46" t="s">
        <v>1310</v>
      </c>
      <c r="O723" s="46" t="s">
        <v>1311</v>
      </c>
      <c r="P723" s="46" t="s">
        <v>1312</v>
      </c>
      <c r="Q723" s="46" t="s">
        <v>31</v>
      </c>
      <c r="R723" s="46" t="s">
        <v>31</v>
      </c>
      <c r="S723" s="46" t="s">
        <v>31</v>
      </c>
      <c r="T723" s="46" t="s">
        <v>31</v>
      </c>
      <c r="U723" s="46" t="s">
        <v>49</v>
      </c>
    </row>
    <row r="724" spans="1:21">
      <c r="A724" s="46" t="s">
        <v>738</v>
      </c>
      <c r="B724" s="46" t="s">
        <v>143</v>
      </c>
      <c r="C724" s="46" t="s">
        <v>666</v>
      </c>
      <c r="D724" s="46">
        <v>1</v>
      </c>
      <c r="E724" s="46">
        <v>0</v>
      </c>
      <c r="F724" s="46" t="s">
        <v>718</v>
      </c>
      <c r="G724" s="46" t="s">
        <v>1305</v>
      </c>
      <c r="H724" s="46" t="s">
        <v>2770</v>
      </c>
      <c r="I724" s="46" t="str">
        <f ca="1">IFERROR(__xludf.DUMMYFUNCTION("CONCAT(A724,REGEXREPLACE(H724,"".*_L0"",""_L0""))"),"ILB_BN1424_MTG_snRNAseq_rep1_L001_R1_001.fastq.gz")</f>
        <v>ILB_BN1424_MTG_snRNAseq_rep1_L001_R1_001.fastq.gz</v>
      </c>
      <c r="J724" s="46" t="str">
        <f t="shared" si="2"/>
        <v>/data/neurogen/ASAP/scRNAseq/data/batch13_ASAP_snRNA-seq_*/Raw_Data_and_Processing/cellranger_processing/cellranger_fastqs/outs/fastq_path/H*/BN1424_S2_L001_R1_001.fastq.gz</v>
      </c>
      <c r="K724" s="46" t="s">
        <v>1317</v>
      </c>
      <c r="L724" s="46" t="s">
        <v>2771</v>
      </c>
      <c r="M724" s="46" t="s">
        <v>1309</v>
      </c>
      <c r="N724" s="46" t="s">
        <v>1310</v>
      </c>
      <c r="O724" s="46" t="s">
        <v>1311</v>
      </c>
      <c r="P724" s="46" t="s">
        <v>1312</v>
      </c>
      <c r="Q724" s="46" t="s">
        <v>31</v>
      </c>
      <c r="R724" s="46" t="s">
        <v>31</v>
      </c>
      <c r="S724" s="46" t="s">
        <v>31</v>
      </c>
      <c r="T724" s="46" t="s">
        <v>31</v>
      </c>
      <c r="U724" s="46" t="s">
        <v>49</v>
      </c>
    </row>
    <row r="725" spans="1:21">
      <c r="A725" s="46" t="s">
        <v>738</v>
      </c>
      <c r="B725" s="46" t="s">
        <v>143</v>
      </c>
      <c r="C725" s="46" t="s">
        <v>666</v>
      </c>
      <c r="D725" s="46">
        <v>1</v>
      </c>
      <c r="E725" s="46">
        <v>0</v>
      </c>
      <c r="F725" s="46" t="s">
        <v>718</v>
      </c>
      <c r="G725" s="46" t="s">
        <v>1305</v>
      </c>
      <c r="H725" s="46" t="s">
        <v>2772</v>
      </c>
      <c r="I725" s="46" t="str">
        <f ca="1">IFERROR(__xludf.DUMMYFUNCTION("CONCAT(A725,REGEXREPLACE(H725,"".*_L0"",""_L0""))"),"ILB_BN1424_MTG_snRNAseq_rep1_L001_R2_001.fastq.gz")</f>
        <v>ILB_BN1424_MTG_snRNAseq_rep1_L001_R2_001.fastq.gz</v>
      </c>
      <c r="J725" s="46" t="str">
        <f t="shared" si="2"/>
        <v>/data/neurogen/ASAP/scRNAseq/data/batch13_ASAP_snRNA-seq_*/Raw_Data_and_Processing/cellranger_processing/cellranger_fastqs/outs/fastq_path/H*/BN1424_S2_L001_R2_001.fastq.gz</v>
      </c>
      <c r="K725" s="46" t="s">
        <v>1320</v>
      </c>
      <c r="L725" s="46" t="s">
        <v>2773</v>
      </c>
      <c r="M725" s="46" t="s">
        <v>1309</v>
      </c>
      <c r="N725" s="46" t="s">
        <v>1310</v>
      </c>
      <c r="O725" s="46" t="s">
        <v>1311</v>
      </c>
      <c r="P725" s="46" t="s">
        <v>1312</v>
      </c>
      <c r="Q725" s="46" t="s">
        <v>31</v>
      </c>
      <c r="R725" s="46" t="s">
        <v>31</v>
      </c>
      <c r="S725" s="46" t="s">
        <v>31</v>
      </c>
      <c r="T725" s="46" t="s">
        <v>31</v>
      </c>
      <c r="U725" s="46" t="s">
        <v>49</v>
      </c>
    </row>
    <row r="726" spans="1:21">
      <c r="A726" s="46" t="s">
        <v>738</v>
      </c>
      <c r="B726" s="46" t="s">
        <v>143</v>
      </c>
      <c r="C726" s="46" t="s">
        <v>666</v>
      </c>
      <c r="D726" s="46">
        <v>1</v>
      </c>
      <c r="E726" s="46">
        <v>0</v>
      </c>
      <c r="F726" s="46" t="s">
        <v>718</v>
      </c>
      <c r="G726" s="46" t="s">
        <v>1305</v>
      </c>
      <c r="H726" s="46" t="s">
        <v>2774</v>
      </c>
      <c r="I726" s="46" t="str">
        <f ca="1">IFERROR(__xludf.DUMMYFUNCTION("CONCAT(A726,REGEXREPLACE(H726,"".*_L0"",""_L0""))"),"ILB_BN1424_MTG_snRNAseq_rep1_L002_I1_001.fastq.gz")</f>
        <v>ILB_BN1424_MTG_snRNAseq_rep1_L002_I1_001.fastq.gz</v>
      </c>
      <c r="J726" s="46" t="str">
        <f t="shared" si="2"/>
        <v>/data/neurogen/ASAP/scRNAseq/data/batch13_ASAP_snRNA-seq_*/Raw_Data_and_Processing/cellranger_processing/cellranger_fastqs/outs/fastq_path/H*/BN1424_S2_L002_I1_001.fastq.gz</v>
      </c>
      <c r="K726" s="46" t="s">
        <v>1323</v>
      </c>
      <c r="L726" s="46" t="s">
        <v>2775</v>
      </c>
      <c r="M726" s="46" t="s">
        <v>1309</v>
      </c>
      <c r="N726" s="46" t="s">
        <v>1310</v>
      </c>
      <c r="O726" s="46" t="s">
        <v>1311</v>
      </c>
      <c r="P726" s="46" t="s">
        <v>1312</v>
      </c>
      <c r="Q726" s="46" t="s">
        <v>31</v>
      </c>
      <c r="R726" s="46" t="s">
        <v>31</v>
      </c>
      <c r="S726" s="46" t="s">
        <v>31</v>
      </c>
      <c r="T726" s="46" t="s">
        <v>31</v>
      </c>
      <c r="U726" s="46" t="s">
        <v>49</v>
      </c>
    </row>
    <row r="727" spans="1:21">
      <c r="A727" s="46" t="s">
        <v>738</v>
      </c>
      <c r="B727" s="46" t="s">
        <v>143</v>
      </c>
      <c r="C727" s="46" t="s">
        <v>666</v>
      </c>
      <c r="D727" s="46">
        <v>1</v>
      </c>
      <c r="E727" s="46">
        <v>0</v>
      </c>
      <c r="F727" s="46" t="s">
        <v>718</v>
      </c>
      <c r="G727" s="46" t="s">
        <v>1305</v>
      </c>
      <c r="H727" s="46" t="s">
        <v>2776</v>
      </c>
      <c r="I727" s="46" t="str">
        <f ca="1">IFERROR(__xludf.DUMMYFUNCTION("CONCAT(A727,REGEXREPLACE(H727,"".*_L0"",""_L0""))"),"ILB_BN1424_MTG_snRNAseq_rep1_L002_I2_001.fastq.gz")</f>
        <v>ILB_BN1424_MTG_snRNAseq_rep1_L002_I2_001.fastq.gz</v>
      </c>
      <c r="J727" s="46" t="str">
        <f t="shared" si="2"/>
        <v>/data/neurogen/ASAP/scRNAseq/data/batch13_ASAP_snRNA-seq_*/Raw_Data_and_Processing/cellranger_processing/cellranger_fastqs/outs/fastq_path/H*/BN1424_S2_L002_I2_001.fastq.gz</v>
      </c>
      <c r="K727" s="46" t="s">
        <v>1326</v>
      </c>
      <c r="L727" s="46" t="s">
        <v>2777</v>
      </c>
      <c r="M727" s="46" t="s">
        <v>1309</v>
      </c>
      <c r="N727" s="46" t="s">
        <v>1310</v>
      </c>
      <c r="O727" s="46" t="s">
        <v>1311</v>
      </c>
      <c r="P727" s="46" t="s">
        <v>1312</v>
      </c>
      <c r="Q727" s="46" t="s">
        <v>31</v>
      </c>
      <c r="R727" s="46" t="s">
        <v>31</v>
      </c>
      <c r="S727" s="46" t="s">
        <v>31</v>
      </c>
      <c r="T727" s="46" t="s">
        <v>31</v>
      </c>
      <c r="U727" s="46" t="s">
        <v>49</v>
      </c>
    </row>
    <row r="728" spans="1:21">
      <c r="A728" s="46" t="s">
        <v>738</v>
      </c>
      <c r="B728" s="46" t="s">
        <v>143</v>
      </c>
      <c r="C728" s="46" t="s">
        <v>666</v>
      </c>
      <c r="D728" s="46">
        <v>1</v>
      </c>
      <c r="E728" s="46">
        <v>0</v>
      </c>
      <c r="F728" s="46" t="s">
        <v>718</v>
      </c>
      <c r="G728" s="46" t="s">
        <v>1305</v>
      </c>
      <c r="H728" s="46" t="s">
        <v>2778</v>
      </c>
      <c r="I728" s="46" t="str">
        <f ca="1">IFERROR(__xludf.DUMMYFUNCTION("CONCAT(A728,REGEXREPLACE(H728,"".*_L0"",""_L0""))"),"ILB_BN1424_MTG_snRNAseq_rep1_L002_R1_001.fastq.gz")</f>
        <v>ILB_BN1424_MTG_snRNAseq_rep1_L002_R1_001.fastq.gz</v>
      </c>
      <c r="J728" s="46" t="str">
        <f t="shared" si="2"/>
        <v>/data/neurogen/ASAP/scRNAseq/data/batch13_ASAP_snRNA-seq_*/Raw_Data_and_Processing/cellranger_processing/cellranger_fastqs/outs/fastq_path/H*/BN1424_S2_L002_R1_001.fastq.gz</v>
      </c>
      <c r="K728" s="46" t="s">
        <v>1329</v>
      </c>
      <c r="L728" s="46" t="s">
        <v>2779</v>
      </c>
      <c r="M728" s="46" t="s">
        <v>1309</v>
      </c>
      <c r="N728" s="46" t="s">
        <v>1310</v>
      </c>
      <c r="O728" s="46" t="s">
        <v>1311</v>
      </c>
      <c r="P728" s="46" t="s">
        <v>1312</v>
      </c>
      <c r="Q728" s="46" t="s">
        <v>31</v>
      </c>
      <c r="R728" s="46" t="s">
        <v>31</v>
      </c>
      <c r="S728" s="46" t="s">
        <v>31</v>
      </c>
      <c r="T728" s="46" t="s">
        <v>31</v>
      </c>
      <c r="U728" s="46" t="s">
        <v>49</v>
      </c>
    </row>
    <row r="729" spans="1:21">
      <c r="A729" s="46" t="s">
        <v>738</v>
      </c>
      <c r="B729" s="46" t="s">
        <v>143</v>
      </c>
      <c r="C729" s="46" t="s">
        <v>666</v>
      </c>
      <c r="D729" s="46">
        <v>1</v>
      </c>
      <c r="E729" s="46">
        <v>0</v>
      </c>
      <c r="F729" s="46" t="s">
        <v>718</v>
      </c>
      <c r="G729" s="46" t="s">
        <v>1305</v>
      </c>
      <c r="H729" s="46" t="s">
        <v>2780</v>
      </c>
      <c r="I729" s="46" t="str">
        <f ca="1">IFERROR(__xludf.DUMMYFUNCTION("CONCAT(A729,REGEXREPLACE(H729,"".*_L0"",""_L0""))"),"ILB_BN1424_MTG_snRNAseq_rep1_L002_R2_001.fastq.gz")</f>
        <v>ILB_BN1424_MTG_snRNAseq_rep1_L002_R2_001.fastq.gz</v>
      </c>
      <c r="J729" s="46" t="str">
        <f t="shared" si="2"/>
        <v>/data/neurogen/ASAP/scRNAseq/data/batch13_ASAP_snRNA-seq_*/Raw_Data_and_Processing/cellranger_processing/cellranger_fastqs/outs/fastq_path/H*/BN1424_S2_L002_R2_001.fastq.gz</v>
      </c>
      <c r="K729" s="46" t="s">
        <v>1332</v>
      </c>
      <c r="L729" s="46" t="s">
        <v>2781</v>
      </c>
      <c r="M729" s="46" t="s">
        <v>1309</v>
      </c>
      <c r="N729" s="46" t="s">
        <v>1310</v>
      </c>
      <c r="O729" s="46" t="s">
        <v>1311</v>
      </c>
      <c r="P729" s="46" t="s">
        <v>1312</v>
      </c>
      <c r="Q729" s="46" t="s">
        <v>31</v>
      </c>
      <c r="R729" s="46" t="s">
        <v>31</v>
      </c>
      <c r="S729" s="46" t="s">
        <v>31</v>
      </c>
      <c r="T729" s="46" t="s">
        <v>31</v>
      </c>
      <c r="U729" s="46" t="s">
        <v>49</v>
      </c>
    </row>
    <row r="730" spans="1:21">
      <c r="A730" s="46" t="s">
        <v>738</v>
      </c>
      <c r="B730" s="46" t="s">
        <v>143</v>
      </c>
      <c r="C730" s="46" t="s">
        <v>666</v>
      </c>
      <c r="D730" s="46">
        <v>1</v>
      </c>
      <c r="E730" s="46">
        <v>0</v>
      </c>
      <c r="F730" s="46" t="s">
        <v>718</v>
      </c>
      <c r="G730" s="46" t="s">
        <v>1305</v>
      </c>
      <c r="H730" s="46" t="s">
        <v>2782</v>
      </c>
      <c r="I730" s="46" t="str">
        <f ca="1">IFERROR(__xludf.DUMMYFUNCTION("CONCAT(A730,REGEXREPLACE(H730,"".*_L0"",""_L0""))"),"ILB_BN1424_MTG_snRNAseq_rep1_L003_I1_001.fastq.gz")</f>
        <v>ILB_BN1424_MTG_snRNAseq_rep1_L003_I1_001.fastq.gz</v>
      </c>
      <c r="J730" s="46" t="str">
        <f t="shared" si="2"/>
        <v>/data/neurogen/ASAP/scRNAseq/data/batch13_ASAP_snRNA-seq_*/Raw_Data_and_Processing/cellranger_processing/cellranger_fastqs/outs/fastq_path/H*/BN1424_S2_L003_I1_001.fastq.gz</v>
      </c>
      <c r="K730" s="46" t="s">
        <v>1335</v>
      </c>
      <c r="L730" s="46" t="s">
        <v>2783</v>
      </c>
      <c r="M730" s="46" t="s">
        <v>1309</v>
      </c>
      <c r="N730" s="46" t="s">
        <v>1310</v>
      </c>
      <c r="O730" s="46" t="s">
        <v>1311</v>
      </c>
      <c r="P730" s="46" t="s">
        <v>1312</v>
      </c>
      <c r="Q730" s="46" t="s">
        <v>31</v>
      </c>
      <c r="R730" s="46" t="s">
        <v>31</v>
      </c>
      <c r="S730" s="46" t="s">
        <v>31</v>
      </c>
      <c r="T730" s="46" t="s">
        <v>31</v>
      </c>
      <c r="U730" s="46" t="s">
        <v>49</v>
      </c>
    </row>
    <row r="731" spans="1:21">
      <c r="A731" s="46" t="s">
        <v>738</v>
      </c>
      <c r="B731" s="46" t="s">
        <v>143</v>
      </c>
      <c r="C731" s="46" t="s">
        <v>666</v>
      </c>
      <c r="D731" s="46">
        <v>1</v>
      </c>
      <c r="E731" s="46">
        <v>0</v>
      </c>
      <c r="F731" s="46" t="s">
        <v>718</v>
      </c>
      <c r="G731" s="46" t="s">
        <v>1305</v>
      </c>
      <c r="H731" s="46" t="s">
        <v>2784</v>
      </c>
      <c r="I731" s="46" t="str">
        <f ca="1">IFERROR(__xludf.DUMMYFUNCTION("CONCAT(A731,REGEXREPLACE(H731,"".*_L0"",""_L0""))"),"ILB_BN1424_MTG_snRNAseq_rep1_L003_I2_001.fastq.gz")</f>
        <v>ILB_BN1424_MTG_snRNAseq_rep1_L003_I2_001.fastq.gz</v>
      </c>
      <c r="J731" s="46" t="str">
        <f t="shared" si="2"/>
        <v>/data/neurogen/ASAP/scRNAseq/data/batch13_ASAP_snRNA-seq_*/Raw_Data_and_Processing/cellranger_processing/cellranger_fastqs/outs/fastq_path/H*/BN1424_S2_L003_I2_001.fastq.gz</v>
      </c>
      <c r="K731" s="46" t="s">
        <v>1338</v>
      </c>
      <c r="L731" s="46" t="s">
        <v>2785</v>
      </c>
      <c r="M731" s="46" t="s">
        <v>1309</v>
      </c>
      <c r="N731" s="46" t="s">
        <v>1310</v>
      </c>
      <c r="O731" s="46" t="s">
        <v>1311</v>
      </c>
      <c r="P731" s="46" t="s">
        <v>1312</v>
      </c>
      <c r="Q731" s="46" t="s">
        <v>31</v>
      </c>
      <c r="R731" s="46" t="s">
        <v>31</v>
      </c>
      <c r="S731" s="46" t="s">
        <v>31</v>
      </c>
      <c r="T731" s="46" t="s">
        <v>31</v>
      </c>
      <c r="U731" s="46" t="s">
        <v>49</v>
      </c>
    </row>
    <row r="732" spans="1:21">
      <c r="A732" s="46" t="s">
        <v>738</v>
      </c>
      <c r="B732" s="46" t="s">
        <v>143</v>
      </c>
      <c r="C732" s="46" t="s">
        <v>666</v>
      </c>
      <c r="D732" s="46">
        <v>1</v>
      </c>
      <c r="E732" s="46">
        <v>0</v>
      </c>
      <c r="F732" s="46" t="s">
        <v>718</v>
      </c>
      <c r="G732" s="46" t="s">
        <v>1305</v>
      </c>
      <c r="H732" s="46" t="s">
        <v>2786</v>
      </c>
      <c r="I732" s="46" t="str">
        <f ca="1">IFERROR(__xludf.DUMMYFUNCTION("CONCAT(A732,REGEXREPLACE(H732,"".*_L0"",""_L0""))"),"ILB_BN1424_MTG_snRNAseq_rep1_L003_R1_001.fastq.gz")</f>
        <v>ILB_BN1424_MTG_snRNAseq_rep1_L003_R1_001.fastq.gz</v>
      </c>
      <c r="J732" s="46" t="str">
        <f t="shared" si="2"/>
        <v>/data/neurogen/ASAP/scRNAseq/data/batch13_ASAP_snRNA-seq_*/Raw_Data_and_Processing/cellranger_processing/cellranger_fastqs/outs/fastq_path/H*/BN1424_S2_L003_R1_001.fastq.gz</v>
      </c>
      <c r="K732" s="46" t="s">
        <v>1341</v>
      </c>
      <c r="L732" s="46" t="s">
        <v>2787</v>
      </c>
      <c r="M732" s="46" t="s">
        <v>1309</v>
      </c>
      <c r="N732" s="46" t="s">
        <v>1310</v>
      </c>
      <c r="O732" s="46" t="s">
        <v>1311</v>
      </c>
      <c r="P732" s="46" t="s">
        <v>1312</v>
      </c>
      <c r="Q732" s="46" t="s">
        <v>31</v>
      </c>
      <c r="R732" s="46" t="s">
        <v>31</v>
      </c>
      <c r="S732" s="46" t="s">
        <v>31</v>
      </c>
      <c r="T732" s="46" t="s">
        <v>31</v>
      </c>
      <c r="U732" s="46" t="s">
        <v>49</v>
      </c>
    </row>
    <row r="733" spans="1:21">
      <c r="A733" s="46" t="s">
        <v>738</v>
      </c>
      <c r="B733" s="46" t="s">
        <v>143</v>
      </c>
      <c r="C733" s="46" t="s">
        <v>666</v>
      </c>
      <c r="D733" s="46">
        <v>1</v>
      </c>
      <c r="E733" s="46">
        <v>0</v>
      </c>
      <c r="F733" s="46" t="s">
        <v>718</v>
      </c>
      <c r="G733" s="46" t="s">
        <v>1305</v>
      </c>
      <c r="H733" s="46" t="s">
        <v>2788</v>
      </c>
      <c r="I733" s="46" t="str">
        <f ca="1">IFERROR(__xludf.DUMMYFUNCTION("CONCAT(A733,REGEXREPLACE(H733,"".*_L0"",""_L0""))"),"ILB_BN1424_MTG_snRNAseq_rep1_L003_R2_001.fastq.gz")</f>
        <v>ILB_BN1424_MTG_snRNAseq_rep1_L003_R2_001.fastq.gz</v>
      </c>
      <c r="J733" s="46" t="str">
        <f t="shared" si="2"/>
        <v>/data/neurogen/ASAP/scRNAseq/data/batch13_ASAP_snRNA-seq_*/Raw_Data_and_Processing/cellranger_processing/cellranger_fastqs/outs/fastq_path/H*/BN1424_S2_L003_R2_001.fastq.gz</v>
      </c>
      <c r="K733" s="46" t="s">
        <v>1344</v>
      </c>
      <c r="L733" s="46" t="s">
        <v>2789</v>
      </c>
      <c r="M733" s="46" t="s">
        <v>1309</v>
      </c>
      <c r="N733" s="46" t="s">
        <v>1310</v>
      </c>
      <c r="O733" s="46" t="s">
        <v>1311</v>
      </c>
      <c r="P733" s="46" t="s">
        <v>1312</v>
      </c>
      <c r="Q733" s="46" t="s">
        <v>31</v>
      </c>
      <c r="R733" s="46" t="s">
        <v>31</v>
      </c>
      <c r="S733" s="46" t="s">
        <v>31</v>
      </c>
      <c r="T733" s="46" t="s">
        <v>31</v>
      </c>
      <c r="U733" s="46" t="s">
        <v>49</v>
      </c>
    </row>
    <row r="734" spans="1:21">
      <c r="A734" s="46" t="s">
        <v>738</v>
      </c>
      <c r="B734" s="46" t="s">
        <v>143</v>
      </c>
      <c r="C734" s="46" t="s">
        <v>666</v>
      </c>
      <c r="D734" s="46">
        <v>1</v>
      </c>
      <c r="E734" s="46">
        <v>0</v>
      </c>
      <c r="F734" s="46" t="s">
        <v>718</v>
      </c>
      <c r="G734" s="46" t="s">
        <v>1305</v>
      </c>
      <c r="H734" s="46" t="s">
        <v>2790</v>
      </c>
      <c r="I734" s="46" t="str">
        <f ca="1">IFERROR(__xludf.DUMMYFUNCTION("CONCAT(A734,REGEXREPLACE(H734,"".*_L0"",""_L0""))"),"ILB_BN1424_MTG_snRNAseq_rep1_L004_I1_001.fastq.gz")</f>
        <v>ILB_BN1424_MTG_snRNAseq_rep1_L004_I1_001.fastq.gz</v>
      </c>
      <c r="J734" s="46" t="str">
        <f t="shared" si="2"/>
        <v>/data/neurogen/ASAP/scRNAseq/data/batch13_ASAP_snRNA-seq_*/Raw_Data_and_Processing/cellranger_processing/cellranger_fastqs/outs/fastq_path/H*/BN1424_S2_L004_I1_001.fastq.gz</v>
      </c>
      <c r="K734" s="46" t="s">
        <v>1347</v>
      </c>
      <c r="L734" s="46" t="s">
        <v>2791</v>
      </c>
      <c r="M734" s="46" t="s">
        <v>1309</v>
      </c>
      <c r="N734" s="46" t="s">
        <v>1310</v>
      </c>
      <c r="O734" s="46" t="s">
        <v>1311</v>
      </c>
      <c r="P734" s="46" t="s">
        <v>1312</v>
      </c>
      <c r="Q734" s="46" t="s">
        <v>31</v>
      </c>
      <c r="R734" s="46" t="s">
        <v>31</v>
      </c>
      <c r="S734" s="46" t="s">
        <v>31</v>
      </c>
      <c r="T734" s="46" t="s">
        <v>31</v>
      </c>
      <c r="U734" s="46" t="s">
        <v>49</v>
      </c>
    </row>
    <row r="735" spans="1:21">
      <c r="A735" s="46" t="s">
        <v>738</v>
      </c>
      <c r="B735" s="46" t="s">
        <v>143</v>
      </c>
      <c r="C735" s="46" t="s">
        <v>666</v>
      </c>
      <c r="D735" s="46">
        <v>1</v>
      </c>
      <c r="E735" s="46">
        <v>0</v>
      </c>
      <c r="F735" s="46" t="s">
        <v>718</v>
      </c>
      <c r="G735" s="46" t="s">
        <v>1305</v>
      </c>
      <c r="H735" s="46" t="s">
        <v>2792</v>
      </c>
      <c r="I735" s="46" t="str">
        <f ca="1">IFERROR(__xludf.DUMMYFUNCTION("CONCAT(A735,REGEXREPLACE(H735,"".*_L0"",""_L0""))"),"ILB_BN1424_MTG_snRNAseq_rep1_L004_I2_001.fastq.gz")</f>
        <v>ILB_BN1424_MTG_snRNAseq_rep1_L004_I2_001.fastq.gz</v>
      </c>
      <c r="J735" s="46" t="str">
        <f t="shared" si="2"/>
        <v>/data/neurogen/ASAP/scRNAseq/data/batch13_ASAP_snRNA-seq_*/Raw_Data_and_Processing/cellranger_processing/cellranger_fastqs/outs/fastq_path/H*/BN1424_S2_L004_I2_001.fastq.gz</v>
      </c>
      <c r="K735" s="46" t="s">
        <v>1350</v>
      </c>
      <c r="L735" s="46" t="s">
        <v>2793</v>
      </c>
      <c r="M735" s="46" t="s">
        <v>1309</v>
      </c>
      <c r="N735" s="46" t="s">
        <v>1310</v>
      </c>
      <c r="O735" s="46" t="s">
        <v>1311</v>
      </c>
      <c r="P735" s="46" t="s">
        <v>1312</v>
      </c>
      <c r="Q735" s="46" t="s">
        <v>31</v>
      </c>
      <c r="R735" s="46" t="s">
        <v>31</v>
      </c>
      <c r="S735" s="46" t="s">
        <v>31</v>
      </c>
      <c r="T735" s="46" t="s">
        <v>31</v>
      </c>
      <c r="U735" s="46" t="s">
        <v>49</v>
      </c>
    </row>
    <row r="736" spans="1:21">
      <c r="A736" s="46" t="s">
        <v>738</v>
      </c>
      <c r="B736" s="46" t="s">
        <v>143</v>
      </c>
      <c r="C736" s="46" t="s">
        <v>666</v>
      </c>
      <c r="D736" s="46">
        <v>1</v>
      </c>
      <c r="E736" s="46">
        <v>0</v>
      </c>
      <c r="F736" s="46" t="s">
        <v>718</v>
      </c>
      <c r="G736" s="46" t="s">
        <v>1305</v>
      </c>
      <c r="H736" s="46" t="s">
        <v>2794</v>
      </c>
      <c r="I736" s="46" t="str">
        <f ca="1">IFERROR(__xludf.DUMMYFUNCTION("CONCAT(A736,REGEXREPLACE(H736,"".*_L0"",""_L0""))"),"ILB_BN1424_MTG_snRNAseq_rep1_L004_R1_001.fastq.gz")</f>
        <v>ILB_BN1424_MTG_snRNAseq_rep1_L004_R1_001.fastq.gz</v>
      </c>
      <c r="J736" s="46" t="str">
        <f t="shared" si="2"/>
        <v>/data/neurogen/ASAP/scRNAseq/data/batch13_ASAP_snRNA-seq_*/Raw_Data_and_Processing/cellranger_processing/cellranger_fastqs/outs/fastq_path/H*/BN1424_S2_L004_R1_001.fastq.gz</v>
      </c>
      <c r="K736" s="46" t="s">
        <v>1353</v>
      </c>
      <c r="L736" s="46" t="s">
        <v>2795</v>
      </c>
      <c r="M736" s="46" t="s">
        <v>1309</v>
      </c>
      <c r="N736" s="46" t="s">
        <v>1310</v>
      </c>
      <c r="O736" s="46" t="s">
        <v>1311</v>
      </c>
      <c r="P736" s="46" t="s">
        <v>1312</v>
      </c>
      <c r="Q736" s="46" t="s">
        <v>31</v>
      </c>
      <c r="R736" s="46" t="s">
        <v>31</v>
      </c>
      <c r="S736" s="46" t="s">
        <v>31</v>
      </c>
      <c r="T736" s="46" t="s">
        <v>31</v>
      </c>
      <c r="U736" s="46" t="s">
        <v>49</v>
      </c>
    </row>
    <row r="737" spans="1:21">
      <c r="A737" s="46" t="s">
        <v>738</v>
      </c>
      <c r="B737" s="46" t="s">
        <v>143</v>
      </c>
      <c r="C737" s="46" t="s">
        <v>666</v>
      </c>
      <c r="D737" s="46">
        <v>1</v>
      </c>
      <c r="E737" s="46">
        <v>0</v>
      </c>
      <c r="F737" s="46" t="s">
        <v>718</v>
      </c>
      <c r="G737" s="46" t="s">
        <v>1305</v>
      </c>
      <c r="H737" s="46" t="s">
        <v>2796</v>
      </c>
      <c r="I737" s="46" t="str">
        <f ca="1">IFERROR(__xludf.DUMMYFUNCTION("CONCAT(A737,REGEXREPLACE(H737,"".*_L0"",""_L0""))"),"ILB_BN1424_MTG_snRNAseq_rep1_L004_R2_001.fastq.gz")</f>
        <v>ILB_BN1424_MTG_snRNAseq_rep1_L004_R2_001.fastq.gz</v>
      </c>
      <c r="J737" s="46" t="str">
        <f t="shared" si="2"/>
        <v>/data/neurogen/ASAP/scRNAseq/data/batch13_ASAP_snRNA-seq_*/Raw_Data_and_Processing/cellranger_processing/cellranger_fastqs/outs/fastq_path/H*/BN1424_S2_L004_R2_001.fastq.gz</v>
      </c>
      <c r="K737" s="46" t="s">
        <v>1356</v>
      </c>
      <c r="L737" s="46" t="s">
        <v>2797</v>
      </c>
      <c r="M737" s="46" t="s">
        <v>1309</v>
      </c>
      <c r="N737" s="46" t="s">
        <v>1310</v>
      </c>
      <c r="O737" s="46" t="s">
        <v>1311</v>
      </c>
      <c r="P737" s="46" t="s">
        <v>1312</v>
      </c>
      <c r="Q737" s="46" t="s">
        <v>31</v>
      </c>
      <c r="R737" s="46" t="s">
        <v>31</v>
      </c>
      <c r="S737" s="46" t="s">
        <v>31</v>
      </c>
      <c r="T737" s="46" t="s">
        <v>31</v>
      </c>
      <c r="U737" s="46" t="s">
        <v>49</v>
      </c>
    </row>
    <row r="738" spans="1:21">
      <c r="A738" s="46" t="s">
        <v>747</v>
      </c>
      <c r="B738" s="46" t="s">
        <v>157</v>
      </c>
      <c r="C738" s="46" t="s">
        <v>666</v>
      </c>
      <c r="D738" s="46">
        <v>1</v>
      </c>
      <c r="E738" s="46">
        <v>0</v>
      </c>
      <c r="F738" s="46" t="s">
        <v>718</v>
      </c>
      <c r="G738" s="46" t="s">
        <v>1305</v>
      </c>
      <c r="H738" s="46" t="s">
        <v>2798</v>
      </c>
      <c r="I738" s="46" t="str">
        <f ca="1">IFERROR(__xludf.DUMMYFUNCTION("CONCAT(A738,REGEXREPLACE(H738,"".*_L0"",""_L0""))"),"PD_BN1554_MTG_snRNAseq_rep1_L001_I1_001.fastq.gz")</f>
        <v>PD_BN1554_MTG_snRNAseq_rep1_L001_I1_001.fastq.gz</v>
      </c>
      <c r="J738" s="46" t="str">
        <f t="shared" si="2"/>
        <v>/data/neurogen/ASAP/scRNAseq/data/batch13_ASAP_snRNA-seq_*/Raw_Data_and_Processing/cellranger_processing/cellranger_fastqs/outs/fastq_path/H*/BN1554_S3_L001_I1_001.fastq.gz</v>
      </c>
      <c r="K738" s="46" t="s">
        <v>1307</v>
      </c>
      <c r="L738" s="46" t="s">
        <v>2799</v>
      </c>
      <c r="M738" s="46" t="s">
        <v>1309</v>
      </c>
      <c r="N738" s="46" t="s">
        <v>1310</v>
      </c>
      <c r="O738" s="46" t="s">
        <v>1311</v>
      </c>
      <c r="P738" s="46" t="s">
        <v>1312</v>
      </c>
      <c r="Q738" s="46" t="s">
        <v>31</v>
      </c>
      <c r="R738" s="46" t="s">
        <v>31</v>
      </c>
      <c r="S738" s="46" t="s">
        <v>31</v>
      </c>
      <c r="T738" s="46" t="s">
        <v>31</v>
      </c>
      <c r="U738" s="46" t="s">
        <v>49</v>
      </c>
    </row>
    <row r="739" spans="1:21">
      <c r="A739" s="46" t="s">
        <v>747</v>
      </c>
      <c r="B739" s="46" t="s">
        <v>157</v>
      </c>
      <c r="C739" s="46" t="s">
        <v>666</v>
      </c>
      <c r="D739" s="46">
        <v>1</v>
      </c>
      <c r="E739" s="46">
        <v>0</v>
      </c>
      <c r="F739" s="46" t="s">
        <v>718</v>
      </c>
      <c r="G739" s="46" t="s">
        <v>1305</v>
      </c>
      <c r="H739" s="46" t="s">
        <v>2800</v>
      </c>
      <c r="I739" s="46" t="str">
        <f ca="1">IFERROR(__xludf.DUMMYFUNCTION("CONCAT(A739,REGEXREPLACE(H739,"".*_L0"",""_L0""))"),"PD_BN1554_MTG_snRNAseq_rep1_L001_I2_001.fastq.gz")</f>
        <v>PD_BN1554_MTG_snRNAseq_rep1_L001_I2_001.fastq.gz</v>
      </c>
      <c r="J739" s="46" t="str">
        <f t="shared" si="2"/>
        <v>/data/neurogen/ASAP/scRNAseq/data/batch13_ASAP_snRNA-seq_*/Raw_Data_and_Processing/cellranger_processing/cellranger_fastqs/outs/fastq_path/H*/BN1554_S3_L001_I2_001.fastq.gz</v>
      </c>
      <c r="K739" s="46" t="s">
        <v>1314</v>
      </c>
      <c r="L739" s="46" t="s">
        <v>2801</v>
      </c>
      <c r="M739" s="46" t="s">
        <v>1309</v>
      </c>
      <c r="N739" s="46" t="s">
        <v>1310</v>
      </c>
      <c r="O739" s="46" t="s">
        <v>1311</v>
      </c>
      <c r="P739" s="46" t="s">
        <v>1312</v>
      </c>
      <c r="Q739" s="46" t="s">
        <v>31</v>
      </c>
      <c r="R739" s="46" t="s">
        <v>31</v>
      </c>
      <c r="S739" s="46" t="s">
        <v>31</v>
      </c>
      <c r="T739" s="46" t="s">
        <v>31</v>
      </c>
      <c r="U739" s="46" t="s">
        <v>49</v>
      </c>
    </row>
    <row r="740" spans="1:21">
      <c r="A740" s="46" t="s">
        <v>747</v>
      </c>
      <c r="B740" s="46" t="s">
        <v>157</v>
      </c>
      <c r="C740" s="46" t="s">
        <v>666</v>
      </c>
      <c r="D740" s="46">
        <v>1</v>
      </c>
      <c r="E740" s="46">
        <v>0</v>
      </c>
      <c r="F740" s="46" t="s">
        <v>718</v>
      </c>
      <c r="G740" s="46" t="s">
        <v>1305</v>
      </c>
      <c r="H740" s="46" t="s">
        <v>2802</v>
      </c>
      <c r="I740" s="46" t="str">
        <f ca="1">IFERROR(__xludf.DUMMYFUNCTION("CONCAT(A740,REGEXREPLACE(H740,"".*_L0"",""_L0""))"),"PD_BN1554_MTG_snRNAseq_rep1_L001_R1_001.fastq.gz")</f>
        <v>PD_BN1554_MTG_snRNAseq_rep1_L001_R1_001.fastq.gz</v>
      </c>
      <c r="J740" s="46" t="str">
        <f t="shared" si="2"/>
        <v>/data/neurogen/ASAP/scRNAseq/data/batch13_ASAP_snRNA-seq_*/Raw_Data_and_Processing/cellranger_processing/cellranger_fastqs/outs/fastq_path/H*/BN1554_S3_L001_R1_001.fastq.gz</v>
      </c>
      <c r="K740" s="46" t="s">
        <v>1317</v>
      </c>
      <c r="L740" s="46" t="s">
        <v>2803</v>
      </c>
      <c r="M740" s="46" t="s">
        <v>1309</v>
      </c>
      <c r="N740" s="46" t="s">
        <v>1310</v>
      </c>
      <c r="O740" s="46" t="s">
        <v>1311</v>
      </c>
      <c r="P740" s="46" t="s">
        <v>1312</v>
      </c>
      <c r="Q740" s="46" t="s">
        <v>31</v>
      </c>
      <c r="R740" s="46" t="s">
        <v>31</v>
      </c>
      <c r="S740" s="46" t="s">
        <v>31</v>
      </c>
      <c r="T740" s="46" t="s">
        <v>31</v>
      </c>
      <c r="U740" s="46" t="s">
        <v>49</v>
      </c>
    </row>
    <row r="741" spans="1:21">
      <c r="A741" s="46" t="s">
        <v>747</v>
      </c>
      <c r="B741" s="46" t="s">
        <v>157</v>
      </c>
      <c r="C741" s="46" t="s">
        <v>666</v>
      </c>
      <c r="D741" s="46">
        <v>1</v>
      </c>
      <c r="E741" s="46">
        <v>0</v>
      </c>
      <c r="F741" s="46" t="s">
        <v>718</v>
      </c>
      <c r="G741" s="46" t="s">
        <v>1305</v>
      </c>
      <c r="H741" s="46" t="s">
        <v>2804</v>
      </c>
      <c r="I741" s="46" t="str">
        <f ca="1">IFERROR(__xludf.DUMMYFUNCTION("CONCAT(A741,REGEXREPLACE(H741,"".*_L0"",""_L0""))"),"PD_BN1554_MTG_snRNAseq_rep1_L001_R2_001.fastq.gz")</f>
        <v>PD_BN1554_MTG_snRNAseq_rep1_L001_R2_001.fastq.gz</v>
      </c>
      <c r="J741" s="46" t="str">
        <f t="shared" si="2"/>
        <v>/data/neurogen/ASAP/scRNAseq/data/batch13_ASAP_snRNA-seq_*/Raw_Data_and_Processing/cellranger_processing/cellranger_fastqs/outs/fastq_path/H*/BN1554_S3_L001_R2_001.fastq.gz</v>
      </c>
      <c r="K741" s="46" t="s">
        <v>1320</v>
      </c>
      <c r="L741" s="46" t="s">
        <v>2805</v>
      </c>
      <c r="M741" s="46" t="s">
        <v>1309</v>
      </c>
      <c r="N741" s="46" t="s">
        <v>1310</v>
      </c>
      <c r="O741" s="46" t="s">
        <v>1311</v>
      </c>
      <c r="P741" s="46" t="s">
        <v>1312</v>
      </c>
      <c r="Q741" s="46" t="s">
        <v>31</v>
      </c>
      <c r="R741" s="46" t="s">
        <v>31</v>
      </c>
      <c r="S741" s="46" t="s">
        <v>31</v>
      </c>
      <c r="T741" s="46" t="s">
        <v>31</v>
      </c>
      <c r="U741" s="46" t="s">
        <v>49</v>
      </c>
    </row>
    <row r="742" spans="1:21">
      <c r="A742" s="46" t="s">
        <v>747</v>
      </c>
      <c r="B742" s="46" t="s">
        <v>157</v>
      </c>
      <c r="C742" s="46" t="s">
        <v>666</v>
      </c>
      <c r="D742" s="46">
        <v>1</v>
      </c>
      <c r="E742" s="46">
        <v>0</v>
      </c>
      <c r="F742" s="46" t="s">
        <v>718</v>
      </c>
      <c r="G742" s="46" t="s">
        <v>1305</v>
      </c>
      <c r="H742" s="46" t="s">
        <v>2806</v>
      </c>
      <c r="I742" s="46" t="str">
        <f ca="1">IFERROR(__xludf.DUMMYFUNCTION("CONCAT(A742,REGEXREPLACE(H742,"".*_L0"",""_L0""))"),"PD_BN1554_MTG_snRNAseq_rep1_L002_I1_001.fastq.gz")</f>
        <v>PD_BN1554_MTG_snRNAseq_rep1_L002_I1_001.fastq.gz</v>
      </c>
      <c r="J742" s="46" t="str">
        <f t="shared" si="2"/>
        <v>/data/neurogen/ASAP/scRNAseq/data/batch13_ASAP_snRNA-seq_*/Raw_Data_and_Processing/cellranger_processing/cellranger_fastqs/outs/fastq_path/H*/BN1554_S3_L002_I1_001.fastq.gz</v>
      </c>
      <c r="K742" s="46" t="s">
        <v>1323</v>
      </c>
      <c r="L742" s="46" t="s">
        <v>2807</v>
      </c>
      <c r="M742" s="46" t="s">
        <v>1309</v>
      </c>
      <c r="N742" s="46" t="s">
        <v>1310</v>
      </c>
      <c r="O742" s="46" t="s">
        <v>1311</v>
      </c>
      <c r="P742" s="46" t="s">
        <v>1312</v>
      </c>
      <c r="Q742" s="46" t="s">
        <v>31</v>
      </c>
      <c r="R742" s="46" t="s">
        <v>31</v>
      </c>
      <c r="S742" s="46" t="s">
        <v>31</v>
      </c>
      <c r="T742" s="46" t="s">
        <v>31</v>
      </c>
      <c r="U742" s="46" t="s">
        <v>49</v>
      </c>
    </row>
    <row r="743" spans="1:21">
      <c r="A743" s="46" t="s">
        <v>747</v>
      </c>
      <c r="B743" s="46" t="s">
        <v>157</v>
      </c>
      <c r="C743" s="46" t="s">
        <v>666</v>
      </c>
      <c r="D743" s="46">
        <v>1</v>
      </c>
      <c r="E743" s="46">
        <v>0</v>
      </c>
      <c r="F743" s="46" t="s">
        <v>718</v>
      </c>
      <c r="G743" s="46" t="s">
        <v>1305</v>
      </c>
      <c r="H743" s="46" t="s">
        <v>2808</v>
      </c>
      <c r="I743" s="46" t="str">
        <f ca="1">IFERROR(__xludf.DUMMYFUNCTION("CONCAT(A743,REGEXREPLACE(H743,"".*_L0"",""_L0""))"),"PD_BN1554_MTG_snRNAseq_rep1_L002_I2_001.fastq.gz")</f>
        <v>PD_BN1554_MTG_snRNAseq_rep1_L002_I2_001.fastq.gz</v>
      </c>
      <c r="J743" s="46" t="str">
        <f t="shared" si="2"/>
        <v>/data/neurogen/ASAP/scRNAseq/data/batch13_ASAP_snRNA-seq_*/Raw_Data_and_Processing/cellranger_processing/cellranger_fastqs/outs/fastq_path/H*/BN1554_S3_L002_I2_001.fastq.gz</v>
      </c>
      <c r="K743" s="46" t="s">
        <v>1326</v>
      </c>
      <c r="L743" s="46" t="s">
        <v>2809</v>
      </c>
      <c r="M743" s="46" t="s">
        <v>1309</v>
      </c>
      <c r="N743" s="46" t="s">
        <v>1310</v>
      </c>
      <c r="O743" s="46" t="s">
        <v>1311</v>
      </c>
      <c r="P743" s="46" t="s">
        <v>1312</v>
      </c>
      <c r="Q743" s="46" t="s">
        <v>31</v>
      </c>
      <c r="R743" s="46" t="s">
        <v>31</v>
      </c>
      <c r="S743" s="46" t="s">
        <v>31</v>
      </c>
      <c r="T743" s="46" t="s">
        <v>31</v>
      </c>
      <c r="U743" s="46" t="s">
        <v>49</v>
      </c>
    </row>
    <row r="744" spans="1:21">
      <c r="A744" s="46" t="s">
        <v>747</v>
      </c>
      <c r="B744" s="46" t="s">
        <v>157</v>
      </c>
      <c r="C744" s="46" t="s">
        <v>666</v>
      </c>
      <c r="D744" s="46">
        <v>1</v>
      </c>
      <c r="E744" s="46">
        <v>0</v>
      </c>
      <c r="F744" s="46" t="s">
        <v>718</v>
      </c>
      <c r="G744" s="46" t="s">
        <v>1305</v>
      </c>
      <c r="H744" s="46" t="s">
        <v>2810</v>
      </c>
      <c r="I744" s="46" t="str">
        <f ca="1">IFERROR(__xludf.DUMMYFUNCTION("CONCAT(A744,REGEXREPLACE(H744,"".*_L0"",""_L0""))"),"PD_BN1554_MTG_snRNAseq_rep1_L002_R1_001.fastq.gz")</f>
        <v>PD_BN1554_MTG_snRNAseq_rep1_L002_R1_001.fastq.gz</v>
      </c>
      <c r="J744" s="46" t="str">
        <f t="shared" si="2"/>
        <v>/data/neurogen/ASAP/scRNAseq/data/batch13_ASAP_snRNA-seq_*/Raw_Data_and_Processing/cellranger_processing/cellranger_fastqs/outs/fastq_path/H*/BN1554_S3_L002_R1_001.fastq.gz</v>
      </c>
      <c r="K744" s="46" t="s">
        <v>1329</v>
      </c>
      <c r="L744" s="46" t="s">
        <v>2811</v>
      </c>
      <c r="M744" s="46" t="s">
        <v>1309</v>
      </c>
      <c r="N744" s="46" t="s">
        <v>1310</v>
      </c>
      <c r="O744" s="46" t="s">
        <v>1311</v>
      </c>
      <c r="P744" s="46" t="s">
        <v>1312</v>
      </c>
      <c r="Q744" s="46" t="s">
        <v>31</v>
      </c>
      <c r="R744" s="46" t="s">
        <v>31</v>
      </c>
      <c r="S744" s="46" t="s">
        <v>31</v>
      </c>
      <c r="T744" s="46" t="s">
        <v>31</v>
      </c>
      <c r="U744" s="46" t="s">
        <v>49</v>
      </c>
    </row>
    <row r="745" spans="1:21">
      <c r="A745" s="46" t="s">
        <v>747</v>
      </c>
      <c r="B745" s="46" t="s">
        <v>157</v>
      </c>
      <c r="C745" s="46" t="s">
        <v>666</v>
      </c>
      <c r="D745" s="46">
        <v>1</v>
      </c>
      <c r="E745" s="46">
        <v>0</v>
      </c>
      <c r="F745" s="46" t="s">
        <v>718</v>
      </c>
      <c r="G745" s="46" t="s">
        <v>1305</v>
      </c>
      <c r="H745" s="46" t="s">
        <v>2812</v>
      </c>
      <c r="I745" s="46" t="str">
        <f ca="1">IFERROR(__xludf.DUMMYFUNCTION("CONCAT(A745,REGEXREPLACE(H745,"".*_L0"",""_L0""))"),"PD_BN1554_MTG_snRNAseq_rep1_L002_R2_001.fastq.gz")</f>
        <v>PD_BN1554_MTG_snRNAseq_rep1_L002_R2_001.fastq.gz</v>
      </c>
      <c r="J745" s="46" t="str">
        <f t="shared" si="2"/>
        <v>/data/neurogen/ASAP/scRNAseq/data/batch13_ASAP_snRNA-seq_*/Raw_Data_and_Processing/cellranger_processing/cellranger_fastqs/outs/fastq_path/H*/BN1554_S3_L002_R2_001.fastq.gz</v>
      </c>
      <c r="K745" s="46" t="s">
        <v>1332</v>
      </c>
      <c r="L745" s="46" t="s">
        <v>2813</v>
      </c>
      <c r="M745" s="46" t="s">
        <v>1309</v>
      </c>
      <c r="N745" s="46" t="s">
        <v>1310</v>
      </c>
      <c r="O745" s="46" t="s">
        <v>1311</v>
      </c>
      <c r="P745" s="46" t="s">
        <v>1312</v>
      </c>
      <c r="Q745" s="46" t="s">
        <v>31</v>
      </c>
      <c r="R745" s="46" t="s">
        <v>31</v>
      </c>
      <c r="S745" s="46" t="s">
        <v>31</v>
      </c>
      <c r="T745" s="46" t="s">
        <v>31</v>
      </c>
      <c r="U745" s="46" t="s">
        <v>49</v>
      </c>
    </row>
    <row r="746" spans="1:21">
      <c r="A746" s="46" t="s">
        <v>747</v>
      </c>
      <c r="B746" s="46" t="s">
        <v>157</v>
      </c>
      <c r="C746" s="46" t="s">
        <v>666</v>
      </c>
      <c r="D746" s="46">
        <v>1</v>
      </c>
      <c r="E746" s="46">
        <v>0</v>
      </c>
      <c r="F746" s="46" t="s">
        <v>718</v>
      </c>
      <c r="G746" s="46" t="s">
        <v>1305</v>
      </c>
      <c r="H746" s="46" t="s">
        <v>2814</v>
      </c>
      <c r="I746" s="46" t="str">
        <f ca="1">IFERROR(__xludf.DUMMYFUNCTION("CONCAT(A746,REGEXREPLACE(H746,"".*_L0"",""_L0""))"),"PD_BN1554_MTG_snRNAseq_rep1_L003_I1_001.fastq.gz")</f>
        <v>PD_BN1554_MTG_snRNAseq_rep1_L003_I1_001.fastq.gz</v>
      </c>
      <c r="J746" s="46" t="str">
        <f t="shared" si="2"/>
        <v>/data/neurogen/ASAP/scRNAseq/data/batch13_ASAP_snRNA-seq_*/Raw_Data_and_Processing/cellranger_processing/cellranger_fastqs/outs/fastq_path/H*/BN1554_S3_L003_I1_001.fastq.gz</v>
      </c>
      <c r="K746" s="46" t="s">
        <v>1335</v>
      </c>
      <c r="L746" s="46" t="s">
        <v>2815</v>
      </c>
      <c r="M746" s="46" t="s">
        <v>1309</v>
      </c>
      <c r="N746" s="46" t="s">
        <v>1310</v>
      </c>
      <c r="O746" s="46" t="s">
        <v>1311</v>
      </c>
      <c r="P746" s="46" t="s">
        <v>1312</v>
      </c>
      <c r="Q746" s="46" t="s">
        <v>31</v>
      </c>
      <c r="R746" s="46" t="s">
        <v>31</v>
      </c>
      <c r="S746" s="46" t="s">
        <v>31</v>
      </c>
      <c r="T746" s="46" t="s">
        <v>31</v>
      </c>
      <c r="U746" s="46" t="s">
        <v>49</v>
      </c>
    </row>
    <row r="747" spans="1:21">
      <c r="A747" s="46" t="s">
        <v>747</v>
      </c>
      <c r="B747" s="46" t="s">
        <v>157</v>
      </c>
      <c r="C747" s="46" t="s">
        <v>666</v>
      </c>
      <c r="D747" s="46">
        <v>1</v>
      </c>
      <c r="E747" s="46">
        <v>0</v>
      </c>
      <c r="F747" s="46" t="s">
        <v>718</v>
      </c>
      <c r="G747" s="46" t="s">
        <v>1305</v>
      </c>
      <c r="H747" s="46" t="s">
        <v>2816</v>
      </c>
      <c r="I747" s="46" t="str">
        <f ca="1">IFERROR(__xludf.DUMMYFUNCTION("CONCAT(A747,REGEXREPLACE(H747,"".*_L0"",""_L0""))"),"PD_BN1554_MTG_snRNAseq_rep1_L003_I2_001.fastq.gz")</f>
        <v>PD_BN1554_MTG_snRNAseq_rep1_L003_I2_001.fastq.gz</v>
      </c>
      <c r="J747" s="46" t="str">
        <f t="shared" si="2"/>
        <v>/data/neurogen/ASAP/scRNAseq/data/batch13_ASAP_snRNA-seq_*/Raw_Data_and_Processing/cellranger_processing/cellranger_fastqs/outs/fastq_path/H*/BN1554_S3_L003_I2_001.fastq.gz</v>
      </c>
      <c r="K747" s="46" t="s">
        <v>1338</v>
      </c>
      <c r="L747" s="46" t="s">
        <v>2817</v>
      </c>
      <c r="M747" s="46" t="s">
        <v>1309</v>
      </c>
      <c r="N747" s="46" t="s">
        <v>1310</v>
      </c>
      <c r="O747" s="46" t="s">
        <v>1311</v>
      </c>
      <c r="P747" s="46" t="s">
        <v>1312</v>
      </c>
      <c r="Q747" s="46" t="s">
        <v>31</v>
      </c>
      <c r="R747" s="46" t="s">
        <v>31</v>
      </c>
      <c r="S747" s="46" t="s">
        <v>31</v>
      </c>
      <c r="T747" s="46" t="s">
        <v>31</v>
      </c>
      <c r="U747" s="46" t="s">
        <v>49</v>
      </c>
    </row>
    <row r="748" spans="1:21">
      <c r="A748" s="46" t="s">
        <v>747</v>
      </c>
      <c r="B748" s="46" t="s">
        <v>157</v>
      </c>
      <c r="C748" s="46" t="s">
        <v>666</v>
      </c>
      <c r="D748" s="46">
        <v>1</v>
      </c>
      <c r="E748" s="46">
        <v>0</v>
      </c>
      <c r="F748" s="46" t="s">
        <v>718</v>
      </c>
      <c r="G748" s="46" t="s">
        <v>1305</v>
      </c>
      <c r="H748" s="46" t="s">
        <v>2818</v>
      </c>
      <c r="I748" s="46" t="str">
        <f ca="1">IFERROR(__xludf.DUMMYFUNCTION("CONCAT(A748,REGEXREPLACE(H748,"".*_L0"",""_L0""))"),"PD_BN1554_MTG_snRNAseq_rep1_L003_R1_001.fastq.gz")</f>
        <v>PD_BN1554_MTG_snRNAseq_rep1_L003_R1_001.fastq.gz</v>
      </c>
      <c r="J748" s="46" t="str">
        <f t="shared" si="2"/>
        <v>/data/neurogen/ASAP/scRNAseq/data/batch13_ASAP_snRNA-seq_*/Raw_Data_and_Processing/cellranger_processing/cellranger_fastqs/outs/fastq_path/H*/BN1554_S3_L003_R1_001.fastq.gz</v>
      </c>
      <c r="K748" s="46" t="s">
        <v>1341</v>
      </c>
      <c r="L748" s="46" t="s">
        <v>2819</v>
      </c>
      <c r="M748" s="46" t="s">
        <v>1309</v>
      </c>
      <c r="N748" s="46" t="s">
        <v>1310</v>
      </c>
      <c r="O748" s="46" t="s">
        <v>1311</v>
      </c>
      <c r="P748" s="46" t="s">
        <v>1312</v>
      </c>
      <c r="Q748" s="46" t="s">
        <v>31</v>
      </c>
      <c r="R748" s="46" t="s">
        <v>31</v>
      </c>
      <c r="S748" s="46" t="s">
        <v>31</v>
      </c>
      <c r="T748" s="46" t="s">
        <v>31</v>
      </c>
      <c r="U748" s="46" t="s">
        <v>49</v>
      </c>
    </row>
    <row r="749" spans="1:21">
      <c r="A749" s="46" t="s">
        <v>747</v>
      </c>
      <c r="B749" s="46" t="s">
        <v>157</v>
      </c>
      <c r="C749" s="46" t="s">
        <v>666</v>
      </c>
      <c r="D749" s="46">
        <v>1</v>
      </c>
      <c r="E749" s="46">
        <v>0</v>
      </c>
      <c r="F749" s="46" t="s">
        <v>718</v>
      </c>
      <c r="G749" s="46" t="s">
        <v>1305</v>
      </c>
      <c r="H749" s="46" t="s">
        <v>2820</v>
      </c>
      <c r="I749" s="46" t="str">
        <f ca="1">IFERROR(__xludf.DUMMYFUNCTION("CONCAT(A749,REGEXREPLACE(H749,"".*_L0"",""_L0""))"),"PD_BN1554_MTG_snRNAseq_rep1_L003_R2_001.fastq.gz")</f>
        <v>PD_BN1554_MTG_snRNAseq_rep1_L003_R2_001.fastq.gz</v>
      </c>
      <c r="J749" s="46" t="str">
        <f t="shared" si="2"/>
        <v>/data/neurogen/ASAP/scRNAseq/data/batch13_ASAP_snRNA-seq_*/Raw_Data_and_Processing/cellranger_processing/cellranger_fastqs/outs/fastq_path/H*/BN1554_S3_L003_R2_001.fastq.gz</v>
      </c>
      <c r="K749" s="46" t="s">
        <v>1344</v>
      </c>
      <c r="L749" s="46" t="s">
        <v>2821</v>
      </c>
      <c r="M749" s="46" t="s">
        <v>1309</v>
      </c>
      <c r="N749" s="46" t="s">
        <v>1310</v>
      </c>
      <c r="O749" s="46" t="s">
        <v>1311</v>
      </c>
      <c r="P749" s="46" t="s">
        <v>1312</v>
      </c>
      <c r="Q749" s="46" t="s">
        <v>31</v>
      </c>
      <c r="R749" s="46" t="s">
        <v>31</v>
      </c>
      <c r="S749" s="46" t="s">
        <v>31</v>
      </c>
      <c r="T749" s="46" t="s">
        <v>31</v>
      </c>
      <c r="U749" s="46" t="s">
        <v>49</v>
      </c>
    </row>
    <row r="750" spans="1:21">
      <c r="A750" s="46" t="s">
        <v>747</v>
      </c>
      <c r="B750" s="46" t="s">
        <v>157</v>
      </c>
      <c r="C750" s="46" t="s">
        <v>666</v>
      </c>
      <c r="D750" s="46">
        <v>1</v>
      </c>
      <c r="E750" s="46">
        <v>0</v>
      </c>
      <c r="F750" s="46" t="s">
        <v>718</v>
      </c>
      <c r="G750" s="46" t="s">
        <v>1305</v>
      </c>
      <c r="H750" s="46" t="s">
        <v>2822</v>
      </c>
      <c r="I750" s="46" t="str">
        <f ca="1">IFERROR(__xludf.DUMMYFUNCTION("CONCAT(A750,REGEXREPLACE(H750,"".*_L0"",""_L0""))"),"PD_BN1554_MTG_snRNAseq_rep1_L004_I1_001.fastq.gz")</f>
        <v>PD_BN1554_MTG_snRNAseq_rep1_L004_I1_001.fastq.gz</v>
      </c>
      <c r="J750" s="46" t="str">
        <f t="shared" si="2"/>
        <v>/data/neurogen/ASAP/scRNAseq/data/batch13_ASAP_snRNA-seq_*/Raw_Data_and_Processing/cellranger_processing/cellranger_fastqs/outs/fastq_path/H*/BN1554_S3_L004_I1_001.fastq.gz</v>
      </c>
      <c r="K750" s="46" t="s">
        <v>1347</v>
      </c>
      <c r="L750" s="46" t="s">
        <v>2823</v>
      </c>
      <c r="M750" s="46" t="s">
        <v>1309</v>
      </c>
      <c r="N750" s="46" t="s">
        <v>1310</v>
      </c>
      <c r="O750" s="46" t="s">
        <v>1311</v>
      </c>
      <c r="P750" s="46" t="s">
        <v>1312</v>
      </c>
      <c r="Q750" s="46" t="s">
        <v>31</v>
      </c>
      <c r="R750" s="46" t="s">
        <v>31</v>
      </c>
      <c r="S750" s="46" t="s">
        <v>31</v>
      </c>
      <c r="T750" s="46" t="s">
        <v>31</v>
      </c>
      <c r="U750" s="46" t="s">
        <v>49</v>
      </c>
    </row>
    <row r="751" spans="1:21">
      <c r="A751" s="46" t="s">
        <v>747</v>
      </c>
      <c r="B751" s="46" t="s">
        <v>157</v>
      </c>
      <c r="C751" s="46" t="s">
        <v>666</v>
      </c>
      <c r="D751" s="46">
        <v>1</v>
      </c>
      <c r="E751" s="46">
        <v>0</v>
      </c>
      <c r="F751" s="46" t="s">
        <v>718</v>
      </c>
      <c r="G751" s="46" t="s">
        <v>1305</v>
      </c>
      <c r="H751" s="46" t="s">
        <v>2824</v>
      </c>
      <c r="I751" s="46" t="str">
        <f ca="1">IFERROR(__xludf.DUMMYFUNCTION("CONCAT(A751,REGEXREPLACE(H751,"".*_L0"",""_L0""))"),"PD_BN1554_MTG_snRNAseq_rep1_L004_I2_001.fastq.gz")</f>
        <v>PD_BN1554_MTG_snRNAseq_rep1_L004_I2_001.fastq.gz</v>
      </c>
      <c r="J751" s="46" t="str">
        <f t="shared" si="2"/>
        <v>/data/neurogen/ASAP/scRNAseq/data/batch13_ASAP_snRNA-seq_*/Raw_Data_and_Processing/cellranger_processing/cellranger_fastqs/outs/fastq_path/H*/BN1554_S3_L004_I2_001.fastq.gz</v>
      </c>
      <c r="K751" s="46" t="s">
        <v>1350</v>
      </c>
      <c r="L751" s="46" t="s">
        <v>2825</v>
      </c>
      <c r="M751" s="46" t="s">
        <v>1309</v>
      </c>
      <c r="N751" s="46" t="s">
        <v>1310</v>
      </c>
      <c r="O751" s="46" t="s">
        <v>1311</v>
      </c>
      <c r="P751" s="46" t="s">
        <v>1312</v>
      </c>
      <c r="Q751" s="46" t="s">
        <v>31</v>
      </c>
      <c r="R751" s="46" t="s">
        <v>31</v>
      </c>
      <c r="S751" s="46" t="s">
        <v>31</v>
      </c>
      <c r="T751" s="46" t="s">
        <v>31</v>
      </c>
      <c r="U751" s="46" t="s">
        <v>49</v>
      </c>
    </row>
    <row r="752" spans="1:21">
      <c r="A752" s="46" t="s">
        <v>747</v>
      </c>
      <c r="B752" s="46" t="s">
        <v>157</v>
      </c>
      <c r="C752" s="46" t="s">
        <v>666</v>
      </c>
      <c r="D752" s="46">
        <v>1</v>
      </c>
      <c r="E752" s="46">
        <v>0</v>
      </c>
      <c r="F752" s="46" t="s">
        <v>718</v>
      </c>
      <c r="G752" s="46" t="s">
        <v>1305</v>
      </c>
      <c r="H752" s="46" t="s">
        <v>2826</v>
      </c>
      <c r="I752" s="46" t="str">
        <f ca="1">IFERROR(__xludf.DUMMYFUNCTION("CONCAT(A752,REGEXREPLACE(H752,"".*_L0"",""_L0""))"),"PD_BN1554_MTG_snRNAseq_rep1_L004_R1_001.fastq.gz")</f>
        <v>PD_BN1554_MTG_snRNAseq_rep1_L004_R1_001.fastq.gz</v>
      </c>
      <c r="J752" s="46" t="str">
        <f t="shared" si="2"/>
        <v>/data/neurogen/ASAP/scRNAseq/data/batch13_ASAP_snRNA-seq_*/Raw_Data_and_Processing/cellranger_processing/cellranger_fastqs/outs/fastq_path/H*/BN1554_S3_L004_R1_001.fastq.gz</v>
      </c>
      <c r="K752" s="46" t="s">
        <v>1353</v>
      </c>
      <c r="L752" s="46" t="s">
        <v>2827</v>
      </c>
      <c r="M752" s="46" t="s">
        <v>1309</v>
      </c>
      <c r="N752" s="46" t="s">
        <v>1310</v>
      </c>
      <c r="O752" s="46" t="s">
        <v>1311</v>
      </c>
      <c r="P752" s="46" t="s">
        <v>1312</v>
      </c>
      <c r="Q752" s="46" t="s">
        <v>31</v>
      </c>
      <c r="R752" s="46" t="s">
        <v>31</v>
      </c>
      <c r="S752" s="46" t="s">
        <v>31</v>
      </c>
      <c r="T752" s="46" t="s">
        <v>31</v>
      </c>
      <c r="U752" s="46" t="s">
        <v>49</v>
      </c>
    </row>
    <row r="753" spans="1:21">
      <c r="A753" s="46" t="s">
        <v>747</v>
      </c>
      <c r="B753" s="46" t="s">
        <v>157</v>
      </c>
      <c r="C753" s="46" t="s">
        <v>666</v>
      </c>
      <c r="D753" s="46">
        <v>1</v>
      </c>
      <c r="E753" s="46">
        <v>0</v>
      </c>
      <c r="F753" s="46" t="s">
        <v>718</v>
      </c>
      <c r="G753" s="46" t="s">
        <v>1305</v>
      </c>
      <c r="H753" s="46" t="s">
        <v>2828</v>
      </c>
      <c r="I753" s="46" t="str">
        <f ca="1">IFERROR(__xludf.DUMMYFUNCTION("CONCAT(A753,REGEXREPLACE(H753,"".*_L0"",""_L0""))"),"PD_BN1554_MTG_snRNAseq_rep1_L004_R2_001.fastq.gz")</f>
        <v>PD_BN1554_MTG_snRNAseq_rep1_L004_R2_001.fastq.gz</v>
      </c>
      <c r="J753" s="46" t="str">
        <f t="shared" si="2"/>
        <v>/data/neurogen/ASAP/scRNAseq/data/batch13_ASAP_snRNA-seq_*/Raw_Data_and_Processing/cellranger_processing/cellranger_fastqs/outs/fastq_path/H*/BN1554_S3_L004_R2_001.fastq.gz</v>
      </c>
      <c r="K753" s="46" t="s">
        <v>1356</v>
      </c>
      <c r="L753" s="46" t="s">
        <v>2829</v>
      </c>
      <c r="M753" s="46" t="s">
        <v>1309</v>
      </c>
      <c r="N753" s="46" t="s">
        <v>1310</v>
      </c>
      <c r="O753" s="46" t="s">
        <v>1311</v>
      </c>
      <c r="P753" s="46" t="s">
        <v>1312</v>
      </c>
      <c r="Q753" s="46" t="s">
        <v>31</v>
      </c>
      <c r="R753" s="46" t="s">
        <v>31</v>
      </c>
      <c r="S753" s="46" t="s">
        <v>31</v>
      </c>
      <c r="T753" s="46" t="s">
        <v>31</v>
      </c>
      <c r="U753" s="46" t="s">
        <v>49</v>
      </c>
    </row>
    <row r="754" spans="1:21">
      <c r="A754" s="46" t="s">
        <v>724</v>
      </c>
      <c r="B754" s="46" t="s">
        <v>124</v>
      </c>
      <c r="C754" s="46" t="s">
        <v>666</v>
      </c>
      <c r="D754" s="46">
        <v>1</v>
      </c>
      <c r="E754" s="46">
        <v>0</v>
      </c>
      <c r="F754" s="46" t="s">
        <v>725</v>
      </c>
      <c r="G754" s="46" t="s">
        <v>1305</v>
      </c>
      <c r="H754" s="46" t="s">
        <v>2830</v>
      </c>
      <c r="I754" s="46" t="str">
        <f ca="1">IFERROR(__xludf.DUMMYFUNCTION("CONCAT(A754,REGEXREPLACE(H754,"".*_L0"",""_L0""))"),"HC_BN1221_MTG_snRNAseq_rep1_L001_I1_001.fastq.gz")</f>
        <v>HC_BN1221_MTG_snRNAseq_rep1_L001_I1_001.fastq.gz</v>
      </c>
      <c r="J754" s="46" t="str">
        <f t="shared" si="2"/>
        <v>/data/neurogen/ASAP/scRNAseq/data/batch14_ASAP_snRNA-seq_*/Raw_Data_and_Processing/cellranger_processing/cellranger_fastqs/outs/fastq_path/H*/BN1221_S1_L001_I1_001.fastq.gz</v>
      </c>
      <c r="K754" s="46" t="s">
        <v>1307</v>
      </c>
      <c r="L754" s="46" t="s">
        <v>2831</v>
      </c>
      <c r="M754" s="46" t="s">
        <v>1309</v>
      </c>
      <c r="N754" s="46" t="s">
        <v>1310</v>
      </c>
      <c r="O754" s="46" t="s">
        <v>1311</v>
      </c>
      <c r="P754" s="46" t="s">
        <v>1312</v>
      </c>
      <c r="Q754" s="46" t="s">
        <v>31</v>
      </c>
      <c r="R754" s="46" t="s">
        <v>31</v>
      </c>
      <c r="S754" s="46" t="s">
        <v>31</v>
      </c>
      <c r="T754" s="46" t="s">
        <v>31</v>
      </c>
      <c r="U754" s="46" t="s">
        <v>49</v>
      </c>
    </row>
    <row r="755" spans="1:21">
      <c r="A755" s="46" t="s">
        <v>724</v>
      </c>
      <c r="B755" s="46" t="s">
        <v>124</v>
      </c>
      <c r="C755" s="46" t="s">
        <v>666</v>
      </c>
      <c r="D755" s="46">
        <v>1</v>
      </c>
      <c r="E755" s="46">
        <v>0</v>
      </c>
      <c r="F755" s="46" t="s">
        <v>725</v>
      </c>
      <c r="G755" s="46" t="s">
        <v>1305</v>
      </c>
      <c r="H755" s="46" t="s">
        <v>2832</v>
      </c>
      <c r="I755" s="46" t="str">
        <f ca="1">IFERROR(__xludf.DUMMYFUNCTION("CONCAT(A755,REGEXREPLACE(H755,"".*_L0"",""_L0""))"),"HC_BN1221_MTG_snRNAseq_rep1_L001_I2_001.fastq.gz")</f>
        <v>HC_BN1221_MTG_snRNAseq_rep1_L001_I2_001.fastq.gz</v>
      </c>
      <c r="J755" s="46" t="str">
        <f t="shared" si="2"/>
        <v>/data/neurogen/ASAP/scRNAseq/data/batch14_ASAP_snRNA-seq_*/Raw_Data_and_Processing/cellranger_processing/cellranger_fastqs/outs/fastq_path/H*/BN1221_S1_L001_I2_001.fastq.gz</v>
      </c>
      <c r="K755" s="46" t="s">
        <v>1314</v>
      </c>
      <c r="L755" s="46" t="s">
        <v>2833</v>
      </c>
      <c r="M755" s="46" t="s">
        <v>1309</v>
      </c>
      <c r="N755" s="46" t="s">
        <v>1310</v>
      </c>
      <c r="O755" s="46" t="s">
        <v>1311</v>
      </c>
      <c r="P755" s="46" t="s">
        <v>1312</v>
      </c>
      <c r="Q755" s="46" t="s">
        <v>31</v>
      </c>
      <c r="R755" s="46" t="s">
        <v>31</v>
      </c>
      <c r="S755" s="46" t="s">
        <v>31</v>
      </c>
      <c r="T755" s="46" t="s">
        <v>31</v>
      </c>
      <c r="U755" s="46" t="s">
        <v>49</v>
      </c>
    </row>
    <row r="756" spans="1:21">
      <c r="A756" s="46" t="s">
        <v>724</v>
      </c>
      <c r="B756" s="46" t="s">
        <v>124</v>
      </c>
      <c r="C756" s="46" t="s">
        <v>666</v>
      </c>
      <c r="D756" s="46">
        <v>1</v>
      </c>
      <c r="E756" s="46">
        <v>0</v>
      </c>
      <c r="F756" s="46" t="s">
        <v>725</v>
      </c>
      <c r="G756" s="46" t="s">
        <v>1305</v>
      </c>
      <c r="H756" s="46" t="s">
        <v>2834</v>
      </c>
      <c r="I756" s="46" t="str">
        <f ca="1">IFERROR(__xludf.DUMMYFUNCTION("CONCAT(A756,REGEXREPLACE(H756,"".*_L0"",""_L0""))"),"HC_BN1221_MTG_snRNAseq_rep1_L001_R1_001.fastq.gz")</f>
        <v>HC_BN1221_MTG_snRNAseq_rep1_L001_R1_001.fastq.gz</v>
      </c>
      <c r="J756" s="46" t="str">
        <f t="shared" si="2"/>
        <v>/data/neurogen/ASAP/scRNAseq/data/batch14_ASAP_snRNA-seq_*/Raw_Data_and_Processing/cellranger_processing/cellranger_fastqs/outs/fastq_path/H*/BN1221_S1_L001_R1_001.fastq.gz</v>
      </c>
      <c r="K756" s="46" t="s">
        <v>1317</v>
      </c>
      <c r="L756" s="46" t="s">
        <v>2835</v>
      </c>
      <c r="M756" s="46" t="s">
        <v>1309</v>
      </c>
      <c r="N756" s="46" t="s">
        <v>1310</v>
      </c>
      <c r="O756" s="46" t="s">
        <v>1311</v>
      </c>
      <c r="P756" s="46" t="s">
        <v>1312</v>
      </c>
      <c r="Q756" s="46" t="s">
        <v>31</v>
      </c>
      <c r="R756" s="46" t="s">
        <v>31</v>
      </c>
      <c r="S756" s="46" t="s">
        <v>31</v>
      </c>
      <c r="T756" s="46" t="s">
        <v>31</v>
      </c>
      <c r="U756" s="46" t="s">
        <v>49</v>
      </c>
    </row>
    <row r="757" spans="1:21">
      <c r="A757" s="46" t="s">
        <v>724</v>
      </c>
      <c r="B757" s="46" t="s">
        <v>124</v>
      </c>
      <c r="C757" s="46" t="s">
        <v>666</v>
      </c>
      <c r="D757" s="46">
        <v>1</v>
      </c>
      <c r="E757" s="46">
        <v>0</v>
      </c>
      <c r="F757" s="46" t="s">
        <v>725</v>
      </c>
      <c r="G757" s="46" t="s">
        <v>1305</v>
      </c>
      <c r="H757" s="46" t="s">
        <v>2836</v>
      </c>
      <c r="I757" s="46" t="str">
        <f ca="1">IFERROR(__xludf.DUMMYFUNCTION("CONCAT(A757,REGEXREPLACE(H757,"".*_L0"",""_L0""))"),"HC_BN1221_MTG_snRNAseq_rep1_L001_R2_001.fastq.gz")</f>
        <v>HC_BN1221_MTG_snRNAseq_rep1_L001_R2_001.fastq.gz</v>
      </c>
      <c r="J757" s="46" t="str">
        <f t="shared" si="2"/>
        <v>/data/neurogen/ASAP/scRNAseq/data/batch14_ASAP_snRNA-seq_*/Raw_Data_and_Processing/cellranger_processing/cellranger_fastqs/outs/fastq_path/H*/BN1221_S1_L001_R2_001.fastq.gz</v>
      </c>
      <c r="K757" s="46" t="s">
        <v>1320</v>
      </c>
      <c r="L757" s="46" t="s">
        <v>2837</v>
      </c>
      <c r="M757" s="46" t="s">
        <v>1309</v>
      </c>
      <c r="N757" s="46" t="s">
        <v>1310</v>
      </c>
      <c r="O757" s="46" t="s">
        <v>1311</v>
      </c>
      <c r="P757" s="46" t="s">
        <v>1312</v>
      </c>
      <c r="Q757" s="46" t="s">
        <v>31</v>
      </c>
      <c r="R757" s="46" t="s">
        <v>31</v>
      </c>
      <c r="S757" s="46" t="s">
        <v>31</v>
      </c>
      <c r="T757" s="46" t="s">
        <v>31</v>
      </c>
      <c r="U757" s="46" t="s">
        <v>49</v>
      </c>
    </row>
    <row r="758" spans="1:21">
      <c r="A758" s="46" t="s">
        <v>724</v>
      </c>
      <c r="B758" s="46" t="s">
        <v>124</v>
      </c>
      <c r="C758" s="46" t="s">
        <v>666</v>
      </c>
      <c r="D758" s="46">
        <v>1</v>
      </c>
      <c r="E758" s="46">
        <v>0</v>
      </c>
      <c r="F758" s="46" t="s">
        <v>725</v>
      </c>
      <c r="G758" s="46" t="s">
        <v>1305</v>
      </c>
      <c r="H758" s="46" t="s">
        <v>2838</v>
      </c>
      <c r="I758" s="46" t="str">
        <f ca="1">IFERROR(__xludf.DUMMYFUNCTION("CONCAT(A758,REGEXREPLACE(H758,"".*_L0"",""_L0""))"),"HC_BN1221_MTG_snRNAseq_rep1_L002_I1_001.fastq.gz")</f>
        <v>HC_BN1221_MTG_snRNAseq_rep1_L002_I1_001.fastq.gz</v>
      </c>
      <c r="J758" s="46" t="str">
        <f t="shared" si="2"/>
        <v>/data/neurogen/ASAP/scRNAseq/data/batch14_ASAP_snRNA-seq_*/Raw_Data_and_Processing/cellranger_processing/cellranger_fastqs/outs/fastq_path/H*/BN1221_S1_L002_I1_001.fastq.gz</v>
      </c>
      <c r="K758" s="46" t="s">
        <v>1323</v>
      </c>
      <c r="L758" s="46" t="s">
        <v>2839</v>
      </c>
      <c r="M758" s="46" t="s">
        <v>1309</v>
      </c>
      <c r="N758" s="46" t="s">
        <v>1310</v>
      </c>
      <c r="O758" s="46" t="s">
        <v>1311</v>
      </c>
      <c r="P758" s="46" t="s">
        <v>1312</v>
      </c>
      <c r="Q758" s="46" t="s">
        <v>31</v>
      </c>
      <c r="R758" s="46" t="s">
        <v>31</v>
      </c>
      <c r="S758" s="46" t="s">
        <v>31</v>
      </c>
      <c r="T758" s="46" t="s">
        <v>31</v>
      </c>
      <c r="U758" s="46" t="s">
        <v>49</v>
      </c>
    </row>
    <row r="759" spans="1:21">
      <c r="A759" s="46" t="s">
        <v>724</v>
      </c>
      <c r="B759" s="46" t="s">
        <v>124</v>
      </c>
      <c r="C759" s="46" t="s">
        <v>666</v>
      </c>
      <c r="D759" s="46">
        <v>1</v>
      </c>
      <c r="E759" s="46">
        <v>0</v>
      </c>
      <c r="F759" s="46" t="s">
        <v>725</v>
      </c>
      <c r="G759" s="46" t="s">
        <v>1305</v>
      </c>
      <c r="H759" s="46" t="s">
        <v>2840</v>
      </c>
      <c r="I759" s="46" t="str">
        <f ca="1">IFERROR(__xludf.DUMMYFUNCTION("CONCAT(A759,REGEXREPLACE(H759,"".*_L0"",""_L0""))"),"HC_BN1221_MTG_snRNAseq_rep1_L002_I2_001.fastq.gz")</f>
        <v>HC_BN1221_MTG_snRNAseq_rep1_L002_I2_001.fastq.gz</v>
      </c>
      <c r="J759" s="46" t="str">
        <f t="shared" si="2"/>
        <v>/data/neurogen/ASAP/scRNAseq/data/batch14_ASAP_snRNA-seq_*/Raw_Data_and_Processing/cellranger_processing/cellranger_fastqs/outs/fastq_path/H*/BN1221_S1_L002_I2_001.fastq.gz</v>
      </c>
      <c r="K759" s="46" t="s">
        <v>1326</v>
      </c>
      <c r="L759" s="46" t="s">
        <v>2841</v>
      </c>
      <c r="M759" s="46" t="s">
        <v>1309</v>
      </c>
      <c r="N759" s="46" t="s">
        <v>1310</v>
      </c>
      <c r="O759" s="46" t="s">
        <v>1311</v>
      </c>
      <c r="P759" s="46" t="s">
        <v>1312</v>
      </c>
      <c r="Q759" s="46" t="s">
        <v>31</v>
      </c>
      <c r="R759" s="46" t="s">
        <v>31</v>
      </c>
      <c r="S759" s="46" t="s">
        <v>31</v>
      </c>
      <c r="T759" s="46" t="s">
        <v>31</v>
      </c>
      <c r="U759" s="46" t="s">
        <v>49</v>
      </c>
    </row>
    <row r="760" spans="1:21">
      <c r="A760" s="46" t="s">
        <v>724</v>
      </c>
      <c r="B760" s="46" t="s">
        <v>124</v>
      </c>
      <c r="C760" s="46" t="s">
        <v>666</v>
      </c>
      <c r="D760" s="46">
        <v>1</v>
      </c>
      <c r="E760" s="46">
        <v>0</v>
      </c>
      <c r="F760" s="46" t="s">
        <v>725</v>
      </c>
      <c r="G760" s="46" t="s">
        <v>1305</v>
      </c>
      <c r="H760" s="46" t="s">
        <v>2842</v>
      </c>
      <c r="I760" s="46" t="str">
        <f ca="1">IFERROR(__xludf.DUMMYFUNCTION("CONCAT(A760,REGEXREPLACE(H760,"".*_L0"",""_L0""))"),"HC_BN1221_MTG_snRNAseq_rep1_L002_R1_001.fastq.gz")</f>
        <v>HC_BN1221_MTG_snRNAseq_rep1_L002_R1_001.fastq.gz</v>
      </c>
      <c r="J760" s="46" t="str">
        <f t="shared" si="2"/>
        <v>/data/neurogen/ASAP/scRNAseq/data/batch14_ASAP_snRNA-seq_*/Raw_Data_and_Processing/cellranger_processing/cellranger_fastqs/outs/fastq_path/H*/BN1221_S1_L002_R1_001.fastq.gz</v>
      </c>
      <c r="K760" s="46" t="s">
        <v>1329</v>
      </c>
      <c r="L760" s="46" t="s">
        <v>2843</v>
      </c>
      <c r="M760" s="46" t="s">
        <v>1309</v>
      </c>
      <c r="N760" s="46" t="s">
        <v>1310</v>
      </c>
      <c r="O760" s="46" t="s">
        <v>1311</v>
      </c>
      <c r="P760" s="46" t="s">
        <v>1312</v>
      </c>
      <c r="Q760" s="46" t="s">
        <v>31</v>
      </c>
      <c r="R760" s="46" t="s">
        <v>31</v>
      </c>
      <c r="S760" s="46" t="s">
        <v>31</v>
      </c>
      <c r="T760" s="46" t="s">
        <v>31</v>
      </c>
      <c r="U760" s="46" t="s">
        <v>49</v>
      </c>
    </row>
    <row r="761" spans="1:21">
      <c r="A761" s="46" t="s">
        <v>724</v>
      </c>
      <c r="B761" s="46" t="s">
        <v>124</v>
      </c>
      <c r="C761" s="46" t="s">
        <v>666</v>
      </c>
      <c r="D761" s="46">
        <v>1</v>
      </c>
      <c r="E761" s="46">
        <v>0</v>
      </c>
      <c r="F761" s="46" t="s">
        <v>725</v>
      </c>
      <c r="G761" s="46" t="s">
        <v>1305</v>
      </c>
      <c r="H761" s="46" t="s">
        <v>2844</v>
      </c>
      <c r="I761" s="46" t="str">
        <f ca="1">IFERROR(__xludf.DUMMYFUNCTION("CONCAT(A761,REGEXREPLACE(H761,"".*_L0"",""_L0""))"),"HC_BN1221_MTG_snRNAseq_rep1_L002_R2_001.fastq.gz")</f>
        <v>HC_BN1221_MTG_snRNAseq_rep1_L002_R2_001.fastq.gz</v>
      </c>
      <c r="J761" s="46" t="str">
        <f t="shared" si="2"/>
        <v>/data/neurogen/ASAP/scRNAseq/data/batch14_ASAP_snRNA-seq_*/Raw_Data_and_Processing/cellranger_processing/cellranger_fastqs/outs/fastq_path/H*/BN1221_S1_L002_R2_001.fastq.gz</v>
      </c>
      <c r="K761" s="46" t="s">
        <v>1332</v>
      </c>
      <c r="L761" s="46" t="s">
        <v>2845</v>
      </c>
      <c r="M761" s="46" t="s">
        <v>1309</v>
      </c>
      <c r="N761" s="46" t="s">
        <v>1310</v>
      </c>
      <c r="O761" s="46" t="s">
        <v>1311</v>
      </c>
      <c r="P761" s="46" t="s">
        <v>1312</v>
      </c>
      <c r="Q761" s="46" t="s">
        <v>31</v>
      </c>
      <c r="R761" s="46" t="s">
        <v>31</v>
      </c>
      <c r="S761" s="46" t="s">
        <v>31</v>
      </c>
      <c r="T761" s="46" t="s">
        <v>31</v>
      </c>
      <c r="U761" s="46" t="s">
        <v>49</v>
      </c>
    </row>
    <row r="762" spans="1:21">
      <c r="A762" s="46" t="s">
        <v>724</v>
      </c>
      <c r="B762" s="46" t="s">
        <v>124</v>
      </c>
      <c r="C762" s="46" t="s">
        <v>666</v>
      </c>
      <c r="D762" s="46">
        <v>1</v>
      </c>
      <c r="E762" s="46">
        <v>0</v>
      </c>
      <c r="F762" s="46" t="s">
        <v>725</v>
      </c>
      <c r="G762" s="46" t="s">
        <v>1305</v>
      </c>
      <c r="H762" s="46" t="s">
        <v>2846</v>
      </c>
      <c r="I762" s="46" t="str">
        <f ca="1">IFERROR(__xludf.DUMMYFUNCTION("CONCAT(A762,REGEXREPLACE(H762,"".*_L0"",""_L0""))"),"HC_BN1221_MTG_snRNAseq_rep1_L003_I1_001.fastq.gz")</f>
        <v>HC_BN1221_MTG_snRNAseq_rep1_L003_I1_001.fastq.gz</v>
      </c>
      <c r="J762" s="46" t="str">
        <f t="shared" si="2"/>
        <v>/data/neurogen/ASAP/scRNAseq/data/batch14_ASAP_snRNA-seq_*/Raw_Data_and_Processing/cellranger_processing/cellranger_fastqs/outs/fastq_path/H*/BN1221_S1_L003_I1_001.fastq.gz</v>
      </c>
      <c r="K762" s="46" t="s">
        <v>1335</v>
      </c>
      <c r="L762" s="46" t="s">
        <v>2847</v>
      </c>
      <c r="M762" s="46" t="s">
        <v>1309</v>
      </c>
      <c r="N762" s="46" t="s">
        <v>1310</v>
      </c>
      <c r="O762" s="46" t="s">
        <v>1311</v>
      </c>
      <c r="P762" s="46" t="s">
        <v>1312</v>
      </c>
      <c r="Q762" s="46" t="s">
        <v>31</v>
      </c>
      <c r="R762" s="46" t="s">
        <v>31</v>
      </c>
      <c r="S762" s="46" t="s">
        <v>31</v>
      </c>
      <c r="T762" s="46" t="s">
        <v>31</v>
      </c>
      <c r="U762" s="46" t="s">
        <v>49</v>
      </c>
    </row>
    <row r="763" spans="1:21">
      <c r="A763" s="46" t="s">
        <v>724</v>
      </c>
      <c r="B763" s="46" t="s">
        <v>124</v>
      </c>
      <c r="C763" s="46" t="s">
        <v>666</v>
      </c>
      <c r="D763" s="46">
        <v>1</v>
      </c>
      <c r="E763" s="46">
        <v>0</v>
      </c>
      <c r="F763" s="46" t="s">
        <v>725</v>
      </c>
      <c r="G763" s="46" t="s">
        <v>1305</v>
      </c>
      <c r="H763" s="46" t="s">
        <v>2848</v>
      </c>
      <c r="I763" s="46" t="str">
        <f ca="1">IFERROR(__xludf.DUMMYFUNCTION("CONCAT(A763,REGEXREPLACE(H763,"".*_L0"",""_L0""))"),"HC_BN1221_MTG_snRNAseq_rep1_L003_I2_001.fastq.gz")</f>
        <v>HC_BN1221_MTG_snRNAseq_rep1_L003_I2_001.fastq.gz</v>
      </c>
      <c r="J763" s="46" t="str">
        <f t="shared" si="2"/>
        <v>/data/neurogen/ASAP/scRNAseq/data/batch14_ASAP_snRNA-seq_*/Raw_Data_and_Processing/cellranger_processing/cellranger_fastqs/outs/fastq_path/H*/BN1221_S1_L003_I2_001.fastq.gz</v>
      </c>
      <c r="K763" s="46" t="s">
        <v>1338</v>
      </c>
      <c r="L763" s="46" t="s">
        <v>2849</v>
      </c>
      <c r="M763" s="46" t="s">
        <v>1309</v>
      </c>
      <c r="N763" s="46" t="s">
        <v>1310</v>
      </c>
      <c r="O763" s="46" t="s">
        <v>1311</v>
      </c>
      <c r="P763" s="46" t="s">
        <v>1312</v>
      </c>
      <c r="Q763" s="46" t="s">
        <v>31</v>
      </c>
      <c r="R763" s="46" t="s">
        <v>31</v>
      </c>
      <c r="S763" s="46" t="s">
        <v>31</v>
      </c>
      <c r="T763" s="46" t="s">
        <v>31</v>
      </c>
      <c r="U763" s="46" t="s">
        <v>49</v>
      </c>
    </row>
    <row r="764" spans="1:21">
      <c r="A764" s="46" t="s">
        <v>724</v>
      </c>
      <c r="B764" s="46" t="s">
        <v>124</v>
      </c>
      <c r="C764" s="46" t="s">
        <v>666</v>
      </c>
      <c r="D764" s="46">
        <v>1</v>
      </c>
      <c r="E764" s="46">
        <v>0</v>
      </c>
      <c r="F764" s="46" t="s">
        <v>725</v>
      </c>
      <c r="G764" s="46" t="s">
        <v>1305</v>
      </c>
      <c r="H764" s="46" t="s">
        <v>2850</v>
      </c>
      <c r="I764" s="46" t="str">
        <f ca="1">IFERROR(__xludf.DUMMYFUNCTION("CONCAT(A764,REGEXREPLACE(H764,"".*_L0"",""_L0""))"),"HC_BN1221_MTG_snRNAseq_rep1_L003_R1_001.fastq.gz")</f>
        <v>HC_BN1221_MTG_snRNAseq_rep1_L003_R1_001.fastq.gz</v>
      </c>
      <c r="J764" s="46" t="str">
        <f t="shared" si="2"/>
        <v>/data/neurogen/ASAP/scRNAseq/data/batch14_ASAP_snRNA-seq_*/Raw_Data_and_Processing/cellranger_processing/cellranger_fastqs/outs/fastq_path/H*/BN1221_S1_L003_R1_001.fastq.gz</v>
      </c>
      <c r="K764" s="46" t="s">
        <v>1341</v>
      </c>
      <c r="L764" s="46" t="s">
        <v>2851</v>
      </c>
      <c r="M764" s="46" t="s">
        <v>1309</v>
      </c>
      <c r="N764" s="46" t="s">
        <v>1310</v>
      </c>
      <c r="O764" s="46" t="s">
        <v>1311</v>
      </c>
      <c r="P764" s="46" t="s">
        <v>1312</v>
      </c>
      <c r="Q764" s="46" t="s">
        <v>31</v>
      </c>
      <c r="R764" s="46" t="s">
        <v>31</v>
      </c>
      <c r="S764" s="46" t="s">
        <v>31</v>
      </c>
      <c r="T764" s="46" t="s">
        <v>31</v>
      </c>
      <c r="U764" s="46" t="s">
        <v>49</v>
      </c>
    </row>
    <row r="765" spans="1:21">
      <c r="A765" s="46" t="s">
        <v>724</v>
      </c>
      <c r="B765" s="46" t="s">
        <v>124</v>
      </c>
      <c r="C765" s="46" t="s">
        <v>666</v>
      </c>
      <c r="D765" s="46">
        <v>1</v>
      </c>
      <c r="E765" s="46">
        <v>0</v>
      </c>
      <c r="F765" s="46" t="s">
        <v>725</v>
      </c>
      <c r="G765" s="46" t="s">
        <v>1305</v>
      </c>
      <c r="H765" s="46" t="s">
        <v>2852</v>
      </c>
      <c r="I765" s="46" t="str">
        <f ca="1">IFERROR(__xludf.DUMMYFUNCTION("CONCAT(A765,REGEXREPLACE(H765,"".*_L0"",""_L0""))"),"HC_BN1221_MTG_snRNAseq_rep1_L003_R2_001.fastq.gz")</f>
        <v>HC_BN1221_MTG_snRNAseq_rep1_L003_R2_001.fastq.gz</v>
      </c>
      <c r="J765" s="46" t="str">
        <f t="shared" si="2"/>
        <v>/data/neurogen/ASAP/scRNAseq/data/batch14_ASAP_snRNA-seq_*/Raw_Data_and_Processing/cellranger_processing/cellranger_fastqs/outs/fastq_path/H*/BN1221_S1_L003_R2_001.fastq.gz</v>
      </c>
      <c r="K765" s="46" t="s">
        <v>1344</v>
      </c>
      <c r="L765" s="46" t="s">
        <v>2853</v>
      </c>
      <c r="M765" s="46" t="s">
        <v>1309</v>
      </c>
      <c r="N765" s="46" t="s">
        <v>1310</v>
      </c>
      <c r="O765" s="46" t="s">
        <v>1311</v>
      </c>
      <c r="P765" s="46" t="s">
        <v>1312</v>
      </c>
      <c r="Q765" s="46" t="s">
        <v>31</v>
      </c>
      <c r="R765" s="46" t="s">
        <v>31</v>
      </c>
      <c r="S765" s="46" t="s">
        <v>31</v>
      </c>
      <c r="T765" s="46" t="s">
        <v>31</v>
      </c>
      <c r="U765" s="46" t="s">
        <v>49</v>
      </c>
    </row>
    <row r="766" spans="1:21">
      <c r="A766" s="46" t="s">
        <v>724</v>
      </c>
      <c r="B766" s="46" t="s">
        <v>124</v>
      </c>
      <c r="C766" s="46" t="s">
        <v>666</v>
      </c>
      <c r="D766" s="46">
        <v>1</v>
      </c>
      <c r="E766" s="46">
        <v>0</v>
      </c>
      <c r="F766" s="46" t="s">
        <v>725</v>
      </c>
      <c r="G766" s="46" t="s">
        <v>1305</v>
      </c>
      <c r="H766" s="46" t="s">
        <v>2854</v>
      </c>
      <c r="I766" s="46" t="str">
        <f ca="1">IFERROR(__xludf.DUMMYFUNCTION("CONCAT(A766,REGEXREPLACE(H766,"".*_L0"",""_L0""))"),"HC_BN1221_MTG_snRNAseq_rep1_L004_I1_001.fastq.gz")</f>
        <v>HC_BN1221_MTG_snRNAseq_rep1_L004_I1_001.fastq.gz</v>
      </c>
      <c r="J766" s="46" t="str">
        <f t="shared" si="2"/>
        <v>/data/neurogen/ASAP/scRNAseq/data/batch14_ASAP_snRNA-seq_*/Raw_Data_and_Processing/cellranger_processing/cellranger_fastqs/outs/fastq_path/H*/BN1221_S1_L004_I1_001.fastq.gz</v>
      </c>
      <c r="K766" s="46" t="s">
        <v>1347</v>
      </c>
      <c r="L766" s="46" t="s">
        <v>2855</v>
      </c>
      <c r="M766" s="46" t="s">
        <v>1309</v>
      </c>
      <c r="N766" s="46" t="s">
        <v>1310</v>
      </c>
      <c r="O766" s="46" t="s">
        <v>1311</v>
      </c>
      <c r="P766" s="46" t="s">
        <v>1312</v>
      </c>
      <c r="Q766" s="46" t="s">
        <v>31</v>
      </c>
      <c r="R766" s="46" t="s">
        <v>31</v>
      </c>
      <c r="S766" s="46" t="s">
        <v>31</v>
      </c>
      <c r="T766" s="46" t="s">
        <v>31</v>
      </c>
      <c r="U766" s="46" t="s">
        <v>49</v>
      </c>
    </row>
    <row r="767" spans="1:21">
      <c r="A767" s="46" t="s">
        <v>724</v>
      </c>
      <c r="B767" s="46" t="s">
        <v>124</v>
      </c>
      <c r="C767" s="46" t="s">
        <v>666</v>
      </c>
      <c r="D767" s="46">
        <v>1</v>
      </c>
      <c r="E767" s="46">
        <v>0</v>
      </c>
      <c r="F767" s="46" t="s">
        <v>725</v>
      </c>
      <c r="G767" s="46" t="s">
        <v>1305</v>
      </c>
      <c r="H767" s="46" t="s">
        <v>2856</v>
      </c>
      <c r="I767" s="46" t="str">
        <f ca="1">IFERROR(__xludf.DUMMYFUNCTION("CONCAT(A767,REGEXREPLACE(H767,"".*_L0"",""_L0""))"),"HC_BN1221_MTG_snRNAseq_rep1_L004_I2_001.fastq.gz")</f>
        <v>HC_BN1221_MTG_snRNAseq_rep1_L004_I2_001.fastq.gz</v>
      </c>
      <c r="J767" s="46" t="str">
        <f t="shared" ref="J767:J1021" si="3">CONCATENATE("/data/neurogen/ASAP/scRNAseq/data/",F767,"_ASAP_snRNA-seq_*/Raw_Data_and_Processing/cellranger_processing/cellranger_fastqs/outs/fastq_path/H*/",H767)</f>
        <v>/data/neurogen/ASAP/scRNAseq/data/batch14_ASAP_snRNA-seq_*/Raw_Data_and_Processing/cellranger_processing/cellranger_fastqs/outs/fastq_path/H*/BN1221_S1_L004_I2_001.fastq.gz</v>
      </c>
      <c r="K767" s="46" t="s">
        <v>1350</v>
      </c>
      <c r="L767" s="46" t="s">
        <v>2857</v>
      </c>
      <c r="M767" s="46" t="s">
        <v>1309</v>
      </c>
      <c r="N767" s="46" t="s">
        <v>1310</v>
      </c>
      <c r="O767" s="46" t="s">
        <v>1311</v>
      </c>
      <c r="P767" s="46" t="s">
        <v>1312</v>
      </c>
      <c r="Q767" s="46" t="s">
        <v>31</v>
      </c>
      <c r="R767" s="46" t="s">
        <v>31</v>
      </c>
      <c r="S767" s="46" t="s">
        <v>31</v>
      </c>
      <c r="T767" s="46" t="s">
        <v>31</v>
      </c>
      <c r="U767" s="46" t="s">
        <v>49</v>
      </c>
    </row>
    <row r="768" spans="1:21">
      <c r="A768" s="46" t="s">
        <v>724</v>
      </c>
      <c r="B768" s="46" t="s">
        <v>124</v>
      </c>
      <c r="C768" s="46" t="s">
        <v>666</v>
      </c>
      <c r="D768" s="46">
        <v>1</v>
      </c>
      <c r="E768" s="46">
        <v>0</v>
      </c>
      <c r="F768" s="46" t="s">
        <v>725</v>
      </c>
      <c r="G768" s="46" t="s">
        <v>1305</v>
      </c>
      <c r="H768" s="46" t="s">
        <v>2858</v>
      </c>
      <c r="I768" s="46" t="str">
        <f ca="1">IFERROR(__xludf.DUMMYFUNCTION("CONCAT(A768,REGEXREPLACE(H768,"".*_L0"",""_L0""))"),"HC_BN1221_MTG_snRNAseq_rep1_L004_R1_001.fastq.gz")</f>
        <v>HC_BN1221_MTG_snRNAseq_rep1_L004_R1_001.fastq.gz</v>
      </c>
      <c r="J768" s="46" t="str">
        <f t="shared" si="3"/>
        <v>/data/neurogen/ASAP/scRNAseq/data/batch14_ASAP_snRNA-seq_*/Raw_Data_and_Processing/cellranger_processing/cellranger_fastqs/outs/fastq_path/H*/BN1221_S1_L004_R1_001.fastq.gz</v>
      </c>
      <c r="K768" s="46" t="s">
        <v>1353</v>
      </c>
      <c r="L768" s="46" t="s">
        <v>2859</v>
      </c>
      <c r="M768" s="46" t="s">
        <v>1309</v>
      </c>
      <c r="N768" s="46" t="s">
        <v>1310</v>
      </c>
      <c r="O768" s="46" t="s">
        <v>1311</v>
      </c>
      <c r="P768" s="46" t="s">
        <v>1312</v>
      </c>
      <c r="Q768" s="46" t="s">
        <v>31</v>
      </c>
      <c r="R768" s="46" t="s">
        <v>31</v>
      </c>
      <c r="S768" s="46" t="s">
        <v>31</v>
      </c>
      <c r="T768" s="46" t="s">
        <v>31</v>
      </c>
      <c r="U768" s="46" t="s">
        <v>49</v>
      </c>
    </row>
    <row r="769" spans="1:21">
      <c r="A769" s="46" t="s">
        <v>724</v>
      </c>
      <c r="B769" s="46" t="s">
        <v>124</v>
      </c>
      <c r="C769" s="46" t="s">
        <v>666</v>
      </c>
      <c r="D769" s="46">
        <v>1</v>
      </c>
      <c r="E769" s="46">
        <v>0</v>
      </c>
      <c r="F769" s="46" t="s">
        <v>725</v>
      </c>
      <c r="G769" s="46" t="s">
        <v>1305</v>
      </c>
      <c r="H769" s="46" t="s">
        <v>2860</v>
      </c>
      <c r="I769" s="46" t="str">
        <f ca="1">IFERROR(__xludf.DUMMYFUNCTION("CONCAT(A769,REGEXREPLACE(H769,"".*_L0"",""_L0""))"),"HC_BN1221_MTG_snRNAseq_rep1_L004_R2_001.fastq.gz")</f>
        <v>HC_BN1221_MTG_snRNAseq_rep1_L004_R2_001.fastq.gz</v>
      </c>
      <c r="J769" s="46" t="str">
        <f t="shared" si="3"/>
        <v>/data/neurogen/ASAP/scRNAseq/data/batch14_ASAP_snRNA-seq_*/Raw_Data_and_Processing/cellranger_processing/cellranger_fastqs/outs/fastq_path/H*/BN1221_S1_L004_R2_001.fastq.gz</v>
      </c>
      <c r="K769" s="46" t="s">
        <v>1356</v>
      </c>
      <c r="L769" s="46" t="s">
        <v>2861</v>
      </c>
      <c r="M769" s="46" t="s">
        <v>1309</v>
      </c>
      <c r="N769" s="46" t="s">
        <v>1310</v>
      </c>
      <c r="O769" s="46" t="s">
        <v>1311</v>
      </c>
      <c r="P769" s="46" t="s">
        <v>1312</v>
      </c>
      <c r="Q769" s="46" t="s">
        <v>31</v>
      </c>
      <c r="R769" s="46" t="s">
        <v>31</v>
      </c>
      <c r="S769" s="46" t="s">
        <v>31</v>
      </c>
      <c r="T769" s="46" t="s">
        <v>31</v>
      </c>
      <c r="U769" s="46" t="s">
        <v>49</v>
      </c>
    </row>
    <row r="770" spans="1:21">
      <c r="A770" s="46" t="s">
        <v>744</v>
      </c>
      <c r="B770" s="46" t="s">
        <v>153</v>
      </c>
      <c r="C770" s="46" t="s">
        <v>666</v>
      </c>
      <c r="D770" s="46">
        <v>1</v>
      </c>
      <c r="E770" s="46">
        <v>0</v>
      </c>
      <c r="F770" s="46" t="s">
        <v>725</v>
      </c>
      <c r="G770" s="46" t="s">
        <v>1305</v>
      </c>
      <c r="H770" s="46" t="s">
        <v>2862</v>
      </c>
      <c r="I770" s="46" t="str">
        <f ca="1">IFERROR(__xludf.DUMMYFUNCTION("CONCAT(A770,REGEXREPLACE(H770,"".*_L0"",""_L0""))"),"ILB_BN1535_MTG_snRNAseq_rep1_L001_I1_001.fastq.gz")</f>
        <v>ILB_BN1535_MTG_snRNAseq_rep1_L001_I1_001.fastq.gz</v>
      </c>
      <c r="J770" s="46" t="str">
        <f t="shared" si="3"/>
        <v>/data/neurogen/ASAP/scRNAseq/data/batch14_ASAP_snRNA-seq_*/Raw_Data_and_Processing/cellranger_processing/cellranger_fastqs/outs/fastq_path/H*/BN1535_S3_L001_I1_001.fastq.gz</v>
      </c>
      <c r="K770" s="46" t="s">
        <v>1307</v>
      </c>
      <c r="L770" s="46" t="s">
        <v>2863</v>
      </c>
      <c r="M770" s="46" t="s">
        <v>1309</v>
      </c>
      <c r="N770" s="46" t="s">
        <v>1310</v>
      </c>
      <c r="O770" s="46" t="s">
        <v>1311</v>
      </c>
      <c r="P770" s="46" t="s">
        <v>1312</v>
      </c>
      <c r="Q770" s="46" t="s">
        <v>31</v>
      </c>
      <c r="R770" s="46" t="s">
        <v>31</v>
      </c>
      <c r="S770" s="46" t="s">
        <v>31</v>
      </c>
      <c r="T770" s="46" t="s">
        <v>31</v>
      </c>
      <c r="U770" s="46" t="s">
        <v>49</v>
      </c>
    </row>
    <row r="771" spans="1:21">
      <c r="A771" s="46" t="s">
        <v>744</v>
      </c>
      <c r="B771" s="46" t="s">
        <v>153</v>
      </c>
      <c r="C771" s="46" t="s">
        <v>666</v>
      </c>
      <c r="D771" s="46">
        <v>1</v>
      </c>
      <c r="E771" s="46">
        <v>0</v>
      </c>
      <c r="F771" s="46" t="s">
        <v>725</v>
      </c>
      <c r="G771" s="46" t="s">
        <v>1305</v>
      </c>
      <c r="H771" s="46" t="s">
        <v>2864</v>
      </c>
      <c r="I771" s="46" t="str">
        <f ca="1">IFERROR(__xludf.DUMMYFUNCTION("CONCAT(A771,REGEXREPLACE(H771,"".*_L0"",""_L0""))"),"ILB_BN1535_MTG_snRNAseq_rep1_L001_I2_001.fastq.gz")</f>
        <v>ILB_BN1535_MTG_snRNAseq_rep1_L001_I2_001.fastq.gz</v>
      </c>
      <c r="J771" s="46" t="str">
        <f t="shared" si="3"/>
        <v>/data/neurogen/ASAP/scRNAseq/data/batch14_ASAP_snRNA-seq_*/Raw_Data_and_Processing/cellranger_processing/cellranger_fastqs/outs/fastq_path/H*/BN1535_S3_L001_I2_001.fastq.gz</v>
      </c>
      <c r="K771" s="46" t="s">
        <v>1314</v>
      </c>
      <c r="L771" s="47" t="s">
        <v>2865</v>
      </c>
      <c r="M771" s="46" t="s">
        <v>1309</v>
      </c>
      <c r="N771" s="46" t="s">
        <v>1310</v>
      </c>
      <c r="O771" s="46" t="s">
        <v>1311</v>
      </c>
      <c r="P771" s="46" t="s">
        <v>1312</v>
      </c>
      <c r="Q771" s="46" t="s">
        <v>31</v>
      </c>
      <c r="R771" s="46" t="s">
        <v>31</v>
      </c>
      <c r="S771" s="46" t="s">
        <v>31</v>
      </c>
      <c r="T771" s="46" t="s">
        <v>31</v>
      </c>
      <c r="U771" s="46" t="s">
        <v>49</v>
      </c>
    </row>
    <row r="772" spans="1:21">
      <c r="A772" s="46" t="s">
        <v>744</v>
      </c>
      <c r="B772" s="46" t="s">
        <v>153</v>
      </c>
      <c r="C772" s="46" t="s">
        <v>666</v>
      </c>
      <c r="D772" s="46">
        <v>1</v>
      </c>
      <c r="E772" s="46">
        <v>0</v>
      </c>
      <c r="F772" s="46" t="s">
        <v>725</v>
      </c>
      <c r="G772" s="46" t="s">
        <v>1305</v>
      </c>
      <c r="H772" s="46" t="s">
        <v>2866</v>
      </c>
      <c r="I772" s="46" t="str">
        <f ca="1">IFERROR(__xludf.DUMMYFUNCTION("CONCAT(A772,REGEXREPLACE(H772,"".*_L0"",""_L0""))"),"ILB_BN1535_MTG_snRNAseq_rep1_L001_R1_001.fastq.gz")</f>
        <v>ILB_BN1535_MTG_snRNAseq_rep1_L001_R1_001.fastq.gz</v>
      </c>
      <c r="J772" s="46" t="str">
        <f t="shared" si="3"/>
        <v>/data/neurogen/ASAP/scRNAseq/data/batch14_ASAP_snRNA-seq_*/Raw_Data_and_Processing/cellranger_processing/cellranger_fastqs/outs/fastq_path/H*/BN1535_S3_L001_R1_001.fastq.gz</v>
      </c>
      <c r="K772" s="46" t="s">
        <v>1317</v>
      </c>
      <c r="L772" s="46" t="s">
        <v>2867</v>
      </c>
      <c r="M772" s="46" t="s">
        <v>1309</v>
      </c>
      <c r="N772" s="46" t="s">
        <v>1310</v>
      </c>
      <c r="O772" s="46" t="s">
        <v>1311</v>
      </c>
      <c r="P772" s="46" t="s">
        <v>1312</v>
      </c>
      <c r="Q772" s="46" t="s">
        <v>31</v>
      </c>
      <c r="R772" s="46" t="s">
        <v>31</v>
      </c>
      <c r="S772" s="46" t="s">
        <v>31</v>
      </c>
      <c r="T772" s="46" t="s">
        <v>31</v>
      </c>
      <c r="U772" s="46" t="s">
        <v>49</v>
      </c>
    </row>
    <row r="773" spans="1:21">
      <c r="A773" s="46" t="s">
        <v>744</v>
      </c>
      <c r="B773" s="46" t="s">
        <v>153</v>
      </c>
      <c r="C773" s="46" t="s">
        <v>666</v>
      </c>
      <c r="D773" s="46">
        <v>1</v>
      </c>
      <c r="E773" s="46">
        <v>0</v>
      </c>
      <c r="F773" s="46" t="s">
        <v>725</v>
      </c>
      <c r="G773" s="46" t="s">
        <v>1305</v>
      </c>
      <c r="H773" s="46" t="s">
        <v>2868</v>
      </c>
      <c r="I773" s="46" t="str">
        <f ca="1">IFERROR(__xludf.DUMMYFUNCTION("CONCAT(A773,REGEXREPLACE(H773,"".*_L0"",""_L0""))"),"ILB_BN1535_MTG_snRNAseq_rep1_L001_R2_001.fastq.gz")</f>
        <v>ILB_BN1535_MTG_snRNAseq_rep1_L001_R2_001.fastq.gz</v>
      </c>
      <c r="J773" s="46" t="str">
        <f t="shared" si="3"/>
        <v>/data/neurogen/ASAP/scRNAseq/data/batch14_ASAP_snRNA-seq_*/Raw_Data_and_Processing/cellranger_processing/cellranger_fastqs/outs/fastq_path/H*/BN1535_S3_L001_R2_001.fastq.gz</v>
      </c>
      <c r="K773" s="46" t="s">
        <v>1320</v>
      </c>
      <c r="L773" s="46" t="s">
        <v>2869</v>
      </c>
      <c r="M773" s="46" t="s">
        <v>1309</v>
      </c>
      <c r="N773" s="46" t="s">
        <v>1310</v>
      </c>
      <c r="O773" s="46" t="s">
        <v>1311</v>
      </c>
      <c r="P773" s="46" t="s">
        <v>1312</v>
      </c>
      <c r="Q773" s="46" t="s">
        <v>31</v>
      </c>
      <c r="R773" s="46" t="s">
        <v>31</v>
      </c>
      <c r="S773" s="46" t="s">
        <v>31</v>
      </c>
      <c r="T773" s="46" t="s">
        <v>31</v>
      </c>
      <c r="U773" s="46" t="s">
        <v>49</v>
      </c>
    </row>
    <row r="774" spans="1:21">
      <c r="A774" s="46" t="s">
        <v>744</v>
      </c>
      <c r="B774" s="46" t="s">
        <v>153</v>
      </c>
      <c r="C774" s="46" t="s">
        <v>666</v>
      </c>
      <c r="D774" s="46">
        <v>1</v>
      </c>
      <c r="E774" s="46">
        <v>0</v>
      </c>
      <c r="F774" s="46" t="s">
        <v>725</v>
      </c>
      <c r="G774" s="46" t="s">
        <v>1305</v>
      </c>
      <c r="H774" s="46" t="s">
        <v>2870</v>
      </c>
      <c r="I774" s="46" t="str">
        <f ca="1">IFERROR(__xludf.DUMMYFUNCTION("CONCAT(A774,REGEXREPLACE(H774,"".*_L0"",""_L0""))"),"ILB_BN1535_MTG_snRNAseq_rep1_L002_I1_001.fastq.gz")</f>
        <v>ILB_BN1535_MTG_snRNAseq_rep1_L002_I1_001.fastq.gz</v>
      </c>
      <c r="J774" s="46" t="str">
        <f t="shared" si="3"/>
        <v>/data/neurogen/ASAP/scRNAseq/data/batch14_ASAP_snRNA-seq_*/Raw_Data_and_Processing/cellranger_processing/cellranger_fastqs/outs/fastq_path/H*/BN1535_S3_L002_I1_001.fastq.gz</v>
      </c>
      <c r="K774" s="46" t="s">
        <v>1323</v>
      </c>
      <c r="L774" s="46" t="s">
        <v>2871</v>
      </c>
      <c r="M774" s="46" t="s">
        <v>1309</v>
      </c>
      <c r="N774" s="46" t="s">
        <v>1310</v>
      </c>
      <c r="O774" s="46" t="s">
        <v>1311</v>
      </c>
      <c r="P774" s="46" t="s">
        <v>1312</v>
      </c>
      <c r="Q774" s="46" t="s">
        <v>31</v>
      </c>
      <c r="R774" s="46" t="s">
        <v>31</v>
      </c>
      <c r="S774" s="46" t="s">
        <v>31</v>
      </c>
      <c r="T774" s="46" t="s">
        <v>31</v>
      </c>
      <c r="U774" s="46" t="s">
        <v>49</v>
      </c>
    </row>
    <row r="775" spans="1:21">
      <c r="A775" s="46" t="s">
        <v>744</v>
      </c>
      <c r="B775" s="46" t="s">
        <v>153</v>
      </c>
      <c r="C775" s="46" t="s">
        <v>666</v>
      </c>
      <c r="D775" s="46">
        <v>1</v>
      </c>
      <c r="E775" s="46">
        <v>0</v>
      </c>
      <c r="F775" s="46" t="s">
        <v>725</v>
      </c>
      <c r="G775" s="46" t="s">
        <v>1305</v>
      </c>
      <c r="H775" s="46" t="s">
        <v>2872</v>
      </c>
      <c r="I775" s="46" t="str">
        <f ca="1">IFERROR(__xludf.DUMMYFUNCTION("CONCAT(A775,REGEXREPLACE(H775,"".*_L0"",""_L0""))"),"ILB_BN1535_MTG_snRNAseq_rep1_L002_I2_001.fastq.gz")</f>
        <v>ILB_BN1535_MTG_snRNAseq_rep1_L002_I2_001.fastq.gz</v>
      </c>
      <c r="J775" s="46" t="str">
        <f t="shared" si="3"/>
        <v>/data/neurogen/ASAP/scRNAseq/data/batch14_ASAP_snRNA-seq_*/Raw_Data_and_Processing/cellranger_processing/cellranger_fastqs/outs/fastq_path/H*/BN1535_S3_L002_I2_001.fastq.gz</v>
      </c>
      <c r="K775" s="46" t="s">
        <v>1326</v>
      </c>
      <c r="L775" s="46" t="s">
        <v>2873</v>
      </c>
      <c r="M775" s="46" t="s">
        <v>1309</v>
      </c>
      <c r="N775" s="46" t="s">
        <v>1310</v>
      </c>
      <c r="O775" s="46" t="s">
        <v>1311</v>
      </c>
      <c r="P775" s="46" t="s">
        <v>1312</v>
      </c>
      <c r="Q775" s="46" t="s">
        <v>31</v>
      </c>
      <c r="R775" s="46" t="s">
        <v>31</v>
      </c>
      <c r="S775" s="46" t="s">
        <v>31</v>
      </c>
      <c r="T775" s="46" t="s">
        <v>31</v>
      </c>
      <c r="U775" s="46" t="s">
        <v>49</v>
      </c>
    </row>
    <row r="776" spans="1:21">
      <c r="A776" s="46" t="s">
        <v>744</v>
      </c>
      <c r="B776" s="46" t="s">
        <v>153</v>
      </c>
      <c r="C776" s="46" t="s">
        <v>666</v>
      </c>
      <c r="D776" s="46">
        <v>1</v>
      </c>
      <c r="E776" s="46">
        <v>0</v>
      </c>
      <c r="F776" s="46" t="s">
        <v>725</v>
      </c>
      <c r="G776" s="46" t="s">
        <v>1305</v>
      </c>
      <c r="H776" s="46" t="s">
        <v>2874</v>
      </c>
      <c r="I776" s="46" t="str">
        <f ca="1">IFERROR(__xludf.DUMMYFUNCTION("CONCAT(A776,REGEXREPLACE(H776,"".*_L0"",""_L0""))"),"ILB_BN1535_MTG_snRNAseq_rep1_L002_R1_001.fastq.gz")</f>
        <v>ILB_BN1535_MTG_snRNAseq_rep1_L002_R1_001.fastq.gz</v>
      </c>
      <c r="J776" s="46" t="str">
        <f t="shared" si="3"/>
        <v>/data/neurogen/ASAP/scRNAseq/data/batch14_ASAP_snRNA-seq_*/Raw_Data_and_Processing/cellranger_processing/cellranger_fastqs/outs/fastq_path/H*/BN1535_S3_L002_R1_001.fastq.gz</v>
      </c>
      <c r="K776" s="46" t="s">
        <v>1329</v>
      </c>
      <c r="L776" s="46" t="s">
        <v>2875</v>
      </c>
      <c r="M776" s="46" t="s">
        <v>1309</v>
      </c>
      <c r="N776" s="46" t="s">
        <v>1310</v>
      </c>
      <c r="O776" s="46" t="s">
        <v>1311</v>
      </c>
      <c r="P776" s="46" t="s">
        <v>1312</v>
      </c>
      <c r="Q776" s="46" t="s">
        <v>31</v>
      </c>
      <c r="R776" s="46" t="s">
        <v>31</v>
      </c>
      <c r="S776" s="46" t="s">
        <v>31</v>
      </c>
      <c r="T776" s="46" t="s">
        <v>31</v>
      </c>
      <c r="U776" s="46" t="s">
        <v>49</v>
      </c>
    </row>
    <row r="777" spans="1:21">
      <c r="A777" s="46" t="s">
        <v>744</v>
      </c>
      <c r="B777" s="46" t="s">
        <v>153</v>
      </c>
      <c r="C777" s="46" t="s">
        <v>666</v>
      </c>
      <c r="D777" s="46">
        <v>1</v>
      </c>
      <c r="E777" s="46">
        <v>0</v>
      </c>
      <c r="F777" s="46" t="s">
        <v>725</v>
      </c>
      <c r="G777" s="46" t="s">
        <v>1305</v>
      </c>
      <c r="H777" s="46" t="s">
        <v>2876</v>
      </c>
      <c r="I777" s="46" t="str">
        <f ca="1">IFERROR(__xludf.DUMMYFUNCTION("CONCAT(A777,REGEXREPLACE(H777,"".*_L0"",""_L0""))"),"ILB_BN1535_MTG_snRNAseq_rep1_L002_R2_001.fastq.gz")</f>
        <v>ILB_BN1535_MTG_snRNAseq_rep1_L002_R2_001.fastq.gz</v>
      </c>
      <c r="J777" s="46" t="str">
        <f t="shared" si="3"/>
        <v>/data/neurogen/ASAP/scRNAseq/data/batch14_ASAP_snRNA-seq_*/Raw_Data_and_Processing/cellranger_processing/cellranger_fastqs/outs/fastq_path/H*/BN1535_S3_L002_R2_001.fastq.gz</v>
      </c>
      <c r="K777" s="46" t="s">
        <v>1332</v>
      </c>
      <c r="L777" s="46" t="s">
        <v>2877</v>
      </c>
      <c r="M777" s="46" t="s">
        <v>1309</v>
      </c>
      <c r="N777" s="46" t="s">
        <v>1310</v>
      </c>
      <c r="O777" s="46" t="s">
        <v>1311</v>
      </c>
      <c r="P777" s="46" t="s">
        <v>1312</v>
      </c>
      <c r="Q777" s="46" t="s">
        <v>31</v>
      </c>
      <c r="R777" s="46" t="s">
        <v>31</v>
      </c>
      <c r="S777" s="46" t="s">
        <v>31</v>
      </c>
      <c r="T777" s="46" t="s">
        <v>31</v>
      </c>
      <c r="U777" s="46" t="s">
        <v>49</v>
      </c>
    </row>
    <row r="778" spans="1:21">
      <c r="A778" s="46" t="s">
        <v>744</v>
      </c>
      <c r="B778" s="46" t="s">
        <v>153</v>
      </c>
      <c r="C778" s="46" t="s">
        <v>666</v>
      </c>
      <c r="D778" s="46">
        <v>1</v>
      </c>
      <c r="E778" s="46">
        <v>0</v>
      </c>
      <c r="F778" s="46" t="s">
        <v>725</v>
      </c>
      <c r="G778" s="46" t="s">
        <v>1305</v>
      </c>
      <c r="H778" s="46" t="s">
        <v>2878</v>
      </c>
      <c r="I778" s="46" t="str">
        <f ca="1">IFERROR(__xludf.DUMMYFUNCTION("CONCAT(A778,REGEXREPLACE(H778,"".*_L0"",""_L0""))"),"ILB_BN1535_MTG_snRNAseq_rep1_L003_I1_001.fastq.gz")</f>
        <v>ILB_BN1535_MTG_snRNAseq_rep1_L003_I1_001.fastq.gz</v>
      </c>
      <c r="J778" s="46" t="str">
        <f t="shared" si="3"/>
        <v>/data/neurogen/ASAP/scRNAseq/data/batch14_ASAP_snRNA-seq_*/Raw_Data_and_Processing/cellranger_processing/cellranger_fastqs/outs/fastq_path/H*/BN1535_S3_L003_I1_001.fastq.gz</v>
      </c>
      <c r="K778" s="46" t="s">
        <v>1335</v>
      </c>
      <c r="L778" s="46" t="s">
        <v>2879</v>
      </c>
      <c r="M778" s="46" t="s">
        <v>1309</v>
      </c>
      <c r="N778" s="46" t="s">
        <v>1310</v>
      </c>
      <c r="O778" s="46" t="s">
        <v>1311</v>
      </c>
      <c r="P778" s="46" t="s">
        <v>1312</v>
      </c>
      <c r="Q778" s="46" t="s">
        <v>31</v>
      </c>
      <c r="R778" s="46" t="s">
        <v>31</v>
      </c>
      <c r="S778" s="46" t="s">
        <v>31</v>
      </c>
      <c r="T778" s="46" t="s">
        <v>31</v>
      </c>
      <c r="U778" s="46" t="s">
        <v>49</v>
      </c>
    </row>
    <row r="779" spans="1:21">
      <c r="A779" s="46" t="s">
        <v>744</v>
      </c>
      <c r="B779" s="46" t="s">
        <v>153</v>
      </c>
      <c r="C779" s="46" t="s">
        <v>666</v>
      </c>
      <c r="D779" s="46">
        <v>1</v>
      </c>
      <c r="E779" s="46">
        <v>0</v>
      </c>
      <c r="F779" s="46" t="s">
        <v>725</v>
      </c>
      <c r="G779" s="46" t="s">
        <v>1305</v>
      </c>
      <c r="H779" s="46" t="s">
        <v>2880</v>
      </c>
      <c r="I779" s="46" t="str">
        <f ca="1">IFERROR(__xludf.DUMMYFUNCTION("CONCAT(A779,REGEXREPLACE(H779,"".*_L0"",""_L0""))"),"ILB_BN1535_MTG_snRNAseq_rep1_L003_I2_001.fastq.gz")</f>
        <v>ILB_BN1535_MTG_snRNAseq_rep1_L003_I2_001.fastq.gz</v>
      </c>
      <c r="J779" s="46" t="str">
        <f t="shared" si="3"/>
        <v>/data/neurogen/ASAP/scRNAseq/data/batch14_ASAP_snRNA-seq_*/Raw_Data_and_Processing/cellranger_processing/cellranger_fastqs/outs/fastq_path/H*/BN1535_S3_L003_I2_001.fastq.gz</v>
      </c>
      <c r="K779" s="46" t="s">
        <v>1338</v>
      </c>
      <c r="L779" s="46" t="s">
        <v>2881</v>
      </c>
      <c r="M779" s="46" t="s">
        <v>1309</v>
      </c>
      <c r="N779" s="46" t="s">
        <v>1310</v>
      </c>
      <c r="O779" s="46" t="s">
        <v>1311</v>
      </c>
      <c r="P779" s="46" t="s">
        <v>1312</v>
      </c>
      <c r="Q779" s="46" t="s">
        <v>31</v>
      </c>
      <c r="R779" s="46" t="s">
        <v>31</v>
      </c>
      <c r="S779" s="46" t="s">
        <v>31</v>
      </c>
      <c r="T779" s="46" t="s">
        <v>31</v>
      </c>
      <c r="U779" s="46" t="s">
        <v>49</v>
      </c>
    </row>
    <row r="780" spans="1:21">
      <c r="A780" s="46" t="s">
        <v>744</v>
      </c>
      <c r="B780" s="46" t="s">
        <v>153</v>
      </c>
      <c r="C780" s="46" t="s">
        <v>666</v>
      </c>
      <c r="D780" s="46">
        <v>1</v>
      </c>
      <c r="E780" s="46">
        <v>0</v>
      </c>
      <c r="F780" s="46" t="s">
        <v>725</v>
      </c>
      <c r="G780" s="46" t="s">
        <v>1305</v>
      </c>
      <c r="H780" s="46" t="s">
        <v>2882</v>
      </c>
      <c r="I780" s="46" t="str">
        <f ca="1">IFERROR(__xludf.DUMMYFUNCTION("CONCAT(A780,REGEXREPLACE(H780,"".*_L0"",""_L0""))"),"ILB_BN1535_MTG_snRNAseq_rep1_L003_R1_001.fastq.gz")</f>
        <v>ILB_BN1535_MTG_snRNAseq_rep1_L003_R1_001.fastq.gz</v>
      </c>
      <c r="J780" s="46" t="str">
        <f t="shared" si="3"/>
        <v>/data/neurogen/ASAP/scRNAseq/data/batch14_ASAP_snRNA-seq_*/Raw_Data_and_Processing/cellranger_processing/cellranger_fastqs/outs/fastq_path/H*/BN1535_S3_L003_R1_001.fastq.gz</v>
      </c>
      <c r="K780" s="46" t="s">
        <v>1341</v>
      </c>
      <c r="L780" s="46" t="s">
        <v>2883</v>
      </c>
      <c r="M780" s="46" t="s">
        <v>1309</v>
      </c>
      <c r="N780" s="46" t="s">
        <v>1310</v>
      </c>
      <c r="O780" s="46" t="s">
        <v>1311</v>
      </c>
      <c r="P780" s="46" t="s">
        <v>1312</v>
      </c>
      <c r="Q780" s="46" t="s">
        <v>31</v>
      </c>
      <c r="R780" s="46" t="s">
        <v>31</v>
      </c>
      <c r="S780" s="46" t="s">
        <v>31</v>
      </c>
      <c r="T780" s="46" t="s">
        <v>31</v>
      </c>
      <c r="U780" s="46" t="s">
        <v>49</v>
      </c>
    </row>
    <row r="781" spans="1:21">
      <c r="A781" s="46" t="s">
        <v>744</v>
      </c>
      <c r="B781" s="46" t="s">
        <v>153</v>
      </c>
      <c r="C781" s="46" t="s">
        <v>666</v>
      </c>
      <c r="D781" s="46">
        <v>1</v>
      </c>
      <c r="E781" s="46">
        <v>0</v>
      </c>
      <c r="F781" s="46" t="s">
        <v>725</v>
      </c>
      <c r="G781" s="46" t="s">
        <v>1305</v>
      </c>
      <c r="H781" s="46" t="s">
        <v>2884</v>
      </c>
      <c r="I781" s="46" t="str">
        <f ca="1">IFERROR(__xludf.DUMMYFUNCTION("CONCAT(A781,REGEXREPLACE(H781,"".*_L0"",""_L0""))"),"ILB_BN1535_MTG_snRNAseq_rep1_L003_R2_001.fastq.gz")</f>
        <v>ILB_BN1535_MTG_snRNAseq_rep1_L003_R2_001.fastq.gz</v>
      </c>
      <c r="J781" s="46" t="str">
        <f t="shared" si="3"/>
        <v>/data/neurogen/ASAP/scRNAseq/data/batch14_ASAP_snRNA-seq_*/Raw_Data_and_Processing/cellranger_processing/cellranger_fastqs/outs/fastq_path/H*/BN1535_S3_L003_R2_001.fastq.gz</v>
      </c>
      <c r="K781" s="46" t="s">
        <v>1344</v>
      </c>
      <c r="L781" s="46" t="s">
        <v>2885</v>
      </c>
      <c r="M781" s="46" t="s">
        <v>1309</v>
      </c>
      <c r="N781" s="46" t="s">
        <v>1310</v>
      </c>
      <c r="O781" s="46" t="s">
        <v>1311</v>
      </c>
      <c r="P781" s="46" t="s">
        <v>1312</v>
      </c>
      <c r="Q781" s="46" t="s">
        <v>31</v>
      </c>
      <c r="R781" s="46" t="s">
        <v>31</v>
      </c>
      <c r="S781" s="46" t="s">
        <v>31</v>
      </c>
      <c r="T781" s="46" t="s">
        <v>31</v>
      </c>
      <c r="U781" s="46" t="s">
        <v>49</v>
      </c>
    </row>
    <row r="782" spans="1:21">
      <c r="A782" s="46" t="s">
        <v>744</v>
      </c>
      <c r="B782" s="46" t="s">
        <v>153</v>
      </c>
      <c r="C782" s="46" t="s">
        <v>666</v>
      </c>
      <c r="D782" s="46">
        <v>1</v>
      </c>
      <c r="E782" s="46">
        <v>0</v>
      </c>
      <c r="F782" s="46" t="s">
        <v>725</v>
      </c>
      <c r="G782" s="46" t="s">
        <v>1305</v>
      </c>
      <c r="H782" s="46" t="s">
        <v>2886</v>
      </c>
      <c r="I782" s="46" t="str">
        <f ca="1">IFERROR(__xludf.DUMMYFUNCTION("CONCAT(A782,REGEXREPLACE(H782,"".*_L0"",""_L0""))"),"ILB_BN1535_MTG_snRNAseq_rep1_L004_I1_001.fastq.gz")</f>
        <v>ILB_BN1535_MTG_snRNAseq_rep1_L004_I1_001.fastq.gz</v>
      </c>
      <c r="J782" s="46" t="str">
        <f t="shared" si="3"/>
        <v>/data/neurogen/ASAP/scRNAseq/data/batch14_ASAP_snRNA-seq_*/Raw_Data_and_Processing/cellranger_processing/cellranger_fastqs/outs/fastq_path/H*/BN1535_S3_L004_I1_001.fastq.gz</v>
      </c>
      <c r="K782" s="46" t="s">
        <v>1347</v>
      </c>
      <c r="L782" s="46" t="s">
        <v>2887</v>
      </c>
      <c r="M782" s="46" t="s">
        <v>1309</v>
      </c>
      <c r="N782" s="46" t="s">
        <v>1310</v>
      </c>
      <c r="O782" s="46" t="s">
        <v>1311</v>
      </c>
      <c r="P782" s="46" t="s">
        <v>1312</v>
      </c>
      <c r="Q782" s="46" t="s">
        <v>31</v>
      </c>
      <c r="R782" s="46" t="s">
        <v>31</v>
      </c>
      <c r="S782" s="46" t="s">
        <v>31</v>
      </c>
      <c r="T782" s="46" t="s">
        <v>31</v>
      </c>
      <c r="U782" s="46" t="s">
        <v>49</v>
      </c>
    </row>
    <row r="783" spans="1:21">
      <c r="A783" s="46" t="s">
        <v>744</v>
      </c>
      <c r="B783" s="46" t="s">
        <v>153</v>
      </c>
      <c r="C783" s="46" t="s">
        <v>666</v>
      </c>
      <c r="D783" s="46">
        <v>1</v>
      </c>
      <c r="E783" s="46">
        <v>0</v>
      </c>
      <c r="F783" s="46" t="s">
        <v>725</v>
      </c>
      <c r="G783" s="46" t="s">
        <v>1305</v>
      </c>
      <c r="H783" s="46" t="s">
        <v>2888</v>
      </c>
      <c r="I783" s="46" t="str">
        <f ca="1">IFERROR(__xludf.DUMMYFUNCTION("CONCAT(A783,REGEXREPLACE(H783,"".*_L0"",""_L0""))"),"ILB_BN1535_MTG_snRNAseq_rep1_L004_I2_001.fastq.gz")</f>
        <v>ILB_BN1535_MTG_snRNAseq_rep1_L004_I2_001.fastq.gz</v>
      </c>
      <c r="J783" s="46" t="str">
        <f t="shared" si="3"/>
        <v>/data/neurogen/ASAP/scRNAseq/data/batch14_ASAP_snRNA-seq_*/Raw_Data_and_Processing/cellranger_processing/cellranger_fastqs/outs/fastq_path/H*/BN1535_S3_L004_I2_001.fastq.gz</v>
      </c>
      <c r="K783" s="46" t="s">
        <v>1350</v>
      </c>
      <c r="L783" s="46" t="s">
        <v>2889</v>
      </c>
      <c r="M783" s="46" t="s">
        <v>1309</v>
      </c>
      <c r="N783" s="46" t="s">
        <v>1310</v>
      </c>
      <c r="O783" s="46" t="s">
        <v>1311</v>
      </c>
      <c r="P783" s="46" t="s">
        <v>1312</v>
      </c>
      <c r="Q783" s="46" t="s">
        <v>31</v>
      </c>
      <c r="R783" s="46" t="s">
        <v>31</v>
      </c>
      <c r="S783" s="46" t="s">
        <v>31</v>
      </c>
      <c r="T783" s="46" t="s">
        <v>31</v>
      </c>
      <c r="U783" s="46" t="s">
        <v>49</v>
      </c>
    </row>
    <row r="784" spans="1:21">
      <c r="A784" s="46" t="s">
        <v>744</v>
      </c>
      <c r="B784" s="46" t="s">
        <v>153</v>
      </c>
      <c r="C784" s="46" t="s">
        <v>666</v>
      </c>
      <c r="D784" s="46">
        <v>1</v>
      </c>
      <c r="E784" s="46">
        <v>0</v>
      </c>
      <c r="F784" s="46" t="s">
        <v>725</v>
      </c>
      <c r="G784" s="46" t="s">
        <v>1305</v>
      </c>
      <c r="H784" s="46" t="s">
        <v>2890</v>
      </c>
      <c r="I784" s="46" t="str">
        <f ca="1">IFERROR(__xludf.DUMMYFUNCTION("CONCAT(A784,REGEXREPLACE(H784,"".*_L0"",""_L0""))"),"ILB_BN1535_MTG_snRNAseq_rep1_L004_R1_001.fastq.gz")</f>
        <v>ILB_BN1535_MTG_snRNAseq_rep1_L004_R1_001.fastq.gz</v>
      </c>
      <c r="J784" s="46" t="str">
        <f t="shared" si="3"/>
        <v>/data/neurogen/ASAP/scRNAseq/data/batch14_ASAP_snRNA-seq_*/Raw_Data_and_Processing/cellranger_processing/cellranger_fastqs/outs/fastq_path/H*/BN1535_S3_L004_R1_001.fastq.gz</v>
      </c>
      <c r="K784" s="46" t="s">
        <v>1353</v>
      </c>
      <c r="L784" s="46" t="s">
        <v>2891</v>
      </c>
      <c r="M784" s="46" t="s">
        <v>1309</v>
      </c>
      <c r="N784" s="46" t="s">
        <v>1310</v>
      </c>
      <c r="O784" s="46" t="s">
        <v>1311</v>
      </c>
      <c r="P784" s="46" t="s">
        <v>1312</v>
      </c>
      <c r="Q784" s="46" t="s">
        <v>31</v>
      </c>
      <c r="R784" s="46" t="s">
        <v>31</v>
      </c>
      <c r="S784" s="46" t="s">
        <v>31</v>
      </c>
      <c r="T784" s="46" t="s">
        <v>31</v>
      </c>
      <c r="U784" s="46" t="s">
        <v>49</v>
      </c>
    </row>
    <row r="785" spans="1:21">
      <c r="A785" s="46" t="s">
        <v>744</v>
      </c>
      <c r="B785" s="46" t="s">
        <v>153</v>
      </c>
      <c r="C785" s="46" t="s">
        <v>666</v>
      </c>
      <c r="D785" s="46">
        <v>1</v>
      </c>
      <c r="E785" s="46">
        <v>0</v>
      </c>
      <c r="F785" s="46" t="s">
        <v>725</v>
      </c>
      <c r="G785" s="46" t="s">
        <v>1305</v>
      </c>
      <c r="H785" s="46" t="s">
        <v>2892</v>
      </c>
      <c r="I785" s="46" t="str">
        <f ca="1">IFERROR(__xludf.DUMMYFUNCTION("CONCAT(A785,REGEXREPLACE(H785,"".*_L0"",""_L0""))"),"ILB_BN1535_MTG_snRNAseq_rep1_L004_R2_001.fastq.gz")</f>
        <v>ILB_BN1535_MTG_snRNAseq_rep1_L004_R2_001.fastq.gz</v>
      </c>
      <c r="J785" s="46" t="str">
        <f t="shared" si="3"/>
        <v>/data/neurogen/ASAP/scRNAseq/data/batch14_ASAP_snRNA-seq_*/Raw_Data_and_Processing/cellranger_processing/cellranger_fastqs/outs/fastq_path/H*/BN1535_S3_L004_R2_001.fastq.gz</v>
      </c>
      <c r="K785" s="46" t="s">
        <v>1356</v>
      </c>
      <c r="L785" s="46" t="s">
        <v>2893</v>
      </c>
      <c r="M785" s="46" t="s">
        <v>1309</v>
      </c>
      <c r="N785" s="46" t="s">
        <v>1310</v>
      </c>
      <c r="O785" s="46" t="s">
        <v>1311</v>
      </c>
      <c r="P785" s="46" t="s">
        <v>1312</v>
      </c>
      <c r="Q785" s="46" t="s">
        <v>31</v>
      </c>
      <c r="R785" s="46" t="s">
        <v>31</v>
      </c>
      <c r="S785" s="46" t="s">
        <v>31</v>
      </c>
      <c r="T785" s="46" t="s">
        <v>31</v>
      </c>
      <c r="U785" s="46" t="s">
        <v>49</v>
      </c>
    </row>
    <row r="786" spans="1:21">
      <c r="A786" s="46" t="s">
        <v>752</v>
      </c>
      <c r="B786" s="46" t="s">
        <v>165</v>
      </c>
      <c r="C786" s="46" t="s">
        <v>666</v>
      </c>
      <c r="D786" s="46">
        <v>1</v>
      </c>
      <c r="E786" s="46">
        <v>0</v>
      </c>
      <c r="F786" s="46" t="s">
        <v>725</v>
      </c>
      <c r="G786" s="46" t="s">
        <v>1305</v>
      </c>
      <c r="H786" s="46" t="s">
        <v>2894</v>
      </c>
      <c r="I786" s="46" t="str">
        <f ca="1">IFERROR(__xludf.DUMMYFUNCTION("CONCAT(A786,REGEXREPLACE(H786,"".*_L0"",""_L0""))"),"PD_BN1614_MTG_snRNAseq_rep1_L001_I1_001.fastq.gz")</f>
        <v>PD_BN1614_MTG_snRNAseq_rep1_L001_I1_001.fastq.gz</v>
      </c>
      <c r="J786" s="46" t="str">
        <f t="shared" si="3"/>
        <v>/data/neurogen/ASAP/scRNAseq/data/batch14_ASAP_snRNA-seq_*/Raw_Data_and_Processing/cellranger_processing/cellranger_fastqs/outs/fastq_path/H*/BN1614_S2_L001_I1_001.fastq.gz</v>
      </c>
      <c r="K786" s="46" t="s">
        <v>1307</v>
      </c>
      <c r="L786" s="46" t="s">
        <v>2895</v>
      </c>
      <c r="M786" s="46" t="s">
        <v>1309</v>
      </c>
      <c r="N786" s="46" t="s">
        <v>1310</v>
      </c>
      <c r="O786" s="46" t="s">
        <v>1311</v>
      </c>
      <c r="P786" s="46" t="s">
        <v>1312</v>
      </c>
      <c r="Q786" s="46" t="s">
        <v>31</v>
      </c>
      <c r="R786" s="46" t="s">
        <v>31</v>
      </c>
      <c r="S786" s="46" t="s">
        <v>31</v>
      </c>
      <c r="T786" s="46" t="s">
        <v>31</v>
      </c>
      <c r="U786" s="46" t="s">
        <v>49</v>
      </c>
    </row>
    <row r="787" spans="1:21">
      <c r="A787" s="46" t="s">
        <v>752</v>
      </c>
      <c r="B787" s="46" t="s">
        <v>165</v>
      </c>
      <c r="C787" s="46" t="s">
        <v>666</v>
      </c>
      <c r="D787" s="46">
        <v>1</v>
      </c>
      <c r="E787" s="46">
        <v>0</v>
      </c>
      <c r="F787" s="46" t="s">
        <v>725</v>
      </c>
      <c r="G787" s="46" t="s">
        <v>1305</v>
      </c>
      <c r="H787" s="46" t="s">
        <v>2896</v>
      </c>
      <c r="I787" s="46" t="str">
        <f ca="1">IFERROR(__xludf.DUMMYFUNCTION("CONCAT(A787,REGEXREPLACE(H787,"".*_L0"",""_L0""))"),"PD_BN1614_MTG_snRNAseq_rep1_L001_I2_001.fastq.gz")</f>
        <v>PD_BN1614_MTG_snRNAseq_rep1_L001_I2_001.fastq.gz</v>
      </c>
      <c r="J787" s="46" t="str">
        <f t="shared" si="3"/>
        <v>/data/neurogen/ASAP/scRNAseq/data/batch14_ASAP_snRNA-seq_*/Raw_Data_and_Processing/cellranger_processing/cellranger_fastqs/outs/fastq_path/H*/BN1614_S2_L001_I2_001.fastq.gz</v>
      </c>
      <c r="K787" s="46" t="s">
        <v>1314</v>
      </c>
      <c r="L787" s="46" t="s">
        <v>2897</v>
      </c>
      <c r="M787" s="46" t="s">
        <v>1309</v>
      </c>
      <c r="N787" s="46" t="s">
        <v>1310</v>
      </c>
      <c r="O787" s="46" t="s">
        <v>1311</v>
      </c>
      <c r="P787" s="46" t="s">
        <v>1312</v>
      </c>
      <c r="Q787" s="46" t="s">
        <v>31</v>
      </c>
      <c r="R787" s="46" t="s">
        <v>31</v>
      </c>
      <c r="S787" s="46" t="s">
        <v>31</v>
      </c>
      <c r="T787" s="46" t="s">
        <v>31</v>
      </c>
      <c r="U787" s="46" t="s">
        <v>49</v>
      </c>
    </row>
    <row r="788" spans="1:21">
      <c r="A788" s="46" t="s">
        <v>752</v>
      </c>
      <c r="B788" s="46" t="s">
        <v>165</v>
      </c>
      <c r="C788" s="46" t="s">
        <v>666</v>
      </c>
      <c r="D788" s="46">
        <v>1</v>
      </c>
      <c r="E788" s="46">
        <v>0</v>
      </c>
      <c r="F788" s="46" t="s">
        <v>725</v>
      </c>
      <c r="G788" s="46" t="s">
        <v>1305</v>
      </c>
      <c r="H788" s="46" t="s">
        <v>2898</v>
      </c>
      <c r="I788" s="46" t="str">
        <f ca="1">IFERROR(__xludf.DUMMYFUNCTION("CONCAT(A788,REGEXREPLACE(H788,"".*_L0"",""_L0""))"),"PD_BN1614_MTG_snRNAseq_rep1_L001_R1_001.fastq.gz")</f>
        <v>PD_BN1614_MTG_snRNAseq_rep1_L001_R1_001.fastq.gz</v>
      </c>
      <c r="J788" s="46" t="str">
        <f t="shared" si="3"/>
        <v>/data/neurogen/ASAP/scRNAseq/data/batch14_ASAP_snRNA-seq_*/Raw_Data_and_Processing/cellranger_processing/cellranger_fastqs/outs/fastq_path/H*/BN1614_S2_L001_R1_001.fastq.gz</v>
      </c>
      <c r="K788" s="46" t="s">
        <v>1317</v>
      </c>
      <c r="L788" s="46" t="s">
        <v>2899</v>
      </c>
      <c r="M788" s="46" t="s">
        <v>1309</v>
      </c>
      <c r="N788" s="46" t="s">
        <v>1310</v>
      </c>
      <c r="O788" s="46" t="s">
        <v>1311</v>
      </c>
      <c r="P788" s="46" t="s">
        <v>1312</v>
      </c>
      <c r="Q788" s="46" t="s">
        <v>31</v>
      </c>
      <c r="R788" s="46" t="s">
        <v>31</v>
      </c>
      <c r="S788" s="46" t="s">
        <v>31</v>
      </c>
      <c r="T788" s="46" t="s">
        <v>31</v>
      </c>
      <c r="U788" s="46" t="s">
        <v>49</v>
      </c>
    </row>
    <row r="789" spans="1:21">
      <c r="A789" s="46" t="s">
        <v>752</v>
      </c>
      <c r="B789" s="46" t="s">
        <v>165</v>
      </c>
      <c r="C789" s="46" t="s">
        <v>666</v>
      </c>
      <c r="D789" s="46">
        <v>1</v>
      </c>
      <c r="E789" s="46">
        <v>0</v>
      </c>
      <c r="F789" s="46" t="s">
        <v>725</v>
      </c>
      <c r="G789" s="46" t="s">
        <v>1305</v>
      </c>
      <c r="H789" s="46" t="s">
        <v>2900</v>
      </c>
      <c r="I789" s="46" t="str">
        <f ca="1">IFERROR(__xludf.DUMMYFUNCTION("CONCAT(A789,REGEXREPLACE(H789,"".*_L0"",""_L0""))"),"PD_BN1614_MTG_snRNAseq_rep1_L001_R2_001.fastq.gz")</f>
        <v>PD_BN1614_MTG_snRNAseq_rep1_L001_R2_001.fastq.gz</v>
      </c>
      <c r="J789" s="46" t="str">
        <f t="shared" si="3"/>
        <v>/data/neurogen/ASAP/scRNAseq/data/batch14_ASAP_snRNA-seq_*/Raw_Data_and_Processing/cellranger_processing/cellranger_fastqs/outs/fastq_path/H*/BN1614_S2_L001_R2_001.fastq.gz</v>
      </c>
      <c r="K789" s="46" t="s">
        <v>1320</v>
      </c>
      <c r="L789" s="46" t="s">
        <v>2901</v>
      </c>
      <c r="M789" s="46" t="s">
        <v>1309</v>
      </c>
      <c r="N789" s="46" t="s">
        <v>1310</v>
      </c>
      <c r="O789" s="46" t="s">
        <v>1311</v>
      </c>
      <c r="P789" s="46" t="s">
        <v>1312</v>
      </c>
      <c r="Q789" s="46" t="s">
        <v>31</v>
      </c>
      <c r="R789" s="46" t="s">
        <v>31</v>
      </c>
      <c r="S789" s="46" t="s">
        <v>31</v>
      </c>
      <c r="T789" s="46" t="s">
        <v>31</v>
      </c>
      <c r="U789" s="46" t="s">
        <v>49</v>
      </c>
    </row>
    <row r="790" spans="1:21">
      <c r="A790" s="46" t="s">
        <v>752</v>
      </c>
      <c r="B790" s="46" t="s">
        <v>165</v>
      </c>
      <c r="C790" s="46" t="s">
        <v>666</v>
      </c>
      <c r="D790" s="46">
        <v>1</v>
      </c>
      <c r="E790" s="46">
        <v>0</v>
      </c>
      <c r="F790" s="46" t="s">
        <v>725</v>
      </c>
      <c r="G790" s="46" t="s">
        <v>1305</v>
      </c>
      <c r="H790" s="46" t="s">
        <v>2902</v>
      </c>
      <c r="I790" s="46" t="str">
        <f ca="1">IFERROR(__xludf.DUMMYFUNCTION("CONCAT(A790,REGEXREPLACE(H790,"".*_L0"",""_L0""))"),"PD_BN1614_MTG_snRNAseq_rep1_L002_I1_001.fastq.gz")</f>
        <v>PD_BN1614_MTG_snRNAseq_rep1_L002_I1_001.fastq.gz</v>
      </c>
      <c r="J790" s="46" t="str">
        <f t="shared" si="3"/>
        <v>/data/neurogen/ASAP/scRNAseq/data/batch14_ASAP_snRNA-seq_*/Raw_Data_and_Processing/cellranger_processing/cellranger_fastqs/outs/fastq_path/H*/BN1614_S2_L002_I1_001.fastq.gz</v>
      </c>
      <c r="K790" s="46" t="s">
        <v>1323</v>
      </c>
      <c r="L790" s="46" t="s">
        <v>2903</v>
      </c>
      <c r="M790" s="46" t="s">
        <v>1309</v>
      </c>
      <c r="N790" s="46" t="s">
        <v>1310</v>
      </c>
      <c r="O790" s="46" t="s">
        <v>1311</v>
      </c>
      <c r="P790" s="46" t="s">
        <v>1312</v>
      </c>
      <c r="Q790" s="46" t="s">
        <v>31</v>
      </c>
      <c r="R790" s="46" t="s">
        <v>31</v>
      </c>
      <c r="S790" s="46" t="s">
        <v>31</v>
      </c>
      <c r="T790" s="46" t="s">
        <v>31</v>
      </c>
      <c r="U790" s="46" t="s">
        <v>49</v>
      </c>
    </row>
    <row r="791" spans="1:21">
      <c r="A791" s="46" t="s">
        <v>752</v>
      </c>
      <c r="B791" s="46" t="s">
        <v>165</v>
      </c>
      <c r="C791" s="46" t="s">
        <v>666</v>
      </c>
      <c r="D791" s="46">
        <v>1</v>
      </c>
      <c r="E791" s="46">
        <v>0</v>
      </c>
      <c r="F791" s="46" t="s">
        <v>725</v>
      </c>
      <c r="G791" s="46" t="s">
        <v>1305</v>
      </c>
      <c r="H791" s="46" t="s">
        <v>2904</v>
      </c>
      <c r="I791" s="46" t="str">
        <f ca="1">IFERROR(__xludf.DUMMYFUNCTION("CONCAT(A791,REGEXREPLACE(H791,"".*_L0"",""_L0""))"),"PD_BN1614_MTG_snRNAseq_rep1_L002_I2_001.fastq.gz")</f>
        <v>PD_BN1614_MTG_snRNAseq_rep1_L002_I2_001.fastq.gz</v>
      </c>
      <c r="J791" s="46" t="str">
        <f t="shared" si="3"/>
        <v>/data/neurogen/ASAP/scRNAseq/data/batch14_ASAP_snRNA-seq_*/Raw_Data_and_Processing/cellranger_processing/cellranger_fastqs/outs/fastq_path/H*/BN1614_S2_L002_I2_001.fastq.gz</v>
      </c>
      <c r="K791" s="46" t="s">
        <v>1326</v>
      </c>
      <c r="L791" s="46" t="s">
        <v>2905</v>
      </c>
      <c r="M791" s="46" t="s">
        <v>1309</v>
      </c>
      <c r="N791" s="46" t="s">
        <v>1310</v>
      </c>
      <c r="O791" s="46" t="s">
        <v>1311</v>
      </c>
      <c r="P791" s="46" t="s">
        <v>1312</v>
      </c>
      <c r="Q791" s="46" t="s">
        <v>31</v>
      </c>
      <c r="R791" s="46" t="s">
        <v>31</v>
      </c>
      <c r="S791" s="46" t="s">
        <v>31</v>
      </c>
      <c r="T791" s="46" t="s">
        <v>31</v>
      </c>
      <c r="U791" s="46" t="s">
        <v>49</v>
      </c>
    </row>
    <row r="792" spans="1:21">
      <c r="A792" s="46" t="s">
        <v>752</v>
      </c>
      <c r="B792" s="46" t="s">
        <v>165</v>
      </c>
      <c r="C792" s="46" t="s">
        <v>666</v>
      </c>
      <c r="D792" s="46">
        <v>1</v>
      </c>
      <c r="E792" s="46">
        <v>0</v>
      </c>
      <c r="F792" s="46" t="s">
        <v>725</v>
      </c>
      <c r="G792" s="46" t="s">
        <v>1305</v>
      </c>
      <c r="H792" s="46" t="s">
        <v>2906</v>
      </c>
      <c r="I792" s="46" t="str">
        <f ca="1">IFERROR(__xludf.DUMMYFUNCTION("CONCAT(A792,REGEXREPLACE(H792,"".*_L0"",""_L0""))"),"PD_BN1614_MTG_snRNAseq_rep1_L002_R1_001.fastq.gz")</f>
        <v>PD_BN1614_MTG_snRNAseq_rep1_L002_R1_001.fastq.gz</v>
      </c>
      <c r="J792" s="46" t="str">
        <f t="shared" si="3"/>
        <v>/data/neurogen/ASAP/scRNAseq/data/batch14_ASAP_snRNA-seq_*/Raw_Data_and_Processing/cellranger_processing/cellranger_fastqs/outs/fastq_path/H*/BN1614_S2_L002_R1_001.fastq.gz</v>
      </c>
      <c r="K792" s="46" t="s">
        <v>1329</v>
      </c>
      <c r="L792" s="46" t="s">
        <v>2907</v>
      </c>
      <c r="M792" s="46" t="s">
        <v>1309</v>
      </c>
      <c r="N792" s="46" t="s">
        <v>1310</v>
      </c>
      <c r="O792" s="46" t="s">
        <v>1311</v>
      </c>
      <c r="P792" s="46" t="s">
        <v>1312</v>
      </c>
      <c r="Q792" s="46" t="s">
        <v>31</v>
      </c>
      <c r="R792" s="46" t="s">
        <v>31</v>
      </c>
      <c r="S792" s="46" t="s">
        <v>31</v>
      </c>
      <c r="T792" s="46" t="s">
        <v>31</v>
      </c>
      <c r="U792" s="46" t="s">
        <v>49</v>
      </c>
    </row>
    <row r="793" spans="1:21">
      <c r="A793" s="46" t="s">
        <v>752</v>
      </c>
      <c r="B793" s="46" t="s">
        <v>165</v>
      </c>
      <c r="C793" s="46" t="s">
        <v>666</v>
      </c>
      <c r="D793" s="46">
        <v>1</v>
      </c>
      <c r="E793" s="46">
        <v>0</v>
      </c>
      <c r="F793" s="46" t="s">
        <v>725</v>
      </c>
      <c r="G793" s="46" t="s">
        <v>1305</v>
      </c>
      <c r="H793" s="46" t="s">
        <v>2908</v>
      </c>
      <c r="I793" s="46" t="str">
        <f ca="1">IFERROR(__xludf.DUMMYFUNCTION("CONCAT(A793,REGEXREPLACE(H793,"".*_L0"",""_L0""))"),"PD_BN1614_MTG_snRNAseq_rep1_L002_R2_001.fastq.gz")</f>
        <v>PD_BN1614_MTG_snRNAseq_rep1_L002_R2_001.fastq.gz</v>
      </c>
      <c r="J793" s="46" t="str">
        <f t="shared" si="3"/>
        <v>/data/neurogen/ASAP/scRNAseq/data/batch14_ASAP_snRNA-seq_*/Raw_Data_and_Processing/cellranger_processing/cellranger_fastqs/outs/fastq_path/H*/BN1614_S2_L002_R2_001.fastq.gz</v>
      </c>
      <c r="K793" s="46" t="s">
        <v>1332</v>
      </c>
      <c r="L793" s="46" t="s">
        <v>2909</v>
      </c>
      <c r="M793" s="46" t="s">
        <v>1309</v>
      </c>
      <c r="N793" s="46" t="s">
        <v>1310</v>
      </c>
      <c r="O793" s="46" t="s">
        <v>1311</v>
      </c>
      <c r="P793" s="46" t="s">
        <v>1312</v>
      </c>
      <c r="Q793" s="46" t="s">
        <v>31</v>
      </c>
      <c r="R793" s="46" t="s">
        <v>31</v>
      </c>
      <c r="S793" s="46" t="s">
        <v>31</v>
      </c>
      <c r="T793" s="46" t="s">
        <v>31</v>
      </c>
      <c r="U793" s="46" t="s">
        <v>49</v>
      </c>
    </row>
    <row r="794" spans="1:21">
      <c r="A794" s="46" t="s">
        <v>752</v>
      </c>
      <c r="B794" s="46" t="s">
        <v>165</v>
      </c>
      <c r="C794" s="46" t="s">
        <v>666</v>
      </c>
      <c r="D794" s="46">
        <v>1</v>
      </c>
      <c r="E794" s="46">
        <v>0</v>
      </c>
      <c r="F794" s="46" t="s">
        <v>725</v>
      </c>
      <c r="G794" s="46" t="s">
        <v>1305</v>
      </c>
      <c r="H794" s="46" t="s">
        <v>2910</v>
      </c>
      <c r="I794" s="46" t="str">
        <f ca="1">IFERROR(__xludf.DUMMYFUNCTION("CONCAT(A794,REGEXREPLACE(H794,"".*_L0"",""_L0""))"),"PD_BN1614_MTG_snRNAseq_rep1_L003_I1_001.fastq.gz")</f>
        <v>PD_BN1614_MTG_snRNAseq_rep1_L003_I1_001.fastq.gz</v>
      </c>
      <c r="J794" s="46" t="str">
        <f t="shared" si="3"/>
        <v>/data/neurogen/ASAP/scRNAseq/data/batch14_ASAP_snRNA-seq_*/Raw_Data_and_Processing/cellranger_processing/cellranger_fastqs/outs/fastq_path/H*/BN1614_S2_L003_I1_001.fastq.gz</v>
      </c>
      <c r="K794" s="46" t="s">
        <v>1335</v>
      </c>
      <c r="L794" s="46" t="s">
        <v>2911</v>
      </c>
      <c r="M794" s="46" t="s">
        <v>1309</v>
      </c>
      <c r="N794" s="46" t="s">
        <v>1310</v>
      </c>
      <c r="O794" s="46" t="s">
        <v>1311</v>
      </c>
      <c r="P794" s="46" t="s">
        <v>1312</v>
      </c>
      <c r="Q794" s="46" t="s">
        <v>31</v>
      </c>
      <c r="R794" s="46" t="s">
        <v>31</v>
      </c>
      <c r="S794" s="46" t="s">
        <v>31</v>
      </c>
      <c r="T794" s="46" t="s">
        <v>31</v>
      </c>
      <c r="U794" s="46" t="s">
        <v>49</v>
      </c>
    </row>
    <row r="795" spans="1:21">
      <c r="A795" s="46" t="s">
        <v>752</v>
      </c>
      <c r="B795" s="46" t="s">
        <v>165</v>
      </c>
      <c r="C795" s="46" t="s">
        <v>666</v>
      </c>
      <c r="D795" s="46">
        <v>1</v>
      </c>
      <c r="E795" s="46">
        <v>0</v>
      </c>
      <c r="F795" s="46" t="s">
        <v>725</v>
      </c>
      <c r="G795" s="46" t="s">
        <v>1305</v>
      </c>
      <c r="H795" s="46" t="s">
        <v>2912</v>
      </c>
      <c r="I795" s="46" t="str">
        <f ca="1">IFERROR(__xludf.DUMMYFUNCTION("CONCAT(A795,REGEXREPLACE(H795,"".*_L0"",""_L0""))"),"PD_BN1614_MTG_snRNAseq_rep1_L003_I2_001.fastq.gz")</f>
        <v>PD_BN1614_MTG_snRNAseq_rep1_L003_I2_001.fastq.gz</v>
      </c>
      <c r="J795" s="46" t="str">
        <f t="shared" si="3"/>
        <v>/data/neurogen/ASAP/scRNAseq/data/batch14_ASAP_snRNA-seq_*/Raw_Data_and_Processing/cellranger_processing/cellranger_fastqs/outs/fastq_path/H*/BN1614_S2_L003_I2_001.fastq.gz</v>
      </c>
      <c r="K795" s="46" t="s">
        <v>1338</v>
      </c>
      <c r="L795" s="46" t="s">
        <v>2913</v>
      </c>
      <c r="M795" s="46" t="s">
        <v>1309</v>
      </c>
      <c r="N795" s="46" t="s">
        <v>1310</v>
      </c>
      <c r="O795" s="46" t="s">
        <v>1311</v>
      </c>
      <c r="P795" s="46" t="s">
        <v>1312</v>
      </c>
      <c r="Q795" s="46" t="s">
        <v>31</v>
      </c>
      <c r="R795" s="46" t="s">
        <v>31</v>
      </c>
      <c r="S795" s="46" t="s">
        <v>31</v>
      </c>
      <c r="T795" s="46" t="s">
        <v>31</v>
      </c>
      <c r="U795" s="46" t="s">
        <v>49</v>
      </c>
    </row>
    <row r="796" spans="1:21">
      <c r="A796" s="46" t="s">
        <v>752</v>
      </c>
      <c r="B796" s="46" t="s">
        <v>165</v>
      </c>
      <c r="C796" s="46" t="s">
        <v>666</v>
      </c>
      <c r="D796" s="46">
        <v>1</v>
      </c>
      <c r="E796" s="46">
        <v>0</v>
      </c>
      <c r="F796" s="46" t="s">
        <v>725</v>
      </c>
      <c r="G796" s="46" t="s">
        <v>1305</v>
      </c>
      <c r="H796" s="46" t="s">
        <v>2914</v>
      </c>
      <c r="I796" s="46" t="str">
        <f ca="1">IFERROR(__xludf.DUMMYFUNCTION("CONCAT(A796,REGEXREPLACE(H796,"".*_L0"",""_L0""))"),"PD_BN1614_MTG_snRNAseq_rep1_L003_R1_001.fastq.gz")</f>
        <v>PD_BN1614_MTG_snRNAseq_rep1_L003_R1_001.fastq.gz</v>
      </c>
      <c r="J796" s="46" t="str">
        <f t="shared" si="3"/>
        <v>/data/neurogen/ASAP/scRNAseq/data/batch14_ASAP_snRNA-seq_*/Raw_Data_and_Processing/cellranger_processing/cellranger_fastqs/outs/fastq_path/H*/BN1614_S2_L003_R1_001.fastq.gz</v>
      </c>
      <c r="K796" s="46" t="s">
        <v>1341</v>
      </c>
      <c r="L796" s="46" t="s">
        <v>2915</v>
      </c>
      <c r="M796" s="46" t="s">
        <v>1309</v>
      </c>
      <c r="N796" s="46" t="s">
        <v>1310</v>
      </c>
      <c r="O796" s="46" t="s">
        <v>1311</v>
      </c>
      <c r="P796" s="46" t="s">
        <v>1312</v>
      </c>
      <c r="Q796" s="46" t="s">
        <v>31</v>
      </c>
      <c r="R796" s="46" t="s">
        <v>31</v>
      </c>
      <c r="S796" s="46" t="s">
        <v>31</v>
      </c>
      <c r="T796" s="46" t="s">
        <v>31</v>
      </c>
      <c r="U796" s="46" t="s">
        <v>49</v>
      </c>
    </row>
    <row r="797" spans="1:21">
      <c r="A797" s="46" t="s">
        <v>752</v>
      </c>
      <c r="B797" s="46" t="s">
        <v>165</v>
      </c>
      <c r="C797" s="46" t="s">
        <v>666</v>
      </c>
      <c r="D797" s="46">
        <v>1</v>
      </c>
      <c r="E797" s="46">
        <v>0</v>
      </c>
      <c r="F797" s="46" t="s">
        <v>725</v>
      </c>
      <c r="G797" s="46" t="s">
        <v>1305</v>
      </c>
      <c r="H797" s="46" t="s">
        <v>2916</v>
      </c>
      <c r="I797" s="46" t="str">
        <f ca="1">IFERROR(__xludf.DUMMYFUNCTION("CONCAT(A797,REGEXREPLACE(H797,"".*_L0"",""_L0""))"),"PD_BN1614_MTG_snRNAseq_rep1_L003_R2_001.fastq.gz")</f>
        <v>PD_BN1614_MTG_snRNAseq_rep1_L003_R2_001.fastq.gz</v>
      </c>
      <c r="J797" s="46" t="str">
        <f t="shared" si="3"/>
        <v>/data/neurogen/ASAP/scRNAseq/data/batch14_ASAP_snRNA-seq_*/Raw_Data_and_Processing/cellranger_processing/cellranger_fastqs/outs/fastq_path/H*/BN1614_S2_L003_R2_001.fastq.gz</v>
      </c>
      <c r="K797" s="46" t="s">
        <v>1344</v>
      </c>
      <c r="L797" s="46" t="s">
        <v>2917</v>
      </c>
      <c r="M797" s="46" t="s">
        <v>1309</v>
      </c>
      <c r="N797" s="46" t="s">
        <v>1310</v>
      </c>
      <c r="O797" s="46" t="s">
        <v>1311</v>
      </c>
      <c r="P797" s="46" t="s">
        <v>1312</v>
      </c>
      <c r="Q797" s="46" t="s">
        <v>31</v>
      </c>
      <c r="R797" s="46" t="s">
        <v>31</v>
      </c>
      <c r="S797" s="46" t="s">
        <v>31</v>
      </c>
      <c r="T797" s="46" t="s">
        <v>31</v>
      </c>
      <c r="U797" s="46" t="s">
        <v>49</v>
      </c>
    </row>
    <row r="798" spans="1:21">
      <c r="A798" s="46" t="s">
        <v>752</v>
      </c>
      <c r="B798" s="46" t="s">
        <v>165</v>
      </c>
      <c r="C798" s="46" t="s">
        <v>666</v>
      </c>
      <c r="D798" s="46">
        <v>1</v>
      </c>
      <c r="E798" s="46">
        <v>0</v>
      </c>
      <c r="F798" s="46" t="s">
        <v>725</v>
      </c>
      <c r="G798" s="46" t="s">
        <v>1305</v>
      </c>
      <c r="H798" s="46" t="s">
        <v>2918</v>
      </c>
      <c r="I798" s="46" t="str">
        <f ca="1">IFERROR(__xludf.DUMMYFUNCTION("CONCAT(A798,REGEXREPLACE(H798,"".*_L0"",""_L0""))"),"PD_BN1614_MTG_snRNAseq_rep1_L004_I1_001.fastq.gz")</f>
        <v>PD_BN1614_MTG_snRNAseq_rep1_L004_I1_001.fastq.gz</v>
      </c>
      <c r="J798" s="46" t="str">
        <f t="shared" si="3"/>
        <v>/data/neurogen/ASAP/scRNAseq/data/batch14_ASAP_snRNA-seq_*/Raw_Data_and_Processing/cellranger_processing/cellranger_fastqs/outs/fastq_path/H*/BN1614_S2_L004_I1_001.fastq.gz</v>
      </c>
      <c r="K798" s="46" t="s">
        <v>1347</v>
      </c>
      <c r="L798" s="46" t="s">
        <v>2919</v>
      </c>
      <c r="M798" s="46" t="s">
        <v>1309</v>
      </c>
      <c r="N798" s="46" t="s">
        <v>1310</v>
      </c>
      <c r="O798" s="46" t="s">
        <v>1311</v>
      </c>
      <c r="P798" s="46" t="s">
        <v>1312</v>
      </c>
      <c r="Q798" s="46" t="s">
        <v>31</v>
      </c>
      <c r="R798" s="46" t="s">
        <v>31</v>
      </c>
      <c r="S798" s="46" t="s">
        <v>31</v>
      </c>
      <c r="T798" s="46" t="s">
        <v>31</v>
      </c>
      <c r="U798" s="46" t="s">
        <v>49</v>
      </c>
    </row>
    <row r="799" spans="1:21">
      <c r="A799" s="46" t="s">
        <v>752</v>
      </c>
      <c r="B799" s="46" t="s">
        <v>165</v>
      </c>
      <c r="C799" s="46" t="s">
        <v>666</v>
      </c>
      <c r="D799" s="46">
        <v>1</v>
      </c>
      <c r="E799" s="46">
        <v>0</v>
      </c>
      <c r="F799" s="46" t="s">
        <v>725</v>
      </c>
      <c r="G799" s="46" t="s">
        <v>1305</v>
      </c>
      <c r="H799" s="46" t="s">
        <v>2920</v>
      </c>
      <c r="I799" s="46" t="str">
        <f ca="1">IFERROR(__xludf.DUMMYFUNCTION("CONCAT(A799,REGEXREPLACE(H799,"".*_L0"",""_L0""))"),"PD_BN1614_MTG_snRNAseq_rep1_L004_I2_001.fastq.gz")</f>
        <v>PD_BN1614_MTG_snRNAseq_rep1_L004_I2_001.fastq.gz</v>
      </c>
      <c r="J799" s="46" t="str">
        <f t="shared" si="3"/>
        <v>/data/neurogen/ASAP/scRNAseq/data/batch14_ASAP_snRNA-seq_*/Raw_Data_and_Processing/cellranger_processing/cellranger_fastqs/outs/fastq_path/H*/BN1614_S2_L004_I2_001.fastq.gz</v>
      </c>
      <c r="K799" s="46" t="s">
        <v>1350</v>
      </c>
      <c r="L799" s="46" t="s">
        <v>2921</v>
      </c>
      <c r="M799" s="46" t="s">
        <v>1309</v>
      </c>
      <c r="N799" s="46" t="s">
        <v>1310</v>
      </c>
      <c r="O799" s="46" t="s">
        <v>1311</v>
      </c>
      <c r="P799" s="46" t="s">
        <v>1312</v>
      </c>
      <c r="Q799" s="46" t="s">
        <v>31</v>
      </c>
      <c r="R799" s="46" t="s">
        <v>31</v>
      </c>
      <c r="S799" s="46" t="s">
        <v>31</v>
      </c>
      <c r="T799" s="46" t="s">
        <v>31</v>
      </c>
      <c r="U799" s="46" t="s">
        <v>49</v>
      </c>
    </row>
    <row r="800" spans="1:21">
      <c r="A800" s="46" t="s">
        <v>752</v>
      </c>
      <c r="B800" s="46" t="s">
        <v>165</v>
      </c>
      <c r="C800" s="46" t="s">
        <v>666</v>
      </c>
      <c r="D800" s="46">
        <v>1</v>
      </c>
      <c r="E800" s="46">
        <v>0</v>
      </c>
      <c r="F800" s="46" t="s">
        <v>725</v>
      </c>
      <c r="G800" s="46" t="s">
        <v>1305</v>
      </c>
      <c r="H800" s="46" t="s">
        <v>2922</v>
      </c>
      <c r="I800" s="46" t="str">
        <f ca="1">IFERROR(__xludf.DUMMYFUNCTION("CONCAT(A800,REGEXREPLACE(H800,"".*_L0"",""_L0""))"),"PD_BN1614_MTG_snRNAseq_rep1_L004_R1_001.fastq.gz")</f>
        <v>PD_BN1614_MTG_snRNAseq_rep1_L004_R1_001.fastq.gz</v>
      </c>
      <c r="J800" s="46" t="str">
        <f t="shared" si="3"/>
        <v>/data/neurogen/ASAP/scRNAseq/data/batch14_ASAP_snRNA-seq_*/Raw_Data_and_Processing/cellranger_processing/cellranger_fastqs/outs/fastq_path/H*/BN1614_S2_L004_R1_001.fastq.gz</v>
      </c>
      <c r="K800" s="46" t="s">
        <v>1353</v>
      </c>
      <c r="L800" s="46" t="s">
        <v>2923</v>
      </c>
      <c r="M800" s="46" t="s">
        <v>1309</v>
      </c>
      <c r="N800" s="46" t="s">
        <v>1310</v>
      </c>
      <c r="O800" s="46" t="s">
        <v>1311</v>
      </c>
      <c r="P800" s="46" t="s">
        <v>1312</v>
      </c>
      <c r="Q800" s="46" t="s">
        <v>31</v>
      </c>
      <c r="R800" s="46" t="s">
        <v>31</v>
      </c>
      <c r="S800" s="46" t="s">
        <v>31</v>
      </c>
      <c r="T800" s="46" t="s">
        <v>31</v>
      </c>
      <c r="U800" s="46" t="s">
        <v>49</v>
      </c>
    </row>
    <row r="801" spans="1:21">
      <c r="A801" s="46" t="s">
        <v>752</v>
      </c>
      <c r="B801" s="46" t="s">
        <v>165</v>
      </c>
      <c r="C801" s="46" t="s">
        <v>666</v>
      </c>
      <c r="D801" s="46">
        <v>1</v>
      </c>
      <c r="E801" s="46">
        <v>0</v>
      </c>
      <c r="F801" s="46" t="s">
        <v>725</v>
      </c>
      <c r="G801" s="46" t="s">
        <v>1305</v>
      </c>
      <c r="H801" s="46" t="s">
        <v>2924</v>
      </c>
      <c r="I801" s="46" t="str">
        <f ca="1">IFERROR(__xludf.DUMMYFUNCTION("CONCAT(A801,REGEXREPLACE(H801,"".*_L0"",""_L0""))"),"PD_BN1614_MTG_snRNAseq_rep1_L004_R2_001.fastq.gz")</f>
        <v>PD_BN1614_MTG_snRNAseq_rep1_L004_R2_001.fastq.gz</v>
      </c>
      <c r="J801" s="46" t="str">
        <f t="shared" si="3"/>
        <v>/data/neurogen/ASAP/scRNAseq/data/batch14_ASAP_snRNA-seq_*/Raw_Data_and_Processing/cellranger_processing/cellranger_fastqs/outs/fastq_path/H*/BN1614_S2_L004_R2_001.fastq.gz</v>
      </c>
      <c r="K801" s="46" t="s">
        <v>1356</v>
      </c>
      <c r="L801" s="46" t="s">
        <v>2925</v>
      </c>
      <c r="M801" s="46" t="s">
        <v>1309</v>
      </c>
      <c r="N801" s="46" t="s">
        <v>1310</v>
      </c>
      <c r="O801" s="46" t="s">
        <v>1311</v>
      </c>
      <c r="P801" s="46" t="s">
        <v>1312</v>
      </c>
      <c r="Q801" s="46" t="s">
        <v>31</v>
      </c>
      <c r="R801" s="46" t="s">
        <v>31</v>
      </c>
      <c r="S801" s="46" t="s">
        <v>31</v>
      </c>
      <c r="T801" s="46" t="s">
        <v>31</v>
      </c>
      <c r="U801" s="46" t="s">
        <v>49</v>
      </c>
    </row>
    <row r="802" spans="1:21">
      <c r="A802" s="46" t="s">
        <v>732</v>
      </c>
      <c r="B802" s="46" t="s">
        <v>135</v>
      </c>
      <c r="C802" s="46" t="s">
        <v>666</v>
      </c>
      <c r="D802" s="46">
        <v>1</v>
      </c>
      <c r="E802" s="46">
        <v>0</v>
      </c>
      <c r="F802" s="46" t="s">
        <v>733</v>
      </c>
      <c r="G802" s="46" t="s">
        <v>1305</v>
      </c>
      <c r="H802" s="46" t="s">
        <v>2926</v>
      </c>
      <c r="I802" s="46" t="str">
        <f ca="1">IFERROR(__xludf.DUMMYFUNCTION("CONCAT(A802,REGEXREPLACE(H802,"".*_L0"",""_L0""))"),"HC_BN1340_MTG_snRNAseq_rep1_L001_I1_001.fastq.gz")</f>
        <v>HC_BN1340_MTG_snRNAseq_rep1_L001_I1_001.fastq.gz</v>
      </c>
      <c r="J802" s="46" t="str">
        <f t="shared" si="3"/>
        <v>/data/neurogen/ASAP/scRNAseq/data/batch15_ASAP_snRNA-seq_*/Raw_Data_and_Processing/cellranger_processing/cellranger_fastqs/outs/fastq_path/H*/BN1340_S2_L001_I1_001.fastq.gz</v>
      </c>
      <c r="K802" s="46" t="s">
        <v>1307</v>
      </c>
      <c r="L802" s="46" t="s">
        <v>2927</v>
      </c>
      <c r="M802" s="46" t="s">
        <v>1309</v>
      </c>
      <c r="N802" s="46" t="s">
        <v>1310</v>
      </c>
      <c r="O802" s="46" t="s">
        <v>1311</v>
      </c>
      <c r="P802" s="46" t="s">
        <v>1312</v>
      </c>
      <c r="Q802" s="46" t="s">
        <v>31</v>
      </c>
      <c r="R802" s="46" t="s">
        <v>31</v>
      </c>
      <c r="S802" s="46" t="s">
        <v>31</v>
      </c>
      <c r="T802" s="46" t="s">
        <v>31</v>
      </c>
      <c r="U802" s="46" t="s">
        <v>49</v>
      </c>
    </row>
    <row r="803" spans="1:21">
      <c r="A803" s="46" t="s">
        <v>732</v>
      </c>
      <c r="B803" s="46" t="s">
        <v>135</v>
      </c>
      <c r="C803" s="46" t="s">
        <v>666</v>
      </c>
      <c r="D803" s="46">
        <v>1</v>
      </c>
      <c r="E803" s="46">
        <v>0</v>
      </c>
      <c r="F803" s="46" t="s">
        <v>733</v>
      </c>
      <c r="G803" s="46" t="s">
        <v>1305</v>
      </c>
      <c r="H803" s="46" t="s">
        <v>2928</v>
      </c>
      <c r="I803" s="46" t="str">
        <f ca="1">IFERROR(__xludf.DUMMYFUNCTION("CONCAT(A803,REGEXREPLACE(H803,"".*_L0"",""_L0""))"),"HC_BN1340_MTG_snRNAseq_rep1_L001_I2_001.fastq.gz")</f>
        <v>HC_BN1340_MTG_snRNAseq_rep1_L001_I2_001.fastq.gz</v>
      </c>
      <c r="J803" s="46" t="str">
        <f t="shared" si="3"/>
        <v>/data/neurogen/ASAP/scRNAseq/data/batch15_ASAP_snRNA-seq_*/Raw_Data_and_Processing/cellranger_processing/cellranger_fastqs/outs/fastq_path/H*/BN1340_S2_L001_I2_001.fastq.gz</v>
      </c>
      <c r="K803" s="46" t="s">
        <v>1314</v>
      </c>
      <c r="L803" s="46" t="s">
        <v>2929</v>
      </c>
      <c r="M803" s="46" t="s">
        <v>1309</v>
      </c>
      <c r="N803" s="46" t="s">
        <v>1310</v>
      </c>
      <c r="O803" s="46" t="s">
        <v>1311</v>
      </c>
      <c r="P803" s="46" t="s">
        <v>1312</v>
      </c>
      <c r="Q803" s="46" t="s">
        <v>31</v>
      </c>
      <c r="R803" s="46" t="s">
        <v>31</v>
      </c>
      <c r="S803" s="46" t="s">
        <v>31</v>
      </c>
      <c r="T803" s="46" t="s">
        <v>31</v>
      </c>
      <c r="U803" s="46" t="s">
        <v>49</v>
      </c>
    </row>
    <row r="804" spans="1:21">
      <c r="A804" s="46" t="s">
        <v>732</v>
      </c>
      <c r="B804" s="46" t="s">
        <v>135</v>
      </c>
      <c r="C804" s="46" t="s">
        <v>666</v>
      </c>
      <c r="D804" s="46">
        <v>1</v>
      </c>
      <c r="E804" s="46">
        <v>0</v>
      </c>
      <c r="F804" s="46" t="s">
        <v>733</v>
      </c>
      <c r="G804" s="46" t="s">
        <v>1305</v>
      </c>
      <c r="H804" s="46" t="s">
        <v>2930</v>
      </c>
      <c r="I804" s="46" t="str">
        <f ca="1">IFERROR(__xludf.DUMMYFUNCTION("CONCAT(A804,REGEXREPLACE(H804,"".*_L0"",""_L0""))"),"HC_BN1340_MTG_snRNAseq_rep1_L001_R1_001.fastq.gz")</f>
        <v>HC_BN1340_MTG_snRNAseq_rep1_L001_R1_001.fastq.gz</v>
      </c>
      <c r="J804" s="46" t="str">
        <f t="shared" si="3"/>
        <v>/data/neurogen/ASAP/scRNAseq/data/batch15_ASAP_snRNA-seq_*/Raw_Data_and_Processing/cellranger_processing/cellranger_fastqs/outs/fastq_path/H*/BN1340_S2_L001_R1_001.fastq.gz</v>
      </c>
      <c r="K804" s="46" t="s">
        <v>1317</v>
      </c>
      <c r="L804" s="46" t="s">
        <v>2931</v>
      </c>
      <c r="M804" s="46" t="s">
        <v>1309</v>
      </c>
      <c r="N804" s="46" t="s">
        <v>1310</v>
      </c>
      <c r="O804" s="46" t="s">
        <v>1311</v>
      </c>
      <c r="P804" s="46" t="s">
        <v>1312</v>
      </c>
      <c r="Q804" s="46" t="s">
        <v>31</v>
      </c>
      <c r="R804" s="46" t="s">
        <v>31</v>
      </c>
      <c r="S804" s="46" t="s">
        <v>31</v>
      </c>
      <c r="T804" s="46" t="s">
        <v>31</v>
      </c>
      <c r="U804" s="46" t="s">
        <v>49</v>
      </c>
    </row>
    <row r="805" spans="1:21">
      <c r="A805" s="46" t="s">
        <v>732</v>
      </c>
      <c r="B805" s="46" t="s">
        <v>135</v>
      </c>
      <c r="C805" s="46" t="s">
        <v>666</v>
      </c>
      <c r="D805" s="46">
        <v>1</v>
      </c>
      <c r="E805" s="46">
        <v>0</v>
      </c>
      <c r="F805" s="46" t="s">
        <v>733</v>
      </c>
      <c r="G805" s="46" t="s">
        <v>1305</v>
      </c>
      <c r="H805" s="46" t="s">
        <v>2932</v>
      </c>
      <c r="I805" s="46" t="str">
        <f ca="1">IFERROR(__xludf.DUMMYFUNCTION("CONCAT(A805,REGEXREPLACE(H805,"".*_L0"",""_L0""))"),"HC_BN1340_MTG_snRNAseq_rep1_L001_R2_001.fastq.gz")</f>
        <v>HC_BN1340_MTG_snRNAseq_rep1_L001_R2_001.fastq.gz</v>
      </c>
      <c r="J805" s="46" t="str">
        <f t="shared" si="3"/>
        <v>/data/neurogen/ASAP/scRNAseq/data/batch15_ASAP_snRNA-seq_*/Raw_Data_and_Processing/cellranger_processing/cellranger_fastqs/outs/fastq_path/H*/BN1340_S2_L001_R2_001.fastq.gz</v>
      </c>
      <c r="K805" s="46" t="s">
        <v>1320</v>
      </c>
      <c r="L805" s="46" t="s">
        <v>2933</v>
      </c>
      <c r="M805" s="46" t="s">
        <v>1309</v>
      </c>
      <c r="N805" s="46" t="s">
        <v>1310</v>
      </c>
      <c r="O805" s="46" t="s">
        <v>1311</v>
      </c>
      <c r="P805" s="46" t="s">
        <v>1312</v>
      </c>
      <c r="Q805" s="46" t="s">
        <v>31</v>
      </c>
      <c r="R805" s="46" t="s">
        <v>31</v>
      </c>
      <c r="S805" s="46" t="s">
        <v>31</v>
      </c>
      <c r="T805" s="46" t="s">
        <v>31</v>
      </c>
      <c r="U805" s="46" t="s">
        <v>49</v>
      </c>
    </row>
    <row r="806" spans="1:21">
      <c r="A806" s="46" t="s">
        <v>732</v>
      </c>
      <c r="B806" s="46" t="s">
        <v>135</v>
      </c>
      <c r="C806" s="46" t="s">
        <v>666</v>
      </c>
      <c r="D806" s="46">
        <v>1</v>
      </c>
      <c r="E806" s="46">
        <v>0</v>
      </c>
      <c r="F806" s="46" t="s">
        <v>733</v>
      </c>
      <c r="G806" s="46" t="s">
        <v>1305</v>
      </c>
      <c r="H806" s="46" t="s">
        <v>2934</v>
      </c>
      <c r="I806" s="46" t="str">
        <f ca="1">IFERROR(__xludf.DUMMYFUNCTION("CONCAT(A806,REGEXREPLACE(H806,"".*_L0"",""_L0""))"),"HC_BN1340_MTG_snRNAseq_rep1_L002_I1_001.fastq.gz")</f>
        <v>HC_BN1340_MTG_snRNAseq_rep1_L002_I1_001.fastq.gz</v>
      </c>
      <c r="J806" s="46" t="str">
        <f t="shared" si="3"/>
        <v>/data/neurogen/ASAP/scRNAseq/data/batch15_ASAP_snRNA-seq_*/Raw_Data_and_Processing/cellranger_processing/cellranger_fastqs/outs/fastq_path/H*/BN1340_S2_L002_I1_001.fastq.gz</v>
      </c>
      <c r="K806" s="46" t="s">
        <v>1323</v>
      </c>
      <c r="L806" s="46" t="s">
        <v>2935</v>
      </c>
      <c r="M806" s="46" t="s">
        <v>1309</v>
      </c>
      <c r="N806" s="46" t="s">
        <v>1310</v>
      </c>
      <c r="O806" s="46" t="s">
        <v>1311</v>
      </c>
      <c r="P806" s="46" t="s">
        <v>1312</v>
      </c>
      <c r="Q806" s="46" t="s">
        <v>31</v>
      </c>
      <c r="R806" s="46" t="s">
        <v>31</v>
      </c>
      <c r="S806" s="46" t="s">
        <v>31</v>
      </c>
      <c r="T806" s="46" t="s">
        <v>31</v>
      </c>
      <c r="U806" s="46" t="s">
        <v>49</v>
      </c>
    </row>
    <row r="807" spans="1:21">
      <c r="A807" s="46" t="s">
        <v>732</v>
      </c>
      <c r="B807" s="46" t="s">
        <v>135</v>
      </c>
      <c r="C807" s="46" t="s">
        <v>666</v>
      </c>
      <c r="D807" s="46">
        <v>1</v>
      </c>
      <c r="E807" s="46">
        <v>0</v>
      </c>
      <c r="F807" s="46" t="s">
        <v>733</v>
      </c>
      <c r="G807" s="46" t="s">
        <v>1305</v>
      </c>
      <c r="H807" s="46" t="s">
        <v>2936</v>
      </c>
      <c r="I807" s="46" t="str">
        <f ca="1">IFERROR(__xludf.DUMMYFUNCTION("CONCAT(A807,REGEXREPLACE(H807,"".*_L0"",""_L0""))"),"HC_BN1340_MTG_snRNAseq_rep1_L002_I2_001.fastq.gz")</f>
        <v>HC_BN1340_MTG_snRNAseq_rep1_L002_I2_001.fastq.gz</v>
      </c>
      <c r="J807" s="46" t="str">
        <f t="shared" si="3"/>
        <v>/data/neurogen/ASAP/scRNAseq/data/batch15_ASAP_snRNA-seq_*/Raw_Data_and_Processing/cellranger_processing/cellranger_fastqs/outs/fastq_path/H*/BN1340_S2_L002_I2_001.fastq.gz</v>
      </c>
      <c r="K807" s="46" t="s">
        <v>1326</v>
      </c>
      <c r="L807" s="46" t="s">
        <v>2937</v>
      </c>
      <c r="M807" s="46" t="s">
        <v>1309</v>
      </c>
      <c r="N807" s="46" t="s">
        <v>1310</v>
      </c>
      <c r="O807" s="46" t="s">
        <v>1311</v>
      </c>
      <c r="P807" s="46" t="s">
        <v>1312</v>
      </c>
      <c r="Q807" s="46" t="s">
        <v>31</v>
      </c>
      <c r="R807" s="46" t="s">
        <v>31</v>
      </c>
      <c r="S807" s="46" t="s">
        <v>31</v>
      </c>
      <c r="T807" s="46" t="s">
        <v>31</v>
      </c>
      <c r="U807" s="46" t="s">
        <v>49</v>
      </c>
    </row>
    <row r="808" spans="1:21">
      <c r="A808" s="46" t="s">
        <v>732</v>
      </c>
      <c r="B808" s="46" t="s">
        <v>135</v>
      </c>
      <c r="C808" s="46" t="s">
        <v>666</v>
      </c>
      <c r="D808" s="46">
        <v>1</v>
      </c>
      <c r="E808" s="46">
        <v>0</v>
      </c>
      <c r="F808" s="46" t="s">
        <v>733</v>
      </c>
      <c r="G808" s="46" t="s">
        <v>1305</v>
      </c>
      <c r="H808" s="46" t="s">
        <v>2938</v>
      </c>
      <c r="I808" s="46" t="str">
        <f ca="1">IFERROR(__xludf.DUMMYFUNCTION("CONCAT(A808,REGEXREPLACE(H808,"".*_L0"",""_L0""))"),"HC_BN1340_MTG_snRNAseq_rep1_L002_R1_001.fastq.gz")</f>
        <v>HC_BN1340_MTG_snRNAseq_rep1_L002_R1_001.fastq.gz</v>
      </c>
      <c r="J808" s="46" t="str">
        <f t="shared" si="3"/>
        <v>/data/neurogen/ASAP/scRNAseq/data/batch15_ASAP_snRNA-seq_*/Raw_Data_and_Processing/cellranger_processing/cellranger_fastqs/outs/fastq_path/H*/BN1340_S2_L002_R1_001.fastq.gz</v>
      </c>
      <c r="K808" s="46" t="s">
        <v>1329</v>
      </c>
      <c r="L808" s="46" t="s">
        <v>2939</v>
      </c>
      <c r="M808" s="46" t="s">
        <v>1309</v>
      </c>
      <c r="N808" s="46" t="s">
        <v>1310</v>
      </c>
      <c r="O808" s="46" t="s">
        <v>1311</v>
      </c>
      <c r="P808" s="46" t="s">
        <v>1312</v>
      </c>
      <c r="Q808" s="46" t="s">
        <v>31</v>
      </c>
      <c r="R808" s="46" t="s">
        <v>31</v>
      </c>
      <c r="S808" s="46" t="s">
        <v>31</v>
      </c>
      <c r="T808" s="46" t="s">
        <v>31</v>
      </c>
      <c r="U808" s="46" t="s">
        <v>49</v>
      </c>
    </row>
    <row r="809" spans="1:21">
      <c r="A809" s="46" t="s">
        <v>732</v>
      </c>
      <c r="B809" s="46" t="s">
        <v>135</v>
      </c>
      <c r="C809" s="46" t="s">
        <v>666</v>
      </c>
      <c r="D809" s="46">
        <v>1</v>
      </c>
      <c r="E809" s="46">
        <v>0</v>
      </c>
      <c r="F809" s="46" t="s">
        <v>733</v>
      </c>
      <c r="G809" s="46" t="s">
        <v>1305</v>
      </c>
      <c r="H809" s="46" t="s">
        <v>2940</v>
      </c>
      <c r="I809" s="46" t="str">
        <f ca="1">IFERROR(__xludf.DUMMYFUNCTION("CONCAT(A809,REGEXREPLACE(H809,"".*_L0"",""_L0""))"),"HC_BN1340_MTG_snRNAseq_rep1_L002_R2_001.fastq.gz")</f>
        <v>HC_BN1340_MTG_snRNAseq_rep1_L002_R2_001.fastq.gz</v>
      </c>
      <c r="J809" s="46" t="str">
        <f t="shared" si="3"/>
        <v>/data/neurogen/ASAP/scRNAseq/data/batch15_ASAP_snRNA-seq_*/Raw_Data_and_Processing/cellranger_processing/cellranger_fastqs/outs/fastq_path/H*/BN1340_S2_L002_R2_001.fastq.gz</v>
      </c>
      <c r="K809" s="46" t="s">
        <v>1332</v>
      </c>
      <c r="L809" s="46" t="s">
        <v>2941</v>
      </c>
      <c r="M809" s="46" t="s">
        <v>1309</v>
      </c>
      <c r="N809" s="46" t="s">
        <v>1310</v>
      </c>
      <c r="O809" s="46" t="s">
        <v>1311</v>
      </c>
      <c r="P809" s="46" t="s">
        <v>1312</v>
      </c>
      <c r="Q809" s="46" t="s">
        <v>31</v>
      </c>
      <c r="R809" s="46" t="s">
        <v>31</v>
      </c>
      <c r="S809" s="46" t="s">
        <v>31</v>
      </c>
      <c r="T809" s="46" t="s">
        <v>31</v>
      </c>
      <c r="U809" s="46" t="s">
        <v>49</v>
      </c>
    </row>
    <row r="810" spans="1:21">
      <c r="A810" s="46" t="s">
        <v>732</v>
      </c>
      <c r="B810" s="46" t="s">
        <v>135</v>
      </c>
      <c r="C810" s="46" t="s">
        <v>666</v>
      </c>
      <c r="D810" s="46">
        <v>1</v>
      </c>
      <c r="E810" s="46">
        <v>0</v>
      </c>
      <c r="F810" s="46" t="s">
        <v>733</v>
      </c>
      <c r="G810" s="46" t="s">
        <v>1305</v>
      </c>
      <c r="H810" s="46" t="s">
        <v>2942</v>
      </c>
      <c r="I810" s="46" t="str">
        <f ca="1">IFERROR(__xludf.DUMMYFUNCTION("CONCAT(A810,REGEXREPLACE(H810,"".*_L0"",""_L0""))"),"HC_BN1340_MTG_snRNAseq_rep1_L003_I1_001.fastq.gz")</f>
        <v>HC_BN1340_MTG_snRNAseq_rep1_L003_I1_001.fastq.gz</v>
      </c>
      <c r="J810" s="46" t="str">
        <f t="shared" si="3"/>
        <v>/data/neurogen/ASAP/scRNAseq/data/batch15_ASAP_snRNA-seq_*/Raw_Data_and_Processing/cellranger_processing/cellranger_fastqs/outs/fastq_path/H*/BN1340_S2_L003_I1_001.fastq.gz</v>
      </c>
      <c r="K810" s="46" t="s">
        <v>1335</v>
      </c>
      <c r="L810" s="46" t="s">
        <v>2943</v>
      </c>
      <c r="M810" s="46" t="s">
        <v>1309</v>
      </c>
      <c r="N810" s="46" t="s">
        <v>1310</v>
      </c>
      <c r="O810" s="46" t="s">
        <v>1311</v>
      </c>
      <c r="P810" s="46" t="s">
        <v>1312</v>
      </c>
      <c r="Q810" s="46" t="s">
        <v>31</v>
      </c>
      <c r="R810" s="46" t="s">
        <v>31</v>
      </c>
      <c r="S810" s="46" t="s">
        <v>31</v>
      </c>
      <c r="T810" s="46" t="s">
        <v>31</v>
      </c>
      <c r="U810" s="46" t="s">
        <v>49</v>
      </c>
    </row>
    <row r="811" spans="1:21">
      <c r="A811" s="46" t="s">
        <v>732</v>
      </c>
      <c r="B811" s="46" t="s">
        <v>135</v>
      </c>
      <c r="C811" s="46" t="s">
        <v>666</v>
      </c>
      <c r="D811" s="46">
        <v>1</v>
      </c>
      <c r="E811" s="46">
        <v>0</v>
      </c>
      <c r="F811" s="46" t="s">
        <v>733</v>
      </c>
      <c r="G811" s="46" t="s">
        <v>1305</v>
      </c>
      <c r="H811" s="46" t="s">
        <v>2944</v>
      </c>
      <c r="I811" s="46" t="str">
        <f ca="1">IFERROR(__xludf.DUMMYFUNCTION("CONCAT(A811,REGEXREPLACE(H811,"".*_L0"",""_L0""))"),"HC_BN1340_MTG_snRNAseq_rep1_L003_I2_001.fastq.gz")</f>
        <v>HC_BN1340_MTG_snRNAseq_rep1_L003_I2_001.fastq.gz</v>
      </c>
      <c r="J811" s="46" t="str">
        <f t="shared" si="3"/>
        <v>/data/neurogen/ASAP/scRNAseq/data/batch15_ASAP_snRNA-seq_*/Raw_Data_and_Processing/cellranger_processing/cellranger_fastqs/outs/fastq_path/H*/BN1340_S2_L003_I2_001.fastq.gz</v>
      </c>
      <c r="K811" s="46" t="s">
        <v>1338</v>
      </c>
      <c r="L811" s="46" t="s">
        <v>2945</v>
      </c>
      <c r="M811" s="46" t="s">
        <v>1309</v>
      </c>
      <c r="N811" s="46" t="s">
        <v>1310</v>
      </c>
      <c r="O811" s="46" t="s">
        <v>1311</v>
      </c>
      <c r="P811" s="46" t="s">
        <v>1312</v>
      </c>
      <c r="Q811" s="46" t="s">
        <v>31</v>
      </c>
      <c r="R811" s="46" t="s">
        <v>31</v>
      </c>
      <c r="S811" s="46" t="s">
        <v>31</v>
      </c>
      <c r="T811" s="46" t="s">
        <v>31</v>
      </c>
      <c r="U811" s="46" t="s">
        <v>49</v>
      </c>
    </row>
    <row r="812" spans="1:21">
      <c r="A812" s="46" t="s">
        <v>732</v>
      </c>
      <c r="B812" s="46" t="s">
        <v>135</v>
      </c>
      <c r="C812" s="46" t="s">
        <v>666</v>
      </c>
      <c r="D812" s="46">
        <v>1</v>
      </c>
      <c r="E812" s="46">
        <v>0</v>
      </c>
      <c r="F812" s="46" t="s">
        <v>733</v>
      </c>
      <c r="G812" s="46" t="s">
        <v>1305</v>
      </c>
      <c r="H812" s="46" t="s">
        <v>2946</v>
      </c>
      <c r="I812" s="46" t="str">
        <f ca="1">IFERROR(__xludf.DUMMYFUNCTION("CONCAT(A812,REGEXREPLACE(H812,"".*_L0"",""_L0""))"),"HC_BN1340_MTG_snRNAseq_rep1_L003_R1_001.fastq.gz")</f>
        <v>HC_BN1340_MTG_snRNAseq_rep1_L003_R1_001.fastq.gz</v>
      </c>
      <c r="J812" s="46" t="str">
        <f t="shared" si="3"/>
        <v>/data/neurogen/ASAP/scRNAseq/data/batch15_ASAP_snRNA-seq_*/Raw_Data_and_Processing/cellranger_processing/cellranger_fastqs/outs/fastq_path/H*/BN1340_S2_L003_R1_001.fastq.gz</v>
      </c>
      <c r="K812" s="46" t="s">
        <v>1341</v>
      </c>
      <c r="L812" s="46" t="s">
        <v>2947</v>
      </c>
      <c r="M812" s="46" t="s">
        <v>1309</v>
      </c>
      <c r="N812" s="46" t="s">
        <v>1310</v>
      </c>
      <c r="O812" s="46" t="s">
        <v>1311</v>
      </c>
      <c r="P812" s="46" t="s">
        <v>1312</v>
      </c>
      <c r="Q812" s="46" t="s">
        <v>31</v>
      </c>
      <c r="R812" s="46" t="s">
        <v>31</v>
      </c>
      <c r="S812" s="46" t="s">
        <v>31</v>
      </c>
      <c r="T812" s="46" t="s">
        <v>31</v>
      </c>
      <c r="U812" s="46" t="s">
        <v>49</v>
      </c>
    </row>
    <row r="813" spans="1:21">
      <c r="A813" s="46" t="s">
        <v>732</v>
      </c>
      <c r="B813" s="46" t="s">
        <v>135</v>
      </c>
      <c r="C813" s="46" t="s">
        <v>666</v>
      </c>
      <c r="D813" s="46">
        <v>1</v>
      </c>
      <c r="E813" s="46">
        <v>0</v>
      </c>
      <c r="F813" s="46" t="s">
        <v>733</v>
      </c>
      <c r="G813" s="46" t="s">
        <v>1305</v>
      </c>
      <c r="H813" s="46" t="s">
        <v>2948</v>
      </c>
      <c r="I813" s="46" t="str">
        <f ca="1">IFERROR(__xludf.DUMMYFUNCTION("CONCAT(A813,REGEXREPLACE(H813,"".*_L0"",""_L0""))"),"HC_BN1340_MTG_snRNAseq_rep1_L003_R2_001.fastq.gz")</f>
        <v>HC_BN1340_MTG_snRNAseq_rep1_L003_R2_001.fastq.gz</v>
      </c>
      <c r="J813" s="46" t="str">
        <f t="shared" si="3"/>
        <v>/data/neurogen/ASAP/scRNAseq/data/batch15_ASAP_snRNA-seq_*/Raw_Data_and_Processing/cellranger_processing/cellranger_fastqs/outs/fastq_path/H*/BN1340_S2_L003_R2_001.fastq.gz</v>
      </c>
      <c r="K813" s="46" t="s">
        <v>1344</v>
      </c>
      <c r="L813" s="46" t="s">
        <v>2949</v>
      </c>
      <c r="M813" s="46" t="s">
        <v>1309</v>
      </c>
      <c r="N813" s="46" t="s">
        <v>1310</v>
      </c>
      <c r="O813" s="46" t="s">
        <v>1311</v>
      </c>
      <c r="P813" s="46" t="s">
        <v>1312</v>
      </c>
      <c r="Q813" s="46" t="s">
        <v>31</v>
      </c>
      <c r="R813" s="46" t="s">
        <v>31</v>
      </c>
      <c r="S813" s="46" t="s">
        <v>31</v>
      </c>
      <c r="T813" s="46" t="s">
        <v>31</v>
      </c>
      <c r="U813" s="46" t="s">
        <v>49</v>
      </c>
    </row>
    <row r="814" spans="1:21">
      <c r="A814" s="46" t="s">
        <v>732</v>
      </c>
      <c r="B814" s="46" t="s">
        <v>135</v>
      </c>
      <c r="C814" s="46" t="s">
        <v>666</v>
      </c>
      <c r="D814" s="46">
        <v>1</v>
      </c>
      <c r="E814" s="46">
        <v>0</v>
      </c>
      <c r="F814" s="46" t="s">
        <v>733</v>
      </c>
      <c r="G814" s="46" t="s">
        <v>1305</v>
      </c>
      <c r="H814" s="46" t="s">
        <v>2950</v>
      </c>
      <c r="I814" s="46" t="str">
        <f ca="1">IFERROR(__xludf.DUMMYFUNCTION("CONCAT(A814,REGEXREPLACE(H814,"".*_L0"",""_L0""))"),"HC_BN1340_MTG_snRNAseq_rep1_L004_I1_001.fastq.gz")</f>
        <v>HC_BN1340_MTG_snRNAseq_rep1_L004_I1_001.fastq.gz</v>
      </c>
      <c r="J814" s="46" t="str">
        <f t="shared" si="3"/>
        <v>/data/neurogen/ASAP/scRNAseq/data/batch15_ASAP_snRNA-seq_*/Raw_Data_and_Processing/cellranger_processing/cellranger_fastqs/outs/fastq_path/H*/BN1340_S2_L004_I1_001.fastq.gz</v>
      </c>
      <c r="K814" s="46" t="s">
        <v>1347</v>
      </c>
      <c r="L814" s="46" t="s">
        <v>2951</v>
      </c>
      <c r="M814" s="46" t="s">
        <v>1309</v>
      </c>
      <c r="N814" s="46" t="s">
        <v>1310</v>
      </c>
      <c r="O814" s="46" t="s">
        <v>1311</v>
      </c>
      <c r="P814" s="46" t="s">
        <v>1312</v>
      </c>
      <c r="Q814" s="46" t="s">
        <v>31</v>
      </c>
      <c r="R814" s="46" t="s">
        <v>31</v>
      </c>
      <c r="S814" s="46" t="s">
        <v>31</v>
      </c>
      <c r="T814" s="46" t="s">
        <v>31</v>
      </c>
      <c r="U814" s="46" t="s">
        <v>49</v>
      </c>
    </row>
    <row r="815" spans="1:21">
      <c r="A815" s="46" t="s">
        <v>732</v>
      </c>
      <c r="B815" s="46" t="s">
        <v>135</v>
      </c>
      <c r="C815" s="46" t="s">
        <v>666</v>
      </c>
      <c r="D815" s="46">
        <v>1</v>
      </c>
      <c r="E815" s="46">
        <v>0</v>
      </c>
      <c r="F815" s="46" t="s">
        <v>733</v>
      </c>
      <c r="G815" s="46" t="s">
        <v>1305</v>
      </c>
      <c r="H815" s="46" t="s">
        <v>2952</v>
      </c>
      <c r="I815" s="46" t="str">
        <f ca="1">IFERROR(__xludf.DUMMYFUNCTION("CONCAT(A815,REGEXREPLACE(H815,"".*_L0"",""_L0""))"),"HC_BN1340_MTG_snRNAseq_rep1_L004_I2_001.fastq.gz")</f>
        <v>HC_BN1340_MTG_snRNAseq_rep1_L004_I2_001.fastq.gz</v>
      </c>
      <c r="J815" s="46" t="str">
        <f t="shared" si="3"/>
        <v>/data/neurogen/ASAP/scRNAseq/data/batch15_ASAP_snRNA-seq_*/Raw_Data_and_Processing/cellranger_processing/cellranger_fastqs/outs/fastq_path/H*/BN1340_S2_L004_I2_001.fastq.gz</v>
      </c>
      <c r="K815" s="46" t="s">
        <v>1350</v>
      </c>
      <c r="L815" s="46" t="s">
        <v>2953</v>
      </c>
      <c r="M815" s="46" t="s">
        <v>1309</v>
      </c>
      <c r="N815" s="46" t="s">
        <v>1310</v>
      </c>
      <c r="O815" s="46" t="s">
        <v>1311</v>
      </c>
      <c r="P815" s="46" t="s">
        <v>1312</v>
      </c>
      <c r="Q815" s="46" t="s">
        <v>31</v>
      </c>
      <c r="R815" s="46" t="s">
        <v>31</v>
      </c>
      <c r="S815" s="46" t="s">
        <v>31</v>
      </c>
      <c r="T815" s="46" t="s">
        <v>31</v>
      </c>
      <c r="U815" s="46" t="s">
        <v>49</v>
      </c>
    </row>
    <row r="816" spans="1:21">
      <c r="A816" s="46" t="s">
        <v>732</v>
      </c>
      <c r="B816" s="46" t="s">
        <v>135</v>
      </c>
      <c r="C816" s="46" t="s">
        <v>666</v>
      </c>
      <c r="D816" s="46">
        <v>1</v>
      </c>
      <c r="E816" s="46">
        <v>0</v>
      </c>
      <c r="F816" s="46" t="s">
        <v>733</v>
      </c>
      <c r="G816" s="46" t="s">
        <v>1305</v>
      </c>
      <c r="H816" s="46" t="s">
        <v>2954</v>
      </c>
      <c r="I816" s="46" t="str">
        <f ca="1">IFERROR(__xludf.DUMMYFUNCTION("CONCAT(A816,REGEXREPLACE(H816,"".*_L0"",""_L0""))"),"HC_BN1340_MTG_snRNAseq_rep1_L004_R1_001.fastq.gz")</f>
        <v>HC_BN1340_MTG_snRNAseq_rep1_L004_R1_001.fastq.gz</v>
      </c>
      <c r="J816" s="46" t="str">
        <f t="shared" si="3"/>
        <v>/data/neurogen/ASAP/scRNAseq/data/batch15_ASAP_snRNA-seq_*/Raw_Data_and_Processing/cellranger_processing/cellranger_fastqs/outs/fastq_path/H*/BN1340_S2_L004_R1_001.fastq.gz</v>
      </c>
      <c r="K816" s="46" t="s">
        <v>1353</v>
      </c>
      <c r="L816" s="46" t="s">
        <v>2955</v>
      </c>
      <c r="M816" s="46" t="s">
        <v>1309</v>
      </c>
      <c r="N816" s="46" t="s">
        <v>1310</v>
      </c>
      <c r="O816" s="46" t="s">
        <v>1311</v>
      </c>
      <c r="P816" s="46" t="s">
        <v>1312</v>
      </c>
      <c r="Q816" s="46" t="s">
        <v>31</v>
      </c>
      <c r="R816" s="46" t="s">
        <v>31</v>
      </c>
      <c r="S816" s="46" t="s">
        <v>31</v>
      </c>
      <c r="T816" s="46" t="s">
        <v>31</v>
      </c>
      <c r="U816" s="46" t="s">
        <v>49</v>
      </c>
    </row>
    <row r="817" spans="1:21">
      <c r="A817" s="46" t="s">
        <v>732</v>
      </c>
      <c r="B817" s="46" t="s">
        <v>135</v>
      </c>
      <c r="C817" s="46" t="s">
        <v>666</v>
      </c>
      <c r="D817" s="46">
        <v>1</v>
      </c>
      <c r="E817" s="46">
        <v>0</v>
      </c>
      <c r="F817" s="46" t="s">
        <v>733</v>
      </c>
      <c r="G817" s="46" t="s">
        <v>1305</v>
      </c>
      <c r="H817" s="46" t="s">
        <v>2956</v>
      </c>
      <c r="I817" s="46" t="str">
        <f ca="1">IFERROR(__xludf.DUMMYFUNCTION("CONCAT(A817,REGEXREPLACE(H817,"".*_L0"",""_L0""))"),"HC_BN1340_MTG_snRNAseq_rep1_L004_R2_001.fastq.gz")</f>
        <v>HC_BN1340_MTG_snRNAseq_rep1_L004_R2_001.fastq.gz</v>
      </c>
      <c r="J817" s="46" t="str">
        <f t="shared" si="3"/>
        <v>/data/neurogen/ASAP/scRNAseq/data/batch15_ASAP_snRNA-seq_*/Raw_Data_and_Processing/cellranger_processing/cellranger_fastqs/outs/fastq_path/H*/BN1340_S2_L004_R2_001.fastq.gz</v>
      </c>
      <c r="K817" s="46" t="s">
        <v>1356</v>
      </c>
      <c r="L817" s="46" t="s">
        <v>2957</v>
      </c>
      <c r="M817" s="46" t="s">
        <v>1309</v>
      </c>
      <c r="N817" s="46" t="s">
        <v>1310</v>
      </c>
      <c r="O817" s="46" t="s">
        <v>1311</v>
      </c>
      <c r="P817" s="46" t="s">
        <v>1312</v>
      </c>
      <c r="Q817" s="46" t="s">
        <v>31</v>
      </c>
      <c r="R817" s="46" t="s">
        <v>31</v>
      </c>
      <c r="S817" s="46" t="s">
        <v>31</v>
      </c>
      <c r="T817" s="46" t="s">
        <v>31</v>
      </c>
      <c r="U817" s="46" t="s">
        <v>49</v>
      </c>
    </row>
    <row r="818" spans="1:21">
      <c r="A818" s="46" t="s">
        <v>748</v>
      </c>
      <c r="B818" s="46" t="s">
        <v>159</v>
      </c>
      <c r="C818" s="46" t="s">
        <v>666</v>
      </c>
      <c r="D818" s="46">
        <v>1</v>
      </c>
      <c r="E818" s="46">
        <v>0</v>
      </c>
      <c r="F818" s="46" t="s">
        <v>733</v>
      </c>
      <c r="G818" s="46" t="s">
        <v>1305</v>
      </c>
      <c r="H818" s="46" t="s">
        <v>2958</v>
      </c>
      <c r="I818" s="46" t="str">
        <f ca="1">IFERROR(__xludf.DUMMYFUNCTION("CONCAT(A818,REGEXREPLACE(H818,"".*_L0"",""_L0""))"),"ILB_BN1567_MTG_snRNAseq_rep1_L001_I1_001.fastq.gz")</f>
        <v>ILB_BN1567_MTG_snRNAseq_rep1_L001_I1_001.fastq.gz</v>
      </c>
      <c r="J818" s="46" t="str">
        <f t="shared" si="3"/>
        <v>/data/neurogen/ASAP/scRNAseq/data/batch15_ASAP_snRNA-seq_*/Raw_Data_and_Processing/cellranger_processing/cellranger_fastqs/outs/fastq_path/H*/BN1567_S1_L001_I1_001.fastq.gz</v>
      </c>
      <c r="K818" s="46" t="s">
        <v>1307</v>
      </c>
      <c r="L818" s="46" t="s">
        <v>2959</v>
      </c>
      <c r="M818" s="46" t="s">
        <v>1309</v>
      </c>
      <c r="N818" s="46" t="s">
        <v>1310</v>
      </c>
      <c r="O818" s="46" t="s">
        <v>1311</v>
      </c>
      <c r="P818" s="46" t="s">
        <v>1312</v>
      </c>
      <c r="Q818" s="46" t="s">
        <v>31</v>
      </c>
      <c r="R818" s="46" t="s">
        <v>31</v>
      </c>
      <c r="S818" s="46" t="s">
        <v>31</v>
      </c>
      <c r="T818" s="46" t="s">
        <v>31</v>
      </c>
      <c r="U818" s="46" t="s">
        <v>49</v>
      </c>
    </row>
    <row r="819" spans="1:21">
      <c r="A819" s="46" t="s">
        <v>748</v>
      </c>
      <c r="B819" s="46" t="s">
        <v>159</v>
      </c>
      <c r="C819" s="46" t="s">
        <v>666</v>
      </c>
      <c r="D819" s="46">
        <v>1</v>
      </c>
      <c r="E819" s="46">
        <v>0</v>
      </c>
      <c r="F819" s="46" t="s">
        <v>733</v>
      </c>
      <c r="G819" s="46" t="s">
        <v>1305</v>
      </c>
      <c r="H819" s="46" t="s">
        <v>2960</v>
      </c>
      <c r="I819" s="46" t="str">
        <f ca="1">IFERROR(__xludf.DUMMYFUNCTION("CONCAT(A819,REGEXREPLACE(H819,"".*_L0"",""_L0""))"),"ILB_BN1567_MTG_snRNAseq_rep1_L001_I2_001.fastq.gz")</f>
        <v>ILB_BN1567_MTG_snRNAseq_rep1_L001_I2_001.fastq.gz</v>
      </c>
      <c r="J819" s="46" t="str">
        <f t="shared" si="3"/>
        <v>/data/neurogen/ASAP/scRNAseq/data/batch15_ASAP_snRNA-seq_*/Raw_Data_and_Processing/cellranger_processing/cellranger_fastqs/outs/fastq_path/H*/BN1567_S1_L001_I2_001.fastq.gz</v>
      </c>
      <c r="K819" s="46" t="s">
        <v>1314</v>
      </c>
      <c r="L819" s="46" t="s">
        <v>2961</v>
      </c>
      <c r="M819" s="46" t="s">
        <v>1309</v>
      </c>
      <c r="N819" s="46" t="s">
        <v>1310</v>
      </c>
      <c r="O819" s="46" t="s">
        <v>1311</v>
      </c>
      <c r="P819" s="46" t="s">
        <v>1312</v>
      </c>
      <c r="Q819" s="46" t="s">
        <v>31</v>
      </c>
      <c r="R819" s="46" t="s">
        <v>31</v>
      </c>
      <c r="S819" s="46" t="s">
        <v>31</v>
      </c>
      <c r="T819" s="46" t="s">
        <v>31</v>
      </c>
      <c r="U819" s="46" t="s">
        <v>49</v>
      </c>
    </row>
    <row r="820" spans="1:21">
      <c r="A820" s="46" t="s">
        <v>748</v>
      </c>
      <c r="B820" s="46" t="s">
        <v>159</v>
      </c>
      <c r="C820" s="46" t="s">
        <v>666</v>
      </c>
      <c r="D820" s="46">
        <v>1</v>
      </c>
      <c r="E820" s="46">
        <v>0</v>
      </c>
      <c r="F820" s="46" t="s">
        <v>733</v>
      </c>
      <c r="G820" s="46" t="s">
        <v>1305</v>
      </c>
      <c r="H820" s="46" t="s">
        <v>2962</v>
      </c>
      <c r="I820" s="46" t="str">
        <f ca="1">IFERROR(__xludf.DUMMYFUNCTION("CONCAT(A820,REGEXREPLACE(H820,"".*_L0"",""_L0""))"),"ILB_BN1567_MTG_snRNAseq_rep1_L001_R1_001.fastq.gz")</f>
        <v>ILB_BN1567_MTG_snRNAseq_rep1_L001_R1_001.fastq.gz</v>
      </c>
      <c r="J820" s="46" t="str">
        <f t="shared" si="3"/>
        <v>/data/neurogen/ASAP/scRNAseq/data/batch15_ASAP_snRNA-seq_*/Raw_Data_and_Processing/cellranger_processing/cellranger_fastqs/outs/fastq_path/H*/BN1567_S1_L001_R1_001.fastq.gz</v>
      </c>
      <c r="K820" s="46" t="s">
        <v>1317</v>
      </c>
      <c r="L820" s="46" t="s">
        <v>2963</v>
      </c>
      <c r="M820" s="46" t="s">
        <v>1309</v>
      </c>
      <c r="N820" s="46" t="s">
        <v>1310</v>
      </c>
      <c r="O820" s="46" t="s">
        <v>1311</v>
      </c>
      <c r="P820" s="46" t="s">
        <v>1312</v>
      </c>
      <c r="Q820" s="46" t="s">
        <v>31</v>
      </c>
      <c r="R820" s="46" t="s">
        <v>31</v>
      </c>
      <c r="S820" s="46" t="s">
        <v>31</v>
      </c>
      <c r="T820" s="46" t="s">
        <v>31</v>
      </c>
      <c r="U820" s="46" t="s">
        <v>49</v>
      </c>
    </row>
    <row r="821" spans="1:21">
      <c r="A821" s="46" t="s">
        <v>748</v>
      </c>
      <c r="B821" s="46" t="s">
        <v>159</v>
      </c>
      <c r="C821" s="46" t="s">
        <v>666</v>
      </c>
      <c r="D821" s="46">
        <v>1</v>
      </c>
      <c r="E821" s="46">
        <v>0</v>
      </c>
      <c r="F821" s="46" t="s">
        <v>733</v>
      </c>
      <c r="G821" s="46" t="s">
        <v>1305</v>
      </c>
      <c r="H821" s="46" t="s">
        <v>2964</v>
      </c>
      <c r="I821" s="46" t="str">
        <f ca="1">IFERROR(__xludf.DUMMYFUNCTION("CONCAT(A821,REGEXREPLACE(H821,"".*_L0"",""_L0""))"),"ILB_BN1567_MTG_snRNAseq_rep1_L001_R2_001.fastq.gz")</f>
        <v>ILB_BN1567_MTG_snRNAseq_rep1_L001_R2_001.fastq.gz</v>
      </c>
      <c r="J821" s="46" t="str">
        <f t="shared" si="3"/>
        <v>/data/neurogen/ASAP/scRNAseq/data/batch15_ASAP_snRNA-seq_*/Raw_Data_and_Processing/cellranger_processing/cellranger_fastqs/outs/fastq_path/H*/BN1567_S1_L001_R2_001.fastq.gz</v>
      </c>
      <c r="K821" s="46" t="s">
        <v>1320</v>
      </c>
      <c r="L821" s="46" t="s">
        <v>2965</v>
      </c>
      <c r="M821" s="46" t="s">
        <v>1309</v>
      </c>
      <c r="N821" s="46" t="s">
        <v>1310</v>
      </c>
      <c r="O821" s="46" t="s">
        <v>1311</v>
      </c>
      <c r="P821" s="46" t="s">
        <v>1312</v>
      </c>
      <c r="Q821" s="46" t="s">
        <v>31</v>
      </c>
      <c r="R821" s="46" t="s">
        <v>31</v>
      </c>
      <c r="S821" s="46" t="s">
        <v>31</v>
      </c>
      <c r="T821" s="46" t="s">
        <v>31</v>
      </c>
      <c r="U821" s="46" t="s">
        <v>49</v>
      </c>
    </row>
    <row r="822" spans="1:21">
      <c r="A822" s="46" t="s">
        <v>748</v>
      </c>
      <c r="B822" s="46" t="s">
        <v>159</v>
      </c>
      <c r="C822" s="46" t="s">
        <v>666</v>
      </c>
      <c r="D822" s="46">
        <v>1</v>
      </c>
      <c r="E822" s="46">
        <v>0</v>
      </c>
      <c r="F822" s="46" t="s">
        <v>733</v>
      </c>
      <c r="G822" s="46" t="s">
        <v>1305</v>
      </c>
      <c r="H822" s="46" t="s">
        <v>2966</v>
      </c>
      <c r="I822" s="46" t="str">
        <f ca="1">IFERROR(__xludf.DUMMYFUNCTION("CONCAT(A822,REGEXREPLACE(H822,"".*_L0"",""_L0""))"),"ILB_BN1567_MTG_snRNAseq_rep1_L002_I1_001.fastq.gz")</f>
        <v>ILB_BN1567_MTG_snRNAseq_rep1_L002_I1_001.fastq.gz</v>
      </c>
      <c r="J822" s="46" t="str">
        <f t="shared" si="3"/>
        <v>/data/neurogen/ASAP/scRNAseq/data/batch15_ASAP_snRNA-seq_*/Raw_Data_and_Processing/cellranger_processing/cellranger_fastqs/outs/fastq_path/H*/BN1567_S1_L002_I1_001.fastq.gz</v>
      </c>
      <c r="K822" s="46" t="s">
        <v>1323</v>
      </c>
      <c r="L822" s="46" t="s">
        <v>2967</v>
      </c>
      <c r="M822" s="46" t="s">
        <v>1309</v>
      </c>
      <c r="N822" s="46" t="s">
        <v>1310</v>
      </c>
      <c r="O822" s="46" t="s">
        <v>1311</v>
      </c>
      <c r="P822" s="46" t="s">
        <v>1312</v>
      </c>
      <c r="Q822" s="46" t="s">
        <v>31</v>
      </c>
      <c r="R822" s="46" t="s">
        <v>31</v>
      </c>
      <c r="S822" s="46" t="s">
        <v>31</v>
      </c>
      <c r="T822" s="46" t="s">
        <v>31</v>
      </c>
      <c r="U822" s="46" t="s">
        <v>49</v>
      </c>
    </row>
    <row r="823" spans="1:21">
      <c r="A823" s="46" t="s">
        <v>748</v>
      </c>
      <c r="B823" s="46" t="s">
        <v>159</v>
      </c>
      <c r="C823" s="46" t="s">
        <v>666</v>
      </c>
      <c r="D823" s="46">
        <v>1</v>
      </c>
      <c r="E823" s="46">
        <v>0</v>
      </c>
      <c r="F823" s="46" t="s">
        <v>733</v>
      </c>
      <c r="G823" s="46" t="s">
        <v>1305</v>
      </c>
      <c r="H823" s="46" t="s">
        <v>2968</v>
      </c>
      <c r="I823" s="46" t="str">
        <f ca="1">IFERROR(__xludf.DUMMYFUNCTION("CONCAT(A823,REGEXREPLACE(H823,"".*_L0"",""_L0""))"),"ILB_BN1567_MTG_snRNAseq_rep1_L002_I2_001.fastq.gz")</f>
        <v>ILB_BN1567_MTG_snRNAseq_rep1_L002_I2_001.fastq.gz</v>
      </c>
      <c r="J823" s="46" t="str">
        <f t="shared" si="3"/>
        <v>/data/neurogen/ASAP/scRNAseq/data/batch15_ASAP_snRNA-seq_*/Raw_Data_and_Processing/cellranger_processing/cellranger_fastqs/outs/fastq_path/H*/BN1567_S1_L002_I2_001.fastq.gz</v>
      </c>
      <c r="K823" s="46" t="s">
        <v>1326</v>
      </c>
      <c r="L823" s="46" t="s">
        <v>2969</v>
      </c>
      <c r="M823" s="46" t="s">
        <v>1309</v>
      </c>
      <c r="N823" s="46" t="s">
        <v>1310</v>
      </c>
      <c r="O823" s="46" t="s">
        <v>1311</v>
      </c>
      <c r="P823" s="46" t="s">
        <v>1312</v>
      </c>
      <c r="Q823" s="46" t="s">
        <v>31</v>
      </c>
      <c r="R823" s="46" t="s">
        <v>31</v>
      </c>
      <c r="S823" s="46" t="s">
        <v>31</v>
      </c>
      <c r="T823" s="46" t="s">
        <v>31</v>
      </c>
      <c r="U823" s="46" t="s">
        <v>49</v>
      </c>
    </row>
    <row r="824" spans="1:21">
      <c r="A824" s="46" t="s">
        <v>748</v>
      </c>
      <c r="B824" s="46" t="s">
        <v>159</v>
      </c>
      <c r="C824" s="46" t="s">
        <v>666</v>
      </c>
      <c r="D824" s="46">
        <v>1</v>
      </c>
      <c r="E824" s="46">
        <v>0</v>
      </c>
      <c r="F824" s="46" t="s">
        <v>733</v>
      </c>
      <c r="G824" s="46" t="s">
        <v>1305</v>
      </c>
      <c r="H824" s="46" t="s">
        <v>2970</v>
      </c>
      <c r="I824" s="46" t="str">
        <f ca="1">IFERROR(__xludf.DUMMYFUNCTION("CONCAT(A824,REGEXREPLACE(H824,"".*_L0"",""_L0""))"),"ILB_BN1567_MTG_snRNAseq_rep1_L002_R1_001.fastq.gz")</f>
        <v>ILB_BN1567_MTG_snRNAseq_rep1_L002_R1_001.fastq.gz</v>
      </c>
      <c r="J824" s="46" t="str">
        <f t="shared" si="3"/>
        <v>/data/neurogen/ASAP/scRNAseq/data/batch15_ASAP_snRNA-seq_*/Raw_Data_and_Processing/cellranger_processing/cellranger_fastqs/outs/fastq_path/H*/BN1567_S1_L002_R1_001.fastq.gz</v>
      </c>
      <c r="K824" s="46" t="s">
        <v>1329</v>
      </c>
      <c r="L824" s="46" t="s">
        <v>2971</v>
      </c>
      <c r="M824" s="46" t="s">
        <v>1309</v>
      </c>
      <c r="N824" s="46" t="s">
        <v>1310</v>
      </c>
      <c r="O824" s="46" t="s">
        <v>1311</v>
      </c>
      <c r="P824" s="46" t="s">
        <v>1312</v>
      </c>
      <c r="Q824" s="46" t="s">
        <v>31</v>
      </c>
      <c r="R824" s="46" t="s">
        <v>31</v>
      </c>
      <c r="S824" s="46" t="s">
        <v>31</v>
      </c>
      <c r="T824" s="46" t="s">
        <v>31</v>
      </c>
      <c r="U824" s="46" t="s">
        <v>49</v>
      </c>
    </row>
    <row r="825" spans="1:21">
      <c r="A825" s="46" t="s">
        <v>748</v>
      </c>
      <c r="B825" s="46" t="s">
        <v>159</v>
      </c>
      <c r="C825" s="46" t="s">
        <v>666</v>
      </c>
      <c r="D825" s="46">
        <v>1</v>
      </c>
      <c r="E825" s="46">
        <v>0</v>
      </c>
      <c r="F825" s="46" t="s">
        <v>733</v>
      </c>
      <c r="G825" s="46" t="s">
        <v>1305</v>
      </c>
      <c r="H825" s="46" t="s">
        <v>2972</v>
      </c>
      <c r="I825" s="46" t="str">
        <f ca="1">IFERROR(__xludf.DUMMYFUNCTION("CONCAT(A825,REGEXREPLACE(H825,"".*_L0"",""_L0""))"),"ILB_BN1567_MTG_snRNAseq_rep1_L002_R2_001.fastq.gz")</f>
        <v>ILB_BN1567_MTG_snRNAseq_rep1_L002_R2_001.fastq.gz</v>
      </c>
      <c r="J825" s="46" t="str">
        <f t="shared" si="3"/>
        <v>/data/neurogen/ASAP/scRNAseq/data/batch15_ASAP_snRNA-seq_*/Raw_Data_and_Processing/cellranger_processing/cellranger_fastqs/outs/fastq_path/H*/BN1567_S1_L002_R2_001.fastq.gz</v>
      </c>
      <c r="K825" s="46" t="s">
        <v>1332</v>
      </c>
      <c r="L825" s="47" t="s">
        <v>2973</v>
      </c>
      <c r="M825" s="46" t="s">
        <v>1309</v>
      </c>
      <c r="N825" s="46" t="s">
        <v>1310</v>
      </c>
      <c r="O825" s="46" t="s">
        <v>1311</v>
      </c>
      <c r="P825" s="46" t="s">
        <v>1312</v>
      </c>
      <c r="Q825" s="46" t="s">
        <v>31</v>
      </c>
      <c r="R825" s="46" t="s">
        <v>31</v>
      </c>
      <c r="S825" s="46" t="s">
        <v>31</v>
      </c>
      <c r="T825" s="46" t="s">
        <v>31</v>
      </c>
      <c r="U825" s="46" t="s">
        <v>49</v>
      </c>
    </row>
    <row r="826" spans="1:21">
      <c r="A826" s="46" t="s">
        <v>748</v>
      </c>
      <c r="B826" s="46" t="s">
        <v>159</v>
      </c>
      <c r="C826" s="46" t="s">
        <v>666</v>
      </c>
      <c r="D826" s="46">
        <v>1</v>
      </c>
      <c r="E826" s="46">
        <v>0</v>
      </c>
      <c r="F826" s="46" t="s">
        <v>733</v>
      </c>
      <c r="G826" s="46" t="s">
        <v>1305</v>
      </c>
      <c r="H826" s="46" t="s">
        <v>2974</v>
      </c>
      <c r="I826" s="46" t="str">
        <f ca="1">IFERROR(__xludf.DUMMYFUNCTION("CONCAT(A826,REGEXREPLACE(H826,"".*_L0"",""_L0""))"),"ILB_BN1567_MTG_snRNAseq_rep1_L003_I1_001.fastq.gz")</f>
        <v>ILB_BN1567_MTG_snRNAseq_rep1_L003_I1_001.fastq.gz</v>
      </c>
      <c r="J826" s="46" t="str">
        <f t="shared" si="3"/>
        <v>/data/neurogen/ASAP/scRNAseq/data/batch15_ASAP_snRNA-seq_*/Raw_Data_and_Processing/cellranger_processing/cellranger_fastqs/outs/fastq_path/H*/BN1567_S1_L003_I1_001.fastq.gz</v>
      </c>
      <c r="K826" s="46" t="s">
        <v>1335</v>
      </c>
      <c r="L826" s="46" t="s">
        <v>2975</v>
      </c>
      <c r="M826" s="46" t="s">
        <v>1309</v>
      </c>
      <c r="N826" s="46" t="s">
        <v>1310</v>
      </c>
      <c r="O826" s="46" t="s">
        <v>1311</v>
      </c>
      <c r="P826" s="46" t="s">
        <v>1312</v>
      </c>
      <c r="Q826" s="46" t="s">
        <v>31</v>
      </c>
      <c r="R826" s="46" t="s">
        <v>31</v>
      </c>
      <c r="S826" s="46" t="s">
        <v>31</v>
      </c>
      <c r="T826" s="46" t="s">
        <v>31</v>
      </c>
      <c r="U826" s="46" t="s">
        <v>49</v>
      </c>
    </row>
    <row r="827" spans="1:21">
      <c r="A827" s="46" t="s">
        <v>748</v>
      </c>
      <c r="B827" s="46" t="s">
        <v>159</v>
      </c>
      <c r="C827" s="46" t="s">
        <v>666</v>
      </c>
      <c r="D827" s="46">
        <v>1</v>
      </c>
      <c r="E827" s="46">
        <v>0</v>
      </c>
      <c r="F827" s="46" t="s">
        <v>733</v>
      </c>
      <c r="G827" s="46" t="s">
        <v>1305</v>
      </c>
      <c r="H827" s="46" t="s">
        <v>2976</v>
      </c>
      <c r="I827" s="46" t="str">
        <f ca="1">IFERROR(__xludf.DUMMYFUNCTION("CONCAT(A827,REGEXREPLACE(H827,"".*_L0"",""_L0""))"),"ILB_BN1567_MTG_snRNAseq_rep1_L003_I2_001.fastq.gz")</f>
        <v>ILB_BN1567_MTG_snRNAseq_rep1_L003_I2_001.fastq.gz</v>
      </c>
      <c r="J827" s="46" t="str">
        <f t="shared" si="3"/>
        <v>/data/neurogen/ASAP/scRNAseq/data/batch15_ASAP_snRNA-seq_*/Raw_Data_and_Processing/cellranger_processing/cellranger_fastqs/outs/fastq_path/H*/BN1567_S1_L003_I2_001.fastq.gz</v>
      </c>
      <c r="K827" s="46" t="s">
        <v>1338</v>
      </c>
      <c r="L827" s="46" t="s">
        <v>2977</v>
      </c>
      <c r="M827" s="46" t="s">
        <v>1309</v>
      </c>
      <c r="N827" s="46" t="s">
        <v>1310</v>
      </c>
      <c r="O827" s="46" t="s">
        <v>1311</v>
      </c>
      <c r="P827" s="46" t="s">
        <v>1312</v>
      </c>
      <c r="Q827" s="46" t="s">
        <v>31</v>
      </c>
      <c r="R827" s="46" t="s">
        <v>31</v>
      </c>
      <c r="S827" s="46" t="s">
        <v>31</v>
      </c>
      <c r="T827" s="46" t="s">
        <v>31</v>
      </c>
      <c r="U827" s="46" t="s">
        <v>49</v>
      </c>
    </row>
    <row r="828" spans="1:21">
      <c r="A828" s="46" t="s">
        <v>748</v>
      </c>
      <c r="B828" s="46" t="s">
        <v>159</v>
      </c>
      <c r="C828" s="46" t="s">
        <v>666</v>
      </c>
      <c r="D828" s="46">
        <v>1</v>
      </c>
      <c r="E828" s="46">
        <v>0</v>
      </c>
      <c r="F828" s="46" t="s">
        <v>733</v>
      </c>
      <c r="G828" s="46" t="s">
        <v>1305</v>
      </c>
      <c r="H828" s="46" t="s">
        <v>2978</v>
      </c>
      <c r="I828" s="46" t="str">
        <f ca="1">IFERROR(__xludf.DUMMYFUNCTION("CONCAT(A828,REGEXREPLACE(H828,"".*_L0"",""_L0""))"),"ILB_BN1567_MTG_snRNAseq_rep1_L003_R1_001.fastq.gz")</f>
        <v>ILB_BN1567_MTG_snRNAseq_rep1_L003_R1_001.fastq.gz</v>
      </c>
      <c r="J828" s="46" t="str">
        <f t="shared" si="3"/>
        <v>/data/neurogen/ASAP/scRNAseq/data/batch15_ASAP_snRNA-seq_*/Raw_Data_and_Processing/cellranger_processing/cellranger_fastqs/outs/fastq_path/H*/BN1567_S1_L003_R1_001.fastq.gz</v>
      </c>
      <c r="K828" s="46" t="s">
        <v>1341</v>
      </c>
      <c r="L828" s="46" t="s">
        <v>2979</v>
      </c>
      <c r="M828" s="46" t="s">
        <v>1309</v>
      </c>
      <c r="N828" s="46" t="s">
        <v>1310</v>
      </c>
      <c r="O828" s="46" t="s">
        <v>1311</v>
      </c>
      <c r="P828" s="46" t="s">
        <v>1312</v>
      </c>
      <c r="Q828" s="46" t="s">
        <v>31</v>
      </c>
      <c r="R828" s="46" t="s">
        <v>31</v>
      </c>
      <c r="S828" s="46" t="s">
        <v>31</v>
      </c>
      <c r="T828" s="46" t="s">
        <v>31</v>
      </c>
      <c r="U828" s="46" t="s">
        <v>49</v>
      </c>
    </row>
    <row r="829" spans="1:21">
      <c r="A829" s="46" t="s">
        <v>748</v>
      </c>
      <c r="B829" s="46" t="s">
        <v>159</v>
      </c>
      <c r="C829" s="46" t="s">
        <v>666</v>
      </c>
      <c r="D829" s="46">
        <v>1</v>
      </c>
      <c r="E829" s="46">
        <v>0</v>
      </c>
      <c r="F829" s="46" t="s">
        <v>733</v>
      </c>
      <c r="G829" s="46" t="s">
        <v>1305</v>
      </c>
      <c r="H829" s="46" t="s">
        <v>2980</v>
      </c>
      <c r="I829" s="46" t="str">
        <f ca="1">IFERROR(__xludf.DUMMYFUNCTION("CONCAT(A829,REGEXREPLACE(H829,"".*_L0"",""_L0""))"),"ILB_BN1567_MTG_snRNAseq_rep1_L003_R2_001.fastq.gz")</f>
        <v>ILB_BN1567_MTG_snRNAseq_rep1_L003_R2_001.fastq.gz</v>
      </c>
      <c r="J829" s="46" t="str">
        <f t="shared" si="3"/>
        <v>/data/neurogen/ASAP/scRNAseq/data/batch15_ASAP_snRNA-seq_*/Raw_Data_and_Processing/cellranger_processing/cellranger_fastqs/outs/fastq_path/H*/BN1567_S1_L003_R2_001.fastq.gz</v>
      </c>
      <c r="K829" s="46" t="s">
        <v>1344</v>
      </c>
      <c r="L829" s="46" t="s">
        <v>2981</v>
      </c>
      <c r="M829" s="46" t="s">
        <v>1309</v>
      </c>
      <c r="N829" s="46" t="s">
        <v>1310</v>
      </c>
      <c r="O829" s="46" t="s">
        <v>1311</v>
      </c>
      <c r="P829" s="46" t="s">
        <v>1312</v>
      </c>
      <c r="Q829" s="46" t="s">
        <v>31</v>
      </c>
      <c r="R829" s="46" t="s">
        <v>31</v>
      </c>
      <c r="S829" s="46" t="s">
        <v>31</v>
      </c>
      <c r="T829" s="46" t="s">
        <v>31</v>
      </c>
      <c r="U829" s="46" t="s">
        <v>49</v>
      </c>
    </row>
    <row r="830" spans="1:21">
      <c r="A830" s="46" t="s">
        <v>748</v>
      </c>
      <c r="B830" s="46" t="s">
        <v>159</v>
      </c>
      <c r="C830" s="46" t="s">
        <v>666</v>
      </c>
      <c r="D830" s="46">
        <v>1</v>
      </c>
      <c r="E830" s="46">
        <v>0</v>
      </c>
      <c r="F830" s="46" t="s">
        <v>733</v>
      </c>
      <c r="G830" s="46" t="s">
        <v>1305</v>
      </c>
      <c r="H830" s="46" t="s">
        <v>2982</v>
      </c>
      <c r="I830" s="46" t="str">
        <f ca="1">IFERROR(__xludf.DUMMYFUNCTION("CONCAT(A830,REGEXREPLACE(H830,"".*_L0"",""_L0""))"),"ILB_BN1567_MTG_snRNAseq_rep1_L004_I1_001.fastq.gz")</f>
        <v>ILB_BN1567_MTG_snRNAseq_rep1_L004_I1_001.fastq.gz</v>
      </c>
      <c r="J830" s="46" t="str">
        <f t="shared" si="3"/>
        <v>/data/neurogen/ASAP/scRNAseq/data/batch15_ASAP_snRNA-seq_*/Raw_Data_and_Processing/cellranger_processing/cellranger_fastqs/outs/fastq_path/H*/BN1567_S1_L004_I1_001.fastq.gz</v>
      </c>
      <c r="K830" s="46" t="s">
        <v>1347</v>
      </c>
      <c r="L830" s="46" t="s">
        <v>2983</v>
      </c>
      <c r="M830" s="46" t="s">
        <v>1309</v>
      </c>
      <c r="N830" s="46" t="s">
        <v>1310</v>
      </c>
      <c r="O830" s="46" t="s">
        <v>1311</v>
      </c>
      <c r="P830" s="46" t="s">
        <v>1312</v>
      </c>
      <c r="Q830" s="46" t="s">
        <v>31</v>
      </c>
      <c r="R830" s="46" t="s">
        <v>31</v>
      </c>
      <c r="S830" s="46" t="s">
        <v>31</v>
      </c>
      <c r="T830" s="46" t="s">
        <v>31</v>
      </c>
      <c r="U830" s="46" t="s">
        <v>49</v>
      </c>
    </row>
    <row r="831" spans="1:21">
      <c r="A831" s="46" t="s">
        <v>748</v>
      </c>
      <c r="B831" s="46" t="s">
        <v>159</v>
      </c>
      <c r="C831" s="46" t="s">
        <v>666</v>
      </c>
      <c r="D831" s="46">
        <v>1</v>
      </c>
      <c r="E831" s="46">
        <v>0</v>
      </c>
      <c r="F831" s="46" t="s">
        <v>733</v>
      </c>
      <c r="G831" s="46" t="s">
        <v>1305</v>
      </c>
      <c r="H831" s="46" t="s">
        <v>2984</v>
      </c>
      <c r="I831" s="46" t="str">
        <f ca="1">IFERROR(__xludf.DUMMYFUNCTION("CONCAT(A831,REGEXREPLACE(H831,"".*_L0"",""_L0""))"),"ILB_BN1567_MTG_snRNAseq_rep1_L004_I2_001.fastq.gz")</f>
        <v>ILB_BN1567_MTG_snRNAseq_rep1_L004_I2_001.fastq.gz</v>
      </c>
      <c r="J831" s="46" t="str">
        <f t="shared" si="3"/>
        <v>/data/neurogen/ASAP/scRNAseq/data/batch15_ASAP_snRNA-seq_*/Raw_Data_and_Processing/cellranger_processing/cellranger_fastqs/outs/fastq_path/H*/BN1567_S1_L004_I2_001.fastq.gz</v>
      </c>
      <c r="K831" s="46" t="s">
        <v>1350</v>
      </c>
      <c r="L831" s="47" t="s">
        <v>2985</v>
      </c>
      <c r="M831" s="46" t="s">
        <v>1309</v>
      </c>
      <c r="N831" s="46" t="s">
        <v>1310</v>
      </c>
      <c r="O831" s="46" t="s">
        <v>1311</v>
      </c>
      <c r="P831" s="46" t="s">
        <v>1312</v>
      </c>
      <c r="Q831" s="46" t="s">
        <v>31</v>
      </c>
      <c r="R831" s="46" t="s">
        <v>31</v>
      </c>
      <c r="S831" s="46" t="s">
        <v>31</v>
      </c>
      <c r="T831" s="46" t="s">
        <v>31</v>
      </c>
      <c r="U831" s="46" t="s">
        <v>49</v>
      </c>
    </row>
    <row r="832" spans="1:21">
      <c r="A832" s="46" t="s">
        <v>748</v>
      </c>
      <c r="B832" s="46" t="s">
        <v>159</v>
      </c>
      <c r="C832" s="46" t="s">
        <v>666</v>
      </c>
      <c r="D832" s="46">
        <v>1</v>
      </c>
      <c r="E832" s="46">
        <v>0</v>
      </c>
      <c r="F832" s="46" t="s">
        <v>733</v>
      </c>
      <c r="G832" s="46" t="s">
        <v>1305</v>
      </c>
      <c r="H832" s="46" t="s">
        <v>2986</v>
      </c>
      <c r="I832" s="46" t="str">
        <f ca="1">IFERROR(__xludf.DUMMYFUNCTION("CONCAT(A832,REGEXREPLACE(H832,"".*_L0"",""_L0""))"),"ILB_BN1567_MTG_snRNAseq_rep1_L004_R1_001.fastq.gz")</f>
        <v>ILB_BN1567_MTG_snRNAseq_rep1_L004_R1_001.fastq.gz</v>
      </c>
      <c r="J832" s="46" t="str">
        <f t="shared" si="3"/>
        <v>/data/neurogen/ASAP/scRNAseq/data/batch15_ASAP_snRNA-seq_*/Raw_Data_and_Processing/cellranger_processing/cellranger_fastqs/outs/fastq_path/H*/BN1567_S1_L004_R1_001.fastq.gz</v>
      </c>
      <c r="K832" s="46" t="s">
        <v>1353</v>
      </c>
      <c r="L832" s="46" t="s">
        <v>2987</v>
      </c>
      <c r="M832" s="46" t="s">
        <v>1309</v>
      </c>
      <c r="N832" s="46" t="s">
        <v>1310</v>
      </c>
      <c r="O832" s="46" t="s">
        <v>1311</v>
      </c>
      <c r="P832" s="46" t="s">
        <v>1312</v>
      </c>
      <c r="Q832" s="46" t="s">
        <v>31</v>
      </c>
      <c r="R832" s="46" t="s">
        <v>31</v>
      </c>
      <c r="S832" s="46" t="s">
        <v>31</v>
      </c>
      <c r="T832" s="46" t="s">
        <v>31</v>
      </c>
      <c r="U832" s="46" t="s">
        <v>49</v>
      </c>
    </row>
    <row r="833" spans="1:21">
      <c r="A833" s="46" t="s">
        <v>748</v>
      </c>
      <c r="B833" s="46" t="s">
        <v>159</v>
      </c>
      <c r="C833" s="46" t="s">
        <v>666</v>
      </c>
      <c r="D833" s="46">
        <v>1</v>
      </c>
      <c r="E833" s="46">
        <v>0</v>
      </c>
      <c r="F833" s="46" t="s">
        <v>733</v>
      </c>
      <c r="G833" s="46" t="s">
        <v>1305</v>
      </c>
      <c r="H833" s="46" t="s">
        <v>2988</v>
      </c>
      <c r="I833" s="46" t="str">
        <f ca="1">IFERROR(__xludf.DUMMYFUNCTION("CONCAT(A833,REGEXREPLACE(H833,"".*_L0"",""_L0""))"),"ILB_BN1567_MTG_snRNAseq_rep1_L004_R2_001.fastq.gz")</f>
        <v>ILB_BN1567_MTG_snRNAseq_rep1_L004_R2_001.fastq.gz</v>
      </c>
      <c r="J833" s="46" t="str">
        <f t="shared" si="3"/>
        <v>/data/neurogen/ASAP/scRNAseq/data/batch15_ASAP_snRNA-seq_*/Raw_Data_and_Processing/cellranger_processing/cellranger_fastqs/outs/fastq_path/H*/BN1567_S1_L004_R2_001.fastq.gz</v>
      </c>
      <c r="K833" s="46" t="s">
        <v>1356</v>
      </c>
      <c r="L833" s="46" t="s">
        <v>2989</v>
      </c>
      <c r="M833" s="46" t="s">
        <v>1309</v>
      </c>
      <c r="N833" s="46" t="s">
        <v>1310</v>
      </c>
      <c r="O833" s="46" t="s">
        <v>1311</v>
      </c>
      <c r="P833" s="46" t="s">
        <v>1312</v>
      </c>
      <c r="Q833" s="46" t="s">
        <v>31</v>
      </c>
      <c r="R833" s="46" t="s">
        <v>31</v>
      </c>
      <c r="S833" s="46" t="s">
        <v>31</v>
      </c>
      <c r="T833" s="46" t="s">
        <v>31</v>
      </c>
      <c r="U833" s="46" t="s">
        <v>49</v>
      </c>
    </row>
    <row r="834" spans="1:21">
      <c r="A834" s="46" t="s">
        <v>753</v>
      </c>
      <c r="B834" s="46" t="s">
        <v>167</v>
      </c>
      <c r="C834" s="46" t="s">
        <v>666</v>
      </c>
      <c r="D834" s="46">
        <v>1</v>
      </c>
      <c r="E834" s="46">
        <v>0</v>
      </c>
      <c r="F834" s="46" t="s">
        <v>733</v>
      </c>
      <c r="G834" s="46" t="s">
        <v>1305</v>
      </c>
      <c r="H834" s="46" t="s">
        <v>2990</v>
      </c>
      <c r="I834" s="46" t="str">
        <f ca="1">IFERROR(__xludf.DUMMYFUNCTION("CONCAT(A834,REGEXREPLACE(H834,"".*_L0"",""_L0""))"),"PD_BN1644_MTG_snRNAseq_rep1_L001_I1_001.fastq.gz")</f>
        <v>PD_BN1644_MTG_snRNAseq_rep1_L001_I1_001.fastq.gz</v>
      </c>
      <c r="J834" s="46" t="str">
        <f t="shared" si="3"/>
        <v>/data/neurogen/ASAP/scRNAseq/data/batch15_ASAP_snRNA-seq_*/Raw_Data_and_Processing/cellranger_processing/cellranger_fastqs/outs/fastq_path/H*/BN1644_S3_L001_I1_001.fastq.gz</v>
      </c>
      <c r="K834" s="46" t="s">
        <v>1307</v>
      </c>
      <c r="L834" s="46" t="s">
        <v>2991</v>
      </c>
      <c r="M834" s="46" t="s">
        <v>1309</v>
      </c>
      <c r="N834" s="46" t="s">
        <v>1310</v>
      </c>
      <c r="O834" s="46" t="s">
        <v>1311</v>
      </c>
      <c r="P834" s="46" t="s">
        <v>1312</v>
      </c>
      <c r="Q834" s="46" t="s">
        <v>31</v>
      </c>
      <c r="R834" s="46" t="s">
        <v>31</v>
      </c>
      <c r="S834" s="46" t="s">
        <v>31</v>
      </c>
      <c r="T834" s="46" t="s">
        <v>31</v>
      </c>
      <c r="U834" s="46" t="s">
        <v>49</v>
      </c>
    </row>
    <row r="835" spans="1:21">
      <c r="A835" s="46" t="s">
        <v>753</v>
      </c>
      <c r="B835" s="46" t="s">
        <v>167</v>
      </c>
      <c r="C835" s="46" t="s">
        <v>666</v>
      </c>
      <c r="D835" s="46">
        <v>1</v>
      </c>
      <c r="E835" s="46">
        <v>0</v>
      </c>
      <c r="F835" s="46" t="s">
        <v>733</v>
      </c>
      <c r="G835" s="46" t="s">
        <v>1305</v>
      </c>
      <c r="H835" s="46" t="s">
        <v>2992</v>
      </c>
      <c r="I835" s="46" t="str">
        <f ca="1">IFERROR(__xludf.DUMMYFUNCTION("CONCAT(A835,REGEXREPLACE(H835,"".*_L0"",""_L0""))"),"PD_BN1644_MTG_snRNAseq_rep1_L001_I2_001.fastq.gz")</f>
        <v>PD_BN1644_MTG_snRNAseq_rep1_L001_I2_001.fastq.gz</v>
      </c>
      <c r="J835" s="46" t="str">
        <f t="shared" si="3"/>
        <v>/data/neurogen/ASAP/scRNAseq/data/batch15_ASAP_snRNA-seq_*/Raw_Data_and_Processing/cellranger_processing/cellranger_fastqs/outs/fastq_path/H*/BN1644_S3_L001_I2_001.fastq.gz</v>
      </c>
      <c r="K835" s="46" t="s">
        <v>1314</v>
      </c>
      <c r="L835" s="46" t="s">
        <v>2993</v>
      </c>
      <c r="M835" s="46" t="s">
        <v>1309</v>
      </c>
      <c r="N835" s="46" t="s">
        <v>1310</v>
      </c>
      <c r="O835" s="46" t="s">
        <v>1311</v>
      </c>
      <c r="P835" s="46" t="s">
        <v>1312</v>
      </c>
      <c r="Q835" s="46" t="s">
        <v>31</v>
      </c>
      <c r="R835" s="46" t="s">
        <v>31</v>
      </c>
      <c r="S835" s="46" t="s">
        <v>31</v>
      </c>
      <c r="T835" s="46" t="s">
        <v>31</v>
      </c>
      <c r="U835" s="46" t="s">
        <v>49</v>
      </c>
    </row>
    <row r="836" spans="1:21">
      <c r="A836" s="46" t="s">
        <v>753</v>
      </c>
      <c r="B836" s="46" t="s">
        <v>167</v>
      </c>
      <c r="C836" s="46" t="s">
        <v>666</v>
      </c>
      <c r="D836" s="46">
        <v>1</v>
      </c>
      <c r="E836" s="46">
        <v>0</v>
      </c>
      <c r="F836" s="46" t="s">
        <v>733</v>
      </c>
      <c r="G836" s="46" t="s">
        <v>1305</v>
      </c>
      <c r="H836" s="46" t="s">
        <v>2994</v>
      </c>
      <c r="I836" s="46" t="str">
        <f ca="1">IFERROR(__xludf.DUMMYFUNCTION("CONCAT(A836,REGEXREPLACE(H836,"".*_L0"",""_L0""))"),"PD_BN1644_MTG_snRNAseq_rep1_L001_R1_001.fastq.gz")</f>
        <v>PD_BN1644_MTG_snRNAseq_rep1_L001_R1_001.fastq.gz</v>
      </c>
      <c r="J836" s="46" t="str">
        <f t="shared" si="3"/>
        <v>/data/neurogen/ASAP/scRNAseq/data/batch15_ASAP_snRNA-seq_*/Raw_Data_and_Processing/cellranger_processing/cellranger_fastqs/outs/fastq_path/H*/BN1644_S3_L001_R1_001.fastq.gz</v>
      </c>
      <c r="K836" s="46" t="s">
        <v>1317</v>
      </c>
      <c r="L836" s="46" t="s">
        <v>2995</v>
      </c>
      <c r="M836" s="46" t="s">
        <v>1309</v>
      </c>
      <c r="N836" s="46" t="s">
        <v>1310</v>
      </c>
      <c r="O836" s="46" t="s">
        <v>1311</v>
      </c>
      <c r="P836" s="46" t="s">
        <v>1312</v>
      </c>
      <c r="Q836" s="46" t="s">
        <v>31</v>
      </c>
      <c r="R836" s="46" t="s">
        <v>31</v>
      </c>
      <c r="S836" s="46" t="s">
        <v>31</v>
      </c>
      <c r="T836" s="46" t="s">
        <v>31</v>
      </c>
      <c r="U836" s="46" t="s">
        <v>49</v>
      </c>
    </row>
    <row r="837" spans="1:21">
      <c r="A837" s="46" t="s">
        <v>753</v>
      </c>
      <c r="B837" s="46" t="s">
        <v>167</v>
      </c>
      <c r="C837" s="46" t="s">
        <v>666</v>
      </c>
      <c r="D837" s="46">
        <v>1</v>
      </c>
      <c r="E837" s="46">
        <v>0</v>
      </c>
      <c r="F837" s="46" t="s">
        <v>733</v>
      </c>
      <c r="G837" s="46" t="s">
        <v>1305</v>
      </c>
      <c r="H837" s="46" t="s">
        <v>2996</v>
      </c>
      <c r="I837" s="46" t="str">
        <f ca="1">IFERROR(__xludf.DUMMYFUNCTION("CONCAT(A837,REGEXREPLACE(H837,"".*_L0"",""_L0""))"),"PD_BN1644_MTG_snRNAseq_rep1_L001_R2_001.fastq.gz")</f>
        <v>PD_BN1644_MTG_snRNAseq_rep1_L001_R2_001.fastq.gz</v>
      </c>
      <c r="J837" s="46" t="str">
        <f t="shared" si="3"/>
        <v>/data/neurogen/ASAP/scRNAseq/data/batch15_ASAP_snRNA-seq_*/Raw_Data_and_Processing/cellranger_processing/cellranger_fastqs/outs/fastq_path/H*/BN1644_S3_L001_R2_001.fastq.gz</v>
      </c>
      <c r="K837" s="46" t="s">
        <v>1320</v>
      </c>
      <c r="L837" s="46" t="s">
        <v>2997</v>
      </c>
      <c r="M837" s="46" t="s">
        <v>1309</v>
      </c>
      <c r="N837" s="46" t="s">
        <v>1310</v>
      </c>
      <c r="O837" s="46" t="s">
        <v>1311</v>
      </c>
      <c r="P837" s="46" t="s">
        <v>1312</v>
      </c>
      <c r="Q837" s="46" t="s">
        <v>31</v>
      </c>
      <c r="R837" s="46" t="s">
        <v>31</v>
      </c>
      <c r="S837" s="46" t="s">
        <v>31</v>
      </c>
      <c r="T837" s="46" t="s">
        <v>31</v>
      </c>
      <c r="U837" s="46" t="s">
        <v>49</v>
      </c>
    </row>
    <row r="838" spans="1:21">
      <c r="A838" s="46" t="s">
        <v>753</v>
      </c>
      <c r="B838" s="46" t="s">
        <v>167</v>
      </c>
      <c r="C838" s="46" t="s">
        <v>666</v>
      </c>
      <c r="D838" s="46">
        <v>1</v>
      </c>
      <c r="E838" s="46">
        <v>0</v>
      </c>
      <c r="F838" s="46" t="s">
        <v>733</v>
      </c>
      <c r="G838" s="46" t="s">
        <v>1305</v>
      </c>
      <c r="H838" s="46" t="s">
        <v>2998</v>
      </c>
      <c r="I838" s="46" t="str">
        <f ca="1">IFERROR(__xludf.DUMMYFUNCTION("CONCAT(A838,REGEXREPLACE(H838,"".*_L0"",""_L0""))"),"PD_BN1644_MTG_snRNAseq_rep1_L002_I1_001.fastq.gz")</f>
        <v>PD_BN1644_MTG_snRNAseq_rep1_L002_I1_001.fastq.gz</v>
      </c>
      <c r="J838" s="46" t="str">
        <f t="shared" si="3"/>
        <v>/data/neurogen/ASAP/scRNAseq/data/batch15_ASAP_snRNA-seq_*/Raw_Data_and_Processing/cellranger_processing/cellranger_fastqs/outs/fastq_path/H*/BN1644_S3_L002_I1_001.fastq.gz</v>
      </c>
      <c r="K838" s="46" t="s">
        <v>1323</v>
      </c>
      <c r="L838" s="46" t="s">
        <v>2999</v>
      </c>
      <c r="M838" s="46" t="s">
        <v>1309</v>
      </c>
      <c r="N838" s="46" t="s">
        <v>1310</v>
      </c>
      <c r="O838" s="46" t="s">
        <v>1311</v>
      </c>
      <c r="P838" s="46" t="s">
        <v>1312</v>
      </c>
      <c r="Q838" s="46" t="s">
        <v>31</v>
      </c>
      <c r="R838" s="46" t="s">
        <v>31</v>
      </c>
      <c r="S838" s="46" t="s">
        <v>31</v>
      </c>
      <c r="T838" s="46" t="s">
        <v>31</v>
      </c>
      <c r="U838" s="46" t="s">
        <v>49</v>
      </c>
    </row>
    <row r="839" spans="1:21">
      <c r="A839" s="46" t="s">
        <v>753</v>
      </c>
      <c r="B839" s="46" t="s">
        <v>167</v>
      </c>
      <c r="C839" s="46" t="s">
        <v>666</v>
      </c>
      <c r="D839" s="46">
        <v>1</v>
      </c>
      <c r="E839" s="46">
        <v>0</v>
      </c>
      <c r="F839" s="46" t="s">
        <v>733</v>
      </c>
      <c r="G839" s="46" t="s">
        <v>1305</v>
      </c>
      <c r="H839" s="46" t="s">
        <v>3000</v>
      </c>
      <c r="I839" s="46" t="str">
        <f ca="1">IFERROR(__xludf.DUMMYFUNCTION("CONCAT(A839,REGEXREPLACE(H839,"".*_L0"",""_L0""))"),"PD_BN1644_MTG_snRNAseq_rep1_L002_I2_001.fastq.gz")</f>
        <v>PD_BN1644_MTG_snRNAseq_rep1_L002_I2_001.fastq.gz</v>
      </c>
      <c r="J839" s="46" t="str">
        <f t="shared" si="3"/>
        <v>/data/neurogen/ASAP/scRNAseq/data/batch15_ASAP_snRNA-seq_*/Raw_Data_and_Processing/cellranger_processing/cellranger_fastqs/outs/fastq_path/H*/BN1644_S3_L002_I2_001.fastq.gz</v>
      </c>
      <c r="K839" s="46" t="s">
        <v>1326</v>
      </c>
      <c r="L839" s="46" t="s">
        <v>3001</v>
      </c>
      <c r="M839" s="46" t="s">
        <v>1309</v>
      </c>
      <c r="N839" s="46" t="s">
        <v>1310</v>
      </c>
      <c r="O839" s="46" t="s">
        <v>1311</v>
      </c>
      <c r="P839" s="46" t="s">
        <v>1312</v>
      </c>
      <c r="Q839" s="46" t="s">
        <v>31</v>
      </c>
      <c r="R839" s="46" t="s">
        <v>31</v>
      </c>
      <c r="S839" s="46" t="s">
        <v>31</v>
      </c>
      <c r="T839" s="46" t="s">
        <v>31</v>
      </c>
      <c r="U839" s="46" t="s">
        <v>49</v>
      </c>
    </row>
    <row r="840" spans="1:21">
      <c r="A840" s="46" t="s">
        <v>753</v>
      </c>
      <c r="B840" s="46" t="s">
        <v>167</v>
      </c>
      <c r="C840" s="46" t="s">
        <v>666</v>
      </c>
      <c r="D840" s="46">
        <v>1</v>
      </c>
      <c r="E840" s="46">
        <v>0</v>
      </c>
      <c r="F840" s="46" t="s">
        <v>733</v>
      </c>
      <c r="G840" s="46" t="s">
        <v>1305</v>
      </c>
      <c r="H840" s="46" t="s">
        <v>3002</v>
      </c>
      <c r="I840" s="46" t="str">
        <f ca="1">IFERROR(__xludf.DUMMYFUNCTION("CONCAT(A840,REGEXREPLACE(H840,"".*_L0"",""_L0""))"),"PD_BN1644_MTG_snRNAseq_rep1_L002_R1_001.fastq.gz")</f>
        <v>PD_BN1644_MTG_snRNAseq_rep1_L002_R1_001.fastq.gz</v>
      </c>
      <c r="J840" s="46" t="str">
        <f t="shared" si="3"/>
        <v>/data/neurogen/ASAP/scRNAseq/data/batch15_ASAP_snRNA-seq_*/Raw_Data_and_Processing/cellranger_processing/cellranger_fastqs/outs/fastq_path/H*/BN1644_S3_L002_R1_001.fastq.gz</v>
      </c>
      <c r="K840" s="46" t="s">
        <v>1329</v>
      </c>
      <c r="L840" s="46" t="s">
        <v>3003</v>
      </c>
      <c r="M840" s="46" t="s">
        <v>1309</v>
      </c>
      <c r="N840" s="46" t="s">
        <v>1310</v>
      </c>
      <c r="O840" s="46" t="s">
        <v>1311</v>
      </c>
      <c r="P840" s="46" t="s">
        <v>1312</v>
      </c>
      <c r="Q840" s="46" t="s">
        <v>31</v>
      </c>
      <c r="R840" s="46" t="s">
        <v>31</v>
      </c>
      <c r="S840" s="46" t="s">
        <v>31</v>
      </c>
      <c r="T840" s="46" t="s">
        <v>31</v>
      </c>
      <c r="U840" s="46" t="s">
        <v>49</v>
      </c>
    </row>
    <row r="841" spans="1:21">
      <c r="A841" s="46" t="s">
        <v>753</v>
      </c>
      <c r="B841" s="46" t="s">
        <v>167</v>
      </c>
      <c r="C841" s="46" t="s">
        <v>666</v>
      </c>
      <c r="D841" s="46">
        <v>1</v>
      </c>
      <c r="E841" s="46">
        <v>0</v>
      </c>
      <c r="F841" s="46" t="s">
        <v>733</v>
      </c>
      <c r="G841" s="46" t="s">
        <v>1305</v>
      </c>
      <c r="H841" s="46" t="s">
        <v>3004</v>
      </c>
      <c r="I841" s="46" t="str">
        <f ca="1">IFERROR(__xludf.DUMMYFUNCTION("CONCAT(A841,REGEXREPLACE(H841,"".*_L0"",""_L0""))"),"PD_BN1644_MTG_snRNAseq_rep1_L002_R2_001.fastq.gz")</f>
        <v>PD_BN1644_MTG_snRNAseq_rep1_L002_R2_001.fastq.gz</v>
      </c>
      <c r="J841" s="46" t="str">
        <f t="shared" si="3"/>
        <v>/data/neurogen/ASAP/scRNAseq/data/batch15_ASAP_snRNA-seq_*/Raw_Data_and_Processing/cellranger_processing/cellranger_fastqs/outs/fastq_path/H*/BN1644_S3_L002_R2_001.fastq.gz</v>
      </c>
      <c r="K841" s="46" t="s">
        <v>1332</v>
      </c>
      <c r="L841" s="46" t="s">
        <v>3005</v>
      </c>
      <c r="M841" s="46" t="s">
        <v>1309</v>
      </c>
      <c r="N841" s="46" t="s">
        <v>1310</v>
      </c>
      <c r="O841" s="46" t="s">
        <v>1311</v>
      </c>
      <c r="P841" s="46" t="s">
        <v>1312</v>
      </c>
      <c r="Q841" s="46" t="s">
        <v>31</v>
      </c>
      <c r="R841" s="46" t="s">
        <v>31</v>
      </c>
      <c r="S841" s="46" t="s">
        <v>31</v>
      </c>
      <c r="T841" s="46" t="s">
        <v>31</v>
      </c>
      <c r="U841" s="46" t="s">
        <v>49</v>
      </c>
    </row>
    <row r="842" spans="1:21">
      <c r="A842" s="46" t="s">
        <v>753</v>
      </c>
      <c r="B842" s="46" t="s">
        <v>167</v>
      </c>
      <c r="C842" s="46" t="s">
        <v>666</v>
      </c>
      <c r="D842" s="46">
        <v>1</v>
      </c>
      <c r="E842" s="46">
        <v>0</v>
      </c>
      <c r="F842" s="46" t="s">
        <v>733</v>
      </c>
      <c r="G842" s="46" t="s">
        <v>1305</v>
      </c>
      <c r="H842" s="46" t="s">
        <v>3006</v>
      </c>
      <c r="I842" s="46" t="str">
        <f ca="1">IFERROR(__xludf.DUMMYFUNCTION("CONCAT(A842,REGEXREPLACE(H842,"".*_L0"",""_L0""))"),"PD_BN1644_MTG_snRNAseq_rep1_L003_I1_001.fastq.gz")</f>
        <v>PD_BN1644_MTG_snRNAseq_rep1_L003_I1_001.fastq.gz</v>
      </c>
      <c r="J842" s="46" t="str">
        <f t="shared" si="3"/>
        <v>/data/neurogen/ASAP/scRNAseq/data/batch15_ASAP_snRNA-seq_*/Raw_Data_and_Processing/cellranger_processing/cellranger_fastqs/outs/fastq_path/H*/BN1644_S3_L003_I1_001.fastq.gz</v>
      </c>
      <c r="K842" s="46" t="s">
        <v>1335</v>
      </c>
      <c r="L842" s="46" t="s">
        <v>3007</v>
      </c>
      <c r="M842" s="46" t="s">
        <v>1309</v>
      </c>
      <c r="N842" s="46" t="s">
        <v>1310</v>
      </c>
      <c r="O842" s="46" t="s">
        <v>1311</v>
      </c>
      <c r="P842" s="46" t="s">
        <v>1312</v>
      </c>
      <c r="Q842" s="46" t="s">
        <v>31</v>
      </c>
      <c r="R842" s="46" t="s">
        <v>31</v>
      </c>
      <c r="S842" s="46" t="s">
        <v>31</v>
      </c>
      <c r="T842" s="46" t="s">
        <v>31</v>
      </c>
      <c r="U842" s="46" t="s">
        <v>49</v>
      </c>
    </row>
    <row r="843" spans="1:21">
      <c r="A843" s="46" t="s">
        <v>753</v>
      </c>
      <c r="B843" s="46" t="s">
        <v>167</v>
      </c>
      <c r="C843" s="46" t="s">
        <v>666</v>
      </c>
      <c r="D843" s="46">
        <v>1</v>
      </c>
      <c r="E843" s="46">
        <v>0</v>
      </c>
      <c r="F843" s="46" t="s">
        <v>733</v>
      </c>
      <c r="G843" s="46" t="s">
        <v>1305</v>
      </c>
      <c r="H843" s="46" t="s">
        <v>3008</v>
      </c>
      <c r="I843" s="46" t="str">
        <f ca="1">IFERROR(__xludf.DUMMYFUNCTION("CONCAT(A843,REGEXREPLACE(H843,"".*_L0"",""_L0""))"),"PD_BN1644_MTG_snRNAseq_rep1_L003_I2_001.fastq.gz")</f>
        <v>PD_BN1644_MTG_snRNAseq_rep1_L003_I2_001.fastq.gz</v>
      </c>
      <c r="J843" s="46" t="str">
        <f t="shared" si="3"/>
        <v>/data/neurogen/ASAP/scRNAseq/data/batch15_ASAP_snRNA-seq_*/Raw_Data_and_Processing/cellranger_processing/cellranger_fastqs/outs/fastq_path/H*/BN1644_S3_L003_I2_001.fastq.gz</v>
      </c>
      <c r="K843" s="46" t="s">
        <v>1338</v>
      </c>
      <c r="L843" s="46" t="s">
        <v>3009</v>
      </c>
      <c r="M843" s="46" t="s">
        <v>1309</v>
      </c>
      <c r="N843" s="46" t="s">
        <v>1310</v>
      </c>
      <c r="O843" s="46" t="s">
        <v>1311</v>
      </c>
      <c r="P843" s="46" t="s">
        <v>1312</v>
      </c>
      <c r="Q843" s="46" t="s">
        <v>31</v>
      </c>
      <c r="R843" s="46" t="s">
        <v>31</v>
      </c>
      <c r="S843" s="46" t="s">
        <v>31</v>
      </c>
      <c r="T843" s="46" t="s">
        <v>31</v>
      </c>
      <c r="U843" s="46" t="s">
        <v>49</v>
      </c>
    </row>
    <row r="844" spans="1:21">
      <c r="A844" s="46" t="s">
        <v>753</v>
      </c>
      <c r="B844" s="46" t="s">
        <v>167</v>
      </c>
      <c r="C844" s="46" t="s">
        <v>666</v>
      </c>
      <c r="D844" s="46">
        <v>1</v>
      </c>
      <c r="E844" s="46">
        <v>0</v>
      </c>
      <c r="F844" s="46" t="s">
        <v>733</v>
      </c>
      <c r="G844" s="46" t="s">
        <v>1305</v>
      </c>
      <c r="H844" s="46" t="s">
        <v>3010</v>
      </c>
      <c r="I844" s="46" t="str">
        <f ca="1">IFERROR(__xludf.DUMMYFUNCTION("CONCAT(A844,REGEXREPLACE(H844,"".*_L0"",""_L0""))"),"PD_BN1644_MTG_snRNAseq_rep1_L003_R1_001.fastq.gz")</f>
        <v>PD_BN1644_MTG_snRNAseq_rep1_L003_R1_001.fastq.gz</v>
      </c>
      <c r="J844" s="46" t="str">
        <f t="shared" si="3"/>
        <v>/data/neurogen/ASAP/scRNAseq/data/batch15_ASAP_snRNA-seq_*/Raw_Data_and_Processing/cellranger_processing/cellranger_fastqs/outs/fastq_path/H*/BN1644_S3_L003_R1_001.fastq.gz</v>
      </c>
      <c r="K844" s="46" t="s">
        <v>1341</v>
      </c>
      <c r="L844" s="46" t="s">
        <v>3011</v>
      </c>
      <c r="M844" s="46" t="s">
        <v>1309</v>
      </c>
      <c r="N844" s="46" t="s">
        <v>1310</v>
      </c>
      <c r="O844" s="46" t="s">
        <v>1311</v>
      </c>
      <c r="P844" s="46" t="s">
        <v>1312</v>
      </c>
      <c r="Q844" s="46" t="s">
        <v>31</v>
      </c>
      <c r="R844" s="46" t="s">
        <v>31</v>
      </c>
      <c r="S844" s="46" t="s">
        <v>31</v>
      </c>
      <c r="T844" s="46" t="s">
        <v>31</v>
      </c>
      <c r="U844" s="46" t="s">
        <v>49</v>
      </c>
    </row>
    <row r="845" spans="1:21">
      <c r="A845" s="46" t="s">
        <v>753</v>
      </c>
      <c r="B845" s="46" t="s">
        <v>167</v>
      </c>
      <c r="C845" s="46" t="s">
        <v>666</v>
      </c>
      <c r="D845" s="46">
        <v>1</v>
      </c>
      <c r="E845" s="46">
        <v>0</v>
      </c>
      <c r="F845" s="46" t="s">
        <v>733</v>
      </c>
      <c r="G845" s="46" t="s">
        <v>1305</v>
      </c>
      <c r="H845" s="46" t="s">
        <v>3012</v>
      </c>
      <c r="I845" s="46" t="str">
        <f ca="1">IFERROR(__xludf.DUMMYFUNCTION("CONCAT(A845,REGEXREPLACE(H845,"".*_L0"",""_L0""))"),"PD_BN1644_MTG_snRNAseq_rep1_L003_R2_001.fastq.gz")</f>
        <v>PD_BN1644_MTG_snRNAseq_rep1_L003_R2_001.fastq.gz</v>
      </c>
      <c r="J845" s="46" t="str">
        <f t="shared" si="3"/>
        <v>/data/neurogen/ASAP/scRNAseq/data/batch15_ASAP_snRNA-seq_*/Raw_Data_and_Processing/cellranger_processing/cellranger_fastqs/outs/fastq_path/H*/BN1644_S3_L003_R2_001.fastq.gz</v>
      </c>
      <c r="K845" s="46" t="s">
        <v>1344</v>
      </c>
      <c r="L845" s="46" t="s">
        <v>3013</v>
      </c>
      <c r="M845" s="46" t="s">
        <v>1309</v>
      </c>
      <c r="N845" s="46" t="s">
        <v>1310</v>
      </c>
      <c r="O845" s="46" t="s">
        <v>1311</v>
      </c>
      <c r="P845" s="46" t="s">
        <v>1312</v>
      </c>
      <c r="Q845" s="46" t="s">
        <v>31</v>
      </c>
      <c r="R845" s="46" t="s">
        <v>31</v>
      </c>
      <c r="S845" s="46" t="s">
        <v>31</v>
      </c>
      <c r="T845" s="46" t="s">
        <v>31</v>
      </c>
      <c r="U845" s="46" t="s">
        <v>49</v>
      </c>
    </row>
    <row r="846" spans="1:21">
      <c r="A846" s="46" t="s">
        <v>753</v>
      </c>
      <c r="B846" s="46" t="s">
        <v>167</v>
      </c>
      <c r="C846" s="46" t="s">
        <v>666</v>
      </c>
      <c r="D846" s="46">
        <v>1</v>
      </c>
      <c r="E846" s="46">
        <v>0</v>
      </c>
      <c r="F846" s="46" t="s">
        <v>733</v>
      </c>
      <c r="G846" s="46" t="s">
        <v>1305</v>
      </c>
      <c r="H846" s="46" t="s">
        <v>3014</v>
      </c>
      <c r="I846" s="46" t="str">
        <f ca="1">IFERROR(__xludf.DUMMYFUNCTION("CONCAT(A846,REGEXREPLACE(H846,"".*_L0"",""_L0""))"),"PD_BN1644_MTG_snRNAseq_rep1_L004_I1_001.fastq.gz")</f>
        <v>PD_BN1644_MTG_snRNAseq_rep1_L004_I1_001.fastq.gz</v>
      </c>
      <c r="J846" s="46" t="str">
        <f t="shared" si="3"/>
        <v>/data/neurogen/ASAP/scRNAseq/data/batch15_ASAP_snRNA-seq_*/Raw_Data_and_Processing/cellranger_processing/cellranger_fastqs/outs/fastq_path/H*/BN1644_S3_L004_I1_001.fastq.gz</v>
      </c>
      <c r="K846" s="46" t="s">
        <v>1347</v>
      </c>
      <c r="L846" s="46" t="s">
        <v>3015</v>
      </c>
      <c r="M846" s="46" t="s">
        <v>1309</v>
      </c>
      <c r="N846" s="46" t="s">
        <v>1310</v>
      </c>
      <c r="O846" s="46" t="s">
        <v>1311</v>
      </c>
      <c r="P846" s="46" t="s">
        <v>1312</v>
      </c>
      <c r="Q846" s="46" t="s">
        <v>31</v>
      </c>
      <c r="R846" s="46" t="s">
        <v>31</v>
      </c>
      <c r="S846" s="46" t="s">
        <v>31</v>
      </c>
      <c r="T846" s="46" t="s">
        <v>31</v>
      </c>
      <c r="U846" s="46" t="s">
        <v>49</v>
      </c>
    </row>
    <row r="847" spans="1:21">
      <c r="A847" s="46" t="s">
        <v>753</v>
      </c>
      <c r="B847" s="46" t="s">
        <v>167</v>
      </c>
      <c r="C847" s="46" t="s">
        <v>666</v>
      </c>
      <c r="D847" s="46">
        <v>1</v>
      </c>
      <c r="E847" s="46">
        <v>0</v>
      </c>
      <c r="F847" s="46" t="s">
        <v>733</v>
      </c>
      <c r="G847" s="46" t="s">
        <v>1305</v>
      </c>
      <c r="H847" s="46" t="s">
        <v>3016</v>
      </c>
      <c r="I847" s="46" t="str">
        <f ca="1">IFERROR(__xludf.DUMMYFUNCTION("CONCAT(A847,REGEXREPLACE(H847,"".*_L0"",""_L0""))"),"PD_BN1644_MTG_snRNAseq_rep1_L004_I2_001.fastq.gz")</f>
        <v>PD_BN1644_MTG_snRNAseq_rep1_L004_I2_001.fastq.gz</v>
      </c>
      <c r="J847" s="46" t="str">
        <f t="shared" si="3"/>
        <v>/data/neurogen/ASAP/scRNAseq/data/batch15_ASAP_snRNA-seq_*/Raw_Data_and_Processing/cellranger_processing/cellranger_fastqs/outs/fastq_path/H*/BN1644_S3_L004_I2_001.fastq.gz</v>
      </c>
      <c r="K847" s="46" t="s">
        <v>1350</v>
      </c>
      <c r="L847" s="46" t="s">
        <v>3017</v>
      </c>
      <c r="M847" s="46" t="s">
        <v>1309</v>
      </c>
      <c r="N847" s="46" t="s">
        <v>1310</v>
      </c>
      <c r="O847" s="46" t="s">
        <v>1311</v>
      </c>
      <c r="P847" s="46" t="s">
        <v>1312</v>
      </c>
      <c r="Q847" s="46" t="s">
        <v>31</v>
      </c>
      <c r="R847" s="46" t="s">
        <v>31</v>
      </c>
      <c r="S847" s="46" t="s">
        <v>31</v>
      </c>
      <c r="T847" s="46" t="s">
        <v>31</v>
      </c>
      <c r="U847" s="46" t="s">
        <v>49</v>
      </c>
    </row>
    <row r="848" spans="1:21">
      <c r="A848" s="46" t="s">
        <v>753</v>
      </c>
      <c r="B848" s="46" t="s">
        <v>167</v>
      </c>
      <c r="C848" s="46" t="s">
        <v>666</v>
      </c>
      <c r="D848" s="46">
        <v>1</v>
      </c>
      <c r="E848" s="46">
        <v>0</v>
      </c>
      <c r="F848" s="46" t="s">
        <v>733</v>
      </c>
      <c r="G848" s="46" t="s">
        <v>1305</v>
      </c>
      <c r="H848" s="46" t="s">
        <v>3018</v>
      </c>
      <c r="I848" s="46" t="str">
        <f ca="1">IFERROR(__xludf.DUMMYFUNCTION("CONCAT(A848,REGEXREPLACE(H848,"".*_L0"",""_L0""))"),"PD_BN1644_MTG_snRNAseq_rep1_L004_R1_001.fastq.gz")</f>
        <v>PD_BN1644_MTG_snRNAseq_rep1_L004_R1_001.fastq.gz</v>
      </c>
      <c r="J848" s="46" t="str">
        <f t="shared" si="3"/>
        <v>/data/neurogen/ASAP/scRNAseq/data/batch15_ASAP_snRNA-seq_*/Raw_Data_and_Processing/cellranger_processing/cellranger_fastqs/outs/fastq_path/H*/BN1644_S3_L004_R1_001.fastq.gz</v>
      </c>
      <c r="K848" s="46" t="s">
        <v>1353</v>
      </c>
      <c r="L848" s="46" t="s">
        <v>3019</v>
      </c>
      <c r="M848" s="46" t="s">
        <v>1309</v>
      </c>
      <c r="N848" s="46" t="s">
        <v>1310</v>
      </c>
      <c r="O848" s="46" t="s">
        <v>1311</v>
      </c>
      <c r="P848" s="46" t="s">
        <v>1312</v>
      </c>
      <c r="Q848" s="46" t="s">
        <v>31</v>
      </c>
      <c r="R848" s="46" t="s">
        <v>31</v>
      </c>
      <c r="S848" s="46" t="s">
        <v>31</v>
      </c>
      <c r="T848" s="46" t="s">
        <v>31</v>
      </c>
      <c r="U848" s="46" t="s">
        <v>49</v>
      </c>
    </row>
    <row r="849" spans="1:21">
      <c r="A849" s="46" t="s">
        <v>753</v>
      </c>
      <c r="B849" s="46" t="s">
        <v>167</v>
      </c>
      <c r="C849" s="46" t="s">
        <v>666</v>
      </c>
      <c r="D849" s="46">
        <v>1</v>
      </c>
      <c r="E849" s="46">
        <v>0</v>
      </c>
      <c r="F849" s="46" t="s">
        <v>733</v>
      </c>
      <c r="G849" s="46" t="s">
        <v>1305</v>
      </c>
      <c r="H849" s="46" t="s">
        <v>3020</v>
      </c>
      <c r="I849" s="46" t="str">
        <f ca="1">IFERROR(__xludf.DUMMYFUNCTION("CONCAT(A849,REGEXREPLACE(H849,"".*_L0"",""_L0""))"),"PD_BN1644_MTG_snRNAseq_rep1_L004_R2_001.fastq.gz")</f>
        <v>PD_BN1644_MTG_snRNAseq_rep1_L004_R2_001.fastq.gz</v>
      </c>
      <c r="J849" s="46" t="str">
        <f t="shared" si="3"/>
        <v>/data/neurogen/ASAP/scRNAseq/data/batch15_ASAP_snRNA-seq_*/Raw_Data_and_Processing/cellranger_processing/cellranger_fastqs/outs/fastq_path/H*/BN1644_S3_L004_R2_001.fastq.gz</v>
      </c>
      <c r="K849" s="46" t="s">
        <v>1356</v>
      </c>
      <c r="L849" s="46" t="s">
        <v>3021</v>
      </c>
      <c r="M849" s="46" t="s">
        <v>1309</v>
      </c>
      <c r="N849" s="46" t="s">
        <v>1310</v>
      </c>
      <c r="O849" s="46" t="s">
        <v>1311</v>
      </c>
      <c r="P849" s="46" t="s">
        <v>1312</v>
      </c>
      <c r="Q849" s="46" t="s">
        <v>31</v>
      </c>
      <c r="R849" s="46" t="s">
        <v>31</v>
      </c>
      <c r="S849" s="46" t="s">
        <v>31</v>
      </c>
      <c r="T849" s="46" t="s">
        <v>31</v>
      </c>
      <c r="U849" s="46" t="s">
        <v>49</v>
      </c>
    </row>
    <row r="850" spans="1:21">
      <c r="A850" s="46" t="s">
        <v>722</v>
      </c>
      <c r="B850" s="46" t="s">
        <v>122</v>
      </c>
      <c r="C850" s="46" t="s">
        <v>666</v>
      </c>
      <c r="D850" s="46">
        <v>1</v>
      </c>
      <c r="E850" s="46">
        <v>0</v>
      </c>
      <c r="F850" s="46" t="s">
        <v>723</v>
      </c>
      <c r="G850" s="46" t="s">
        <v>1305</v>
      </c>
      <c r="H850" s="46" t="s">
        <v>3022</v>
      </c>
      <c r="I850" s="46" t="str">
        <f ca="1">IFERROR(__xludf.DUMMYFUNCTION("CONCAT(A850,REGEXREPLACE(H850,"".*_L0"",""_L0""))"),"HC_BN1206_MTG_snRNAseq_rep1_L001_I1_001.fastq.gz")</f>
        <v>HC_BN1206_MTG_snRNAseq_rep1_L001_I1_001.fastq.gz</v>
      </c>
      <c r="J850" s="46" t="str">
        <f t="shared" si="3"/>
        <v>/data/neurogen/ASAP/scRNAseq/data/batch16_ASAP_snRNA-seq_*/Raw_Data_and_Processing/cellranger_processing/cellranger_fastqs/outs/fastq_path/H*/BN1206_S2_L001_I1_001.fastq.gz</v>
      </c>
      <c r="K850" s="46" t="s">
        <v>1307</v>
      </c>
      <c r="L850" s="46" t="s">
        <v>3023</v>
      </c>
      <c r="M850" s="46" t="s">
        <v>1309</v>
      </c>
      <c r="N850" s="46" t="s">
        <v>1310</v>
      </c>
      <c r="O850" s="46" t="s">
        <v>1311</v>
      </c>
      <c r="P850" s="46" t="s">
        <v>1312</v>
      </c>
      <c r="Q850" s="46" t="s">
        <v>31</v>
      </c>
      <c r="R850" s="46" t="s">
        <v>31</v>
      </c>
      <c r="S850" s="46" t="s">
        <v>31</v>
      </c>
      <c r="T850" s="46" t="s">
        <v>31</v>
      </c>
      <c r="U850" s="46" t="s">
        <v>49</v>
      </c>
    </row>
    <row r="851" spans="1:21">
      <c r="A851" s="46" t="s">
        <v>722</v>
      </c>
      <c r="B851" s="46" t="s">
        <v>122</v>
      </c>
      <c r="C851" s="46" t="s">
        <v>666</v>
      </c>
      <c r="D851" s="46">
        <v>1</v>
      </c>
      <c r="E851" s="46">
        <v>0</v>
      </c>
      <c r="F851" s="46" t="s">
        <v>723</v>
      </c>
      <c r="G851" s="46" t="s">
        <v>1305</v>
      </c>
      <c r="H851" s="46" t="s">
        <v>3024</v>
      </c>
      <c r="I851" s="46" t="str">
        <f ca="1">IFERROR(__xludf.DUMMYFUNCTION("CONCAT(A851,REGEXREPLACE(H851,"".*_L0"",""_L0""))"),"HC_BN1206_MTG_snRNAseq_rep1_L001_I2_001.fastq.gz")</f>
        <v>HC_BN1206_MTG_snRNAseq_rep1_L001_I2_001.fastq.gz</v>
      </c>
      <c r="J851" s="46" t="str">
        <f t="shared" si="3"/>
        <v>/data/neurogen/ASAP/scRNAseq/data/batch16_ASAP_snRNA-seq_*/Raw_Data_and_Processing/cellranger_processing/cellranger_fastqs/outs/fastq_path/H*/BN1206_S2_L001_I2_001.fastq.gz</v>
      </c>
      <c r="K851" s="46" t="s">
        <v>1314</v>
      </c>
      <c r="L851" s="46" t="s">
        <v>3025</v>
      </c>
      <c r="M851" s="46" t="s">
        <v>1309</v>
      </c>
      <c r="N851" s="46" t="s">
        <v>1310</v>
      </c>
      <c r="O851" s="46" t="s">
        <v>1311</v>
      </c>
      <c r="P851" s="46" t="s">
        <v>1312</v>
      </c>
      <c r="Q851" s="46" t="s">
        <v>31</v>
      </c>
      <c r="R851" s="46" t="s">
        <v>31</v>
      </c>
      <c r="S851" s="46" t="s">
        <v>31</v>
      </c>
      <c r="T851" s="46" t="s">
        <v>31</v>
      </c>
      <c r="U851" s="46" t="s">
        <v>49</v>
      </c>
    </row>
    <row r="852" spans="1:21">
      <c r="A852" s="46" t="s">
        <v>722</v>
      </c>
      <c r="B852" s="46" t="s">
        <v>122</v>
      </c>
      <c r="C852" s="46" t="s">
        <v>666</v>
      </c>
      <c r="D852" s="46">
        <v>1</v>
      </c>
      <c r="E852" s="46">
        <v>0</v>
      </c>
      <c r="F852" s="46" t="s">
        <v>723</v>
      </c>
      <c r="G852" s="46" t="s">
        <v>1305</v>
      </c>
      <c r="H852" s="46" t="s">
        <v>3026</v>
      </c>
      <c r="I852" s="46" t="str">
        <f ca="1">IFERROR(__xludf.DUMMYFUNCTION("CONCAT(A852,REGEXREPLACE(H852,"".*_L0"",""_L0""))"),"HC_BN1206_MTG_snRNAseq_rep1_L001_R1_001.fastq.gz")</f>
        <v>HC_BN1206_MTG_snRNAseq_rep1_L001_R1_001.fastq.gz</v>
      </c>
      <c r="J852" s="46" t="str">
        <f t="shared" si="3"/>
        <v>/data/neurogen/ASAP/scRNAseq/data/batch16_ASAP_snRNA-seq_*/Raw_Data_and_Processing/cellranger_processing/cellranger_fastqs/outs/fastq_path/H*/BN1206_S2_L001_R1_001.fastq.gz</v>
      </c>
      <c r="K852" s="46" t="s">
        <v>1317</v>
      </c>
      <c r="L852" s="46" t="s">
        <v>3027</v>
      </c>
      <c r="M852" s="46" t="s">
        <v>1309</v>
      </c>
      <c r="N852" s="46" t="s">
        <v>1310</v>
      </c>
      <c r="O852" s="46" t="s">
        <v>1311</v>
      </c>
      <c r="P852" s="46" t="s">
        <v>1312</v>
      </c>
      <c r="Q852" s="46" t="s">
        <v>31</v>
      </c>
      <c r="R852" s="46" t="s">
        <v>31</v>
      </c>
      <c r="S852" s="46" t="s">
        <v>31</v>
      </c>
      <c r="T852" s="46" t="s">
        <v>31</v>
      </c>
      <c r="U852" s="46" t="s">
        <v>49</v>
      </c>
    </row>
    <row r="853" spans="1:21">
      <c r="A853" s="46" t="s">
        <v>722</v>
      </c>
      <c r="B853" s="46" t="s">
        <v>122</v>
      </c>
      <c r="C853" s="46" t="s">
        <v>666</v>
      </c>
      <c r="D853" s="46">
        <v>1</v>
      </c>
      <c r="E853" s="46">
        <v>0</v>
      </c>
      <c r="F853" s="46" t="s">
        <v>723</v>
      </c>
      <c r="G853" s="46" t="s">
        <v>1305</v>
      </c>
      <c r="H853" s="46" t="s">
        <v>3028</v>
      </c>
      <c r="I853" s="46" t="str">
        <f ca="1">IFERROR(__xludf.DUMMYFUNCTION("CONCAT(A853,REGEXREPLACE(H853,"".*_L0"",""_L0""))"),"HC_BN1206_MTG_snRNAseq_rep1_L001_R2_001.fastq.gz")</f>
        <v>HC_BN1206_MTG_snRNAseq_rep1_L001_R2_001.fastq.gz</v>
      </c>
      <c r="J853" s="46" t="str">
        <f t="shared" si="3"/>
        <v>/data/neurogen/ASAP/scRNAseq/data/batch16_ASAP_snRNA-seq_*/Raw_Data_and_Processing/cellranger_processing/cellranger_fastqs/outs/fastq_path/H*/BN1206_S2_L001_R2_001.fastq.gz</v>
      </c>
      <c r="K853" s="46" t="s">
        <v>1320</v>
      </c>
      <c r="L853" s="46" t="s">
        <v>3029</v>
      </c>
      <c r="M853" s="46" t="s">
        <v>1309</v>
      </c>
      <c r="N853" s="46" t="s">
        <v>1310</v>
      </c>
      <c r="O853" s="46" t="s">
        <v>1311</v>
      </c>
      <c r="P853" s="46" t="s">
        <v>1312</v>
      </c>
      <c r="Q853" s="46" t="s">
        <v>31</v>
      </c>
      <c r="R853" s="46" t="s">
        <v>31</v>
      </c>
      <c r="S853" s="46" t="s">
        <v>31</v>
      </c>
      <c r="T853" s="46" t="s">
        <v>31</v>
      </c>
      <c r="U853" s="46" t="s">
        <v>49</v>
      </c>
    </row>
    <row r="854" spans="1:21">
      <c r="A854" s="46" t="s">
        <v>722</v>
      </c>
      <c r="B854" s="46" t="s">
        <v>122</v>
      </c>
      <c r="C854" s="46" t="s">
        <v>666</v>
      </c>
      <c r="D854" s="46">
        <v>1</v>
      </c>
      <c r="E854" s="46">
        <v>0</v>
      </c>
      <c r="F854" s="46" t="s">
        <v>723</v>
      </c>
      <c r="G854" s="46" t="s">
        <v>1305</v>
      </c>
      <c r="H854" s="46" t="s">
        <v>3030</v>
      </c>
      <c r="I854" s="46" t="str">
        <f ca="1">IFERROR(__xludf.DUMMYFUNCTION("CONCAT(A854,REGEXREPLACE(H854,"".*_L0"",""_L0""))"),"HC_BN1206_MTG_snRNAseq_rep1_L002_I1_001.fastq.gz")</f>
        <v>HC_BN1206_MTG_snRNAseq_rep1_L002_I1_001.fastq.gz</v>
      </c>
      <c r="J854" s="46" t="str">
        <f t="shared" si="3"/>
        <v>/data/neurogen/ASAP/scRNAseq/data/batch16_ASAP_snRNA-seq_*/Raw_Data_and_Processing/cellranger_processing/cellranger_fastqs/outs/fastq_path/H*/BN1206_S2_L002_I1_001.fastq.gz</v>
      </c>
      <c r="K854" s="46" t="s">
        <v>1323</v>
      </c>
      <c r="L854" s="46" t="s">
        <v>3031</v>
      </c>
      <c r="M854" s="46" t="s">
        <v>1309</v>
      </c>
      <c r="N854" s="46" t="s">
        <v>1310</v>
      </c>
      <c r="O854" s="46" t="s">
        <v>1311</v>
      </c>
      <c r="P854" s="46" t="s">
        <v>1312</v>
      </c>
      <c r="Q854" s="46" t="s">
        <v>31</v>
      </c>
      <c r="R854" s="46" t="s">
        <v>31</v>
      </c>
      <c r="S854" s="46" t="s">
        <v>31</v>
      </c>
      <c r="T854" s="46" t="s">
        <v>31</v>
      </c>
      <c r="U854" s="46" t="s">
        <v>49</v>
      </c>
    </row>
    <row r="855" spans="1:21">
      <c r="A855" s="46" t="s">
        <v>722</v>
      </c>
      <c r="B855" s="46" t="s">
        <v>122</v>
      </c>
      <c r="C855" s="46" t="s">
        <v>666</v>
      </c>
      <c r="D855" s="46">
        <v>1</v>
      </c>
      <c r="E855" s="46">
        <v>0</v>
      </c>
      <c r="F855" s="46" t="s">
        <v>723</v>
      </c>
      <c r="G855" s="46" t="s">
        <v>1305</v>
      </c>
      <c r="H855" s="46" t="s">
        <v>3032</v>
      </c>
      <c r="I855" s="46" t="str">
        <f ca="1">IFERROR(__xludf.DUMMYFUNCTION("CONCAT(A855,REGEXREPLACE(H855,"".*_L0"",""_L0""))"),"HC_BN1206_MTG_snRNAseq_rep1_L002_I2_001.fastq.gz")</f>
        <v>HC_BN1206_MTG_snRNAseq_rep1_L002_I2_001.fastq.gz</v>
      </c>
      <c r="J855" s="46" t="str">
        <f t="shared" si="3"/>
        <v>/data/neurogen/ASAP/scRNAseq/data/batch16_ASAP_snRNA-seq_*/Raw_Data_and_Processing/cellranger_processing/cellranger_fastqs/outs/fastq_path/H*/BN1206_S2_L002_I2_001.fastq.gz</v>
      </c>
      <c r="K855" s="46" t="s">
        <v>1326</v>
      </c>
      <c r="L855" s="46" t="s">
        <v>3033</v>
      </c>
      <c r="M855" s="46" t="s">
        <v>1309</v>
      </c>
      <c r="N855" s="46" t="s">
        <v>1310</v>
      </c>
      <c r="O855" s="46" t="s">
        <v>1311</v>
      </c>
      <c r="P855" s="46" t="s">
        <v>1312</v>
      </c>
      <c r="Q855" s="46" t="s">
        <v>31</v>
      </c>
      <c r="R855" s="46" t="s">
        <v>31</v>
      </c>
      <c r="S855" s="46" t="s">
        <v>31</v>
      </c>
      <c r="T855" s="46" t="s">
        <v>31</v>
      </c>
      <c r="U855" s="46" t="s">
        <v>49</v>
      </c>
    </row>
    <row r="856" spans="1:21">
      <c r="A856" s="46" t="s">
        <v>722</v>
      </c>
      <c r="B856" s="46" t="s">
        <v>122</v>
      </c>
      <c r="C856" s="46" t="s">
        <v>666</v>
      </c>
      <c r="D856" s="46">
        <v>1</v>
      </c>
      <c r="E856" s="46">
        <v>0</v>
      </c>
      <c r="F856" s="46" t="s">
        <v>723</v>
      </c>
      <c r="G856" s="46" t="s">
        <v>1305</v>
      </c>
      <c r="H856" s="46" t="s">
        <v>3034</v>
      </c>
      <c r="I856" s="46" t="str">
        <f ca="1">IFERROR(__xludf.DUMMYFUNCTION("CONCAT(A856,REGEXREPLACE(H856,"".*_L0"",""_L0""))"),"HC_BN1206_MTG_snRNAseq_rep1_L002_R1_001.fastq.gz")</f>
        <v>HC_BN1206_MTG_snRNAseq_rep1_L002_R1_001.fastq.gz</v>
      </c>
      <c r="J856" s="46" t="str">
        <f t="shared" si="3"/>
        <v>/data/neurogen/ASAP/scRNAseq/data/batch16_ASAP_snRNA-seq_*/Raw_Data_and_Processing/cellranger_processing/cellranger_fastqs/outs/fastq_path/H*/BN1206_S2_L002_R1_001.fastq.gz</v>
      </c>
      <c r="K856" s="46" t="s">
        <v>1329</v>
      </c>
      <c r="L856" s="46" t="s">
        <v>3035</v>
      </c>
      <c r="M856" s="46" t="s">
        <v>1309</v>
      </c>
      <c r="N856" s="46" t="s">
        <v>1310</v>
      </c>
      <c r="O856" s="46" t="s">
        <v>1311</v>
      </c>
      <c r="P856" s="46" t="s">
        <v>1312</v>
      </c>
      <c r="Q856" s="46" t="s">
        <v>31</v>
      </c>
      <c r="R856" s="46" t="s">
        <v>31</v>
      </c>
      <c r="S856" s="46" t="s">
        <v>31</v>
      </c>
      <c r="T856" s="46" t="s">
        <v>31</v>
      </c>
      <c r="U856" s="46" t="s">
        <v>49</v>
      </c>
    </row>
    <row r="857" spans="1:21">
      <c r="A857" s="46" t="s">
        <v>722</v>
      </c>
      <c r="B857" s="46" t="s">
        <v>122</v>
      </c>
      <c r="C857" s="46" t="s">
        <v>666</v>
      </c>
      <c r="D857" s="46">
        <v>1</v>
      </c>
      <c r="E857" s="46">
        <v>0</v>
      </c>
      <c r="F857" s="46" t="s">
        <v>723</v>
      </c>
      <c r="G857" s="46" t="s">
        <v>1305</v>
      </c>
      <c r="H857" s="46" t="s">
        <v>3036</v>
      </c>
      <c r="I857" s="46" t="str">
        <f ca="1">IFERROR(__xludf.DUMMYFUNCTION("CONCAT(A857,REGEXREPLACE(H857,"".*_L0"",""_L0""))"),"HC_BN1206_MTG_snRNAseq_rep1_L002_R2_001.fastq.gz")</f>
        <v>HC_BN1206_MTG_snRNAseq_rep1_L002_R2_001.fastq.gz</v>
      </c>
      <c r="J857" s="46" t="str">
        <f t="shared" si="3"/>
        <v>/data/neurogen/ASAP/scRNAseq/data/batch16_ASAP_snRNA-seq_*/Raw_Data_and_Processing/cellranger_processing/cellranger_fastqs/outs/fastq_path/H*/BN1206_S2_L002_R2_001.fastq.gz</v>
      </c>
      <c r="K857" s="46" t="s">
        <v>1332</v>
      </c>
      <c r="L857" s="46" t="s">
        <v>3037</v>
      </c>
      <c r="M857" s="46" t="s">
        <v>1309</v>
      </c>
      <c r="N857" s="46" t="s">
        <v>1310</v>
      </c>
      <c r="O857" s="46" t="s">
        <v>1311</v>
      </c>
      <c r="P857" s="46" t="s">
        <v>1312</v>
      </c>
      <c r="Q857" s="46" t="s">
        <v>31</v>
      </c>
      <c r="R857" s="46" t="s">
        <v>31</v>
      </c>
      <c r="S857" s="46" t="s">
        <v>31</v>
      </c>
      <c r="T857" s="46" t="s">
        <v>31</v>
      </c>
      <c r="U857" s="46" t="s">
        <v>49</v>
      </c>
    </row>
    <row r="858" spans="1:21">
      <c r="A858" s="46" t="s">
        <v>722</v>
      </c>
      <c r="B858" s="46" t="s">
        <v>122</v>
      </c>
      <c r="C858" s="46" t="s">
        <v>666</v>
      </c>
      <c r="D858" s="46">
        <v>1</v>
      </c>
      <c r="E858" s="46">
        <v>0</v>
      </c>
      <c r="F858" s="46" t="s">
        <v>723</v>
      </c>
      <c r="G858" s="46" t="s">
        <v>1305</v>
      </c>
      <c r="H858" s="46" t="s">
        <v>3038</v>
      </c>
      <c r="I858" s="46" t="str">
        <f ca="1">IFERROR(__xludf.DUMMYFUNCTION("CONCAT(A858,REGEXREPLACE(H858,"".*_L0"",""_L0""))"),"HC_BN1206_MTG_snRNAseq_rep1_L003_I1_001.fastq.gz")</f>
        <v>HC_BN1206_MTG_snRNAseq_rep1_L003_I1_001.fastq.gz</v>
      </c>
      <c r="J858" s="46" t="str">
        <f t="shared" si="3"/>
        <v>/data/neurogen/ASAP/scRNAseq/data/batch16_ASAP_snRNA-seq_*/Raw_Data_and_Processing/cellranger_processing/cellranger_fastqs/outs/fastq_path/H*/BN1206_S2_L003_I1_001.fastq.gz</v>
      </c>
      <c r="K858" s="46" t="s">
        <v>1335</v>
      </c>
      <c r="L858" s="46" t="s">
        <v>3039</v>
      </c>
      <c r="M858" s="46" t="s">
        <v>1309</v>
      </c>
      <c r="N858" s="46" t="s">
        <v>1310</v>
      </c>
      <c r="O858" s="46" t="s">
        <v>1311</v>
      </c>
      <c r="P858" s="46" t="s">
        <v>1312</v>
      </c>
      <c r="Q858" s="46" t="s">
        <v>31</v>
      </c>
      <c r="R858" s="46" t="s">
        <v>31</v>
      </c>
      <c r="S858" s="46" t="s">
        <v>31</v>
      </c>
      <c r="T858" s="46" t="s">
        <v>31</v>
      </c>
      <c r="U858" s="46" t="s">
        <v>49</v>
      </c>
    </row>
    <row r="859" spans="1:21">
      <c r="A859" s="46" t="s">
        <v>722</v>
      </c>
      <c r="B859" s="46" t="s">
        <v>122</v>
      </c>
      <c r="C859" s="46" t="s">
        <v>666</v>
      </c>
      <c r="D859" s="46">
        <v>1</v>
      </c>
      <c r="E859" s="46">
        <v>0</v>
      </c>
      <c r="F859" s="46" t="s">
        <v>723</v>
      </c>
      <c r="G859" s="46" t="s">
        <v>1305</v>
      </c>
      <c r="H859" s="46" t="s">
        <v>3040</v>
      </c>
      <c r="I859" s="46" t="str">
        <f ca="1">IFERROR(__xludf.DUMMYFUNCTION("CONCAT(A859,REGEXREPLACE(H859,"".*_L0"",""_L0""))"),"HC_BN1206_MTG_snRNAseq_rep1_L003_I2_001.fastq.gz")</f>
        <v>HC_BN1206_MTG_snRNAseq_rep1_L003_I2_001.fastq.gz</v>
      </c>
      <c r="J859" s="46" t="str">
        <f t="shared" si="3"/>
        <v>/data/neurogen/ASAP/scRNAseq/data/batch16_ASAP_snRNA-seq_*/Raw_Data_and_Processing/cellranger_processing/cellranger_fastqs/outs/fastq_path/H*/BN1206_S2_L003_I2_001.fastq.gz</v>
      </c>
      <c r="K859" s="46" t="s">
        <v>1338</v>
      </c>
      <c r="L859" s="46" t="s">
        <v>3041</v>
      </c>
      <c r="M859" s="46" t="s">
        <v>1309</v>
      </c>
      <c r="N859" s="46" t="s">
        <v>1310</v>
      </c>
      <c r="O859" s="46" t="s">
        <v>1311</v>
      </c>
      <c r="P859" s="46" t="s">
        <v>1312</v>
      </c>
      <c r="Q859" s="46" t="s">
        <v>31</v>
      </c>
      <c r="R859" s="46" t="s">
        <v>31</v>
      </c>
      <c r="S859" s="46" t="s">
        <v>31</v>
      </c>
      <c r="T859" s="46" t="s">
        <v>31</v>
      </c>
      <c r="U859" s="46" t="s">
        <v>49</v>
      </c>
    </row>
    <row r="860" spans="1:21">
      <c r="A860" s="46" t="s">
        <v>722</v>
      </c>
      <c r="B860" s="46" t="s">
        <v>122</v>
      </c>
      <c r="C860" s="46" t="s">
        <v>666</v>
      </c>
      <c r="D860" s="46">
        <v>1</v>
      </c>
      <c r="E860" s="46">
        <v>0</v>
      </c>
      <c r="F860" s="46" t="s">
        <v>723</v>
      </c>
      <c r="G860" s="46" t="s">
        <v>1305</v>
      </c>
      <c r="H860" s="46" t="s">
        <v>3042</v>
      </c>
      <c r="I860" s="46" t="str">
        <f ca="1">IFERROR(__xludf.DUMMYFUNCTION("CONCAT(A860,REGEXREPLACE(H860,"".*_L0"",""_L0""))"),"HC_BN1206_MTG_snRNAseq_rep1_L003_R1_001.fastq.gz")</f>
        <v>HC_BN1206_MTG_snRNAseq_rep1_L003_R1_001.fastq.gz</v>
      </c>
      <c r="J860" s="46" t="str">
        <f t="shared" si="3"/>
        <v>/data/neurogen/ASAP/scRNAseq/data/batch16_ASAP_snRNA-seq_*/Raw_Data_and_Processing/cellranger_processing/cellranger_fastqs/outs/fastq_path/H*/BN1206_S2_L003_R1_001.fastq.gz</v>
      </c>
      <c r="K860" s="46" t="s">
        <v>1341</v>
      </c>
      <c r="L860" s="46" t="s">
        <v>3043</v>
      </c>
      <c r="M860" s="46" t="s">
        <v>1309</v>
      </c>
      <c r="N860" s="46" t="s">
        <v>1310</v>
      </c>
      <c r="O860" s="46" t="s">
        <v>1311</v>
      </c>
      <c r="P860" s="46" t="s">
        <v>1312</v>
      </c>
      <c r="Q860" s="46" t="s">
        <v>31</v>
      </c>
      <c r="R860" s="46" t="s">
        <v>31</v>
      </c>
      <c r="S860" s="46" t="s">
        <v>31</v>
      </c>
      <c r="T860" s="46" t="s">
        <v>31</v>
      </c>
      <c r="U860" s="46" t="s">
        <v>49</v>
      </c>
    </row>
    <row r="861" spans="1:21">
      <c r="A861" s="46" t="s">
        <v>722</v>
      </c>
      <c r="B861" s="46" t="s">
        <v>122</v>
      </c>
      <c r="C861" s="46" t="s">
        <v>666</v>
      </c>
      <c r="D861" s="46">
        <v>1</v>
      </c>
      <c r="E861" s="46">
        <v>0</v>
      </c>
      <c r="F861" s="46" t="s">
        <v>723</v>
      </c>
      <c r="G861" s="46" t="s">
        <v>1305</v>
      </c>
      <c r="H861" s="46" t="s">
        <v>3044</v>
      </c>
      <c r="I861" s="46" t="str">
        <f ca="1">IFERROR(__xludf.DUMMYFUNCTION("CONCAT(A861,REGEXREPLACE(H861,"".*_L0"",""_L0""))"),"HC_BN1206_MTG_snRNAseq_rep1_L003_R2_001.fastq.gz")</f>
        <v>HC_BN1206_MTG_snRNAseq_rep1_L003_R2_001.fastq.gz</v>
      </c>
      <c r="J861" s="46" t="str">
        <f t="shared" si="3"/>
        <v>/data/neurogen/ASAP/scRNAseq/data/batch16_ASAP_snRNA-seq_*/Raw_Data_and_Processing/cellranger_processing/cellranger_fastqs/outs/fastq_path/H*/BN1206_S2_L003_R2_001.fastq.gz</v>
      </c>
      <c r="K861" s="46" t="s">
        <v>1344</v>
      </c>
      <c r="L861" s="46" t="s">
        <v>3045</v>
      </c>
      <c r="M861" s="46" t="s">
        <v>1309</v>
      </c>
      <c r="N861" s="46" t="s">
        <v>1310</v>
      </c>
      <c r="O861" s="46" t="s">
        <v>1311</v>
      </c>
      <c r="P861" s="46" t="s">
        <v>1312</v>
      </c>
      <c r="Q861" s="46" t="s">
        <v>31</v>
      </c>
      <c r="R861" s="46" t="s">
        <v>31</v>
      </c>
      <c r="S861" s="46" t="s">
        <v>31</v>
      </c>
      <c r="T861" s="46" t="s">
        <v>31</v>
      </c>
      <c r="U861" s="46" t="s">
        <v>49</v>
      </c>
    </row>
    <row r="862" spans="1:21">
      <c r="A862" s="46" t="s">
        <v>722</v>
      </c>
      <c r="B862" s="46" t="s">
        <v>122</v>
      </c>
      <c r="C862" s="46" t="s">
        <v>666</v>
      </c>
      <c r="D862" s="46">
        <v>1</v>
      </c>
      <c r="E862" s="46">
        <v>0</v>
      </c>
      <c r="F862" s="46" t="s">
        <v>723</v>
      </c>
      <c r="G862" s="46" t="s">
        <v>1305</v>
      </c>
      <c r="H862" s="46" t="s">
        <v>3046</v>
      </c>
      <c r="I862" s="46" t="str">
        <f ca="1">IFERROR(__xludf.DUMMYFUNCTION("CONCAT(A862,REGEXREPLACE(H862,"".*_L0"",""_L0""))"),"HC_BN1206_MTG_snRNAseq_rep1_L004_I1_001.fastq.gz")</f>
        <v>HC_BN1206_MTG_snRNAseq_rep1_L004_I1_001.fastq.gz</v>
      </c>
      <c r="J862" s="46" t="str">
        <f t="shared" si="3"/>
        <v>/data/neurogen/ASAP/scRNAseq/data/batch16_ASAP_snRNA-seq_*/Raw_Data_and_Processing/cellranger_processing/cellranger_fastqs/outs/fastq_path/H*/BN1206_S2_L004_I1_001.fastq.gz</v>
      </c>
      <c r="K862" s="46" t="s">
        <v>1347</v>
      </c>
      <c r="L862" s="46" t="s">
        <v>3047</v>
      </c>
      <c r="M862" s="46" t="s">
        <v>1309</v>
      </c>
      <c r="N862" s="46" t="s">
        <v>1310</v>
      </c>
      <c r="O862" s="46" t="s">
        <v>1311</v>
      </c>
      <c r="P862" s="46" t="s">
        <v>1312</v>
      </c>
      <c r="Q862" s="46" t="s">
        <v>31</v>
      </c>
      <c r="R862" s="46" t="s">
        <v>31</v>
      </c>
      <c r="S862" s="46" t="s">
        <v>31</v>
      </c>
      <c r="T862" s="46" t="s">
        <v>31</v>
      </c>
      <c r="U862" s="46" t="s">
        <v>49</v>
      </c>
    </row>
    <row r="863" spans="1:21">
      <c r="A863" s="46" t="s">
        <v>722</v>
      </c>
      <c r="B863" s="46" t="s">
        <v>122</v>
      </c>
      <c r="C863" s="46" t="s">
        <v>666</v>
      </c>
      <c r="D863" s="46">
        <v>1</v>
      </c>
      <c r="E863" s="46">
        <v>0</v>
      </c>
      <c r="F863" s="46" t="s">
        <v>723</v>
      </c>
      <c r="G863" s="46" t="s">
        <v>1305</v>
      </c>
      <c r="H863" s="46" t="s">
        <v>3048</v>
      </c>
      <c r="I863" s="46" t="str">
        <f ca="1">IFERROR(__xludf.DUMMYFUNCTION("CONCAT(A863,REGEXREPLACE(H863,"".*_L0"",""_L0""))"),"HC_BN1206_MTG_snRNAseq_rep1_L004_I2_001.fastq.gz")</f>
        <v>HC_BN1206_MTG_snRNAseq_rep1_L004_I2_001.fastq.gz</v>
      </c>
      <c r="J863" s="46" t="str">
        <f t="shared" si="3"/>
        <v>/data/neurogen/ASAP/scRNAseq/data/batch16_ASAP_snRNA-seq_*/Raw_Data_and_Processing/cellranger_processing/cellranger_fastqs/outs/fastq_path/H*/BN1206_S2_L004_I2_001.fastq.gz</v>
      </c>
      <c r="K863" s="46" t="s">
        <v>1350</v>
      </c>
      <c r="L863" s="46" t="s">
        <v>3049</v>
      </c>
      <c r="M863" s="46" t="s">
        <v>1309</v>
      </c>
      <c r="N863" s="46" t="s">
        <v>1310</v>
      </c>
      <c r="O863" s="46" t="s">
        <v>1311</v>
      </c>
      <c r="P863" s="46" t="s">
        <v>1312</v>
      </c>
      <c r="Q863" s="46" t="s">
        <v>31</v>
      </c>
      <c r="R863" s="46" t="s">
        <v>31</v>
      </c>
      <c r="S863" s="46" t="s">
        <v>31</v>
      </c>
      <c r="T863" s="46" t="s">
        <v>31</v>
      </c>
      <c r="U863" s="46" t="s">
        <v>49</v>
      </c>
    </row>
    <row r="864" spans="1:21">
      <c r="A864" s="46" t="s">
        <v>722</v>
      </c>
      <c r="B864" s="46" t="s">
        <v>122</v>
      </c>
      <c r="C864" s="46" t="s">
        <v>666</v>
      </c>
      <c r="D864" s="46">
        <v>1</v>
      </c>
      <c r="E864" s="46">
        <v>0</v>
      </c>
      <c r="F864" s="46" t="s">
        <v>723</v>
      </c>
      <c r="G864" s="46" t="s">
        <v>1305</v>
      </c>
      <c r="H864" s="46" t="s">
        <v>3050</v>
      </c>
      <c r="I864" s="46" t="str">
        <f ca="1">IFERROR(__xludf.DUMMYFUNCTION("CONCAT(A864,REGEXREPLACE(H864,"".*_L0"",""_L0""))"),"HC_BN1206_MTG_snRNAseq_rep1_L004_R1_001.fastq.gz")</f>
        <v>HC_BN1206_MTG_snRNAseq_rep1_L004_R1_001.fastq.gz</v>
      </c>
      <c r="J864" s="46" t="str">
        <f t="shared" si="3"/>
        <v>/data/neurogen/ASAP/scRNAseq/data/batch16_ASAP_snRNA-seq_*/Raw_Data_and_Processing/cellranger_processing/cellranger_fastqs/outs/fastq_path/H*/BN1206_S2_L004_R1_001.fastq.gz</v>
      </c>
      <c r="K864" s="46" t="s">
        <v>1353</v>
      </c>
      <c r="L864" s="46" t="s">
        <v>3051</v>
      </c>
      <c r="M864" s="46" t="s">
        <v>1309</v>
      </c>
      <c r="N864" s="46" t="s">
        <v>1310</v>
      </c>
      <c r="O864" s="46" t="s">
        <v>1311</v>
      </c>
      <c r="P864" s="46" t="s">
        <v>1312</v>
      </c>
      <c r="Q864" s="46" t="s">
        <v>31</v>
      </c>
      <c r="R864" s="46" t="s">
        <v>31</v>
      </c>
      <c r="S864" s="46" t="s">
        <v>31</v>
      </c>
      <c r="T864" s="46" t="s">
        <v>31</v>
      </c>
      <c r="U864" s="46" t="s">
        <v>49</v>
      </c>
    </row>
    <row r="865" spans="1:21">
      <c r="A865" s="46" t="s">
        <v>722</v>
      </c>
      <c r="B865" s="46" t="s">
        <v>122</v>
      </c>
      <c r="C865" s="46" t="s">
        <v>666</v>
      </c>
      <c r="D865" s="46">
        <v>1</v>
      </c>
      <c r="E865" s="46">
        <v>0</v>
      </c>
      <c r="F865" s="46" t="s">
        <v>723</v>
      </c>
      <c r="G865" s="46" t="s">
        <v>1305</v>
      </c>
      <c r="H865" s="46" t="s">
        <v>3052</v>
      </c>
      <c r="I865" s="46" t="str">
        <f ca="1">IFERROR(__xludf.DUMMYFUNCTION("CONCAT(A865,REGEXREPLACE(H865,"".*_L0"",""_L0""))"),"HC_BN1206_MTG_snRNAseq_rep1_L004_R2_001.fastq.gz")</f>
        <v>HC_BN1206_MTG_snRNAseq_rep1_L004_R2_001.fastq.gz</v>
      </c>
      <c r="J865" s="46" t="str">
        <f t="shared" si="3"/>
        <v>/data/neurogen/ASAP/scRNAseq/data/batch16_ASAP_snRNA-seq_*/Raw_Data_and_Processing/cellranger_processing/cellranger_fastqs/outs/fastq_path/H*/BN1206_S2_L004_R2_001.fastq.gz</v>
      </c>
      <c r="K865" s="46" t="s">
        <v>1356</v>
      </c>
      <c r="L865" s="46" t="s">
        <v>3053</v>
      </c>
      <c r="M865" s="46" t="s">
        <v>1309</v>
      </c>
      <c r="N865" s="46" t="s">
        <v>1310</v>
      </c>
      <c r="O865" s="46" t="s">
        <v>1311</v>
      </c>
      <c r="P865" s="46" t="s">
        <v>1312</v>
      </c>
      <c r="Q865" s="46" t="s">
        <v>31</v>
      </c>
      <c r="R865" s="46" t="s">
        <v>31</v>
      </c>
      <c r="S865" s="46" t="s">
        <v>31</v>
      </c>
      <c r="T865" s="46" t="s">
        <v>31</v>
      </c>
      <c r="U865" s="46" t="s">
        <v>49</v>
      </c>
    </row>
    <row r="866" spans="1:21">
      <c r="A866" s="46" t="s">
        <v>751</v>
      </c>
      <c r="B866" s="46" t="s">
        <v>163</v>
      </c>
      <c r="C866" s="46" t="s">
        <v>666</v>
      </c>
      <c r="D866" s="46">
        <v>1</v>
      </c>
      <c r="E866" s="46">
        <v>0</v>
      </c>
      <c r="F866" s="46" t="s">
        <v>723</v>
      </c>
      <c r="G866" s="46" t="s">
        <v>1305</v>
      </c>
      <c r="H866" s="46" t="s">
        <v>3054</v>
      </c>
      <c r="I866" s="46" t="str">
        <f ca="1">IFERROR(__xludf.DUMMYFUNCTION("CONCAT(A866,REGEXREPLACE(H866,"".*_L0"",""_L0""))"),"ILB_BN1585_MTG_snRNAseq_rep1_L001_I1_001.fastq.gz")</f>
        <v>ILB_BN1585_MTG_snRNAseq_rep1_L001_I1_001.fastq.gz</v>
      </c>
      <c r="J866" s="46" t="str">
        <f t="shared" si="3"/>
        <v>/data/neurogen/ASAP/scRNAseq/data/batch16_ASAP_snRNA-seq_*/Raw_Data_and_Processing/cellranger_processing/cellranger_fastqs/outs/fastq_path/H*/BN1585_S1_L001_I1_001.fastq.gz</v>
      </c>
      <c r="K866" s="46" t="s">
        <v>1307</v>
      </c>
      <c r="L866" s="46" t="s">
        <v>3055</v>
      </c>
      <c r="M866" s="46" t="s">
        <v>1309</v>
      </c>
      <c r="N866" s="46" t="s">
        <v>1310</v>
      </c>
      <c r="O866" s="46" t="s">
        <v>1311</v>
      </c>
      <c r="P866" s="46" t="s">
        <v>1312</v>
      </c>
      <c r="Q866" s="46" t="s">
        <v>31</v>
      </c>
      <c r="R866" s="46" t="s">
        <v>31</v>
      </c>
      <c r="S866" s="46" t="s">
        <v>31</v>
      </c>
      <c r="T866" s="46" t="s">
        <v>31</v>
      </c>
      <c r="U866" s="46" t="s">
        <v>49</v>
      </c>
    </row>
    <row r="867" spans="1:21">
      <c r="A867" s="46" t="s">
        <v>751</v>
      </c>
      <c r="B867" s="46" t="s">
        <v>163</v>
      </c>
      <c r="C867" s="46" t="s">
        <v>666</v>
      </c>
      <c r="D867" s="46">
        <v>1</v>
      </c>
      <c r="E867" s="46">
        <v>0</v>
      </c>
      <c r="F867" s="46" t="s">
        <v>723</v>
      </c>
      <c r="G867" s="46" t="s">
        <v>1305</v>
      </c>
      <c r="H867" s="46" t="s">
        <v>3056</v>
      </c>
      <c r="I867" s="46" t="str">
        <f ca="1">IFERROR(__xludf.DUMMYFUNCTION("CONCAT(A867,REGEXREPLACE(H867,"".*_L0"",""_L0""))"),"ILB_BN1585_MTG_snRNAseq_rep1_L001_I2_001.fastq.gz")</f>
        <v>ILB_BN1585_MTG_snRNAseq_rep1_L001_I2_001.fastq.gz</v>
      </c>
      <c r="J867" s="46" t="str">
        <f t="shared" si="3"/>
        <v>/data/neurogen/ASAP/scRNAseq/data/batch16_ASAP_snRNA-seq_*/Raw_Data_and_Processing/cellranger_processing/cellranger_fastqs/outs/fastq_path/H*/BN1585_S1_L001_I2_001.fastq.gz</v>
      </c>
      <c r="K867" s="46" t="s">
        <v>1314</v>
      </c>
      <c r="L867" s="46" t="s">
        <v>3057</v>
      </c>
      <c r="M867" s="46" t="s">
        <v>1309</v>
      </c>
      <c r="N867" s="46" t="s">
        <v>1310</v>
      </c>
      <c r="O867" s="46" t="s">
        <v>1311</v>
      </c>
      <c r="P867" s="46" t="s">
        <v>1312</v>
      </c>
      <c r="Q867" s="46" t="s">
        <v>31</v>
      </c>
      <c r="R867" s="46" t="s">
        <v>31</v>
      </c>
      <c r="S867" s="46" t="s">
        <v>31</v>
      </c>
      <c r="T867" s="46" t="s">
        <v>31</v>
      </c>
      <c r="U867" s="46" t="s">
        <v>49</v>
      </c>
    </row>
    <row r="868" spans="1:21">
      <c r="A868" s="46" t="s">
        <v>751</v>
      </c>
      <c r="B868" s="46" t="s">
        <v>163</v>
      </c>
      <c r="C868" s="46" t="s">
        <v>666</v>
      </c>
      <c r="D868" s="46">
        <v>1</v>
      </c>
      <c r="E868" s="46">
        <v>0</v>
      </c>
      <c r="F868" s="46" t="s">
        <v>723</v>
      </c>
      <c r="G868" s="46" t="s">
        <v>1305</v>
      </c>
      <c r="H868" s="46" t="s">
        <v>3058</v>
      </c>
      <c r="I868" s="46" t="str">
        <f ca="1">IFERROR(__xludf.DUMMYFUNCTION("CONCAT(A868,REGEXREPLACE(H868,"".*_L0"",""_L0""))"),"ILB_BN1585_MTG_snRNAseq_rep1_L001_R1_001.fastq.gz")</f>
        <v>ILB_BN1585_MTG_snRNAseq_rep1_L001_R1_001.fastq.gz</v>
      </c>
      <c r="J868" s="46" t="str">
        <f t="shared" si="3"/>
        <v>/data/neurogen/ASAP/scRNAseq/data/batch16_ASAP_snRNA-seq_*/Raw_Data_and_Processing/cellranger_processing/cellranger_fastqs/outs/fastq_path/H*/BN1585_S1_L001_R1_001.fastq.gz</v>
      </c>
      <c r="K868" s="46" t="s">
        <v>1317</v>
      </c>
      <c r="L868" s="46" t="s">
        <v>3059</v>
      </c>
      <c r="M868" s="46" t="s">
        <v>1309</v>
      </c>
      <c r="N868" s="46" t="s">
        <v>1310</v>
      </c>
      <c r="O868" s="46" t="s">
        <v>1311</v>
      </c>
      <c r="P868" s="46" t="s">
        <v>1312</v>
      </c>
      <c r="Q868" s="46" t="s">
        <v>31</v>
      </c>
      <c r="R868" s="46" t="s">
        <v>31</v>
      </c>
      <c r="S868" s="46" t="s">
        <v>31</v>
      </c>
      <c r="T868" s="46" t="s">
        <v>31</v>
      </c>
      <c r="U868" s="46" t="s">
        <v>49</v>
      </c>
    </row>
    <row r="869" spans="1:21">
      <c r="A869" s="46" t="s">
        <v>751</v>
      </c>
      <c r="B869" s="46" t="s">
        <v>163</v>
      </c>
      <c r="C869" s="46" t="s">
        <v>666</v>
      </c>
      <c r="D869" s="46">
        <v>1</v>
      </c>
      <c r="E869" s="46">
        <v>0</v>
      </c>
      <c r="F869" s="46" t="s">
        <v>723</v>
      </c>
      <c r="G869" s="46" t="s">
        <v>1305</v>
      </c>
      <c r="H869" s="46" t="s">
        <v>3060</v>
      </c>
      <c r="I869" s="46" t="str">
        <f ca="1">IFERROR(__xludf.DUMMYFUNCTION("CONCAT(A869,REGEXREPLACE(H869,"".*_L0"",""_L0""))"),"ILB_BN1585_MTG_snRNAseq_rep1_L001_R2_001.fastq.gz")</f>
        <v>ILB_BN1585_MTG_snRNAseq_rep1_L001_R2_001.fastq.gz</v>
      </c>
      <c r="J869" s="46" t="str">
        <f t="shared" si="3"/>
        <v>/data/neurogen/ASAP/scRNAseq/data/batch16_ASAP_snRNA-seq_*/Raw_Data_and_Processing/cellranger_processing/cellranger_fastqs/outs/fastq_path/H*/BN1585_S1_L001_R2_001.fastq.gz</v>
      </c>
      <c r="K869" s="46" t="s">
        <v>1320</v>
      </c>
      <c r="L869" s="46" t="s">
        <v>3061</v>
      </c>
      <c r="M869" s="46" t="s">
        <v>1309</v>
      </c>
      <c r="N869" s="46" t="s">
        <v>1310</v>
      </c>
      <c r="O869" s="46" t="s">
        <v>1311</v>
      </c>
      <c r="P869" s="46" t="s">
        <v>1312</v>
      </c>
      <c r="Q869" s="46" t="s">
        <v>31</v>
      </c>
      <c r="R869" s="46" t="s">
        <v>31</v>
      </c>
      <c r="S869" s="46" t="s">
        <v>31</v>
      </c>
      <c r="T869" s="46" t="s">
        <v>31</v>
      </c>
      <c r="U869" s="46" t="s">
        <v>49</v>
      </c>
    </row>
    <row r="870" spans="1:21">
      <c r="A870" s="46" t="s">
        <v>751</v>
      </c>
      <c r="B870" s="46" t="s">
        <v>163</v>
      </c>
      <c r="C870" s="46" t="s">
        <v>666</v>
      </c>
      <c r="D870" s="46">
        <v>1</v>
      </c>
      <c r="E870" s="46">
        <v>0</v>
      </c>
      <c r="F870" s="46" t="s">
        <v>723</v>
      </c>
      <c r="G870" s="46" t="s">
        <v>1305</v>
      </c>
      <c r="H870" s="46" t="s">
        <v>3062</v>
      </c>
      <c r="I870" s="46" t="str">
        <f ca="1">IFERROR(__xludf.DUMMYFUNCTION("CONCAT(A870,REGEXREPLACE(H870,"".*_L0"",""_L0""))"),"ILB_BN1585_MTG_snRNAseq_rep1_L002_I1_001.fastq.gz")</f>
        <v>ILB_BN1585_MTG_snRNAseq_rep1_L002_I1_001.fastq.gz</v>
      </c>
      <c r="J870" s="46" t="str">
        <f t="shared" si="3"/>
        <v>/data/neurogen/ASAP/scRNAseq/data/batch16_ASAP_snRNA-seq_*/Raw_Data_and_Processing/cellranger_processing/cellranger_fastqs/outs/fastq_path/H*/BN1585_S1_L002_I1_001.fastq.gz</v>
      </c>
      <c r="K870" s="46" t="s">
        <v>1323</v>
      </c>
      <c r="L870" s="46" t="s">
        <v>3063</v>
      </c>
      <c r="M870" s="46" t="s">
        <v>1309</v>
      </c>
      <c r="N870" s="46" t="s">
        <v>1310</v>
      </c>
      <c r="O870" s="46" t="s">
        <v>1311</v>
      </c>
      <c r="P870" s="46" t="s">
        <v>1312</v>
      </c>
      <c r="Q870" s="46" t="s">
        <v>31</v>
      </c>
      <c r="R870" s="46" t="s">
        <v>31</v>
      </c>
      <c r="S870" s="46" t="s">
        <v>31</v>
      </c>
      <c r="T870" s="46" t="s">
        <v>31</v>
      </c>
      <c r="U870" s="46" t="s">
        <v>49</v>
      </c>
    </row>
    <row r="871" spans="1:21">
      <c r="A871" s="46" t="s">
        <v>751</v>
      </c>
      <c r="B871" s="46" t="s">
        <v>163</v>
      </c>
      <c r="C871" s="46" t="s">
        <v>666</v>
      </c>
      <c r="D871" s="46">
        <v>1</v>
      </c>
      <c r="E871" s="46">
        <v>0</v>
      </c>
      <c r="F871" s="46" t="s">
        <v>723</v>
      </c>
      <c r="G871" s="46" t="s">
        <v>1305</v>
      </c>
      <c r="H871" s="46" t="s">
        <v>3064</v>
      </c>
      <c r="I871" s="46" t="str">
        <f ca="1">IFERROR(__xludf.DUMMYFUNCTION("CONCAT(A871,REGEXREPLACE(H871,"".*_L0"",""_L0""))"),"ILB_BN1585_MTG_snRNAseq_rep1_L002_I2_001.fastq.gz")</f>
        <v>ILB_BN1585_MTG_snRNAseq_rep1_L002_I2_001.fastq.gz</v>
      </c>
      <c r="J871" s="46" t="str">
        <f t="shared" si="3"/>
        <v>/data/neurogen/ASAP/scRNAseq/data/batch16_ASAP_snRNA-seq_*/Raw_Data_and_Processing/cellranger_processing/cellranger_fastqs/outs/fastq_path/H*/BN1585_S1_L002_I2_001.fastq.gz</v>
      </c>
      <c r="K871" s="46" t="s">
        <v>1326</v>
      </c>
      <c r="L871" s="46" t="s">
        <v>3065</v>
      </c>
      <c r="M871" s="46" t="s">
        <v>1309</v>
      </c>
      <c r="N871" s="46" t="s">
        <v>1310</v>
      </c>
      <c r="O871" s="46" t="s">
        <v>1311</v>
      </c>
      <c r="P871" s="46" t="s">
        <v>1312</v>
      </c>
      <c r="Q871" s="46" t="s">
        <v>31</v>
      </c>
      <c r="R871" s="46" t="s">
        <v>31</v>
      </c>
      <c r="S871" s="46" t="s">
        <v>31</v>
      </c>
      <c r="T871" s="46" t="s">
        <v>31</v>
      </c>
      <c r="U871" s="46" t="s">
        <v>49</v>
      </c>
    </row>
    <row r="872" spans="1:21">
      <c r="A872" s="46" t="s">
        <v>751</v>
      </c>
      <c r="B872" s="46" t="s">
        <v>163</v>
      </c>
      <c r="C872" s="46" t="s">
        <v>666</v>
      </c>
      <c r="D872" s="46">
        <v>1</v>
      </c>
      <c r="E872" s="46">
        <v>0</v>
      </c>
      <c r="F872" s="46" t="s">
        <v>723</v>
      </c>
      <c r="G872" s="46" t="s">
        <v>1305</v>
      </c>
      <c r="H872" s="46" t="s">
        <v>3066</v>
      </c>
      <c r="I872" s="46" t="str">
        <f ca="1">IFERROR(__xludf.DUMMYFUNCTION("CONCAT(A872,REGEXREPLACE(H872,"".*_L0"",""_L0""))"),"ILB_BN1585_MTG_snRNAseq_rep1_L002_R1_001.fastq.gz")</f>
        <v>ILB_BN1585_MTG_snRNAseq_rep1_L002_R1_001.fastq.gz</v>
      </c>
      <c r="J872" s="46" t="str">
        <f t="shared" si="3"/>
        <v>/data/neurogen/ASAP/scRNAseq/data/batch16_ASAP_snRNA-seq_*/Raw_Data_and_Processing/cellranger_processing/cellranger_fastqs/outs/fastq_path/H*/BN1585_S1_L002_R1_001.fastq.gz</v>
      </c>
      <c r="K872" s="46" t="s">
        <v>1329</v>
      </c>
      <c r="L872" s="46" t="s">
        <v>3067</v>
      </c>
      <c r="M872" s="46" t="s">
        <v>1309</v>
      </c>
      <c r="N872" s="46" t="s">
        <v>1310</v>
      </c>
      <c r="O872" s="46" t="s">
        <v>1311</v>
      </c>
      <c r="P872" s="46" t="s">
        <v>1312</v>
      </c>
      <c r="Q872" s="46" t="s">
        <v>31</v>
      </c>
      <c r="R872" s="46" t="s">
        <v>31</v>
      </c>
      <c r="S872" s="46" t="s">
        <v>31</v>
      </c>
      <c r="T872" s="46" t="s">
        <v>31</v>
      </c>
      <c r="U872" s="46" t="s">
        <v>49</v>
      </c>
    </row>
    <row r="873" spans="1:21">
      <c r="A873" s="46" t="s">
        <v>751</v>
      </c>
      <c r="B873" s="46" t="s">
        <v>163</v>
      </c>
      <c r="C873" s="46" t="s">
        <v>666</v>
      </c>
      <c r="D873" s="46">
        <v>1</v>
      </c>
      <c r="E873" s="46">
        <v>0</v>
      </c>
      <c r="F873" s="46" t="s">
        <v>723</v>
      </c>
      <c r="G873" s="46" t="s">
        <v>1305</v>
      </c>
      <c r="H873" s="46" t="s">
        <v>3068</v>
      </c>
      <c r="I873" s="46" t="str">
        <f ca="1">IFERROR(__xludf.DUMMYFUNCTION("CONCAT(A873,REGEXREPLACE(H873,"".*_L0"",""_L0""))"),"ILB_BN1585_MTG_snRNAseq_rep1_L002_R2_001.fastq.gz")</f>
        <v>ILB_BN1585_MTG_snRNAseq_rep1_L002_R2_001.fastq.gz</v>
      </c>
      <c r="J873" s="46" t="str">
        <f t="shared" si="3"/>
        <v>/data/neurogen/ASAP/scRNAseq/data/batch16_ASAP_snRNA-seq_*/Raw_Data_and_Processing/cellranger_processing/cellranger_fastqs/outs/fastq_path/H*/BN1585_S1_L002_R2_001.fastq.gz</v>
      </c>
      <c r="K873" s="46" t="s">
        <v>1332</v>
      </c>
      <c r="L873" s="46" t="s">
        <v>3069</v>
      </c>
      <c r="M873" s="46" t="s">
        <v>1309</v>
      </c>
      <c r="N873" s="46" t="s">
        <v>1310</v>
      </c>
      <c r="O873" s="46" t="s">
        <v>1311</v>
      </c>
      <c r="P873" s="46" t="s">
        <v>1312</v>
      </c>
      <c r="Q873" s="46" t="s">
        <v>31</v>
      </c>
      <c r="R873" s="46" t="s">
        <v>31</v>
      </c>
      <c r="S873" s="46" t="s">
        <v>31</v>
      </c>
      <c r="T873" s="46" t="s">
        <v>31</v>
      </c>
      <c r="U873" s="46" t="s">
        <v>49</v>
      </c>
    </row>
    <row r="874" spans="1:21">
      <c r="A874" s="46" t="s">
        <v>751</v>
      </c>
      <c r="B874" s="46" t="s">
        <v>163</v>
      </c>
      <c r="C874" s="46" t="s">
        <v>666</v>
      </c>
      <c r="D874" s="46">
        <v>1</v>
      </c>
      <c r="E874" s="46">
        <v>0</v>
      </c>
      <c r="F874" s="46" t="s">
        <v>723</v>
      </c>
      <c r="G874" s="46" t="s">
        <v>1305</v>
      </c>
      <c r="H874" s="46" t="s">
        <v>3070</v>
      </c>
      <c r="I874" s="46" t="str">
        <f ca="1">IFERROR(__xludf.DUMMYFUNCTION("CONCAT(A874,REGEXREPLACE(H874,"".*_L0"",""_L0""))"),"ILB_BN1585_MTG_snRNAseq_rep1_L003_I1_001.fastq.gz")</f>
        <v>ILB_BN1585_MTG_snRNAseq_rep1_L003_I1_001.fastq.gz</v>
      </c>
      <c r="J874" s="46" t="str">
        <f t="shared" si="3"/>
        <v>/data/neurogen/ASAP/scRNAseq/data/batch16_ASAP_snRNA-seq_*/Raw_Data_and_Processing/cellranger_processing/cellranger_fastqs/outs/fastq_path/H*/BN1585_S1_L003_I1_001.fastq.gz</v>
      </c>
      <c r="K874" s="46" t="s">
        <v>1335</v>
      </c>
      <c r="L874" s="46" t="s">
        <v>3071</v>
      </c>
      <c r="M874" s="46" t="s">
        <v>1309</v>
      </c>
      <c r="N874" s="46" t="s">
        <v>1310</v>
      </c>
      <c r="O874" s="46" t="s">
        <v>1311</v>
      </c>
      <c r="P874" s="46" t="s">
        <v>1312</v>
      </c>
      <c r="Q874" s="46" t="s">
        <v>31</v>
      </c>
      <c r="R874" s="46" t="s">
        <v>31</v>
      </c>
      <c r="S874" s="46" t="s">
        <v>31</v>
      </c>
      <c r="T874" s="46" t="s">
        <v>31</v>
      </c>
      <c r="U874" s="46" t="s">
        <v>49</v>
      </c>
    </row>
    <row r="875" spans="1:21">
      <c r="A875" s="46" t="s">
        <v>751</v>
      </c>
      <c r="B875" s="46" t="s">
        <v>163</v>
      </c>
      <c r="C875" s="46" t="s">
        <v>666</v>
      </c>
      <c r="D875" s="46">
        <v>1</v>
      </c>
      <c r="E875" s="46">
        <v>0</v>
      </c>
      <c r="F875" s="46" t="s">
        <v>723</v>
      </c>
      <c r="G875" s="46" t="s">
        <v>1305</v>
      </c>
      <c r="H875" s="46" t="s">
        <v>3072</v>
      </c>
      <c r="I875" s="46" t="str">
        <f ca="1">IFERROR(__xludf.DUMMYFUNCTION("CONCAT(A875,REGEXREPLACE(H875,"".*_L0"",""_L0""))"),"ILB_BN1585_MTG_snRNAseq_rep1_L003_I2_001.fastq.gz")</f>
        <v>ILB_BN1585_MTG_snRNAseq_rep1_L003_I2_001.fastq.gz</v>
      </c>
      <c r="J875" s="46" t="str">
        <f t="shared" si="3"/>
        <v>/data/neurogen/ASAP/scRNAseq/data/batch16_ASAP_snRNA-seq_*/Raw_Data_and_Processing/cellranger_processing/cellranger_fastqs/outs/fastq_path/H*/BN1585_S1_L003_I2_001.fastq.gz</v>
      </c>
      <c r="K875" s="46" t="s">
        <v>1338</v>
      </c>
      <c r="L875" s="46" t="s">
        <v>3073</v>
      </c>
      <c r="M875" s="46" t="s">
        <v>1309</v>
      </c>
      <c r="N875" s="46" t="s">
        <v>1310</v>
      </c>
      <c r="O875" s="46" t="s">
        <v>1311</v>
      </c>
      <c r="P875" s="46" t="s">
        <v>1312</v>
      </c>
      <c r="Q875" s="46" t="s">
        <v>31</v>
      </c>
      <c r="R875" s="46" t="s">
        <v>31</v>
      </c>
      <c r="S875" s="46" t="s">
        <v>31</v>
      </c>
      <c r="T875" s="46" t="s">
        <v>31</v>
      </c>
      <c r="U875" s="46" t="s">
        <v>49</v>
      </c>
    </row>
    <row r="876" spans="1:21">
      <c r="A876" s="46" t="s">
        <v>751</v>
      </c>
      <c r="B876" s="46" t="s">
        <v>163</v>
      </c>
      <c r="C876" s="46" t="s">
        <v>666</v>
      </c>
      <c r="D876" s="46">
        <v>1</v>
      </c>
      <c r="E876" s="46">
        <v>0</v>
      </c>
      <c r="F876" s="46" t="s">
        <v>723</v>
      </c>
      <c r="G876" s="46" t="s">
        <v>1305</v>
      </c>
      <c r="H876" s="46" t="s">
        <v>3074</v>
      </c>
      <c r="I876" s="46" t="str">
        <f ca="1">IFERROR(__xludf.DUMMYFUNCTION("CONCAT(A876,REGEXREPLACE(H876,"".*_L0"",""_L0""))"),"ILB_BN1585_MTG_snRNAseq_rep1_L003_R1_001.fastq.gz")</f>
        <v>ILB_BN1585_MTG_snRNAseq_rep1_L003_R1_001.fastq.gz</v>
      </c>
      <c r="J876" s="46" t="str">
        <f t="shared" si="3"/>
        <v>/data/neurogen/ASAP/scRNAseq/data/batch16_ASAP_snRNA-seq_*/Raw_Data_and_Processing/cellranger_processing/cellranger_fastqs/outs/fastq_path/H*/BN1585_S1_L003_R1_001.fastq.gz</v>
      </c>
      <c r="K876" s="46" t="s">
        <v>1341</v>
      </c>
      <c r="L876" s="46" t="s">
        <v>3075</v>
      </c>
      <c r="M876" s="46" t="s">
        <v>1309</v>
      </c>
      <c r="N876" s="46" t="s">
        <v>1310</v>
      </c>
      <c r="O876" s="46" t="s">
        <v>1311</v>
      </c>
      <c r="P876" s="46" t="s">
        <v>1312</v>
      </c>
      <c r="Q876" s="46" t="s">
        <v>31</v>
      </c>
      <c r="R876" s="46" t="s">
        <v>31</v>
      </c>
      <c r="S876" s="46" t="s">
        <v>31</v>
      </c>
      <c r="T876" s="46" t="s">
        <v>31</v>
      </c>
      <c r="U876" s="46" t="s">
        <v>49</v>
      </c>
    </row>
    <row r="877" spans="1:21">
      <c r="A877" s="46" t="s">
        <v>751</v>
      </c>
      <c r="B877" s="46" t="s">
        <v>163</v>
      </c>
      <c r="C877" s="46" t="s">
        <v>666</v>
      </c>
      <c r="D877" s="46">
        <v>1</v>
      </c>
      <c r="E877" s="46">
        <v>0</v>
      </c>
      <c r="F877" s="46" t="s">
        <v>723</v>
      </c>
      <c r="G877" s="46" t="s">
        <v>1305</v>
      </c>
      <c r="H877" s="46" t="s">
        <v>3076</v>
      </c>
      <c r="I877" s="46" t="str">
        <f ca="1">IFERROR(__xludf.DUMMYFUNCTION("CONCAT(A877,REGEXREPLACE(H877,"".*_L0"",""_L0""))"),"ILB_BN1585_MTG_snRNAseq_rep1_L003_R2_001.fastq.gz")</f>
        <v>ILB_BN1585_MTG_snRNAseq_rep1_L003_R2_001.fastq.gz</v>
      </c>
      <c r="J877" s="46" t="str">
        <f t="shared" si="3"/>
        <v>/data/neurogen/ASAP/scRNAseq/data/batch16_ASAP_snRNA-seq_*/Raw_Data_and_Processing/cellranger_processing/cellranger_fastqs/outs/fastq_path/H*/BN1585_S1_L003_R2_001.fastq.gz</v>
      </c>
      <c r="K877" s="46" t="s">
        <v>1344</v>
      </c>
      <c r="L877" s="46" t="s">
        <v>3077</v>
      </c>
      <c r="M877" s="46" t="s">
        <v>1309</v>
      </c>
      <c r="N877" s="46" t="s">
        <v>1310</v>
      </c>
      <c r="O877" s="46" t="s">
        <v>1311</v>
      </c>
      <c r="P877" s="46" t="s">
        <v>1312</v>
      </c>
      <c r="Q877" s="46" t="s">
        <v>31</v>
      </c>
      <c r="R877" s="46" t="s">
        <v>31</v>
      </c>
      <c r="S877" s="46" t="s">
        <v>31</v>
      </c>
      <c r="T877" s="46" t="s">
        <v>31</v>
      </c>
      <c r="U877" s="46" t="s">
        <v>49</v>
      </c>
    </row>
    <row r="878" spans="1:21">
      <c r="A878" s="46" t="s">
        <v>751</v>
      </c>
      <c r="B878" s="46" t="s">
        <v>163</v>
      </c>
      <c r="C878" s="46" t="s">
        <v>666</v>
      </c>
      <c r="D878" s="46">
        <v>1</v>
      </c>
      <c r="E878" s="46">
        <v>0</v>
      </c>
      <c r="F878" s="46" t="s">
        <v>723</v>
      </c>
      <c r="G878" s="46" t="s">
        <v>1305</v>
      </c>
      <c r="H878" s="46" t="s">
        <v>3078</v>
      </c>
      <c r="I878" s="46" t="str">
        <f ca="1">IFERROR(__xludf.DUMMYFUNCTION("CONCAT(A878,REGEXREPLACE(H878,"".*_L0"",""_L0""))"),"ILB_BN1585_MTG_snRNAseq_rep1_L004_I1_001.fastq.gz")</f>
        <v>ILB_BN1585_MTG_snRNAseq_rep1_L004_I1_001.fastq.gz</v>
      </c>
      <c r="J878" s="46" t="str">
        <f t="shared" si="3"/>
        <v>/data/neurogen/ASAP/scRNAseq/data/batch16_ASAP_snRNA-seq_*/Raw_Data_and_Processing/cellranger_processing/cellranger_fastqs/outs/fastq_path/H*/BN1585_S1_L004_I1_001.fastq.gz</v>
      </c>
      <c r="K878" s="46" t="s">
        <v>1347</v>
      </c>
      <c r="L878" s="46" t="s">
        <v>3079</v>
      </c>
      <c r="M878" s="46" t="s">
        <v>1309</v>
      </c>
      <c r="N878" s="46" t="s">
        <v>1310</v>
      </c>
      <c r="O878" s="46" t="s">
        <v>1311</v>
      </c>
      <c r="P878" s="46" t="s">
        <v>1312</v>
      </c>
      <c r="Q878" s="46" t="s">
        <v>31</v>
      </c>
      <c r="R878" s="46" t="s">
        <v>31</v>
      </c>
      <c r="S878" s="46" t="s">
        <v>31</v>
      </c>
      <c r="T878" s="46" t="s">
        <v>31</v>
      </c>
      <c r="U878" s="46" t="s">
        <v>49</v>
      </c>
    </row>
    <row r="879" spans="1:21">
      <c r="A879" s="46" t="s">
        <v>751</v>
      </c>
      <c r="B879" s="46" t="s">
        <v>163</v>
      </c>
      <c r="C879" s="46" t="s">
        <v>666</v>
      </c>
      <c r="D879" s="46">
        <v>1</v>
      </c>
      <c r="E879" s="46">
        <v>0</v>
      </c>
      <c r="F879" s="46" t="s">
        <v>723</v>
      </c>
      <c r="G879" s="46" t="s">
        <v>1305</v>
      </c>
      <c r="H879" s="46" t="s">
        <v>3080</v>
      </c>
      <c r="I879" s="46" t="str">
        <f ca="1">IFERROR(__xludf.DUMMYFUNCTION("CONCAT(A879,REGEXREPLACE(H879,"".*_L0"",""_L0""))"),"ILB_BN1585_MTG_snRNAseq_rep1_L004_I2_001.fastq.gz")</f>
        <v>ILB_BN1585_MTG_snRNAseq_rep1_L004_I2_001.fastq.gz</v>
      </c>
      <c r="J879" s="46" t="str">
        <f t="shared" si="3"/>
        <v>/data/neurogen/ASAP/scRNAseq/data/batch16_ASAP_snRNA-seq_*/Raw_Data_and_Processing/cellranger_processing/cellranger_fastqs/outs/fastq_path/H*/BN1585_S1_L004_I2_001.fastq.gz</v>
      </c>
      <c r="K879" s="46" t="s">
        <v>1350</v>
      </c>
      <c r="L879" s="46" t="s">
        <v>3081</v>
      </c>
      <c r="M879" s="46" t="s">
        <v>1309</v>
      </c>
      <c r="N879" s="46" t="s">
        <v>1310</v>
      </c>
      <c r="O879" s="46" t="s">
        <v>1311</v>
      </c>
      <c r="P879" s="46" t="s">
        <v>1312</v>
      </c>
      <c r="Q879" s="46" t="s">
        <v>31</v>
      </c>
      <c r="R879" s="46" t="s">
        <v>31</v>
      </c>
      <c r="S879" s="46" t="s">
        <v>31</v>
      </c>
      <c r="T879" s="46" t="s">
        <v>31</v>
      </c>
      <c r="U879" s="46" t="s">
        <v>49</v>
      </c>
    </row>
    <row r="880" spans="1:21">
      <c r="A880" s="46" t="s">
        <v>751</v>
      </c>
      <c r="B880" s="46" t="s">
        <v>163</v>
      </c>
      <c r="C880" s="46" t="s">
        <v>666</v>
      </c>
      <c r="D880" s="46">
        <v>1</v>
      </c>
      <c r="E880" s="46">
        <v>0</v>
      </c>
      <c r="F880" s="46" t="s">
        <v>723</v>
      </c>
      <c r="G880" s="46" t="s">
        <v>1305</v>
      </c>
      <c r="H880" s="46" t="s">
        <v>3082</v>
      </c>
      <c r="I880" s="46" t="str">
        <f ca="1">IFERROR(__xludf.DUMMYFUNCTION("CONCAT(A880,REGEXREPLACE(H880,"".*_L0"",""_L0""))"),"ILB_BN1585_MTG_snRNAseq_rep1_L004_R1_001.fastq.gz")</f>
        <v>ILB_BN1585_MTG_snRNAseq_rep1_L004_R1_001.fastq.gz</v>
      </c>
      <c r="J880" s="46" t="str">
        <f t="shared" si="3"/>
        <v>/data/neurogen/ASAP/scRNAseq/data/batch16_ASAP_snRNA-seq_*/Raw_Data_and_Processing/cellranger_processing/cellranger_fastqs/outs/fastq_path/H*/BN1585_S1_L004_R1_001.fastq.gz</v>
      </c>
      <c r="K880" s="46" t="s">
        <v>1353</v>
      </c>
      <c r="L880" s="46" t="s">
        <v>3083</v>
      </c>
      <c r="M880" s="46" t="s">
        <v>1309</v>
      </c>
      <c r="N880" s="46" t="s">
        <v>1310</v>
      </c>
      <c r="O880" s="46" t="s">
        <v>1311</v>
      </c>
      <c r="P880" s="46" t="s">
        <v>1312</v>
      </c>
      <c r="Q880" s="46" t="s">
        <v>31</v>
      </c>
      <c r="R880" s="46" t="s">
        <v>31</v>
      </c>
      <c r="S880" s="46" t="s">
        <v>31</v>
      </c>
      <c r="T880" s="46" t="s">
        <v>31</v>
      </c>
      <c r="U880" s="46" t="s">
        <v>49</v>
      </c>
    </row>
    <row r="881" spans="1:21">
      <c r="A881" s="46" t="s">
        <v>751</v>
      </c>
      <c r="B881" s="46" t="s">
        <v>163</v>
      </c>
      <c r="C881" s="46" t="s">
        <v>666</v>
      </c>
      <c r="D881" s="46">
        <v>1</v>
      </c>
      <c r="E881" s="46">
        <v>0</v>
      </c>
      <c r="F881" s="46" t="s">
        <v>723</v>
      </c>
      <c r="G881" s="46" t="s">
        <v>1305</v>
      </c>
      <c r="H881" s="46" t="s">
        <v>3084</v>
      </c>
      <c r="I881" s="46" t="str">
        <f ca="1">IFERROR(__xludf.DUMMYFUNCTION("CONCAT(A881,REGEXREPLACE(H881,"".*_L0"",""_L0""))"),"ILB_BN1585_MTG_snRNAseq_rep1_L004_R2_001.fastq.gz")</f>
        <v>ILB_BN1585_MTG_snRNAseq_rep1_L004_R2_001.fastq.gz</v>
      </c>
      <c r="J881" s="46" t="str">
        <f t="shared" si="3"/>
        <v>/data/neurogen/ASAP/scRNAseq/data/batch16_ASAP_snRNA-seq_*/Raw_Data_and_Processing/cellranger_processing/cellranger_fastqs/outs/fastq_path/H*/BN1585_S1_L004_R2_001.fastq.gz</v>
      </c>
      <c r="K881" s="46" t="s">
        <v>1356</v>
      </c>
      <c r="L881" s="46" t="s">
        <v>3085</v>
      </c>
      <c r="M881" s="46" t="s">
        <v>1309</v>
      </c>
      <c r="N881" s="46" t="s">
        <v>1310</v>
      </c>
      <c r="O881" s="46" t="s">
        <v>1311</v>
      </c>
      <c r="P881" s="46" t="s">
        <v>1312</v>
      </c>
      <c r="Q881" s="46" t="s">
        <v>31</v>
      </c>
      <c r="R881" s="46" t="s">
        <v>31</v>
      </c>
      <c r="S881" s="46" t="s">
        <v>31</v>
      </c>
      <c r="T881" s="46" t="s">
        <v>31</v>
      </c>
      <c r="U881" s="46" t="s">
        <v>49</v>
      </c>
    </row>
    <row r="882" spans="1:21">
      <c r="A882" s="46" t="s">
        <v>761</v>
      </c>
      <c r="B882" s="46" t="s">
        <v>181</v>
      </c>
      <c r="C882" s="46" t="s">
        <v>666</v>
      </c>
      <c r="D882" s="46">
        <v>1</v>
      </c>
      <c r="E882" s="46">
        <v>0</v>
      </c>
      <c r="F882" s="46" t="s">
        <v>723</v>
      </c>
      <c r="G882" s="46" t="s">
        <v>1305</v>
      </c>
      <c r="H882" s="46" t="s">
        <v>3086</v>
      </c>
      <c r="I882" s="46" t="str">
        <f ca="1">IFERROR(__xludf.DUMMYFUNCTION("CONCAT(A882,REGEXREPLACE(H882,"".*_L0"",""_L0""))"),"PD_BN1747_MTG_snRNAseq_rep1_L001_I1_001.fastq.gz")</f>
        <v>PD_BN1747_MTG_snRNAseq_rep1_L001_I1_001.fastq.gz</v>
      </c>
      <c r="J882" s="46" t="str">
        <f t="shared" si="3"/>
        <v>/data/neurogen/ASAP/scRNAseq/data/batch16_ASAP_snRNA-seq_*/Raw_Data_and_Processing/cellranger_processing/cellranger_fastqs/outs/fastq_path/H*/BN1747_S3_L001_I1_001.fastq.gz</v>
      </c>
      <c r="K882" s="46" t="s">
        <v>1307</v>
      </c>
      <c r="L882" s="46" t="s">
        <v>3087</v>
      </c>
      <c r="M882" s="46" t="s">
        <v>1309</v>
      </c>
      <c r="N882" s="46" t="s">
        <v>1310</v>
      </c>
      <c r="O882" s="46" t="s">
        <v>1311</v>
      </c>
      <c r="P882" s="46" t="s">
        <v>1312</v>
      </c>
      <c r="Q882" s="46" t="s">
        <v>31</v>
      </c>
      <c r="R882" s="46" t="s">
        <v>31</v>
      </c>
      <c r="S882" s="46" t="s">
        <v>31</v>
      </c>
      <c r="T882" s="46" t="s">
        <v>31</v>
      </c>
      <c r="U882" s="46" t="s">
        <v>49</v>
      </c>
    </row>
    <row r="883" spans="1:21">
      <c r="A883" s="46" t="s">
        <v>761</v>
      </c>
      <c r="B883" s="46" t="s">
        <v>181</v>
      </c>
      <c r="C883" s="46" t="s">
        <v>666</v>
      </c>
      <c r="D883" s="46">
        <v>1</v>
      </c>
      <c r="E883" s="46">
        <v>0</v>
      </c>
      <c r="F883" s="46" t="s">
        <v>723</v>
      </c>
      <c r="G883" s="46" t="s">
        <v>1305</v>
      </c>
      <c r="H883" s="46" t="s">
        <v>3088</v>
      </c>
      <c r="I883" s="46" t="str">
        <f ca="1">IFERROR(__xludf.DUMMYFUNCTION("CONCAT(A883,REGEXREPLACE(H883,"".*_L0"",""_L0""))"),"PD_BN1747_MTG_snRNAseq_rep1_L001_I2_001.fastq.gz")</f>
        <v>PD_BN1747_MTG_snRNAseq_rep1_L001_I2_001.fastq.gz</v>
      </c>
      <c r="J883" s="46" t="str">
        <f t="shared" si="3"/>
        <v>/data/neurogen/ASAP/scRNAseq/data/batch16_ASAP_snRNA-seq_*/Raw_Data_and_Processing/cellranger_processing/cellranger_fastqs/outs/fastq_path/H*/BN1747_S3_L001_I2_001.fastq.gz</v>
      </c>
      <c r="K883" s="46" t="s">
        <v>1314</v>
      </c>
      <c r="L883" s="46" t="s">
        <v>3089</v>
      </c>
      <c r="M883" s="46" t="s">
        <v>1309</v>
      </c>
      <c r="N883" s="46" t="s">
        <v>1310</v>
      </c>
      <c r="O883" s="46" t="s">
        <v>1311</v>
      </c>
      <c r="P883" s="46" t="s">
        <v>1312</v>
      </c>
      <c r="Q883" s="46" t="s">
        <v>31</v>
      </c>
      <c r="R883" s="46" t="s">
        <v>31</v>
      </c>
      <c r="S883" s="46" t="s">
        <v>31</v>
      </c>
      <c r="T883" s="46" t="s">
        <v>31</v>
      </c>
      <c r="U883" s="46" t="s">
        <v>49</v>
      </c>
    </row>
    <row r="884" spans="1:21">
      <c r="A884" s="46" t="s">
        <v>761</v>
      </c>
      <c r="B884" s="46" t="s">
        <v>181</v>
      </c>
      <c r="C884" s="46" t="s">
        <v>666</v>
      </c>
      <c r="D884" s="46">
        <v>1</v>
      </c>
      <c r="E884" s="46">
        <v>0</v>
      </c>
      <c r="F884" s="46" t="s">
        <v>723</v>
      </c>
      <c r="G884" s="46" t="s">
        <v>1305</v>
      </c>
      <c r="H884" s="46" t="s">
        <v>3090</v>
      </c>
      <c r="I884" s="46" t="str">
        <f ca="1">IFERROR(__xludf.DUMMYFUNCTION("CONCAT(A884,REGEXREPLACE(H884,"".*_L0"",""_L0""))"),"PD_BN1747_MTG_snRNAseq_rep1_L001_R1_001.fastq.gz")</f>
        <v>PD_BN1747_MTG_snRNAseq_rep1_L001_R1_001.fastq.gz</v>
      </c>
      <c r="J884" s="46" t="str">
        <f t="shared" si="3"/>
        <v>/data/neurogen/ASAP/scRNAseq/data/batch16_ASAP_snRNA-seq_*/Raw_Data_and_Processing/cellranger_processing/cellranger_fastqs/outs/fastq_path/H*/BN1747_S3_L001_R1_001.fastq.gz</v>
      </c>
      <c r="K884" s="46" t="s">
        <v>1317</v>
      </c>
      <c r="L884" s="46" t="s">
        <v>3091</v>
      </c>
      <c r="M884" s="46" t="s">
        <v>1309</v>
      </c>
      <c r="N884" s="46" t="s">
        <v>1310</v>
      </c>
      <c r="O884" s="46" t="s">
        <v>1311</v>
      </c>
      <c r="P884" s="46" t="s">
        <v>1312</v>
      </c>
      <c r="Q884" s="46" t="s">
        <v>31</v>
      </c>
      <c r="R884" s="46" t="s">
        <v>31</v>
      </c>
      <c r="S884" s="46" t="s">
        <v>31</v>
      </c>
      <c r="T884" s="46" t="s">
        <v>31</v>
      </c>
      <c r="U884" s="46" t="s">
        <v>49</v>
      </c>
    </row>
    <row r="885" spans="1:21">
      <c r="A885" s="46" t="s">
        <v>761</v>
      </c>
      <c r="B885" s="46" t="s">
        <v>181</v>
      </c>
      <c r="C885" s="46" t="s">
        <v>666</v>
      </c>
      <c r="D885" s="46">
        <v>1</v>
      </c>
      <c r="E885" s="46">
        <v>0</v>
      </c>
      <c r="F885" s="46" t="s">
        <v>723</v>
      </c>
      <c r="G885" s="46" t="s">
        <v>1305</v>
      </c>
      <c r="H885" s="46" t="s">
        <v>3092</v>
      </c>
      <c r="I885" s="46" t="str">
        <f ca="1">IFERROR(__xludf.DUMMYFUNCTION("CONCAT(A885,REGEXREPLACE(H885,"".*_L0"",""_L0""))"),"PD_BN1747_MTG_snRNAseq_rep1_L001_R2_001.fastq.gz")</f>
        <v>PD_BN1747_MTG_snRNAseq_rep1_L001_R2_001.fastq.gz</v>
      </c>
      <c r="J885" s="46" t="str">
        <f t="shared" si="3"/>
        <v>/data/neurogen/ASAP/scRNAseq/data/batch16_ASAP_snRNA-seq_*/Raw_Data_and_Processing/cellranger_processing/cellranger_fastqs/outs/fastq_path/H*/BN1747_S3_L001_R2_001.fastq.gz</v>
      </c>
      <c r="K885" s="46" t="s">
        <v>1320</v>
      </c>
      <c r="L885" s="46" t="s">
        <v>3093</v>
      </c>
      <c r="M885" s="46" t="s">
        <v>1309</v>
      </c>
      <c r="N885" s="46" t="s">
        <v>1310</v>
      </c>
      <c r="O885" s="46" t="s">
        <v>1311</v>
      </c>
      <c r="P885" s="46" t="s">
        <v>1312</v>
      </c>
      <c r="Q885" s="46" t="s">
        <v>31</v>
      </c>
      <c r="R885" s="46" t="s">
        <v>31</v>
      </c>
      <c r="S885" s="46" t="s">
        <v>31</v>
      </c>
      <c r="T885" s="46" t="s">
        <v>31</v>
      </c>
      <c r="U885" s="46" t="s">
        <v>49</v>
      </c>
    </row>
    <row r="886" spans="1:21">
      <c r="A886" s="46" t="s">
        <v>761</v>
      </c>
      <c r="B886" s="46" t="s">
        <v>181</v>
      </c>
      <c r="C886" s="46" t="s">
        <v>666</v>
      </c>
      <c r="D886" s="46">
        <v>1</v>
      </c>
      <c r="E886" s="46">
        <v>0</v>
      </c>
      <c r="F886" s="46" t="s">
        <v>723</v>
      </c>
      <c r="G886" s="46" t="s">
        <v>1305</v>
      </c>
      <c r="H886" s="46" t="s">
        <v>3094</v>
      </c>
      <c r="I886" s="46" t="str">
        <f ca="1">IFERROR(__xludf.DUMMYFUNCTION("CONCAT(A886,REGEXREPLACE(H886,"".*_L0"",""_L0""))"),"PD_BN1747_MTG_snRNAseq_rep1_L002_I1_001.fastq.gz")</f>
        <v>PD_BN1747_MTG_snRNAseq_rep1_L002_I1_001.fastq.gz</v>
      </c>
      <c r="J886" s="46" t="str">
        <f t="shared" si="3"/>
        <v>/data/neurogen/ASAP/scRNAseq/data/batch16_ASAP_snRNA-seq_*/Raw_Data_and_Processing/cellranger_processing/cellranger_fastqs/outs/fastq_path/H*/BN1747_S3_L002_I1_001.fastq.gz</v>
      </c>
      <c r="K886" s="46" t="s">
        <v>1323</v>
      </c>
      <c r="L886" s="46" t="s">
        <v>3095</v>
      </c>
      <c r="M886" s="46" t="s">
        <v>1309</v>
      </c>
      <c r="N886" s="46" t="s">
        <v>1310</v>
      </c>
      <c r="O886" s="46" t="s">
        <v>1311</v>
      </c>
      <c r="P886" s="46" t="s">
        <v>1312</v>
      </c>
      <c r="Q886" s="46" t="s">
        <v>31</v>
      </c>
      <c r="R886" s="46" t="s">
        <v>31</v>
      </c>
      <c r="S886" s="46" t="s">
        <v>31</v>
      </c>
      <c r="T886" s="46" t="s">
        <v>31</v>
      </c>
      <c r="U886" s="46" t="s">
        <v>49</v>
      </c>
    </row>
    <row r="887" spans="1:21">
      <c r="A887" s="46" t="s">
        <v>761</v>
      </c>
      <c r="B887" s="46" t="s">
        <v>181</v>
      </c>
      <c r="C887" s="46" t="s">
        <v>666</v>
      </c>
      <c r="D887" s="46">
        <v>1</v>
      </c>
      <c r="E887" s="46">
        <v>0</v>
      </c>
      <c r="F887" s="46" t="s">
        <v>723</v>
      </c>
      <c r="G887" s="46" t="s">
        <v>1305</v>
      </c>
      <c r="H887" s="46" t="s">
        <v>3096</v>
      </c>
      <c r="I887" s="46" t="str">
        <f ca="1">IFERROR(__xludf.DUMMYFUNCTION("CONCAT(A887,REGEXREPLACE(H887,"".*_L0"",""_L0""))"),"PD_BN1747_MTG_snRNAseq_rep1_L002_I2_001.fastq.gz")</f>
        <v>PD_BN1747_MTG_snRNAseq_rep1_L002_I2_001.fastq.gz</v>
      </c>
      <c r="J887" s="46" t="str">
        <f t="shared" si="3"/>
        <v>/data/neurogen/ASAP/scRNAseq/data/batch16_ASAP_snRNA-seq_*/Raw_Data_and_Processing/cellranger_processing/cellranger_fastqs/outs/fastq_path/H*/BN1747_S3_L002_I2_001.fastq.gz</v>
      </c>
      <c r="K887" s="46" t="s">
        <v>1326</v>
      </c>
      <c r="L887" s="46" t="s">
        <v>3097</v>
      </c>
      <c r="M887" s="46" t="s">
        <v>1309</v>
      </c>
      <c r="N887" s="46" t="s">
        <v>1310</v>
      </c>
      <c r="O887" s="46" t="s">
        <v>1311</v>
      </c>
      <c r="P887" s="46" t="s">
        <v>1312</v>
      </c>
      <c r="Q887" s="46" t="s">
        <v>31</v>
      </c>
      <c r="R887" s="46" t="s">
        <v>31</v>
      </c>
      <c r="S887" s="46" t="s">
        <v>31</v>
      </c>
      <c r="T887" s="46" t="s">
        <v>31</v>
      </c>
      <c r="U887" s="46" t="s">
        <v>49</v>
      </c>
    </row>
    <row r="888" spans="1:21">
      <c r="A888" s="46" t="s">
        <v>761</v>
      </c>
      <c r="B888" s="46" t="s">
        <v>181</v>
      </c>
      <c r="C888" s="46" t="s">
        <v>666</v>
      </c>
      <c r="D888" s="46">
        <v>1</v>
      </c>
      <c r="E888" s="46">
        <v>0</v>
      </c>
      <c r="F888" s="46" t="s">
        <v>723</v>
      </c>
      <c r="G888" s="46" t="s">
        <v>1305</v>
      </c>
      <c r="H888" s="46" t="s">
        <v>3098</v>
      </c>
      <c r="I888" s="46" t="str">
        <f ca="1">IFERROR(__xludf.DUMMYFUNCTION("CONCAT(A888,REGEXREPLACE(H888,"".*_L0"",""_L0""))"),"PD_BN1747_MTG_snRNAseq_rep1_L002_R1_001.fastq.gz")</f>
        <v>PD_BN1747_MTG_snRNAseq_rep1_L002_R1_001.fastq.gz</v>
      </c>
      <c r="J888" s="46" t="str">
        <f t="shared" si="3"/>
        <v>/data/neurogen/ASAP/scRNAseq/data/batch16_ASAP_snRNA-seq_*/Raw_Data_and_Processing/cellranger_processing/cellranger_fastqs/outs/fastq_path/H*/BN1747_S3_L002_R1_001.fastq.gz</v>
      </c>
      <c r="K888" s="46" t="s">
        <v>1329</v>
      </c>
      <c r="L888" s="46" t="s">
        <v>3099</v>
      </c>
      <c r="M888" s="46" t="s">
        <v>1309</v>
      </c>
      <c r="N888" s="46" t="s">
        <v>1310</v>
      </c>
      <c r="O888" s="46" t="s">
        <v>1311</v>
      </c>
      <c r="P888" s="46" t="s">
        <v>1312</v>
      </c>
      <c r="Q888" s="46" t="s">
        <v>31</v>
      </c>
      <c r="R888" s="46" t="s">
        <v>31</v>
      </c>
      <c r="S888" s="46" t="s">
        <v>31</v>
      </c>
      <c r="T888" s="46" t="s">
        <v>31</v>
      </c>
      <c r="U888" s="46" t="s">
        <v>49</v>
      </c>
    </row>
    <row r="889" spans="1:21">
      <c r="A889" s="46" t="s">
        <v>761</v>
      </c>
      <c r="B889" s="46" t="s">
        <v>181</v>
      </c>
      <c r="C889" s="46" t="s">
        <v>666</v>
      </c>
      <c r="D889" s="46">
        <v>1</v>
      </c>
      <c r="E889" s="46">
        <v>0</v>
      </c>
      <c r="F889" s="46" t="s">
        <v>723</v>
      </c>
      <c r="G889" s="46" t="s">
        <v>1305</v>
      </c>
      <c r="H889" s="46" t="s">
        <v>3100</v>
      </c>
      <c r="I889" s="46" t="str">
        <f ca="1">IFERROR(__xludf.DUMMYFUNCTION("CONCAT(A889,REGEXREPLACE(H889,"".*_L0"",""_L0""))"),"PD_BN1747_MTG_snRNAseq_rep1_L002_R2_001.fastq.gz")</f>
        <v>PD_BN1747_MTG_snRNAseq_rep1_L002_R2_001.fastq.gz</v>
      </c>
      <c r="J889" s="46" t="str">
        <f t="shared" si="3"/>
        <v>/data/neurogen/ASAP/scRNAseq/data/batch16_ASAP_snRNA-seq_*/Raw_Data_and_Processing/cellranger_processing/cellranger_fastqs/outs/fastq_path/H*/BN1747_S3_L002_R2_001.fastq.gz</v>
      </c>
      <c r="K889" s="46" t="s">
        <v>1332</v>
      </c>
      <c r="L889" s="46" t="s">
        <v>3101</v>
      </c>
      <c r="M889" s="46" t="s">
        <v>1309</v>
      </c>
      <c r="N889" s="46" t="s">
        <v>1310</v>
      </c>
      <c r="O889" s="46" t="s">
        <v>1311</v>
      </c>
      <c r="P889" s="46" t="s">
        <v>1312</v>
      </c>
      <c r="Q889" s="46" t="s">
        <v>31</v>
      </c>
      <c r="R889" s="46" t="s">
        <v>31</v>
      </c>
      <c r="S889" s="46" t="s">
        <v>31</v>
      </c>
      <c r="T889" s="46" t="s">
        <v>31</v>
      </c>
      <c r="U889" s="46" t="s">
        <v>49</v>
      </c>
    </row>
    <row r="890" spans="1:21">
      <c r="A890" s="46" t="s">
        <v>761</v>
      </c>
      <c r="B890" s="46" t="s">
        <v>181</v>
      </c>
      <c r="C890" s="46" t="s">
        <v>666</v>
      </c>
      <c r="D890" s="46">
        <v>1</v>
      </c>
      <c r="E890" s="46">
        <v>0</v>
      </c>
      <c r="F890" s="46" t="s">
        <v>723</v>
      </c>
      <c r="G890" s="46" t="s">
        <v>1305</v>
      </c>
      <c r="H890" s="46" t="s">
        <v>3102</v>
      </c>
      <c r="I890" s="46" t="str">
        <f ca="1">IFERROR(__xludf.DUMMYFUNCTION("CONCAT(A890,REGEXREPLACE(H890,"".*_L0"",""_L0""))"),"PD_BN1747_MTG_snRNAseq_rep1_L003_I1_001.fastq.gz")</f>
        <v>PD_BN1747_MTG_snRNAseq_rep1_L003_I1_001.fastq.gz</v>
      </c>
      <c r="J890" s="46" t="str">
        <f t="shared" si="3"/>
        <v>/data/neurogen/ASAP/scRNAseq/data/batch16_ASAP_snRNA-seq_*/Raw_Data_and_Processing/cellranger_processing/cellranger_fastqs/outs/fastq_path/H*/BN1747_S3_L003_I1_001.fastq.gz</v>
      </c>
      <c r="K890" s="46" t="s">
        <v>1335</v>
      </c>
      <c r="L890" s="46" t="s">
        <v>3103</v>
      </c>
      <c r="M890" s="46" t="s">
        <v>1309</v>
      </c>
      <c r="N890" s="46" t="s">
        <v>1310</v>
      </c>
      <c r="O890" s="46" t="s">
        <v>1311</v>
      </c>
      <c r="P890" s="46" t="s">
        <v>1312</v>
      </c>
      <c r="Q890" s="46" t="s">
        <v>31</v>
      </c>
      <c r="R890" s="46" t="s">
        <v>31</v>
      </c>
      <c r="S890" s="46" t="s">
        <v>31</v>
      </c>
      <c r="T890" s="46" t="s">
        <v>31</v>
      </c>
      <c r="U890" s="46" t="s">
        <v>49</v>
      </c>
    </row>
    <row r="891" spans="1:21">
      <c r="A891" s="46" t="s">
        <v>761</v>
      </c>
      <c r="B891" s="46" t="s">
        <v>181</v>
      </c>
      <c r="C891" s="46" t="s">
        <v>666</v>
      </c>
      <c r="D891" s="46">
        <v>1</v>
      </c>
      <c r="E891" s="46">
        <v>0</v>
      </c>
      <c r="F891" s="46" t="s">
        <v>723</v>
      </c>
      <c r="G891" s="46" t="s">
        <v>1305</v>
      </c>
      <c r="H891" s="46" t="s">
        <v>3104</v>
      </c>
      <c r="I891" s="46" t="str">
        <f ca="1">IFERROR(__xludf.DUMMYFUNCTION("CONCAT(A891,REGEXREPLACE(H891,"".*_L0"",""_L0""))"),"PD_BN1747_MTG_snRNAseq_rep1_L003_I2_001.fastq.gz")</f>
        <v>PD_BN1747_MTG_snRNAseq_rep1_L003_I2_001.fastq.gz</v>
      </c>
      <c r="J891" s="46" t="str">
        <f t="shared" si="3"/>
        <v>/data/neurogen/ASAP/scRNAseq/data/batch16_ASAP_snRNA-seq_*/Raw_Data_and_Processing/cellranger_processing/cellranger_fastqs/outs/fastq_path/H*/BN1747_S3_L003_I2_001.fastq.gz</v>
      </c>
      <c r="K891" s="46" t="s">
        <v>1338</v>
      </c>
      <c r="L891" s="46" t="s">
        <v>3105</v>
      </c>
      <c r="M891" s="46" t="s">
        <v>1309</v>
      </c>
      <c r="N891" s="46" t="s">
        <v>1310</v>
      </c>
      <c r="O891" s="46" t="s">
        <v>1311</v>
      </c>
      <c r="P891" s="46" t="s">
        <v>1312</v>
      </c>
      <c r="Q891" s="46" t="s">
        <v>31</v>
      </c>
      <c r="R891" s="46" t="s">
        <v>31</v>
      </c>
      <c r="S891" s="46" t="s">
        <v>31</v>
      </c>
      <c r="T891" s="46" t="s">
        <v>31</v>
      </c>
      <c r="U891" s="46" t="s">
        <v>49</v>
      </c>
    </row>
    <row r="892" spans="1:21">
      <c r="A892" s="46" t="s">
        <v>761</v>
      </c>
      <c r="B892" s="46" t="s">
        <v>181</v>
      </c>
      <c r="C892" s="46" t="s">
        <v>666</v>
      </c>
      <c r="D892" s="46">
        <v>1</v>
      </c>
      <c r="E892" s="46">
        <v>0</v>
      </c>
      <c r="F892" s="46" t="s">
        <v>723</v>
      </c>
      <c r="G892" s="46" t="s">
        <v>1305</v>
      </c>
      <c r="H892" s="46" t="s">
        <v>3106</v>
      </c>
      <c r="I892" s="46" t="str">
        <f ca="1">IFERROR(__xludf.DUMMYFUNCTION("CONCAT(A892,REGEXREPLACE(H892,"".*_L0"",""_L0""))"),"PD_BN1747_MTG_snRNAseq_rep1_L003_R1_001.fastq.gz")</f>
        <v>PD_BN1747_MTG_snRNAseq_rep1_L003_R1_001.fastq.gz</v>
      </c>
      <c r="J892" s="46" t="str">
        <f t="shared" si="3"/>
        <v>/data/neurogen/ASAP/scRNAseq/data/batch16_ASAP_snRNA-seq_*/Raw_Data_and_Processing/cellranger_processing/cellranger_fastqs/outs/fastq_path/H*/BN1747_S3_L003_R1_001.fastq.gz</v>
      </c>
      <c r="K892" s="46" t="s">
        <v>1341</v>
      </c>
      <c r="L892" s="46" t="s">
        <v>3107</v>
      </c>
      <c r="M892" s="46" t="s">
        <v>1309</v>
      </c>
      <c r="N892" s="46" t="s">
        <v>1310</v>
      </c>
      <c r="O892" s="46" t="s">
        <v>1311</v>
      </c>
      <c r="P892" s="46" t="s">
        <v>1312</v>
      </c>
      <c r="Q892" s="46" t="s">
        <v>31</v>
      </c>
      <c r="R892" s="46" t="s">
        <v>31</v>
      </c>
      <c r="S892" s="46" t="s">
        <v>31</v>
      </c>
      <c r="T892" s="46" t="s">
        <v>31</v>
      </c>
      <c r="U892" s="46" t="s">
        <v>49</v>
      </c>
    </row>
    <row r="893" spans="1:21">
      <c r="A893" s="46" t="s">
        <v>761</v>
      </c>
      <c r="B893" s="46" t="s">
        <v>181</v>
      </c>
      <c r="C893" s="46" t="s">
        <v>666</v>
      </c>
      <c r="D893" s="46">
        <v>1</v>
      </c>
      <c r="E893" s="46">
        <v>0</v>
      </c>
      <c r="F893" s="46" t="s">
        <v>723</v>
      </c>
      <c r="G893" s="46" t="s">
        <v>1305</v>
      </c>
      <c r="H893" s="46" t="s">
        <v>3108</v>
      </c>
      <c r="I893" s="46" t="str">
        <f ca="1">IFERROR(__xludf.DUMMYFUNCTION("CONCAT(A893,REGEXREPLACE(H893,"".*_L0"",""_L0""))"),"PD_BN1747_MTG_snRNAseq_rep1_L003_R2_001.fastq.gz")</f>
        <v>PD_BN1747_MTG_snRNAseq_rep1_L003_R2_001.fastq.gz</v>
      </c>
      <c r="J893" s="46" t="str">
        <f t="shared" si="3"/>
        <v>/data/neurogen/ASAP/scRNAseq/data/batch16_ASAP_snRNA-seq_*/Raw_Data_and_Processing/cellranger_processing/cellranger_fastqs/outs/fastq_path/H*/BN1747_S3_L003_R2_001.fastq.gz</v>
      </c>
      <c r="K893" s="46" t="s">
        <v>1344</v>
      </c>
      <c r="L893" s="46" t="s">
        <v>3109</v>
      </c>
      <c r="M893" s="46" t="s">
        <v>1309</v>
      </c>
      <c r="N893" s="46" t="s">
        <v>1310</v>
      </c>
      <c r="O893" s="46" t="s">
        <v>1311</v>
      </c>
      <c r="P893" s="46" t="s">
        <v>1312</v>
      </c>
      <c r="Q893" s="46" t="s">
        <v>31</v>
      </c>
      <c r="R893" s="46" t="s">
        <v>31</v>
      </c>
      <c r="S893" s="46" t="s">
        <v>31</v>
      </c>
      <c r="T893" s="46" t="s">
        <v>31</v>
      </c>
      <c r="U893" s="46" t="s">
        <v>49</v>
      </c>
    </row>
    <row r="894" spans="1:21">
      <c r="A894" s="46" t="s">
        <v>761</v>
      </c>
      <c r="B894" s="46" t="s">
        <v>181</v>
      </c>
      <c r="C894" s="46" t="s">
        <v>666</v>
      </c>
      <c r="D894" s="46">
        <v>1</v>
      </c>
      <c r="E894" s="46">
        <v>0</v>
      </c>
      <c r="F894" s="46" t="s">
        <v>723</v>
      </c>
      <c r="G894" s="46" t="s">
        <v>1305</v>
      </c>
      <c r="H894" s="46" t="s">
        <v>3110</v>
      </c>
      <c r="I894" s="46" t="str">
        <f ca="1">IFERROR(__xludf.DUMMYFUNCTION("CONCAT(A894,REGEXREPLACE(H894,"".*_L0"",""_L0""))"),"PD_BN1747_MTG_snRNAseq_rep1_L004_I1_001.fastq.gz")</f>
        <v>PD_BN1747_MTG_snRNAseq_rep1_L004_I1_001.fastq.gz</v>
      </c>
      <c r="J894" s="46" t="str">
        <f t="shared" si="3"/>
        <v>/data/neurogen/ASAP/scRNAseq/data/batch16_ASAP_snRNA-seq_*/Raw_Data_and_Processing/cellranger_processing/cellranger_fastqs/outs/fastq_path/H*/BN1747_S3_L004_I1_001.fastq.gz</v>
      </c>
      <c r="K894" s="46" t="s">
        <v>1347</v>
      </c>
      <c r="L894" s="46" t="s">
        <v>3111</v>
      </c>
      <c r="M894" s="46" t="s">
        <v>1309</v>
      </c>
      <c r="N894" s="46" t="s">
        <v>1310</v>
      </c>
      <c r="O894" s="46" t="s">
        <v>1311</v>
      </c>
      <c r="P894" s="46" t="s">
        <v>1312</v>
      </c>
      <c r="Q894" s="46" t="s">
        <v>31</v>
      </c>
      <c r="R894" s="46" t="s">
        <v>31</v>
      </c>
      <c r="S894" s="46" t="s">
        <v>31</v>
      </c>
      <c r="T894" s="46" t="s">
        <v>31</v>
      </c>
      <c r="U894" s="46" t="s">
        <v>49</v>
      </c>
    </row>
    <row r="895" spans="1:21">
      <c r="A895" s="46" t="s">
        <v>761</v>
      </c>
      <c r="B895" s="46" t="s">
        <v>181</v>
      </c>
      <c r="C895" s="46" t="s">
        <v>666</v>
      </c>
      <c r="D895" s="46">
        <v>1</v>
      </c>
      <c r="E895" s="46">
        <v>0</v>
      </c>
      <c r="F895" s="46" t="s">
        <v>723</v>
      </c>
      <c r="G895" s="46" t="s">
        <v>1305</v>
      </c>
      <c r="H895" s="46" t="s">
        <v>3112</v>
      </c>
      <c r="I895" s="46" t="str">
        <f ca="1">IFERROR(__xludf.DUMMYFUNCTION("CONCAT(A895,REGEXREPLACE(H895,"".*_L0"",""_L0""))"),"PD_BN1747_MTG_snRNAseq_rep1_L004_I2_001.fastq.gz")</f>
        <v>PD_BN1747_MTG_snRNAseq_rep1_L004_I2_001.fastq.gz</v>
      </c>
      <c r="J895" s="46" t="str">
        <f t="shared" si="3"/>
        <v>/data/neurogen/ASAP/scRNAseq/data/batch16_ASAP_snRNA-seq_*/Raw_Data_and_Processing/cellranger_processing/cellranger_fastqs/outs/fastq_path/H*/BN1747_S3_L004_I2_001.fastq.gz</v>
      </c>
      <c r="K895" s="46" t="s">
        <v>1350</v>
      </c>
      <c r="L895" s="46" t="s">
        <v>3113</v>
      </c>
      <c r="M895" s="46" t="s">
        <v>1309</v>
      </c>
      <c r="N895" s="46" t="s">
        <v>1310</v>
      </c>
      <c r="O895" s="46" t="s">
        <v>1311</v>
      </c>
      <c r="P895" s="46" t="s">
        <v>1312</v>
      </c>
      <c r="Q895" s="46" t="s">
        <v>31</v>
      </c>
      <c r="R895" s="46" t="s">
        <v>31</v>
      </c>
      <c r="S895" s="46" t="s">
        <v>31</v>
      </c>
      <c r="T895" s="46" t="s">
        <v>31</v>
      </c>
      <c r="U895" s="46" t="s">
        <v>49</v>
      </c>
    </row>
    <row r="896" spans="1:21">
      <c r="A896" s="46" t="s">
        <v>761</v>
      </c>
      <c r="B896" s="46" t="s">
        <v>181</v>
      </c>
      <c r="C896" s="46" t="s">
        <v>666</v>
      </c>
      <c r="D896" s="46">
        <v>1</v>
      </c>
      <c r="E896" s="46">
        <v>0</v>
      </c>
      <c r="F896" s="46" t="s">
        <v>723</v>
      </c>
      <c r="G896" s="46" t="s">
        <v>1305</v>
      </c>
      <c r="H896" s="46" t="s">
        <v>3114</v>
      </c>
      <c r="I896" s="46" t="str">
        <f ca="1">IFERROR(__xludf.DUMMYFUNCTION("CONCAT(A896,REGEXREPLACE(H896,"".*_L0"",""_L0""))"),"PD_BN1747_MTG_snRNAseq_rep1_L004_R1_001.fastq.gz")</f>
        <v>PD_BN1747_MTG_snRNAseq_rep1_L004_R1_001.fastq.gz</v>
      </c>
      <c r="J896" s="46" t="str">
        <f t="shared" si="3"/>
        <v>/data/neurogen/ASAP/scRNAseq/data/batch16_ASAP_snRNA-seq_*/Raw_Data_and_Processing/cellranger_processing/cellranger_fastqs/outs/fastq_path/H*/BN1747_S3_L004_R1_001.fastq.gz</v>
      </c>
      <c r="K896" s="46" t="s">
        <v>1353</v>
      </c>
      <c r="L896" s="46" t="s">
        <v>3115</v>
      </c>
      <c r="M896" s="46" t="s">
        <v>1309</v>
      </c>
      <c r="N896" s="46" t="s">
        <v>1310</v>
      </c>
      <c r="O896" s="46" t="s">
        <v>1311</v>
      </c>
      <c r="P896" s="46" t="s">
        <v>1312</v>
      </c>
      <c r="Q896" s="46" t="s">
        <v>31</v>
      </c>
      <c r="R896" s="46" t="s">
        <v>31</v>
      </c>
      <c r="S896" s="46" t="s">
        <v>31</v>
      </c>
      <c r="T896" s="46" t="s">
        <v>31</v>
      </c>
      <c r="U896" s="46" t="s">
        <v>49</v>
      </c>
    </row>
    <row r="897" spans="1:21">
      <c r="A897" s="46" t="s">
        <v>761</v>
      </c>
      <c r="B897" s="46" t="s">
        <v>181</v>
      </c>
      <c r="C897" s="46" t="s">
        <v>666</v>
      </c>
      <c r="D897" s="46">
        <v>1</v>
      </c>
      <c r="E897" s="46">
        <v>0</v>
      </c>
      <c r="F897" s="46" t="s">
        <v>723</v>
      </c>
      <c r="G897" s="46" t="s">
        <v>1305</v>
      </c>
      <c r="H897" s="46" t="s">
        <v>3116</v>
      </c>
      <c r="I897" s="46" t="str">
        <f ca="1">IFERROR(__xludf.DUMMYFUNCTION("CONCAT(A897,REGEXREPLACE(H897,"".*_L0"",""_L0""))"),"PD_BN1747_MTG_snRNAseq_rep1_L004_R2_001.fastq.gz")</f>
        <v>PD_BN1747_MTG_snRNAseq_rep1_L004_R2_001.fastq.gz</v>
      </c>
      <c r="J897" s="46" t="str">
        <f t="shared" si="3"/>
        <v>/data/neurogen/ASAP/scRNAseq/data/batch16_ASAP_snRNA-seq_*/Raw_Data_and_Processing/cellranger_processing/cellranger_fastqs/outs/fastq_path/H*/BN1747_S3_L004_R2_001.fastq.gz</v>
      </c>
      <c r="K897" s="46" t="s">
        <v>1356</v>
      </c>
      <c r="L897" s="46" t="s">
        <v>3117</v>
      </c>
      <c r="M897" s="46" t="s">
        <v>1309</v>
      </c>
      <c r="N897" s="46" t="s">
        <v>1310</v>
      </c>
      <c r="O897" s="46" t="s">
        <v>1311</v>
      </c>
      <c r="P897" s="46" t="s">
        <v>1312</v>
      </c>
      <c r="Q897" s="46" t="s">
        <v>31</v>
      </c>
      <c r="R897" s="46" t="s">
        <v>31</v>
      </c>
      <c r="S897" s="46" t="s">
        <v>31</v>
      </c>
      <c r="T897" s="46" t="s">
        <v>31</v>
      </c>
      <c r="U897" s="46" t="s">
        <v>49</v>
      </c>
    </row>
    <row r="898" spans="1:21">
      <c r="A898" s="46" t="s">
        <v>739</v>
      </c>
      <c r="B898" s="46" t="s">
        <v>145</v>
      </c>
      <c r="C898" s="46" t="s">
        <v>666</v>
      </c>
      <c r="D898" s="46">
        <v>1</v>
      </c>
      <c r="E898" s="46">
        <v>0</v>
      </c>
      <c r="F898" s="46" t="s">
        <v>740</v>
      </c>
      <c r="G898" s="46" t="s">
        <v>1305</v>
      </c>
      <c r="H898" s="46" t="s">
        <v>3118</v>
      </c>
      <c r="I898" s="46" t="str">
        <f ca="1">IFERROR(__xludf.DUMMYFUNCTION("CONCAT(A898,REGEXREPLACE(H898,"".*_L0"",""_L0""))"),"HC_BN1430_MTG_snRNAseq_rep1_L001_I1_001.fastq.gz")</f>
        <v>HC_BN1430_MTG_snRNAseq_rep1_L001_I1_001.fastq.gz</v>
      </c>
      <c r="J898" s="46" t="str">
        <f t="shared" si="3"/>
        <v>/data/neurogen/ASAP/scRNAseq/data/batch17_ASAP_snRNA-seq_*/Raw_Data_and_Processing/cellranger_processing/cellranger_fastqs/outs/fastq_path/H*/BN1430_S2_L001_I1_001.fastq.gz</v>
      </c>
      <c r="K898" s="46" t="s">
        <v>1307</v>
      </c>
      <c r="L898" s="46" t="s">
        <v>3119</v>
      </c>
      <c r="M898" s="46" t="s">
        <v>1309</v>
      </c>
      <c r="N898" s="46" t="s">
        <v>1310</v>
      </c>
      <c r="O898" s="46" t="s">
        <v>1311</v>
      </c>
      <c r="P898" s="46" t="s">
        <v>1312</v>
      </c>
      <c r="Q898" s="46" t="s">
        <v>31</v>
      </c>
      <c r="R898" s="46" t="s">
        <v>31</v>
      </c>
      <c r="S898" s="46" t="s">
        <v>31</v>
      </c>
      <c r="T898" s="46" t="s">
        <v>31</v>
      </c>
      <c r="U898" s="46" t="s">
        <v>49</v>
      </c>
    </row>
    <row r="899" spans="1:21">
      <c r="A899" s="46" t="s">
        <v>739</v>
      </c>
      <c r="B899" s="46" t="s">
        <v>145</v>
      </c>
      <c r="C899" s="46" t="s">
        <v>666</v>
      </c>
      <c r="D899" s="46">
        <v>1</v>
      </c>
      <c r="E899" s="46">
        <v>0</v>
      </c>
      <c r="F899" s="46" t="s">
        <v>740</v>
      </c>
      <c r="G899" s="46" t="s">
        <v>1305</v>
      </c>
      <c r="H899" s="46" t="s">
        <v>3120</v>
      </c>
      <c r="I899" s="46" t="str">
        <f ca="1">IFERROR(__xludf.DUMMYFUNCTION("CONCAT(A899,REGEXREPLACE(H899,"".*_L0"",""_L0""))"),"HC_BN1430_MTG_snRNAseq_rep1_L001_I2_001.fastq.gz")</f>
        <v>HC_BN1430_MTG_snRNAseq_rep1_L001_I2_001.fastq.gz</v>
      </c>
      <c r="J899" s="46" t="str">
        <f t="shared" si="3"/>
        <v>/data/neurogen/ASAP/scRNAseq/data/batch17_ASAP_snRNA-seq_*/Raw_Data_and_Processing/cellranger_processing/cellranger_fastqs/outs/fastq_path/H*/BN1430_S2_L001_I2_001.fastq.gz</v>
      </c>
      <c r="K899" s="46" t="s">
        <v>1314</v>
      </c>
      <c r="L899" s="46" t="s">
        <v>3121</v>
      </c>
      <c r="M899" s="46" t="s">
        <v>1309</v>
      </c>
      <c r="N899" s="46" t="s">
        <v>1310</v>
      </c>
      <c r="O899" s="46" t="s">
        <v>1311</v>
      </c>
      <c r="P899" s="46" t="s">
        <v>1312</v>
      </c>
      <c r="Q899" s="46" t="s">
        <v>31</v>
      </c>
      <c r="R899" s="46" t="s">
        <v>31</v>
      </c>
      <c r="S899" s="46" t="s">
        <v>31</v>
      </c>
      <c r="T899" s="46" t="s">
        <v>31</v>
      </c>
      <c r="U899" s="46" t="s">
        <v>49</v>
      </c>
    </row>
    <row r="900" spans="1:21">
      <c r="A900" s="46" t="s">
        <v>739</v>
      </c>
      <c r="B900" s="46" t="s">
        <v>145</v>
      </c>
      <c r="C900" s="46" t="s">
        <v>666</v>
      </c>
      <c r="D900" s="46">
        <v>1</v>
      </c>
      <c r="E900" s="46">
        <v>0</v>
      </c>
      <c r="F900" s="46" t="s">
        <v>740</v>
      </c>
      <c r="G900" s="46" t="s">
        <v>1305</v>
      </c>
      <c r="H900" s="46" t="s">
        <v>3122</v>
      </c>
      <c r="I900" s="46" t="str">
        <f ca="1">IFERROR(__xludf.DUMMYFUNCTION("CONCAT(A900,REGEXREPLACE(H900,"".*_L0"",""_L0""))"),"HC_BN1430_MTG_snRNAseq_rep1_L001_R1_001.fastq.gz")</f>
        <v>HC_BN1430_MTG_snRNAseq_rep1_L001_R1_001.fastq.gz</v>
      </c>
      <c r="J900" s="46" t="str">
        <f t="shared" si="3"/>
        <v>/data/neurogen/ASAP/scRNAseq/data/batch17_ASAP_snRNA-seq_*/Raw_Data_and_Processing/cellranger_processing/cellranger_fastqs/outs/fastq_path/H*/BN1430_S2_L001_R1_001.fastq.gz</v>
      </c>
      <c r="K900" s="46" t="s">
        <v>1317</v>
      </c>
      <c r="L900" s="47" t="s">
        <v>3123</v>
      </c>
      <c r="M900" s="46" t="s">
        <v>1309</v>
      </c>
      <c r="N900" s="46" t="s">
        <v>1310</v>
      </c>
      <c r="O900" s="46" t="s">
        <v>1311</v>
      </c>
      <c r="P900" s="46" t="s">
        <v>1312</v>
      </c>
      <c r="Q900" s="46" t="s">
        <v>31</v>
      </c>
      <c r="R900" s="46" t="s">
        <v>31</v>
      </c>
      <c r="S900" s="46" t="s">
        <v>31</v>
      </c>
      <c r="T900" s="46" t="s">
        <v>31</v>
      </c>
      <c r="U900" s="46" t="s">
        <v>49</v>
      </c>
    </row>
    <row r="901" spans="1:21">
      <c r="A901" s="46" t="s">
        <v>739</v>
      </c>
      <c r="B901" s="46" t="s">
        <v>145</v>
      </c>
      <c r="C901" s="46" t="s">
        <v>666</v>
      </c>
      <c r="D901" s="46">
        <v>1</v>
      </c>
      <c r="E901" s="46">
        <v>0</v>
      </c>
      <c r="F901" s="46" t="s">
        <v>740</v>
      </c>
      <c r="G901" s="46" t="s">
        <v>1305</v>
      </c>
      <c r="H901" s="46" t="s">
        <v>3124</v>
      </c>
      <c r="I901" s="46" t="str">
        <f ca="1">IFERROR(__xludf.DUMMYFUNCTION("CONCAT(A901,REGEXREPLACE(H901,"".*_L0"",""_L0""))"),"HC_BN1430_MTG_snRNAseq_rep1_L001_R2_001.fastq.gz")</f>
        <v>HC_BN1430_MTG_snRNAseq_rep1_L001_R2_001.fastq.gz</v>
      </c>
      <c r="J901" s="46" t="str">
        <f t="shared" si="3"/>
        <v>/data/neurogen/ASAP/scRNAseq/data/batch17_ASAP_snRNA-seq_*/Raw_Data_and_Processing/cellranger_processing/cellranger_fastqs/outs/fastq_path/H*/BN1430_S2_L001_R2_001.fastq.gz</v>
      </c>
      <c r="K901" s="46" t="s">
        <v>1320</v>
      </c>
      <c r="L901" s="46" t="s">
        <v>3125</v>
      </c>
      <c r="M901" s="46" t="s">
        <v>1309</v>
      </c>
      <c r="N901" s="46" t="s">
        <v>1310</v>
      </c>
      <c r="O901" s="46" t="s">
        <v>1311</v>
      </c>
      <c r="P901" s="46" t="s">
        <v>1312</v>
      </c>
      <c r="Q901" s="46" t="s">
        <v>31</v>
      </c>
      <c r="R901" s="46" t="s">
        <v>31</v>
      </c>
      <c r="S901" s="46" t="s">
        <v>31</v>
      </c>
      <c r="T901" s="46" t="s">
        <v>31</v>
      </c>
      <c r="U901" s="46" t="s">
        <v>49</v>
      </c>
    </row>
    <row r="902" spans="1:21">
      <c r="A902" s="46" t="s">
        <v>739</v>
      </c>
      <c r="B902" s="46" t="s">
        <v>145</v>
      </c>
      <c r="C902" s="46" t="s">
        <v>666</v>
      </c>
      <c r="D902" s="46">
        <v>1</v>
      </c>
      <c r="E902" s="46">
        <v>0</v>
      </c>
      <c r="F902" s="46" t="s">
        <v>740</v>
      </c>
      <c r="G902" s="46" t="s">
        <v>1305</v>
      </c>
      <c r="H902" s="46" t="s">
        <v>3126</v>
      </c>
      <c r="I902" s="46" t="str">
        <f ca="1">IFERROR(__xludf.DUMMYFUNCTION("CONCAT(A902,REGEXREPLACE(H902,"".*_L0"",""_L0""))"),"HC_BN1430_MTG_snRNAseq_rep1_L002_I1_001.fastq.gz")</f>
        <v>HC_BN1430_MTG_snRNAseq_rep1_L002_I1_001.fastq.gz</v>
      </c>
      <c r="J902" s="46" t="str">
        <f t="shared" si="3"/>
        <v>/data/neurogen/ASAP/scRNAseq/data/batch17_ASAP_snRNA-seq_*/Raw_Data_and_Processing/cellranger_processing/cellranger_fastqs/outs/fastq_path/H*/BN1430_S2_L002_I1_001.fastq.gz</v>
      </c>
      <c r="K902" s="46" t="s">
        <v>1323</v>
      </c>
      <c r="L902" s="46" t="s">
        <v>3127</v>
      </c>
      <c r="M902" s="46" t="s">
        <v>1309</v>
      </c>
      <c r="N902" s="46" t="s">
        <v>1310</v>
      </c>
      <c r="O902" s="46" t="s">
        <v>1311</v>
      </c>
      <c r="P902" s="46" t="s">
        <v>1312</v>
      </c>
      <c r="Q902" s="46" t="s">
        <v>31</v>
      </c>
      <c r="R902" s="46" t="s">
        <v>31</v>
      </c>
      <c r="S902" s="46" t="s">
        <v>31</v>
      </c>
      <c r="T902" s="46" t="s">
        <v>31</v>
      </c>
      <c r="U902" s="46" t="s">
        <v>49</v>
      </c>
    </row>
    <row r="903" spans="1:21">
      <c r="A903" s="46" t="s">
        <v>739</v>
      </c>
      <c r="B903" s="46" t="s">
        <v>145</v>
      </c>
      <c r="C903" s="46" t="s">
        <v>666</v>
      </c>
      <c r="D903" s="46">
        <v>1</v>
      </c>
      <c r="E903" s="46">
        <v>0</v>
      </c>
      <c r="F903" s="46" t="s">
        <v>740</v>
      </c>
      <c r="G903" s="46" t="s">
        <v>1305</v>
      </c>
      <c r="H903" s="46" t="s">
        <v>3128</v>
      </c>
      <c r="I903" s="46" t="str">
        <f ca="1">IFERROR(__xludf.DUMMYFUNCTION("CONCAT(A903,REGEXREPLACE(H903,"".*_L0"",""_L0""))"),"HC_BN1430_MTG_snRNAseq_rep1_L002_I2_001.fastq.gz")</f>
        <v>HC_BN1430_MTG_snRNAseq_rep1_L002_I2_001.fastq.gz</v>
      </c>
      <c r="J903" s="46" t="str">
        <f t="shared" si="3"/>
        <v>/data/neurogen/ASAP/scRNAseq/data/batch17_ASAP_snRNA-seq_*/Raw_Data_and_Processing/cellranger_processing/cellranger_fastqs/outs/fastq_path/H*/BN1430_S2_L002_I2_001.fastq.gz</v>
      </c>
      <c r="K903" s="46" t="s">
        <v>1326</v>
      </c>
      <c r="L903" s="46" t="s">
        <v>3129</v>
      </c>
      <c r="M903" s="46" t="s">
        <v>1309</v>
      </c>
      <c r="N903" s="46" t="s">
        <v>1310</v>
      </c>
      <c r="O903" s="46" t="s">
        <v>1311</v>
      </c>
      <c r="P903" s="46" t="s">
        <v>1312</v>
      </c>
      <c r="Q903" s="46" t="s">
        <v>31</v>
      </c>
      <c r="R903" s="46" t="s">
        <v>31</v>
      </c>
      <c r="S903" s="46" t="s">
        <v>31</v>
      </c>
      <c r="T903" s="46" t="s">
        <v>31</v>
      </c>
      <c r="U903" s="46" t="s">
        <v>49</v>
      </c>
    </row>
    <row r="904" spans="1:21">
      <c r="A904" s="46" t="s">
        <v>739</v>
      </c>
      <c r="B904" s="46" t="s">
        <v>145</v>
      </c>
      <c r="C904" s="46" t="s">
        <v>666</v>
      </c>
      <c r="D904" s="46">
        <v>1</v>
      </c>
      <c r="E904" s="46">
        <v>0</v>
      </c>
      <c r="F904" s="46" t="s">
        <v>740</v>
      </c>
      <c r="G904" s="46" t="s">
        <v>1305</v>
      </c>
      <c r="H904" s="46" t="s">
        <v>3130</v>
      </c>
      <c r="I904" s="46" t="str">
        <f ca="1">IFERROR(__xludf.DUMMYFUNCTION("CONCAT(A904,REGEXREPLACE(H904,"".*_L0"",""_L0""))"),"HC_BN1430_MTG_snRNAseq_rep1_L002_R1_001.fastq.gz")</f>
        <v>HC_BN1430_MTG_snRNAseq_rep1_L002_R1_001.fastq.gz</v>
      </c>
      <c r="J904" s="46" t="str">
        <f t="shared" si="3"/>
        <v>/data/neurogen/ASAP/scRNAseq/data/batch17_ASAP_snRNA-seq_*/Raw_Data_and_Processing/cellranger_processing/cellranger_fastqs/outs/fastq_path/H*/BN1430_S2_L002_R1_001.fastq.gz</v>
      </c>
      <c r="K904" s="46" t="s">
        <v>1329</v>
      </c>
      <c r="L904" s="46" t="s">
        <v>3131</v>
      </c>
      <c r="M904" s="46" t="s">
        <v>1309</v>
      </c>
      <c r="N904" s="46" t="s">
        <v>1310</v>
      </c>
      <c r="O904" s="46" t="s">
        <v>1311</v>
      </c>
      <c r="P904" s="46" t="s">
        <v>1312</v>
      </c>
      <c r="Q904" s="46" t="s">
        <v>31</v>
      </c>
      <c r="R904" s="46" t="s">
        <v>31</v>
      </c>
      <c r="S904" s="46" t="s">
        <v>31</v>
      </c>
      <c r="T904" s="46" t="s">
        <v>31</v>
      </c>
      <c r="U904" s="46" t="s">
        <v>49</v>
      </c>
    </row>
    <row r="905" spans="1:21">
      <c r="A905" s="46" t="s">
        <v>739</v>
      </c>
      <c r="B905" s="46" t="s">
        <v>145</v>
      </c>
      <c r="C905" s="46" t="s">
        <v>666</v>
      </c>
      <c r="D905" s="46">
        <v>1</v>
      </c>
      <c r="E905" s="46">
        <v>0</v>
      </c>
      <c r="F905" s="46" t="s">
        <v>740</v>
      </c>
      <c r="G905" s="46" t="s">
        <v>1305</v>
      </c>
      <c r="H905" s="46" t="s">
        <v>3132</v>
      </c>
      <c r="I905" s="46" t="str">
        <f ca="1">IFERROR(__xludf.DUMMYFUNCTION("CONCAT(A905,REGEXREPLACE(H905,"".*_L0"",""_L0""))"),"HC_BN1430_MTG_snRNAseq_rep1_L002_R2_001.fastq.gz")</f>
        <v>HC_BN1430_MTG_snRNAseq_rep1_L002_R2_001.fastq.gz</v>
      </c>
      <c r="J905" s="46" t="str">
        <f t="shared" si="3"/>
        <v>/data/neurogen/ASAP/scRNAseq/data/batch17_ASAP_snRNA-seq_*/Raw_Data_and_Processing/cellranger_processing/cellranger_fastqs/outs/fastq_path/H*/BN1430_S2_L002_R2_001.fastq.gz</v>
      </c>
      <c r="K905" s="46" t="s">
        <v>1332</v>
      </c>
      <c r="L905" s="46" t="s">
        <v>3133</v>
      </c>
      <c r="M905" s="46" t="s">
        <v>1309</v>
      </c>
      <c r="N905" s="46" t="s">
        <v>1310</v>
      </c>
      <c r="O905" s="46" t="s">
        <v>1311</v>
      </c>
      <c r="P905" s="46" t="s">
        <v>1312</v>
      </c>
      <c r="Q905" s="46" t="s">
        <v>31</v>
      </c>
      <c r="R905" s="46" t="s">
        <v>31</v>
      </c>
      <c r="S905" s="46" t="s">
        <v>31</v>
      </c>
      <c r="T905" s="46" t="s">
        <v>31</v>
      </c>
      <c r="U905" s="46" t="s">
        <v>49</v>
      </c>
    </row>
    <row r="906" spans="1:21">
      <c r="A906" s="46" t="s">
        <v>739</v>
      </c>
      <c r="B906" s="46" t="s">
        <v>145</v>
      </c>
      <c r="C906" s="46" t="s">
        <v>666</v>
      </c>
      <c r="D906" s="46">
        <v>1</v>
      </c>
      <c r="E906" s="46">
        <v>0</v>
      </c>
      <c r="F906" s="46" t="s">
        <v>740</v>
      </c>
      <c r="G906" s="46" t="s">
        <v>1305</v>
      </c>
      <c r="H906" s="46" t="s">
        <v>3134</v>
      </c>
      <c r="I906" s="46" t="str">
        <f ca="1">IFERROR(__xludf.DUMMYFUNCTION("CONCAT(A906,REGEXREPLACE(H906,"".*_L0"",""_L0""))"),"HC_BN1430_MTG_snRNAseq_rep1_L003_I1_001.fastq.gz")</f>
        <v>HC_BN1430_MTG_snRNAseq_rep1_L003_I1_001.fastq.gz</v>
      </c>
      <c r="J906" s="46" t="str">
        <f t="shared" si="3"/>
        <v>/data/neurogen/ASAP/scRNAseq/data/batch17_ASAP_snRNA-seq_*/Raw_Data_and_Processing/cellranger_processing/cellranger_fastqs/outs/fastq_path/H*/BN1430_S2_L003_I1_001.fastq.gz</v>
      </c>
      <c r="K906" s="46" t="s">
        <v>1335</v>
      </c>
      <c r="L906" s="46" t="s">
        <v>3135</v>
      </c>
      <c r="M906" s="46" t="s">
        <v>1309</v>
      </c>
      <c r="N906" s="46" t="s">
        <v>1310</v>
      </c>
      <c r="O906" s="46" t="s">
        <v>1311</v>
      </c>
      <c r="P906" s="46" t="s">
        <v>1312</v>
      </c>
      <c r="Q906" s="46" t="s">
        <v>31</v>
      </c>
      <c r="R906" s="46" t="s">
        <v>31</v>
      </c>
      <c r="S906" s="46" t="s">
        <v>31</v>
      </c>
      <c r="T906" s="46" t="s">
        <v>31</v>
      </c>
      <c r="U906" s="46" t="s">
        <v>49</v>
      </c>
    </row>
    <row r="907" spans="1:21">
      <c r="A907" s="46" t="s">
        <v>739</v>
      </c>
      <c r="B907" s="46" t="s">
        <v>145</v>
      </c>
      <c r="C907" s="46" t="s">
        <v>666</v>
      </c>
      <c r="D907" s="46">
        <v>1</v>
      </c>
      <c r="E907" s="46">
        <v>0</v>
      </c>
      <c r="F907" s="46" t="s">
        <v>740</v>
      </c>
      <c r="G907" s="46" t="s">
        <v>1305</v>
      </c>
      <c r="H907" s="46" t="s">
        <v>3136</v>
      </c>
      <c r="I907" s="46" t="str">
        <f ca="1">IFERROR(__xludf.DUMMYFUNCTION("CONCAT(A907,REGEXREPLACE(H907,"".*_L0"",""_L0""))"),"HC_BN1430_MTG_snRNAseq_rep1_L003_I2_001.fastq.gz")</f>
        <v>HC_BN1430_MTG_snRNAseq_rep1_L003_I2_001.fastq.gz</v>
      </c>
      <c r="J907" s="46" t="str">
        <f t="shared" si="3"/>
        <v>/data/neurogen/ASAP/scRNAseq/data/batch17_ASAP_snRNA-seq_*/Raw_Data_and_Processing/cellranger_processing/cellranger_fastqs/outs/fastq_path/H*/BN1430_S2_L003_I2_001.fastq.gz</v>
      </c>
      <c r="K907" s="46" t="s">
        <v>1338</v>
      </c>
      <c r="L907" s="46" t="s">
        <v>3137</v>
      </c>
      <c r="M907" s="46" t="s">
        <v>1309</v>
      </c>
      <c r="N907" s="46" t="s">
        <v>1310</v>
      </c>
      <c r="O907" s="46" t="s">
        <v>1311</v>
      </c>
      <c r="P907" s="46" t="s">
        <v>1312</v>
      </c>
      <c r="Q907" s="46" t="s">
        <v>31</v>
      </c>
      <c r="R907" s="46" t="s">
        <v>31</v>
      </c>
      <c r="S907" s="46" t="s">
        <v>31</v>
      </c>
      <c r="T907" s="46" t="s">
        <v>31</v>
      </c>
      <c r="U907" s="46" t="s">
        <v>49</v>
      </c>
    </row>
    <row r="908" spans="1:21">
      <c r="A908" s="46" t="s">
        <v>739</v>
      </c>
      <c r="B908" s="46" t="s">
        <v>145</v>
      </c>
      <c r="C908" s="46" t="s">
        <v>666</v>
      </c>
      <c r="D908" s="46">
        <v>1</v>
      </c>
      <c r="E908" s="46">
        <v>0</v>
      </c>
      <c r="F908" s="46" t="s">
        <v>740</v>
      </c>
      <c r="G908" s="46" t="s">
        <v>1305</v>
      </c>
      <c r="H908" s="46" t="s">
        <v>3138</v>
      </c>
      <c r="I908" s="46" t="str">
        <f ca="1">IFERROR(__xludf.DUMMYFUNCTION("CONCAT(A908,REGEXREPLACE(H908,"".*_L0"",""_L0""))"),"HC_BN1430_MTG_snRNAseq_rep1_L003_R1_001.fastq.gz")</f>
        <v>HC_BN1430_MTG_snRNAseq_rep1_L003_R1_001.fastq.gz</v>
      </c>
      <c r="J908" s="46" t="str">
        <f t="shared" si="3"/>
        <v>/data/neurogen/ASAP/scRNAseq/data/batch17_ASAP_snRNA-seq_*/Raw_Data_and_Processing/cellranger_processing/cellranger_fastqs/outs/fastq_path/H*/BN1430_S2_L003_R1_001.fastq.gz</v>
      </c>
      <c r="K908" s="46" t="s">
        <v>1341</v>
      </c>
      <c r="L908" s="46" t="s">
        <v>3139</v>
      </c>
      <c r="M908" s="46" t="s">
        <v>1309</v>
      </c>
      <c r="N908" s="46" t="s">
        <v>1310</v>
      </c>
      <c r="O908" s="46" t="s">
        <v>1311</v>
      </c>
      <c r="P908" s="46" t="s">
        <v>1312</v>
      </c>
      <c r="Q908" s="46" t="s">
        <v>31</v>
      </c>
      <c r="R908" s="46" t="s">
        <v>31</v>
      </c>
      <c r="S908" s="46" t="s">
        <v>31</v>
      </c>
      <c r="T908" s="46" t="s">
        <v>31</v>
      </c>
      <c r="U908" s="46" t="s">
        <v>49</v>
      </c>
    </row>
    <row r="909" spans="1:21">
      <c r="A909" s="46" t="s">
        <v>739</v>
      </c>
      <c r="B909" s="46" t="s">
        <v>145</v>
      </c>
      <c r="C909" s="46" t="s">
        <v>666</v>
      </c>
      <c r="D909" s="46">
        <v>1</v>
      </c>
      <c r="E909" s="46">
        <v>0</v>
      </c>
      <c r="F909" s="46" t="s">
        <v>740</v>
      </c>
      <c r="G909" s="46" t="s">
        <v>1305</v>
      </c>
      <c r="H909" s="46" t="s">
        <v>3140</v>
      </c>
      <c r="I909" s="46" t="str">
        <f ca="1">IFERROR(__xludf.DUMMYFUNCTION("CONCAT(A909,REGEXREPLACE(H909,"".*_L0"",""_L0""))"),"HC_BN1430_MTG_snRNAseq_rep1_L003_R2_001.fastq.gz")</f>
        <v>HC_BN1430_MTG_snRNAseq_rep1_L003_R2_001.fastq.gz</v>
      </c>
      <c r="J909" s="46" t="str">
        <f t="shared" si="3"/>
        <v>/data/neurogen/ASAP/scRNAseq/data/batch17_ASAP_snRNA-seq_*/Raw_Data_and_Processing/cellranger_processing/cellranger_fastqs/outs/fastq_path/H*/BN1430_S2_L003_R2_001.fastq.gz</v>
      </c>
      <c r="K909" s="46" t="s">
        <v>1344</v>
      </c>
      <c r="L909" s="46" t="s">
        <v>3141</v>
      </c>
      <c r="M909" s="46" t="s">
        <v>1309</v>
      </c>
      <c r="N909" s="46" t="s">
        <v>1310</v>
      </c>
      <c r="O909" s="46" t="s">
        <v>1311</v>
      </c>
      <c r="P909" s="46" t="s">
        <v>1312</v>
      </c>
      <c r="Q909" s="46" t="s">
        <v>31</v>
      </c>
      <c r="R909" s="46" t="s">
        <v>31</v>
      </c>
      <c r="S909" s="46" t="s">
        <v>31</v>
      </c>
      <c r="T909" s="46" t="s">
        <v>31</v>
      </c>
      <c r="U909" s="46" t="s">
        <v>49</v>
      </c>
    </row>
    <row r="910" spans="1:21">
      <c r="A910" s="46" t="s">
        <v>739</v>
      </c>
      <c r="B910" s="46" t="s">
        <v>145</v>
      </c>
      <c r="C910" s="46" t="s">
        <v>666</v>
      </c>
      <c r="D910" s="46">
        <v>1</v>
      </c>
      <c r="E910" s="46">
        <v>0</v>
      </c>
      <c r="F910" s="46" t="s">
        <v>740</v>
      </c>
      <c r="G910" s="46" t="s">
        <v>1305</v>
      </c>
      <c r="H910" s="46" t="s">
        <v>3142</v>
      </c>
      <c r="I910" s="46" t="str">
        <f ca="1">IFERROR(__xludf.DUMMYFUNCTION("CONCAT(A910,REGEXREPLACE(H910,"".*_L0"",""_L0""))"),"HC_BN1430_MTG_snRNAseq_rep1_L004_I1_001.fastq.gz")</f>
        <v>HC_BN1430_MTG_snRNAseq_rep1_L004_I1_001.fastq.gz</v>
      </c>
      <c r="J910" s="46" t="str">
        <f t="shared" si="3"/>
        <v>/data/neurogen/ASAP/scRNAseq/data/batch17_ASAP_snRNA-seq_*/Raw_Data_and_Processing/cellranger_processing/cellranger_fastqs/outs/fastq_path/H*/BN1430_S2_L004_I1_001.fastq.gz</v>
      </c>
      <c r="K910" s="46" t="s">
        <v>1347</v>
      </c>
      <c r="L910" s="47" t="s">
        <v>3143</v>
      </c>
      <c r="M910" s="46" t="s">
        <v>1309</v>
      </c>
      <c r="N910" s="46" t="s">
        <v>1310</v>
      </c>
      <c r="O910" s="46" t="s">
        <v>1311</v>
      </c>
      <c r="P910" s="46" t="s">
        <v>1312</v>
      </c>
      <c r="Q910" s="46" t="s">
        <v>31</v>
      </c>
      <c r="R910" s="46" t="s">
        <v>31</v>
      </c>
      <c r="S910" s="46" t="s">
        <v>31</v>
      </c>
      <c r="T910" s="46" t="s">
        <v>31</v>
      </c>
      <c r="U910" s="46" t="s">
        <v>49</v>
      </c>
    </row>
    <row r="911" spans="1:21">
      <c r="A911" s="46" t="s">
        <v>739</v>
      </c>
      <c r="B911" s="46" t="s">
        <v>145</v>
      </c>
      <c r="C911" s="46" t="s">
        <v>666</v>
      </c>
      <c r="D911" s="46">
        <v>1</v>
      </c>
      <c r="E911" s="46">
        <v>0</v>
      </c>
      <c r="F911" s="46" t="s">
        <v>740</v>
      </c>
      <c r="G911" s="46" t="s">
        <v>1305</v>
      </c>
      <c r="H911" s="46" t="s">
        <v>3144</v>
      </c>
      <c r="I911" s="46" t="str">
        <f ca="1">IFERROR(__xludf.DUMMYFUNCTION("CONCAT(A911,REGEXREPLACE(H911,"".*_L0"",""_L0""))"),"HC_BN1430_MTG_snRNAseq_rep1_L004_I2_001.fastq.gz")</f>
        <v>HC_BN1430_MTG_snRNAseq_rep1_L004_I2_001.fastq.gz</v>
      </c>
      <c r="J911" s="46" t="str">
        <f t="shared" si="3"/>
        <v>/data/neurogen/ASAP/scRNAseq/data/batch17_ASAP_snRNA-seq_*/Raw_Data_and_Processing/cellranger_processing/cellranger_fastqs/outs/fastq_path/H*/BN1430_S2_L004_I2_001.fastq.gz</v>
      </c>
      <c r="K911" s="46" t="s">
        <v>1350</v>
      </c>
      <c r="L911" s="46" t="s">
        <v>3145</v>
      </c>
      <c r="M911" s="46" t="s">
        <v>1309</v>
      </c>
      <c r="N911" s="46" t="s">
        <v>1310</v>
      </c>
      <c r="O911" s="46" t="s">
        <v>1311</v>
      </c>
      <c r="P911" s="46" t="s">
        <v>1312</v>
      </c>
      <c r="Q911" s="46" t="s">
        <v>31</v>
      </c>
      <c r="R911" s="46" t="s">
        <v>31</v>
      </c>
      <c r="S911" s="46" t="s">
        <v>31</v>
      </c>
      <c r="T911" s="46" t="s">
        <v>31</v>
      </c>
      <c r="U911" s="46" t="s">
        <v>49</v>
      </c>
    </row>
    <row r="912" spans="1:21">
      <c r="A912" s="46" t="s">
        <v>739</v>
      </c>
      <c r="B912" s="46" t="s">
        <v>145</v>
      </c>
      <c r="C912" s="46" t="s">
        <v>666</v>
      </c>
      <c r="D912" s="46">
        <v>1</v>
      </c>
      <c r="E912" s="46">
        <v>0</v>
      </c>
      <c r="F912" s="46" t="s">
        <v>740</v>
      </c>
      <c r="G912" s="46" t="s">
        <v>1305</v>
      </c>
      <c r="H912" s="46" t="s">
        <v>3146</v>
      </c>
      <c r="I912" s="46" t="str">
        <f ca="1">IFERROR(__xludf.DUMMYFUNCTION("CONCAT(A912,REGEXREPLACE(H912,"".*_L0"",""_L0""))"),"HC_BN1430_MTG_snRNAseq_rep1_L004_R1_001.fastq.gz")</f>
        <v>HC_BN1430_MTG_snRNAseq_rep1_L004_R1_001.fastq.gz</v>
      </c>
      <c r="J912" s="46" t="str">
        <f t="shared" si="3"/>
        <v>/data/neurogen/ASAP/scRNAseq/data/batch17_ASAP_snRNA-seq_*/Raw_Data_and_Processing/cellranger_processing/cellranger_fastqs/outs/fastq_path/H*/BN1430_S2_L004_R1_001.fastq.gz</v>
      </c>
      <c r="K912" s="46" t="s">
        <v>1353</v>
      </c>
      <c r="L912" s="46" t="s">
        <v>3147</v>
      </c>
      <c r="M912" s="46" t="s">
        <v>1309</v>
      </c>
      <c r="N912" s="46" t="s">
        <v>1310</v>
      </c>
      <c r="O912" s="46" t="s">
        <v>1311</v>
      </c>
      <c r="P912" s="46" t="s">
        <v>1312</v>
      </c>
      <c r="Q912" s="46" t="s">
        <v>31</v>
      </c>
      <c r="R912" s="46" t="s">
        <v>31</v>
      </c>
      <c r="S912" s="46" t="s">
        <v>31</v>
      </c>
      <c r="T912" s="46" t="s">
        <v>31</v>
      </c>
      <c r="U912" s="46" t="s">
        <v>49</v>
      </c>
    </row>
    <row r="913" spans="1:21">
      <c r="A913" s="46" t="s">
        <v>739</v>
      </c>
      <c r="B913" s="46" t="s">
        <v>145</v>
      </c>
      <c r="C913" s="46" t="s">
        <v>666</v>
      </c>
      <c r="D913" s="46">
        <v>1</v>
      </c>
      <c r="E913" s="46">
        <v>0</v>
      </c>
      <c r="F913" s="46" t="s">
        <v>740</v>
      </c>
      <c r="G913" s="46" t="s">
        <v>1305</v>
      </c>
      <c r="H913" s="46" t="s">
        <v>3148</v>
      </c>
      <c r="I913" s="46" t="str">
        <f ca="1">IFERROR(__xludf.DUMMYFUNCTION("CONCAT(A913,REGEXREPLACE(H913,"".*_L0"",""_L0""))"),"HC_BN1430_MTG_snRNAseq_rep1_L004_R2_001.fastq.gz")</f>
        <v>HC_BN1430_MTG_snRNAseq_rep1_L004_R2_001.fastq.gz</v>
      </c>
      <c r="J913" s="46" t="str">
        <f t="shared" si="3"/>
        <v>/data/neurogen/ASAP/scRNAseq/data/batch17_ASAP_snRNA-seq_*/Raw_Data_and_Processing/cellranger_processing/cellranger_fastqs/outs/fastq_path/H*/BN1430_S2_L004_R2_001.fastq.gz</v>
      </c>
      <c r="K913" s="46" t="s">
        <v>1356</v>
      </c>
      <c r="L913" s="46" t="s">
        <v>3149</v>
      </c>
      <c r="M913" s="46" t="s">
        <v>1309</v>
      </c>
      <c r="N913" s="46" t="s">
        <v>1310</v>
      </c>
      <c r="O913" s="46" t="s">
        <v>1311</v>
      </c>
      <c r="P913" s="46" t="s">
        <v>1312</v>
      </c>
      <c r="Q913" s="46" t="s">
        <v>31</v>
      </c>
      <c r="R913" s="46" t="s">
        <v>31</v>
      </c>
      <c r="S913" s="46" t="s">
        <v>31</v>
      </c>
      <c r="T913" s="46" t="s">
        <v>31</v>
      </c>
      <c r="U913" s="46" t="s">
        <v>49</v>
      </c>
    </row>
    <row r="914" spans="1:21">
      <c r="A914" s="46" t="s">
        <v>756</v>
      </c>
      <c r="B914" s="46" t="s">
        <v>171</v>
      </c>
      <c r="C914" s="46" t="s">
        <v>666</v>
      </c>
      <c r="D914" s="46">
        <v>1</v>
      </c>
      <c r="E914" s="46">
        <v>0</v>
      </c>
      <c r="F914" s="46" t="s">
        <v>740</v>
      </c>
      <c r="G914" s="46" t="s">
        <v>1305</v>
      </c>
      <c r="H914" s="46" t="s">
        <v>3150</v>
      </c>
      <c r="I914" s="46" t="str">
        <f ca="1">IFERROR(__xludf.DUMMYFUNCTION("CONCAT(A914,REGEXREPLACE(H914,"".*_L0"",""_L0""))"),"ILB_BN1722_MTG_snRNAseq_rep1_L001_I1_001.fastq.gz")</f>
        <v>ILB_BN1722_MTG_snRNAseq_rep1_L001_I1_001.fastq.gz</v>
      </c>
      <c r="J914" s="46" t="str">
        <f t="shared" si="3"/>
        <v>/data/neurogen/ASAP/scRNAseq/data/batch17_ASAP_snRNA-seq_*/Raw_Data_and_Processing/cellranger_processing/cellranger_fastqs/outs/fastq_path/H*/BN1722_S1_L001_I1_001.fastq.gz</v>
      </c>
      <c r="K914" s="46" t="s">
        <v>1307</v>
      </c>
      <c r="L914" s="46" t="s">
        <v>3151</v>
      </c>
      <c r="M914" s="46" t="s">
        <v>1309</v>
      </c>
      <c r="N914" s="46" t="s">
        <v>1310</v>
      </c>
      <c r="O914" s="46" t="s">
        <v>1311</v>
      </c>
      <c r="P914" s="46" t="s">
        <v>1312</v>
      </c>
      <c r="Q914" s="46" t="s">
        <v>31</v>
      </c>
      <c r="R914" s="46" t="s">
        <v>31</v>
      </c>
      <c r="S914" s="46" t="s">
        <v>31</v>
      </c>
      <c r="T914" s="46" t="s">
        <v>31</v>
      </c>
      <c r="U914" s="46" t="s">
        <v>49</v>
      </c>
    </row>
    <row r="915" spans="1:21">
      <c r="A915" s="46" t="s">
        <v>756</v>
      </c>
      <c r="B915" s="46" t="s">
        <v>171</v>
      </c>
      <c r="C915" s="46" t="s">
        <v>666</v>
      </c>
      <c r="D915" s="46">
        <v>1</v>
      </c>
      <c r="E915" s="46">
        <v>0</v>
      </c>
      <c r="F915" s="46" t="s">
        <v>740</v>
      </c>
      <c r="G915" s="46" t="s">
        <v>1305</v>
      </c>
      <c r="H915" s="46" t="s">
        <v>3152</v>
      </c>
      <c r="I915" s="46" t="str">
        <f ca="1">IFERROR(__xludf.DUMMYFUNCTION("CONCAT(A915,REGEXREPLACE(H915,"".*_L0"",""_L0""))"),"ILB_BN1722_MTG_snRNAseq_rep1_L001_I2_001.fastq.gz")</f>
        <v>ILB_BN1722_MTG_snRNAseq_rep1_L001_I2_001.fastq.gz</v>
      </c>
      <c r="J915" s="46" t="str">
        <f t="shared" si="3"/>
        <v>/data/neurogen/ASAP/scRNAseq/data/batch17_ASAP_snRNA-seq_*/Raw_Data_and_Processing/cellranger_processing/cellranger_fastqs/outs/fastq_path/H*/BN1722_S1_L001_I2_001.fastq.gz</v>
      </c>
      <c r="K915" s="46" t="s">
        <v>1314</v>
      </c>
      <c r="L915" s="46" t="s">
        <v>3153</v>
      </c>
      <c r="M915" s="46" t="s">
        <v>1309</v>
      </c>
      <c r="N915" s="46" t="s">
        <v>1310</v>
      </c>
      <c r="O915" s="46" t="s">
        <v>1311</v>
      </c>
      <c r="P915" s="46" t="s">
        <v>1312</v>
      </c>
      <c r="Q915" s="46" t="s">
        <v>31</v>
      </c>
      <c r="R915" s="46" t="s">
        <v>31</v>
      </c>
      <c r="S915" s="46" t="s">
        <v>31</v>
      </c>
      <c r="T915" s="46" t="s">
        <v>31</v>
      </c>
      <c r="U915" s="46" t="s">
        <v>49</v>
      </c>
    </row>
    <row r="916" spans="1:21">
      <c r="A916" s="46" t="s">
        <v>756</v>
      </c>
      <c r="B916" s="46" t="s">
        <v>171</v>
      </c>
      <c r="C916" s="46" t="s">
        <v>666</v>
      </c>
      <c r="D916" s="46">
        <v>1</v>
      </c>
      <c r="E916" s="46">
        <v>0</v>
      </c>
      <c r="F916" s="46" t="s">
        <v>740</v>
      </c>
      <c r="G916" s="46" t="s">
        <v>1305</v>
      </c>
      <c r="H916" s="46" t="s">
        <v>3154</v>
      </c>
      <c r="I916" s="46" t="str">
        <f ca="1">IFERROR(__xludf.DUMMYFUNCTION("CONCAT(A916,REGEXREPLACE(H916,"".*_L0"",""_L0""))"),"ILB_BN1722_MTG_snRNAseq_rep1_L001_R1_001.fastq.gz")</f>
        <v>ILB_BN1722_MTG_snRNAseq_rep1_L001_R1_001.fastq.gz</v>
      </c>
      <c r="J916" s="46" t="str">
        <f t="shared" si="3"/>
        <v>/data/neurogen/ASAP/scRNAseq/data/batch17_ASAP_snRNA-seq_*/Raw_Data_and_Processing/cellranger_processing/cellranger_fastqs/outs/fastq_path/H*/BN1722_S1_L001_R1_001.fastq.gz</v>
      </c>
      <c r="K916" s="46" t="s">
        <v>1317</v>
      </c>
      <c r="L916" s="46" t="s">
        <v>3155</v>
      </c>
      <c r="M916" s="46" t="s">
        <v>1309</v>
      </c>
      <c r="N916" s="46" t="s">
        <v>1310</v>
      </c>
      <c r="O916" s="46" t="s">
        <v>1311</v>
      </c>
      <c r="P916" s="46" t="s">
        <v>1312</v>
      </c>
      <c r="Q916" s="46" t="s">
        <v>31</v>
      </c>
      <c r="R916" s="46" t="s">
        <v>31</v>
      </c>
      <c r="S916" s="46" t="s">
        <v>31</v>
      </c>
      <c r="T916" s="46" t="s">
        <v>31</v>
      </c>
      <c r="U916" s="46" t="s">
        <v>49</v>
      </c>
    </row>
    <row r="917" spans="1:21">
      <c r="A917" s="46" t="s">
        <v>756</v>
      </c>
      <c r="B917" s="46" t="s">
        <v>171</v>
      </c>
      <c r="C917" s="46" t="s">
        <v>666</v>
      </c>
      <c r="D917" s="46">
        <v>1</v>
      </c>
      <c r="E917" s="46">
        <v>0</v>
      </c>
      <c r="F917" s="46" t="s">
        <v>740</v>
      </c>
      <c r="G917" s="46" t="s">
        <v>1305</v>
      </c>
      <c r="H917" s="46" t="s">
        <v>3156</v>
      </c>
      <c r="I917" s="46" t="str">
        <f ca="1">IFERROR(__xludf.DUMMYFUNCTION("CONCAT(A917,REGEXREPLACE(H917,"".*_L0"",""_L0""))"),"ILB_BN1722_MTG_snRNAseq_rep1_L001_R2_001.fastq.gz")</f>
        <v>ILB_BN1722_MTG_snRNAseq_rep1_L001_R2_001.fastq.gz</v>
      </c>
      <c r="J917" s="46" t="str">
        <f t="shared" si="3"/>
        <v>/data/neurogen/ASAP/scRNAseq/data/batch17_ASAP_snRNA-seq_*/Raw_Data_and_Processing/cellranger_processing/cellranger_fastqs/outs/fastq_path/H*/BN1722_S1_L001_R2_001.fastq.gz</v>
      </c>
      <c r="K917" s="46" t="s">
        <v>1320</v>
      </c>
      <c r="L917" s="46" t="s">
        <v>3157</v>
      </c>
      <c r="M917" s="46" t="s">
        <v>1309</v>
      </c>
      <c r="N917" s="46" t="s">
        <v>1310</v>
      </c>
      <c r="O917" s="46" t="s">
        <v>1311</v>
      </c>
      <c r="P917" s="46" t="s">
        <v>1312</v>
      </c>
      <c r="Q917" s="46" t="s">
        <v>31</v>
      </c>
      <c r="R917" s="46" t="s">
        <v>31</v>
      </c>
      <c r="S917" s="46" t="s">
        <v>31</v>
      </c>
      <c r="T917" s="46" t="s">
        <v>31</v>
      </c>
      <c r="U917" s="46" t="s">
        <v>49</v>
      </c>
    </row>
    <row r="918" spans="1:21">
      <c r="A918" s="46" t="s">
        <v>756</v>
      </c>
      <c r="B918" s="46" t="s">
        <v>171</v>
      </c>
      <c r="C918" s="46" t="s">
        <v>666</v>
      </c>
      <c r="D918" s="46">
        <v>1</v>
      </c>
      <c r="E918" s="46">
        <v>0</v>
      </c>
      <c r="F918" s="46" t="s">
        <v>740</v>
      </c>
      <c r="G918" s="46" t="s">
        <v>1305</v>
      </c>
      <c r="H918" s="46" t="s">
        <v>3158</v>
      </c>
      <c r="I918" s="46" t="str">
        <f ca="1">IFERROR(__xludf.DUMMYFUNCTION("CONCAT(A918,REGEXREPLACE(H918,"".*_L0"",""_L0""))"),"ILB_BN1722_MTG_snRNAseq_rep1_L002_I1_001.fastq.gz")</f>
        <v>ILB_BN1722_MTG_snRNAseq_rep1_L002_I1_001.fastq.gz</v>
      </c>
      <c r="J918" s="46" t="str">
        <f t="shared" si="3"/>
        <v>/data/neurogen/ASAP/scRNAseq/data/batch17_ASAP_snRNA-seq_*/Raw_Data_and_Processing/cellranger_processing/cellranger_fastqs/outs/fastq_path/H*/BN1722_S1_L002_I1_001.fastq.gz</v>
      </c>
      <c r="K918" s="46" t="s">
        <v>1323</v>
      </c>
      <c r="L918" s="46" t="s">
        <v>3159</v>
      </c>
      <c r="M918" s="46" t="s">
        <v>1309</v>
      </c>
      <c r="N918" s="46" t="s">
        <v>1310</v>
      </c>
      <c r="O918" s="46" t="s">
        <v>1311</v>
      </c>
      <c r="P918" s="46" t="s">
        <v>1312</v>
      </c>
      <c r="Q918" s="46" t="s">
        <v>31</v>
      </c>
      <c r="R918" s="46" t="s">
        <v>31</v>
      </c>
      <c r="S918" s="46" t="s">
        <v>31</v>
      </c>
      <c r="T918" s="46" t="s">
        <v>31</v>
      </c>
      <c r="U918" s="46" t="s">
        <v>49</v>
      </c>
    </row>
    <row r="919" spans="1:21">
      <c r="A919" s="46" t="s">
        <v>756</v>
      </c>
      <c r="B919" s="46" t="s">
        <v>171</v>
      </c>
      <c r="C919" s="46" t="s">
        <v>666</v>
      </c>
      <c r="D919" s="46">
        <v>1</v>
      </c>
      <c r="E919" s="46">
        <v>0</v>
      </c>
      <c r="F919" s="46" t="s">
        <v>740</v>
      </c>
      <c r="G919" s="46" t="s">
        <v>1305</v>
      </c>
      <c r="H919" s="46" t="s">
        <v>3160</v>
      </c>
      <c r="I919" s="46" t="str">
        <f ca="1">IFERROR(__xludf.DUMMYFUNCTION("CONCAT(A919,REGEXREPLACE(H919,"".*_L0"",""_L0""))"),"ILB_BN1722_MTG_snRNAseq_rep1_L002_I2_001.fastq.gz")</f>
        <v>ILB_BN1722_MTG_snRNAseq_rep1_L002_I2_001.fastq.gz</v>
      </c>
      <c r="J919" s="46" t="str">
        <f t="shared" si="3"/>
        <v>/data/neurogen/ASAP/scRNAseq/data/batch17_ASAP_snRNA-seq_*/Raw_Data_and_Processing/cellranger_processing/cellranger_fastqs/outs/fastq_path/H*/BN1722_S1_L002_I2_001.fastq.gz</v>
      </c>
      <c r="K919" s="46" t="s">
        <v>1326</v>
      </c>
      <c r="L919" s="46" t="s">
        <v>3161</v>
      </c>
      <c r="M919" s="46" t="s">
        <v>1309</v>
      </c>
      <c r="N919" s="46" t="s">
        <v>1310</v>
      </c>
      <c r="O919" s="46" t="s">
        <v>1311</v>
      </c>
      <c r="P919" s="46" t="s">
        <v>1312</v>
      </c>
      <c r="Q919" s="46" t="s">
        <v>31</v>
      </c>
      <c r="R919" s="46" t="s">
        <v>31</v>
      </c>
      <c r="S919" s="46" t="s">
        <v>31</v>
      </c>
      <c r="T919" s="46" t="s">
        <v>31</v>
      </c>
      <c r="U919" s="46" t="s">
        <v>49</v>
      </c>
    </row>
    <row r="920" spans="1:21">
      <c r="A920" s="46" t="s">
        <v>756</v>
      </c>
      <c r="B920" s="46" t="s">
        <v>171</v>
      </c>
      <c r="C920" s="46" t="s">
        <v>666</v>
      </c>
      <c r="D920" s="46">
        <v>1</v>
      </c>
      <c r="E920" s="46">
        <v>0</v>
      </c>
      <c r="F920" s="46" t="s">
        <v>740</v>
      </c>
      <c r="G920" s="46" t="s">
        <v>1305</v>
      </c>
      <c r="H920" s="46" t="s">
        <v>3162</v>
      </c>
      <c r="I920" s="46" t="str">
        <f ca="1">IFERROR(__xludf.DUMMYFUNCTION("CONCAT(A920,REGEXREPLACE(H920,"".*_L0"",""_L0""))"),"ILB_BN1722_MTG_snRNAseq_rep1_L002_R1_001.fastq.gz")</f>
        <v>ILB_BN1722_MTG_snRNAseq_rep1_L002_R1_001.fastq.gz</v>
      </c>
      <c r="J920" s="46" t="str">
        <f t="shared" si="3"/>
        <v>/data/neurogen/ASAP/scRNAseq/data/batch17_ASAP_snRNA-seq_*/Raw_Data_and_Processing/cellranger_processing/cellranger_fastqs/outs/fastq_path/H*/BN1722_S1_L002_R1_001.fastq.gz</v>
      </c>
      <c r="K920" s="46" t="s">
        <v>1329</v>
      </c>
      <c r="L920" s="46" t="s">
        <v>3163</v>
      </c>
      <c r="M920" s="46" t="s">
        <v>1309</v>
      </c>
      <c r="N920" s="46" t="s">
        <v>1310</v>
      </c>
      <c r="O920" s="46" t="s">
        <v>1311</v>
      </c>
      <c r="P920" s="46" t="s">
        <v>1312</v>
      </c>
      <c r="Q920" s="46" t="s">
        <v>31</v>
      </c>
      <c r="R920" s="46" t="s">
        <v>31</v>
      </c>
      <c r="S920" s="46" t="s">
        <v>31</v>
      </c>
      <c r="T920" s="46" t="s">
        <v>31</v>
      </c>
      <c r="U920" s="46" t="s">
        <v>49</v>
      </c>
    </row>
    <row r="921" spans="1:21">
      <c r="A921" s="46" t="s">
        <v>756</v>
      </c>
      <c r="B921" s="46" t="s">
        <v>171</v>
      </c>
      <c r="C921" s="46" t="s">
        <v>666</v>
      </c>
      <c r="D921" s="46">
        <v>1</v>
      </c>
      <c r="E921" s="46">
        <v>0</v>
      </c>
      <c r="F921" s="46" t="s">
        <v>740</v>
      </c>
      <c r="G921" s="46" t="s">
        <v>1305</v>
      </c>
      <c r="H921" s="46" t="s">
        <v>3164</v>
      </c>
      <c r="I921" s="46" t="str">
        <f ca="1">IFERROR(__xludf.DUMMYFUNCTION("CONCAT(A921,REGEXREPLACE(H921,"".*_L0"",""_L0""))"),"ILB_BN1722_MTG_snRNAseq_rep1_L002_R2_001.fastq.gz")</f>
        <v>ILB_BN1722_MTG_snRNAseq_rep1_L002_R2_001.fastq.gz</v>
      </c>
      <c r="J921" s="46" t="str">
        <f t="shared" si="3"/>
        <v>/data/neurogen/ASAP/scRNAseq/data/batch17_ASAP_snRNA-seq_*/Raw_Data_and_Processing/cellranger_processing/cellranger_fastqs/outs/fastq_path/H*/BN1722_S1_L002_R2_001.fastq.gz</v>
      </c>
      <c r="K921" s="46" t="s">
        <v>1332</v>
      </c>
      <c r="L921" s="46" t="s">
        <v>3165</v>
      </c>
      <c r="M921" s="46" t="s">
        <v>1309</v>
      </c>
      <c r="N921" s="46" t="s">
        <v>1310</v>
      </c>
      <c r="O921" s="46" t="s">
        <v>1311</v>
      </c>
      <c r="P921" s="46" t="s">
        <v>1312</v>
      </c>
      <c r="Q921" s="46" t="s">
        <v>31</v>
      </c>
      <c r="R921" s="46" t="s">
        <v>31</v>
      </c>
      <c r="S921" s="46" t="s">
        <v>31</v>
      </c>
      <c r="T921" s="46" t="s">
        <v>31</v>
      </c>
      <c r="U921" s="46" t="s">
        <v>49</v>
      </c>
    </row>
    <row r="922" spans="1:21">
      <c r="A922" s="46" t="s">
        <v>756</v>
      </c>
      <c r="B922" s="46" t="s">
        <v>171</v>
      </c>
      <c r="C922" s="46" t="s">
        <v>666</v>
      </c>
      <c r="D922" s="46">
        <v>1</v>
      </c>
      <c r="E922" s="46">
        <v>0</v>
      </c>
      <c r="F922" s="46" t="s">
        <v>740</v>
      </c>
      <c r="G922" s="46" t="s">
        <v>1305</v>
      </c>
      <c r="H922" s="46" t="s">
        <v>3166</v>
      </c>
      <c r="I922" s="46" t="str">
        <f ca="1">IFERROR(__xludf.DUMMYFUNCTION("CONCAT(A922,REGEXREPLACE(H922,"".*_L0"",""_L0""))"),"ILB_BN1722_MTG_snRNAseq_rep1_L003_I1_001.fastq.gz")</f>
        <v>ILB_BN1722_MTG_snRNAseq_rep1_L003_I1_001.fastq.gz</v>
      </c>
      <c r="J922" s="46" t="str">
        <f t="shared" si="3"/>
        <v>/data/neurogen/ASAP/scRNAseq/data/batch17_ASAP_snRNA-seq_*/Raw_Data_and_Processing/cellranger_processing/cellranger_fastqs/outs/fastq_path/H*/BN1722_S1_L003_I1_001.fastq.gz</v>
      </c>
      <c r="K922" s="46" t="s">
        <v>1335</v>
      </c>
      <c r="L922" s="46" t="s">
        <v>3167</v>
      </c>
      <c r="M922" s="46" t="s">
        <v>1309</v>
      </c>
      <c r="N922" s="46" t="s">
        <v>1310</v>
      </c>
      <c r="O922" s="46" t="s">
        <v>1311</v>
      </c>
      <c r="P922" s="46" t="s">
        <v>1312</v>
      </c>
      <c r="Q922" s="46" t="s">
        <v>31</v>
      </c>
      <c r="R922" s="46" t="s">
        <v>31</v>
      </c>
      <c r="S922" s="46" t="s">
        <v>31</v>
      </c>
      <c r="T922" s="46" t="s">
        <v>31</v>
      </c>
      <c r="U922" s="46" t="s">
        <v>49</v>
      </c>
    </row>
    <row r="923" spans="1:21">
      <c r="A923" s="46" t="s">
        <v>756</v>
      </c>
      <c r="B923" s="46" t="s">
        <v>171</v>
      </c>
      <c r="C923" s="46" t="s">
        <v>666</v>
      </c>
      <c r="D923" s="46">
        <v>1</v>
      </c>
      <c r="E923" s="46">
        <v>0</v>
      </c>
      <c r="F923" s="46" t="s">
        <v>740</v>
      </c>
      <c r="G923" s="46" t="s">
        <v>1305</v>
      </c>
      <c r="H923" s="46" t="s">
        <v>3168</v>
      </c>
      <c r="I923" s="46" t="str">
        <f ca="1">IFERROR(__xludf.DUMMYFUNCTION("CONCAT(A923,REGEXREPLACE(H923,"".*_L0"",""_L0""))"),"ILB_BN1722_MTG_snRNAseq_rep1_L003_I2_001.fastq.gz")</f>
        <v>ILB_BN1722_MTG_snRNAseq_rep1_L003_I2_001.fastq.gz</v>
      </c>
      <c r="J923" s="46" t="str">
        <f t="shared" si="3"/>
        <v>/data/neurogen/ASAP/scRNAseq/data/batch17_ASAP_snRNA-seq_*/Raw_Data_and_Processing/cellranger_processing/cellranger_fastqs/outs/fastq_path/H*/BN1722_S1_L003_I2_001.fastq.gz</v>
      </c>
      <c r="K923" s="46" t="s">
        <v>1338</v>
      </c>
      <c r="L923" s="46" t="s">
        <v>3169</v>
      </c>
      <c r="M923" s="46" t="s">
        <v>1309</v>
      </c>
      <c r="N923" s="46" t="s">
        <v>1310</v>
      </c>
      <c r="O923" s="46" t="s">
        <v>1311</v>
      </c>
      <c r="P923" s="46" t="s">
        <v>1312</v>
      </c>
      <c r="Q923" s="46" t="s">
        <v>31</v>
      </c>
      <c r="R923" s="46" t="s">
        <v>31</v>
      </c>
      <c r="S923" s="46" t="s">
        <v>31</v>
      </c>
      <c r="T923" s="46" t="s">
        <v>31</v>
      </c>
      <c r="U923" s="46" t="s">
        <v>49</v>
      </c>
    </row>
    <row r="924" spans="1:21">
      <c r="A924" s="46" t="s">
        <v>756</v>
      </c>
      <c r="B924" s="46" t="s">
        <v>171</v>
      </c>
      <c r="C924" s="46" t="s">
        <v>666</v>
      </c>
      <c r="D924" s="46">
        <v>1</v>
      </c>
      <c r="E924" s="46">
        <v>0</v>
      </c>
      <c r="F924" s="46" t="s">
        <v>740</v>
      </c>
      <c r="G924" s="46" t="s">
        <v>1305</v>
      </c>
      <c r="H924" s="46" t="s">
        <v>3170</v>
      </c>
      <c r="I924" s="46" t="str">
        <f ca="1">IFERROR(__xludf.DUMMYFUNCTION("CONCAT(A924,REGEXREPLACE(H924,"".*_L0"",""_L0""))"),"ILB_BN1722_MTG_snRNAseq_rep1_L003_R1_001.fastq.gz")</f>
        <v>ILB_BN1722_MTG_snRNAseq_rep1_L003_R1_001.fastq.gz</v>
      </c>
      <c r="J924" s="46" t="str">
        <f t="shared" si="3"/>
        <v>/data/neurogen/ASAP/scRNAseq/data/batch17_ASAP_snRNA-seq_*/Raw_Data_and_Processing/cellranger_processing/cellranger_fastqs/outs/fastq_path/H*/BN1722_S1_L003_R1_001.fastq.gz</v>
      </c>
      <c r="K924" s="46" t="s">
        <v>1341</v>
      </c>
      <c r="L924" s="46" t="s">
        <v>3171</v>
      </c>
      <c r="M924" s="46" t="s">
        <v>1309</v>
      </c>
      <c r="N924" s="46" t="s">
        <v>1310</v>
      </c>
      <c r="O924" s="46" t="s">
        <v>1311</v>
      </c>
      <c r="P924" s="46" t="s">
        <v>1312</v>
      </c>
      <c r="Q924" s="46" t="s">
        <v>31</v>
      </c>
      <c r="R924" s="46" t="s">
        <v>31</v>
      </c>
      <c r="S924" s="46" t="s">
        <v>31</v>
      </c>
      <c r="T924" s="46" t="s">
        <v>31</v>
      </c>
      <c r="U924" s="46" t="s">
        <v>49</v>
      </c>
    </row>
    <row r="925" spans="1:21">
      <c r="A925" s="46" t="s">
        <v>756</v>
      </c>
      <c r="B925" s="46" t="s">
        <v>171</v>
      </c>
      <c r="C925" s="46" t="s">
        <v>666</v>
      </c>
      <c r="D925" s="46">
        <v>1</v>
      </c>
      <c r="E925" s="46">
        <v>0</v>
      </c>
      <c r="F925" s="46" t="s">
        <v>740</v>
      </c>
      <c r="G925" s="46" t="s">
        <v>1305</v>
      </c>
      <c r="H925" s="46" t="s">
        <v>3172</v>
      </c>
      <c r="I925" s="46" t="str">
        <f ca="1">IFERROR(__xludf.DUMMYFUNCTION("CONCAT(A925,REGEXREPLACE(H925,"".*_L0"",""_L0""))"),"ILB_BN1722_MTG_snRNAseq_rep1_L003_R2_001.fastq.gz")</f>
        <v>ILB_BN1722_MTG_snRNAseq_rep1_L003_R2_001.fastq.gz</v>
      </c>
      <c r="J925" s="46" t="str">
        <f t="shared" si="3"/>
        <v>/data/neurogen/ASAP/scRNAseq/data/batch17_ASAP_snRNA-seq_*/Raw_Data_and_Processing/cellranger_processing/cellranger_fastqs/outs/fastq_path/H*/BN1722_S1_L003_R2_001.fastq.gz</v>
      </c>
      <c r="K925" s="46" t="s">
        <v>1344</v>
      </c>
      <c r="L925" s="46" t="s">
        <v>3173</v>
      </c>
      <c r="M925" s="46" t="s">
        <v>1309</v>
      </c>
      <c r="N925" s="46" t="s">
        <v>1310</v>
      </c>
      <c r="O925" s="46" t="s">
        <v>1311</v>
      </c>
      <c r="P925" s="46" t="s">
        <v>1312</v>
      </c>
      <c r="Q925" s="46" t="s">
        <v>31</v>
      </c>
      <c r="R925" s="46" t="s">
        <v>31</v>
      </c>
      <c r="S925" s="46" t="s">
        <v>31</v>
      </c>
      <c r="T925" s="46" t="s">
        <v>31</v>
      </c>
      <c r="U925" s="46" t="s">
        <v>49</v>
      </c>
    </row>
    <row r="926" spans="1:21">
      <c r="A926" s="46" t="s">
        <v>756</v>
      </c>
      <c r="B926" s="46" t="s">
        <v>171</v>
      </c>
      <c r="C926" s="46" t="s">
        <v>666</v>
      </c>
      <c r="D926" s="46">
        <v>1</v>
      </c>
      <c r="E926" s="46">
        <v>0</v>
      </c>
      <c r="F926" s="46" t="s">
        <v>740</v>
      </c>
      <c r="G926" s="46" t="s">
        <v>1305</v>
      </c>
      <c r="H926" s="46" t="s">
        <v>3174</v>
      </c>
      <c r="I926" s="46" t="str">
        <f ca="1">IFERROR(__xludf.DUMMYFUNCTION("CONCAT(A926,REGEXREPLACE(H926,"".*_L0"",""_L0""))"),"ILB_BN1722_MTG_snRNAseq_rep1_L004_I1_001.fastq.gz")</f>
        <v>ILB_BN1722_MTG_snRNAseq_rep1_L004_I1_001.fastq.gz</v>
      </c>
      <c r="J926" s="46" t="str">
        <f t="shared" si="3"/>
        <v>/data/neurogen/ASAP/scRNAseq/data/batch17_ASAP_snRNA-seq_*/Raw_Data_and_Processing/cellranger_processing/cellranger_fastqs/outs/fastq_path/H*/BN1722_S1_L004_I1_001.fastq.gz</v>
      </c>
      <c r="K926" s="46" t="s">
        <v>1347</v>
      </c>
      <c r="L926" s="46" t="s">
        <v>3175</v>
      </c>
      <c r="M926" s="46" t="s">
        <v>1309</v>
      </c>
      <c r="N926" s="46" t="s">
        <v>1310</v>
      </c>
      <c r="O926" s="46" t="s">
        <v>1311</v>
      </c>
      <c r="P926" s="46" t="s">
        <v>1312</v>
      </c>
      <c r="Q926" s="46" t="s">
        <v>31</v>
      </c>
      <c r="R926" s="46" t="s">
        <v>31</v>
      </c>
      <c r="S926" s="46" t="s">
        <v>31</v>
      </c>
      <c r="T926" s="46" t="s">
        <v>31</v>
      </c>
      <c r="U926" s="46" t="s">
        <v>49</v>
      </c>
    </row>
    <row r="927" spans="1:21">
      <c r="A927" s="46" t="s">
        <v>756</v>
      </c>
      <c r="B927" s="46" t="s">
        <v>171</v>
      </c>
      <c r="C927" s="46" t="s">
        <v>666</v>
      </c>
      <c r="D927" s="46">
        <v>1</v>
      </c>
      <c r="E927" s="46">
        <v>0</v>
      </c>
      <c r="F927" s="46" t="s">
        <v>740</v>
      </c>
      <c r="G927" s="46" t="s">
        <v>1305</v>
      </c>
      <c r="H927" s="46" t="s">
        <v>3176</v>
      </c>
      <c r="I927" s="46" t="str">
        <f ca="1">IFERROR(__xludf.DUMMYFUNCTION("CONCAT(A927,REGEXREPLACE(H927,"".*_L0"",""_L0""))"),"ILB_BN1722_MTG_snRNAseq_rep1_L004_I2_001.fastq.gz")</f>
        <v>ILB_BN1722_MTG_snRNAseq_rep1_L004_I2_001.fastq.gz</v>
      </c>
      <c r="J927" s="46" t="str">
        <f t="shared" si="3"/>
        <v>/data/neurogen/ASAP/scRNAseq/data/batch17_ASAP_snRNA-seq_*/Raw_Data_and_Processing/cellranger_processing/cellranger_fastqs/outs/fastq_path/H*/BN1722_S1_L004_I2_001.fastq.gz</v>
      </c>
      <c r="K927" s="46" t="s">
        <v>1350</v>
      </c>
      <c r="L927" s="46" t="s">
        <v>3177</v>
      </c>
      <c r="M927" s="46" t="s">
        <v>1309</v>
      </c>
      <c r="N927" s="46" t="s">
        <v>1310</v>
      </c>
      <c r="O927" s="46" t="s">
        <v>1311</v>
      </c>
      <c r="P927" s="46" t="s">
        <v>1312</v>
      </c>
      <c r="Q927" s="46" t="s">
        <v>31</v>
      </c>
      <c r="R927" s="46" t="s">
        <v>31</v>
      </c>
      <c r="S927" s="46" t="s">
        <v>31</v>
      </c>
      <c r="T927" s="46" t="s">
        <v>31</v>
      </c>
      <c r="U927" s="46" t="s">
        <v>49</v>
      </c>
    </row>
    <row r="928" spans="1:21">
      <c r="A928" s="46" t="s">
        <v>756</v>
      </c>
      <c r="B928" s="46" t="s">
        <v>171</v>
      </c>
      <c r="C928" s="46" t="s">
        <v>666</v>
      </c>
      <c r="D928" s="46">
        <v>1</v>
      </c>
      <c r="E928" s="46">
        <v>0</v>
      </c>
      <c r="F928" s="46" t="s">
        <v>740</v>
      </c>
      <c r="G928" s="46" t="s">
        <v>1305</v>
      </c>
      <c r="H928" s="46" t="s">
        <v>3178</v>
      </c>
      <c r="I928" s="46" t="str">
        <f ca="1">IFERROR(__xludf.DUMMYFUNCTION("CONCAT(A928,REGEXREPLACE(H928,"".*_L0"",""_L0""))"),"ILB_BN1722_MTG_snRNAseq_rep1_L004_R1_001.fastq.gz")</f>
        <v>ILB_BN1722_MTG_snRNAseq_rep1_L004_R1_001.fastq.gz</v>
      </c>
      <c r="J928" s="46" t="str">
        <f t="shared" si="3"/>
        <v>/data/neurogen/ASAP/scRNAseq/data/batch17_ASAP_snRNA-seq_*/Raw_Data_and_Processing/cellranger_processing/cellranger_fastqs/outs/fastq_path/H*/BN1722_S1_L004_R1_001.fastq.gz</v>
      </c>
      <c r="K928" s="46" t="s">
        <v>1353</v>
      </c>
      <c r="L928" s="46" t="s">
        <v>3179</v>
      </c>
      <c r="M928" s="46" t="s">
        <v>1309</v>
      </c>
      <c r="N928" s="46" t="s">
        <v>1310</v>
      </c>
      <c r="O928" s="46" t="s">
        <v>1311</v>
      </c>
      <c r="P928" s="46" t="s">
        <v>1312</v>
      </c>
      <c r="Q928" s="46" t="s">
        <v>31</v>
      </c>
      <c r="R928" s="46" t="s">
        <v>31</v>
      </c>
      <c r="S928" s="46" t="s">
        <v>31</v>
      </c>
      <c r="T928" s="46" t="s">
        <v>31</v>
      </c>
      <c r="U928" s="46" t="s">
        <v>49</v>
      </c>
    </row>
    <row r="929" spans="1:21">
      <c r="A929" s="46" t="s">
        <v>756</v>
      </c>
      <c r="B929" s="46" t="s">
        <v>171</v>
      </c>
      <c r="C929" s="46" t="s">
        <v>666</v>
      </c>
      <c r="D929" s="46">
        <v>1</v>
      </c>
      <c r="E929" s="46">
        <v>0</v>
      </c>
      <c r="F929" s="46" t="s">
        <v>740</v>
      </c>
      <c r="G929" s="46" t="s">
        <v>1305</v>
      </c>
      <c r="H929" s="46" t="s">
        <v>3180</v>
      </c>
      <c r="I929" s="46" t="str">
        <f ca="1">IFERROR(__xludf.DUMMYFUNCTION("CONCAT(A929,REGEXREPLACE(H929,"".*_L0"",""_L0""))"),"ILB_BN1722_MTG_snRNAseq_rep1_L004_R2_001.fastq.gz")</f>
        <v>ILB_BN1722_MTG_snRNAseq_rep1_L004_R2_001.fastq.gz</v>
      </c>
      <c r="J929" s="46" t="str">
        <f t="shared" si="3"/>
        <v>/data/neurogen/ASAP/scRNAseq/data/batch17_ASAP_snRNA-seq_*/Raw_Data_and_Processing/cellranger_processing/cellranger_fastqs/outs/fastq_path/H*/BN1722_S1_L004_R2_001.fastq.gz</v>
      </c>
      <c r="K929" s="46" t="s">
        <v>1356</v>
      </c>
      <c r="L929" s="46" t="s">
        <v>3181</v>
      </c>
      <c r="M929" s="46" t="s">
        <v>1309</v>
      </c>
      <c r="N929" s="46" t="s">
        <v>1310</v>
      </c>
      <c r="O929" s="46" t="s">
        <v>1311</v>
      </c>
      <c r="P929" s="46" t="s">
        <v>1312</v>
      </c>
      <c r="Q929" s="46" t="s">
        <v>31</v>
      </c>
      <c r="R929" s="46" t="s">
        <v>31</v>
      </c>
      <c r="S929" s="46" t="s">
        <v>31</v>
      </c>
      <c r="T929" s="46" t="s">
        <v>31</v>
      </c>
      <c r="U929" s="46" t="s">
        <v>49</v>
      </c>
    </row>
    <row r="930" spans="1:21">
      <c r="A930" s="46" t="s">
        <v>762</v>
      </c>
      <c r="B930" s="46" t="s">
        <v>183</v>
      </c>
      <c r="C930" s="46" t="s">
        <v>666</v>
      </c>
      <c r="D930" s="46">
        <v>1</v>
      </c>
      <c r="E930" s="46">
        <v>0</v>
      </c>
      <c r="F930" s="46" t="s">
        <v>740</v>
      </c>
      <c r="G930" s="46" t="s">
        <v>1305</v>
      </c>
      <c r="H930" s="46" t="s">
        <v>3182</v>
      </c>
      <c r="I930" s="46" t="str">
        <f ca="1">IFERROR(__xludf.DUMMYFUNCTION("CONCAT(A930,REGEXREPLACE(H930,"".*_L0"",""_L0""))"),"PD_BN1749_MTG_snRNAseq_rep1_L001_I1_001.fastq.gz")</f>
        <v>PD_BN1749_MTG_snRNAseq_rep1_L001_I1_001.fastq.gz</v>
      </c>
      <c r="J930" s="46" t="str">
        <f t="shared" si="3"/>
        <v>/data/neurogen/ASAP/scRNAseq/data/batch17_ASAP_snRNA-seq_*/Raw_Data_and_Processing/cellranger_processing/cellranger_fastqs/outs/fastq_path/H*/BN1749_S3_L001_I1_001.fastq.gz</v>
      </c>
      <c r="K930" s="46" t="s">
        <v>1307</v>
      </c>
      <c r="L930" s="46" t="s">
        <v>3183</v>
      </c>
      <c r="M930" s="46" t="s">
        <v>1309</v>
      </c>
      <c r="N930" s="46" t="s">
        <v>1310</v>
      </c>
      <c r="O930" s="46" t="s">
        <v>1311</v>
      </c>
      <c r="P930" s="46" t="s">
        <v>1312</v>
      </c>
      <c r="Q930" s="46" t="s">
        <v>31</v>
      </c>
      <c r="R930" s="46" t="s">
        <v>31</v>
      </c>
      <c r="S930" s="46" t="s">
        <v>31</v>
      </c>
      <c r="T930" s="46" t="s">
        <v>31</v>
      </c>
      <c r="U930" s="46" t="s">
        <v>49</v>
      </c>
    </row>
    <row r="931" spans="1:21">
      <c r="A931" s="46" t="s">
        <v>762</v>
      </c>
      <c r="B931" s="46" t="s">
        <v>183</v>
      </c>
      <c r="C931" s="46" t="s">
        <v>666</v>
      </c>
      <c r="D931" s="46">
        <v>1</v>
      </c>
      <c r="E931" s="46">
        <v>0</v>
      </c>
      <c r="F931" s="46" t="s">
        <v>740</v>
      </c>
      <c r="G931" s="46" t="s">
        <v>1305</v>
      </c>
      <c r="H931" s="46" t="s">
        <v>3184</v>
      </c>
      <c r="I931" s="46" t="str">
        <f ca="1">IFERROR(__xludf.DUMMYFUNCTION("CONCAT(A931,REGEXREPLACE(H931,"".*_L0"",""_L0""))"),"PD_BN1749_MTG_snRNAseq_rep1_L001_I2_001.fastq.gz")</f>
        <v>PD_BN1749_MTG_snRNAseq_rep1_L001_I2_001.fastq.gz</v>
      </c>
      <c r="J931" s="46" t="str">
        <f t="shared" si="3"/>
        <v>/data/neurogen/ASAP/scRNAseq/data/batch17_ASAP_snRNA-seq_*/Raw_Data_and_Processing/cellranger_processing/cellranger_fastqs/outs/fastq_path/H*/BN1749_S3_L001_I2_001.fastq.gz</v>
      </c>
      <c r="K931" s="46" t="s">
        <v>1314</v>
      </c>
      <c r="L931" s="46" t="s">
        <v>3185</v>
      </c>
      <c r="M931" s="46" t="s">
        <v>1309</v>
      </c>
      <c r="N931" s="46" t="s">
        <v>1310</v>
      </c>
      <c r="O931" s="46" t="s">
        <v>1311</v>
      </c>
      <c r="P931" s="46" t="s">
        <v>1312</v>
      </c>
      <c r="Q931" s="46" t="s">
        <v>31</v>
      </c>
      <c r="R931" s="46" t="s">
        <v>31</v>
      </c>
      <c r="S931" s="46" t="s">
        <v>31</v>
      </c>
      <c r="T931" s="46" t="s">
        <v>31</v>
      </c>
      <c r="U931" s="46" t="s">
        <v>49</v>
      </c>
    </row>
    <row r="932" spans="1:21">
      <c r="A932" s="46" t="s">
        <v>762</v>
      </c>
      <c r="B932" s="46" t="s">
        <v>183</v>
      </c>
      <c r="C932" s="46" t="s">
        <v>666</v>
      </c>
      <c r="D932" s="46">
        <v>1</v>
      </c>
      <c r="E932" s="46">
        <v>0</v>
      </c>
      <c r="F932" s="46" t="s">
        <v>740</v>
      </c>
      <c r="G932" s="46" t="s">
        <v>1305</v>
      </c>
      <c r="H932" s="46" t="s">
        <v>3186</v>
      </c>
      <c r="I932" s="46" t="str">
        <f ca="1">IFERROR(__xludf.DUMMYFUNCTION("CONCAT(A932,REGEXREPLACE(H932,"".*_L0"",""_L0""))"),"PD_BN1749_MTG_snRNAseq_rep1_L001_R1_001.fastq.gz")</f>
        <v>PD_BN1749_MTG_snRNAseq_rep1_L001_R1_001.fastq.gz</v>
      </c>
      <c r="J932" s="46" t="str">
        <f t="shared" si="3"/>
        <v>/data/neurogen/ASAP/scRNAseq/data/batch17_ASAP_snRNA-seq_*/Raw_Data_and_Processing/cellranger_processing/cellranger_fastqs/outs/fastq_path/H*/BN1749_S3_L001_R1_001.fastq.gz</v>
      </c>
      <c r="K932" s="46" t="s">
        <v>1317</v>
      </c>
      <c r="L932" s="46" t="s">
        <v>3187</v>
      </c>
      <c r="M932" s="46" t="s">
        <v>1309</v>
      </c>
      <c r="N932" s="46" t="s">
        <v>1310</v>
      </c>
      <c r="O932" s="46" t="s">
        <v>1311</v>
      </c>
      <c r="P932" s="46" t="s">
        <v>1312</v>
      </c>
      <c r="Q932" s="46" t="s">
        <v>31</v>
      </c>
      <c r="R932" s="46" t="s">
        <v>31</v>
      </c>
      <c r="S932" s="46" t="s">
        <v>31</v>
      </c>
      <c r="T932" s="46" t="s">
        <v>31</v>
      </c>
      <c r="U932" s="46" t="s">
        <v>49</v>
      </c>
    </row>
    <row r="933" spans="1:21">
      <c r="A933" s="46" t="s">
        <v>762</v>
      </c>
      <c r="B933" s="46" t="s">
        <v>183</v>
      </c>
      <c r="C933" s="46" t="s">
        <v>666</v>
      </c>
      <c r="D933" s="46">
        <v>1</v>
      </c>
      <c r="E933" s="46">
        <v>0</v>
      </c>
      <c r="F933" s="46" t="s">
        <v>740</v>
      </c>
      <c r="G933" s="46" t="s">
        <v>1305</v>
      </c>
      <c r="H933" s="46" t="s">
        <v>3188</v>
      </c>
      <c r="I933" s="46" t="str">
        <f ca="1">IFERROR(__xludf.DUMMYFUNCTION("CONCAT(A933,REGEXREPLACE(H933,"".*_L0"",""_L0""))"),"PD_BN1749_MTG_snRNAseq_rep1_L001_R2_001.fastq.gz")</f>
        <v>PD_BN1749_MTG_snRNAseq_rep1_L001_R2_001.fastq.gz</v>
      </c>
      <c r="J933" s="46" t="str">
        <f t="shared" si="3"/>
        <v>/data/neurogen/ASAP/scRNAseq/data/batch17_ASAP_snRNA-seq_*/Raw_Data_and_Processing/cellranger_processing/cellranger_fastqs/outs/fastq_path/H*/BN1749_S3_L001_R2_001.fastq.gz</v>
      </c>
      <c r="K933" s="46" t="s">
        <v>1320</v>
      </c>
      <c r="L933" s="46" t="s">
        <v>3189</v>
      </c>
      <c r="M933" s="46" t="s">
        <v>1309</v>
      </c>
      <c r="N933" s="46" t="s">
        <v>1310</v>
      </c>
      <c r="O933" s="46" t="s">
        <v>1311</v>
      </c>
      <c r="P933" s="46" t="s">
        <v>1312</v>
      </c>
      <c r="Q933" s="46" t="s">
        <v>31</v>
      </c>
      <c r="R933" s="46" t="s">
        <v>31</v>
      </c>
      <c r="S933" s="46" t="s">
        <v>31</v>
      </c>
      <c r="T933" s="46" t="s">
        <v>31</v>
      </c>
      <c r="U933" s="46" t="s">
        <v>49</v>
      </c>
    </row>
    <row r="934" spans="1:21">
      <c r="A934" s="46" t="s">
        <v>762</v>
      </c>
      <c r="B934" s="46" t="s">
        <v>183</v>
      </c>
      <c r="C934" s="46" t="s">
        <v>666</v>
      </c>
      <c r="D934" s="46">
        <v>1</v>
      </c>
      <c r="E934" s="46">
        <v>0</v>
      </c>
      <c r="F934" s="46" t="s">
        <v>740</v>
      </c>
      <c r="G934" s="46" t="s">
        <v>1305</v>
      </c>
      <c r="H934" s="46" t="s">
        <v>3190</v>
      </c>
      <c r="I934" s="46" t="str">
        <f ca="1">IFERROR(__xludf.DUMMYFUNCTION("CONCAT(A934,REGEXREPLACE(H934,"".*_L0"",""_L0""))"),"PD_BN1749_MTG_snRNAseq_rep1_L002_I1_001.fastq.gz")</f>
        <v>PD_BN1749_MTG_snRNAseq_rep1_L002_I1_001.fastq.gz</v>
      </c>
      <c r="J934" s="46" t="str">
        <f t="shared" si="3"/>
        <v>/data/neurogen/ASAP/scRNAseq/data/batch17_ASAP_snRNA-seq_*/Raw_Data_and_Processing/cellranger_processing/cellranger_fastqs/outs/fastq_path/H*/BN1749_S3_L002_I1_001.fastq.gz</v>
      </c>
      <c r="K934" s="46" t="s">
        <v>1323</v>
      </c>
      <c r="L934" s="46" t="s">
        <v>3191</v>
      </c>
      <c r="M934" s="46" t="s">
        <v>1309</v>
      </c>
      <c r="N934" s="46" t="s">
        <v>1310</v>
      </c>
      <c r="O934" s="46" t="s">
        <v>1311</v>
      </c>
      <c r="P934" s="46" t="s">
        <v>1312</v>
      </c>
      <c r="Q934" s="46" t="s">
        <v>31</v>
      </c>
      <c r="R934" s="46" t="s">
        <v>31</v>
      </c>
      <c r="S934" s="46" t="s">
        <v>31</v>
      </c>
      <c r="T934" s="46" t="s">
        <v>31</v>
      </c>
      <c r="U934" s="46" t="s">
        <v>49</v>
      </c>
    </row>
    <row r="935" spans="1:21">
      <c r="A935" s="46" t="s">
        <v>762</v>
      </c>
      <c r="B935" s="46" t="s">
        <v>183</v>
      </c>
      <c r="C935" s="46" t="s">
        <v>666</v>
      </c>
      <c r="D935" s="46">
        <v>1</v>
      </c>
      <c r="E935" s="46">
        <v>0</v>
      </c>
      <c r="F935" s="46" t="s">
        <v>740</v>
      </c>
      <c r="G935" s="46" t="s">
        <v>1305</v>
      </c>
      <c r="H935" s="46" t="s">
        <v>3192</v>
      </c>
      <c r="I935" s="46" t="str">
        <f ca="1">IFERROR(__xludf.DUMMYFUNCTION("CONCAT(A935,REGEXREPLACE(H935,"".*_L0"",""_L0""))"),"PD_BN1749_MTG_snRNAseq_rep1_L002_I2_001.fastq.gz")</f>
        <v>PD_BN1749_MTG_snRNAseq_rep1_L002_I2_001.fastq.gz</v>
      </c>
      <c r="J935" s="46" t="str">
        <f t="shared" si="3"/>
        <v>/data/neurogen/ASAP/scRNAseq/data/batch17_ASAP_snRNA-seq_*/Raw_Data_and_Processing/cellranger_processing/cellranger_fastqs/outs/fastq_path/H*/BN1749_S3_L002_I2_001.fastq.gz</v>
      </c>
      <c r="K935" s="46" t="s">
        <v>1326</v>
      </c>
      <c r="L935" s="46" t="s">
        <v>3193</v>
      </c>
      <c r="M935" s="46" t="s">
        <v>1309</v>
      </c>
      <c r="N935" s="46" t="s">
        <v>1310</v>
      </c>
      <c r="O935" s="46" t="s">
        <v>1311</v>
      </c>
      <c r="P935" s="46" t="s">
        <v>1312</v>
      </c>
      <c r="Q935" s="46" t="s">
        <v>31</v>
      </c>
      <c r="R935" s="46" t="s">
        <v>31</v>
      </c>
      <c r="S935" s="46" t="s">
        <v>31</v>
      </c>
      <c r="T935" s="46" t="s">
        <v>31</v>
      </c>
      <c r="U935" s="46" t="s">
        <v>49</v>
      </c>
    </row>
    <row r="936" spans="1:21">
      <c r="A936" s="46" t="s">
        <v>762</v>
      </c>
      <c r="B936" s="46" t="s">
        <v>183</v>
      </c>
      <c r="C936" s="46" t="s">
        <v>666</v>
      </c>
      <c r="D936" s="46">
        <v>1</v>
      </c>
      <c r="E936" s="46">
        <v>0</v>
      </c>
      <c r="F936" s="46" t="s">
        <v>740</v>
      </c>
      <c r="G936" s="46" t="s">
        <v>1305</v>
      </c>
      <c r="H936" s="46" t="s">
        <v>3194</v>
      </c>
      <c r="I936" s="46" t="str">
        <f ca="1">IFERROR(__xludf.DUMMYFUNCTION("CONCAT(A936,REGEXREPLACE(H936,"".*_L0"",""_L0""))"),"PD_BN1749_MTG_snRNAseq_rep1_L002_R1_001.fastq.gz")</f>
        <v>PD_BN1749_MTG_snRNAseq_rep1_L002_R1_001.fastq.gz</v>
      </c>
      <c r="J936" s="46" t="str">
        <f t="shared" si="3"/>
        <v>/data/neurogen/ASAP/scRNAseq/data/batch17_ASAP_snRNA-seq_*/Raw_Data_and_Processing/cellranger_processing/cellranger_fastqs/outs/fastq_path/H*/BN1749_S3_L002_R1_001.fastq.gz</v>
      </c>
      <c r="K936" s="46" t="s">
        <v>1329</v>
      </c>
      <c r="L936" s="46" t="s">
        <v>3195</v>
      </c>
      <c r="M936" s="46" t="s">
        <v>1309</v>
      </c>
      <c r="N936" s="46" t="s">
        <v>1310</v>
      </c>
      <c r="O936" s="46" t="s">
        <v>1311</v>
      </c>
      <c r="P936" s="46" t="s">
        <v>1312</v>
      </c>
      <c r="Q936" s="46" t="s">
        <v>31</v>
      </c>
      <c r="R936" s="46" t="s">
        <v>31</v>
      </c>
      <c r="S936" s="46" t="s">
        <v>31</v>
      </c>
      <c r="T936" s="46" t="s">
        <v>31</v>
      </c>
      <c r="U936" s="46" t="s">
        <v>49</v>
      </c>
    </row>
    <row r="937" spans="1:21">
      <c r="A937" s="46" t="s">
        <v>762</v>
      </c>
      <c r="B937" s="46" t="s">
        <v>183</v>
      </c>
      <c r="C937" s="46" t="s">
        <v>666</v>
      </c>
      <c r="D937" s="46">
        <v>1</v>
      </c>
      <c r="E937" s="46">
        <v>0</v>
      </c>
      <c r="F937" s="46" t="s">
        <v>740</v>
      </c>
      <c r="G937" s="46" t="s">
        <v>1305</v>
      </c>
      <c r="H937" s="46" t="s">
        <v>3196</v>
      </c>
      <c r="I937" s="46" t="str">
        <f ca="1">IFERROR(__xludf.DUMMYFUNCTION("CONCAT(A937,REGEXREPLACE(H937,"".*_L0"",""_L0""))"),"PD_BN1749_MTG_snRNAseq_rep1_L002_R2_001.fastq.gz")</f>
        <v>PD_BN1749_MTG_snRNAseq_rep1_L002_R2_001.fastq.gz</v>
      </c>
      <c r="J937" s="46" t="str">
        <f t="shared" si="3"/>
        <v>/data/neurogen/ASAP/scRNAseq/data/batch17_ASAP_snRNA-seq_*/Raw_Data_and_Processing/cellranger_processing/cellranger_fastqs/outs/fastq_path/H*/BN1749_S3_L002_R2_001.fastq.gz</v>
      </c>
      <c r="K937" s="46" t="s">
        <v>1332</v>
      </c>
      <c r="L937" s="46" t="s">
        <v>3197</v>
      </c>
      <c r="M937" s="46" t="s">
        <v>1309</v>
      </c>
      <c r="N937" s="46" t="s">
        <v>1310</v>
      </c>
      <c r="O937" s="46" t="s">
        <v>1311</v>
      </c>
      <c r="P937" s="46" t="s">
        <v>1312</v>
      </c>
      <c r="Q937" s="46" t="s">
        <v>31</v>
      </c>
      <c r="R937" s="46" t="s">
        <v>31</v>
      </c>
      <c r="S937" s="46" t="s">
        <v>31</v>
      </c>
      <c r="T937" s="46" t="s">
        <v>31</v>
      </c>
      <c r="U937" s="46" t="s">
        <v>49</v>
      </c>
    </row>
    <row r="938" spans="1:21">
      <c r="A938" s="46" t="s">
        <v>762</v>
      </c>
      <c r="B938" s="46" t="s">
        <v>183</v>
      </c>
      <c r="C938" s="46" t="s">
        <v>666</v>
      </c>
      <c r="D938" s="46">
        <v>1</v>
      </c>
      <c r="E938" s="46">
        <v>0</v>
      </c>
      <c r="F938" s="46" t="s">
        <v>740</v>
      </c>
      <c r="G938" s="46" t="s">
        <v>1305</v>
      </c>
      <c r="H938" s="46" t="s">
        <v>3198</v>
      </c>
      <c r="I938" s="46" t="str">
        <f ca="1">IFERROR(__xludf.DUMMYFUNCTION("CONCAT(A938,REGEXREPLACE(H938,"".*_L0"",""_L0""))"),"PD_BN1749_MTG_snRNAseq_rep1_L003_I1_001.fastq.gz")</f>
        <v>PD_BN1749_MTG_snRNAseq_rep1_L003_I1_001.fastq.gz</v>
      </c>
      <c r="J938" s="46" t="str">
        <f t="shared" si="3"/>
        <v>/data/neurogen/ASAP/scRNAseq/data/batch17_ASAP_snRNA-seq_*/Raw_Data_and_Processing/cellranger_processing/cellranger_fastqs/outs/fastq_path/H*/BN1749_S3_L003_I1_001.fastq.gz</v>
      </c>
      <c r="K938" s="46" t="s">
        <v>1335</v>
      </c>
      <c r="L938" s="46" t="s">
        <v>3199</v>
      </c>
      <c r="M938" s="46" t="s">
        <v>1309</v>
      </c>
      <c r="N938" s="46" t="s">
        <v>1310</v>
      </c>
      <c r="O938" s="46" t="s">
        <v>1311</v>
      </c>
      <c r="P938" s="46" t="s">
        <v>1312</v>
      </c>
      <c r="Q938" s="46" t="s">
        <v>31</v>
      </c>
      <c r="R938" s="46" t="s">
        <v>31</v>
      </c>
      <c r="S938" s="46" t="s">
        <v>31</v>
      </c>
      <c r="T938" s="46" t="s">
        <v>31</v>
      </c>
      <c r="U938" s="46" t="s">
        <v>49</v>
      </c>
    </row>
    <row r="939" spans="1:21">
      <c r="A939" s="46" t="s">
        <v>762</v>
      </c>
      <c r="B939" s="46" t="s">
        <v>183</v>
      </c>
      <c r="C939" s="46" t="s">
        <v>666</v>
      </c>
      <c r="D939" s="46">
        <v>1</v>
      </c>
      <c r="E939" s="46">
        <v>0</v>
      </c>
      <c r="F939" s="46" t="s">
        <v>740</v>
      </c>
      <c r="G939" s="46" t="s">
        <v>1305</v>
      </c>
      <c r="H939" s="46" t="s">
        <v>3200</v>
      </c>
      <c r="I939" s="46" t="str">
        <f ca="1">IFERROR(__xludf.DUMMYFUNCTION("CONCAT(A939,REGEXREPLACE(H939,"".*_L0"",""_L0""))"),"PD_BN1749_MTG_snRNAseq_rep1_L003_I2_001.fastq.gz")</f>
        <v>PD_BN1749_MTG_snRNAseq_rep1_L003_I2_001.fastq.gz</v>
      </c>
      <c r="J939" s="46" t="str">
        <f t="shared" si="3"/>
        <v>/data/neurogen/ASAP/scRNAseq/data/batch17_ASAP_snRNA-seq_*/Raw_Data_and_Processing/cellranger_processing/cellranger_fastqs/outs/fastq_path/H*/BN1749_S3_L003_I2_001.fastq.gz</v>
      </c>
      <c r="K939" s="46" t="s">
        <v>1338</v>
      </c>
      <c r="L939" s="46" t="s">
        <v>3201</v>
      </c>
      <c r="M939" s="46" t="s">
        <v>1309</v>
      </c>
      <c r="N939" s="46" t="s">
        <v>1310</v>
      </c>
      <c r="O939" s="46" t="s">
        <v>1311</v>
      </c>
      <c r="P939" s="46" t="s">
        <v>1312</v>
      </c>
      <c r="Q939" s="46" t="s">
        <v>31</v>
      </c>
      <c r="R939" s="46" t="s">
        <v>31</v>
      </c>
      <c r="S939" s="46" t="s">
        <v>31</v>
      </c>
      <c r="T939" s="46" t="s">
        <v>31</v>
      </c>
      <c r="U939" s="46" t="s">
        <v>49</v>
      </c>
    </row>
    <row r="940" spans="1:21">
      <c r="A940" s="46" t="s">
        <v>762</v>
      </c>
      <c r="B940" s="46" t="s">
        <v>183</v>
      </c>
      <c r="C940" s="46" t="s">
        <v>666</v>
      </c>
      <c r="D940" s="46">
        <v>1</v>
      </c>
      <c r="E940" s="46">
        <v>0</v>
      </c>
      <c r="F940" s="46" t="s">
        <v>740</v>
      </c>
      <c r="G940" s="46" t="s">
        <v>1305</v>
      </c>
      <c r="H940" s="46" t="s">
        <v>3202</v>
      </c>
      <c r="I940" s="46" t="str">
        <f ca="1">IFERROR(__xludf.DUMMYFUNCTION("CONCAT(A940,REGEXREPLACE(H940,"".*_L0"",""_L0""))"),"PD_BN1749_MTG_snRNAseq_rep1_L003_R1_001.fastq.gz")</f>
        <v>PD_BN1749_MTG_snRNAseq_rep1_L003_R1_001.fastq.gz</v>
      </c>
      <c r="J940" s="46" t="str">
        <f t="shared" si="3"/>
        <v>/data/neurogen/ASAP/scRNAseq/data/batch17_ASAP_snRNA-seq_*/Raw_Data_and_Processing/cellranger_processing/cellranger_fastqs/outs/fastq_path/H*/BN1749_S3_L003_R1_001.fastq.gz</v>
      </c>
      <c r="K940" s="46" t="s">
        <v>1341</v>
      </c>
      <c r="L940" s="46" t="s">
        <v>3203</v>
      </c>
      <c r="M940" s="46" t="s">
        <v>1309</v>
      </c>
      <c r="N940" s="46" t="s">
        <v>1310</v>
      </c>
      <c r="O940" s="46" t="s">
        <v>1311</v>
      </c>
      <c r="P940" s="46" t="s">
        <v>1312</v>
      </c>
      <c r="Q940" s="46" t="s">
        <v>31</v>
      </c>
      <c r="R940" s="46" t="s">
        <v>31</v>
      </c>
      <c r="S940" s="46" t="s">
        <v>31</v>
      </c>
      <c r="T940" s="46" t="s">
        <v>31</v>
      </c>
      <c r="U940" s="46" t="s">
        <v>49</v>
      </c>
    </row>
    <row r="941" spans="1:21">
      <c r="A941" s="46" t="s">
        <v>762</v>
      </c>
      <c r="B941" s="46" t="s">
        <v>183</v>
      </c>
      <c r="C941" s="46" t="s">
        <v>666</v>
      </c>
      <c r="D941" s="46">
        <v>1</v>
      </c>
      <c r="E941" s="46">
        <v>0</v>
      </c>
      <c r="F941" s="46" t="s">
        <v>740</v>
      </c>
      <c r="G941" s="46" t="s">
        <v>1305</v>
      </c>
      <c r="H941" s="46" t="s">
        <v>3204</v>
      </c>
      <c r="I941" s="46" t="str">
        <f ca="1">IFERROR(__xludf.DUMMYFUNCTION("CONCAT(A941,REGEXREPLACE(H941,"".*_L0"",""_L0""))"),"PD_BN1749_MTG_snRNAseq_rep1_L003_R2_001.fastq.gz")</f>
        <v>PD_BN1749_MTG_snRNAseq_rep1_L003_R2_001.fastq.gz</v>
      </c>
      <c r="J941" s="46" t="str">
        <f t="shared" si="3"/>
        <v>/data/neurogen/ASAP/scRNAseq/data/batch17_ASAP_snRNA-seq_*/Raw_Data_and_Processing/cellranger_processing/cellranger_fastqs/outs/fastq_path/H*/BN1749_S3_L003_R2_001.fastq.gz</v>
      </c>
      <c r="K941" s="46" t="s">
        <v>1344</v>
      </c>
      <c r="L941" s="46" t="s">
        <v>3205</v>
      </c>
      <c r="M941" s="46" t="s">
        <v>1309</v>
      </c>
      <c r="N941" s="46" t="s">
        <v>1310</v>
      </c>
      <c r="O941" s="46" t="s">
        <v>1311</v>
      </c>
      <c r="P941" s="46" t="s">
        <v>1312</v>
      </c>
      <c r="Q941" s="46" t="s">
        <v>31</v>
      </c>
      <c r="R941" s="46" t="s">
        <v>31</v>
      </c>
      <c r="S941" s="46" t="s">
        <v>31</v>
      </c>
      <c r="T941" s="46" t="s">
        <v>31</v>
      </c>
      <c r="U941" s="46" t="s">
        <v>49</v>
      </c>
    </row>
    <row r="942" spans="1:21">
      <c r="A942" s="46" t="s">
        <v>762</v>
      </c>
      <c r="B942" s="46" t="s">
        <v>183</v>
      </c>
      <c r="C942" s="46" t="s">
        <v>666</v>
      </c>
      <c r="D942" s="46">
        <v>1</v>
      </c>
      <c r="E942" s="46">
        <v>0</v>
      </c>
      <c r="F942" s="46" t="s">
        <v>740</v>
      </c>
      <c r="G942" s="46" t="s">
        <v>1305</v>
      </c>
      <c r="H942" s="46" t="s">
        <v>3206</v>
      </c>
      <c r="I942" s="46" t="str">
        <f ca="1">IFERROR(__xludf.DUMMYFUNCTION("CONCAT(A942,REGEXREPLACE(H942,"".*_L0"",""_L0""))"),"PD_BN1749_MTG_snRNAseq_rep1_L004_I1_001.fastq.gz")</f>
        <v>PD_BN1749_MTG_snRNAseq_rep1_L004_I1_001.fastq.gz</v>
      </c>
      <c r="J942" s="46" t="str">
        <f t="shared" si="3"/>
        <v>/data/neurogen/ASAP/scRNAseq/data/batch17_ASAP_snRNA-seq_*/Raw_Data_and_Processing/cellranger_processing/cellranger_fastqs/outs/fastq_path/H*/BN1749_S3_L004_I1_001.fastq.gz</v>
      </c>
      <c r="K942" s="46" t="s">
        <v>1347</v>
      </c>
      <c r="L942" s="46" t="s">
        <v>3207</v>
      </c>
      <c r="M942" s="46" t="s">
        <v>1309</v>
      </c>
      <c r="N942" s="46" t="s">
        <v>1310</v>
      </c>
      <c r="O942" s="46" t="s">
        <v>1311</v>
      </c>
      <c r="P942" s="46" t="s">
        <v>1312</v>
      </c>
      <c r="Q942" s="46" t="s">
        <v>31</v>
      </c>
      <c r="R942" s="46" t="s">
        <v>31</v>
      </c>
      <c r="S942" s="46" t="s">
        <v>31</v>
      </c>
      <c r="T942" s="46" t="s">
        <v>31</v>
      </c>
      <c r="U942" s="46" t="s">
        <v>49</v>
      </c>
    </row>
    <row r="943" spans="1:21">
      <c r="A943" s="46" t="s">
        <v>762</v>
      </c>
      <c r="B943" s="46" t="s">
        <v>183</v>
      </c>
      <c r="C943" s="46" t="s">
        <v>666</v>
      </c>
      <c r="D943" s="46">
        <v>1</v>
      </c>
      <c r="E943" s="46">
        <v>0</v>
      </c>
      <c r="F943" s="46" t="s">
        <v>740</v>
      </c>
      <c r="G943" s="46" t="s">
        <v>1305</v>
      </c>
      <c r="H943" s="46" t="s">
        <v>3208</v>
      </c>
      <c r="I943" s="46" t="str">
        <f ca="1">IFERROR(__xludf.DUMMYFUNCTION("CONCAT(A943,REGEXREPLACE(H943,"".*_L0"",""_L0""))"),"PD_BN1749_MTG_snRNAseq_rep1_L004_I2_001.fastq.gz")</f>
        <v>PD_BN1749_MTG_snRNAseq_rep1_L004_I2_001.fastq.gz</v>
      </c>
      <c r="J943" s="46" t="str">
        <f t="shared" si="3"/>
        <v>/data/neurogen/ASAP/scRNAseq/data/batch17_ASAP_snRNA-seq_*/Raw_Data_and_Processing/cellranger_processing/cellranger_fastqs/outs/fastq_path/H*/BN1749_S3_L004_I2_001.fastq.gz</v>
      </c>
      <c r="K943" s="46" t="s">
        <v>1350</v>
      </c>
      <c r="L943" s="46" t="s">
        <v>3209</v>
      </c>
      <c r="M943" s="46" t="s">
        <v>1309</v>
      </c>
      <c r="N943" s="46" t="s">
        <v>1310</v>
      </c>
      <c r="O943" s="46" t="s">
        <v>1311</v>
      </c>
      <c r="P943" s="46" t="s">
        <v>1312</v>
      </c>
      <c r="Q943" s="46" t="s">
        <v>31</v>
      </c>
      <c r="R943" s="46" t="s">
        <v>31</v>
      </c>
      <c r="S943" s="46" t="s">
        <v>31</v>
      </c>
      <c r="T943" s="46" t="s">
        <v>31</v>
      </c>
      <c r="U943" s="46" t="s">
        <v>49</v>
      </c>
    </row>
    <row r="944" spans="1:21">
      <c r="A944" s="46" t="s">
        <v>762</v>
      </c>
      <c r="B944" s="46" t="s">
        <v>183</v>
      </c>
      <c r="C944" s="46" t="s">
        <v>666</v>
      </c>
      <c r="D944" s="46">
        <v>1</v>
      </c>
      <c r="E944" s="46">
        <v>0</v>
      </c>
      <c r="F944" s="46" t="s">
        <v>740</v>
      </c>
      <c r="G944" s="46" t="s">
        <v>1305</v>
      </c>
      <c r="H944" s="46" t="s">
        <v>3210</v>
      </c>
      <c r="I944" s="46" t="str">
        <f ca="1">IFERROR(__xludf.DUMMYFUNCTION("CONCAT(A944,REGEXREPLACE(H944,"".*_L0"",""_L0""))"),"PD_BN1749_MTG_snRNAseq_rep1_L004_R1_001.fastq.gz")</f>
        <v>PD_BN1749_MTG_snRNAseq_rep1_L004_R1_001.fastq.gz</v>
      </c>
      <c r="J944" s="46" t="str">
        <f t="shared" si="3"/>
        <v>/data/neurogen/ASAP/scRNAseq/data/batch17_ASAP_snRNA-seq_*/Raw_Data_and_Processing/cellranger_processing/cellranger_fastqs/outs/fastq_path/H*/BN1749_S3_L004_R1_001.fastq.gz</v>
      </c>
      <c r="K944" s="46" t="s">
        <v>1353</v>
      </c>
      <c r="L944" s="46" t="s">
        <v>3211</v>
      </c>
      <c r="M944" s="46" t="s">
        <v>1309</v>
      </c>
      <c r="N944" s="46" t="s">
        <v>1310</v>
      </c>
      <c r="O944" s="46" t="s">
        <v>1311</v>
      </c>
      <c r="P944" s="46" t="s">
        <v>1312</v>
      </c>
      <c r="Q944" s="46" t="s">
        <v>31</v>
      </c>
      <c r="R944" s="46" t="s">
        <v>31</v>
      </c>
      <c r="S944" s="46" t="s">
        <v>31</v>
      </c>
      <c r="T944" s="46" t="s">
        <v>31</v>
      </c>
      <c r="U944" s="46" t="s">
        <v>49</v>
      </c>
    </row>
    <row r="945" spans="1:21">
      <c r="A945" s="46" t="s">
        <v>762</v>
      </c>
      <c r="B945" s="46" t="s">
        <v>183</v>
      </c>
      <c r="C945" s="46" t="s">
        <v>666</v>
      </c>
      <c r="D945" s="46">
        <v>1</v>
      </c>
      <c r="E945" s="46">
        <v>0</v>
      </c>
      <c r="F945" s="46" t="s">
        <v>740</v>
      </c>
      <c r="G945" s="46" t="s">
        <v>1305</v>
      </c>
      <c r="H945" s="46" t="s">
        <v>3212</v>
      </c>
      <c r="I945" s="46" t="str">
        <f ca="1">IFERROR(__xludf.DUMMYFUNCTION("CONCAT(A945,REGEXREPLACE(H945,"".*_L0"",""_L0""))"),"PD_BN1749_MTG_snRNAseq_rep1_L004_R2_001.fastq.gz")</f>
        <v>PD_BN1749_MTG_snRNAseq_rep1_L004_R2_001.fastq.gz</v>
      </c>
      <c r="J945" s="46" t="str">
        <f t="shared" si="3"/>
        <v>/data/neurogen/ASAP/scRNAseq/data/batch17_ASAP_snRNA-seq_*/Raw_Data_and_Processing/cellranger_processing/cellranger_fastqs/outs/fastq_path/H*/BN1749_S3_L004_R2_001.fastq.gz</v>
      </c>
      <c r="K945" s="46" t="s">
        <v>1356</v>
      </c>
      <c r="L945" s="46" t="s">
        <v>3213</v>
      </c>
      <c r="M945" s="46" t="s">
        <v>1309</v>
      </c>
      <c r="N945" s="46" t="s">
        <v>1310</v>
      </c>
      <c r="O945" s="46" t="s">
        <v>1311</v>
      </c>
      <c r="P945" s="46" t="s">
        <v>1312</v>
      </c>
      <c r="Q945" s="46" t="s">
        <v>31</v>
      </c>
      <c r="R945" s="46" t="s">
        <v>31</v>
      </c>
      <c r="S945" s="46" t="s">
        <v>31</v>
      </c>
      <c r="T945" s="46" t="s">
        <v>31</v>
      </c>
      <c r="U945" s="46" t="s">
        <v>49</v>
      </c>
    </row>
    <row r="946" spans="1:21">
      <c r="A946" s="46" t="s">
        <v>745</v>
      </c>
      <c r="B946" s="46" t="s">
        <v>155</v>
      </c>
      <c r="C946" s="46" t="s">
        <v>666</v>
      </c>
      <c r="D946" s="46">
        <v>1</v>
      </c>
      <c r="E946" s="46">
        <v>0</v>
      </c>
      <c r="F946" s="46" t="s">
        <v>746</v>
      </c>
      <c r="G946" s="46" t="s">
        <v>1305</v>
      </c>
      <c r="H946" s="46" t="s">
        <v>3214</v>
      </c>
      <c r="I946" s="46" t="str">
        <f ca="1">IFERROR(__xludf.DUMMYFUNCTION("CONCAT(A946,REGEXREPLACE(H946,"".*_L0"",""_L0""))"),"HC_BN1546_MTG_snRNAseq_rep1_L001_I1_001.fastq.gz")</f>
        <v>HC_BN1546_MTG_snRNAseq_rep1_L001_I1_001.fastq.gz</v>
      </c>
      <c r="J946" s="46" t="str">
        <f t="shared" si="3"/>
        <v>/data/neurogen/ASAP/scRNAseq/data/batch18_ASAP_snRNA-seq_*/Raw_Data_and_Processing/cellranger_processing/cellranger_fastqs/outs/fastq_path/H*/BN1546_S2_L001_I1_001.fastq.gz</v>
      </c>
      <c r="K946" s="46" t="s">
        <v>1307</v>
      </c>
      <c r="L946" s="46" t="s">
        <v>3215</v>
      </c>
      <c r="M946" s="46" t="s">
        <v>1309</v>
      </c>
      <c r="N946" s="46" t="s">
        <v>1310</v>
      </c>
      <c r="O946" s="46" t="s">
        <v>1311</v>
      </c>
      <c r="P946" s="46" t="s">
        <v>1312</v>
      </c>
      <c r="Q946" s="46" t="s">
        <v>31</v>
      </c>
      <c r="R946" s="46" t="s">
        <v>31</v>
      </c>
      <c r="S946" s="46" t="s">
        <v>31</v>
      </c>
      <c r="T946" s="46" t="s">
        <v>31</v>
      </c>
      <c r="U946" s="46" t="s">
        <v>49</v>
      </c>
    </row>
    <row r="947" spans="1:21">
      <c r="A947" s="46" t="s">
        <v>745</v>
      </c>
      <c r="B947" s="46" t="s">
        <v>155</v>
      </c>
      <c r="C947" s="46" t="s">
        <v>666</v>
      </c>
      <c r="D947" s="46">
        <v>1</v>
      </c>
      <c r="E947" s="46">
        <v>0</v>
      </c>
      <c r="F947" s="46" t="s">
        <v>746</v>
      </c>
      <c r="G947" s="46" t="s">
        <v>1305</v>
      </c>
      <c r="H947" s="46" t="s">
        <v>3216</v>
      </c>
      <c r="I947" s="46" t="str">
        <f ca="1">IFERROR(__xludf.DUMMYFUNCTION("CONCAT(A947,REGEXREPLACE(H947,"".*_L0"",""_L0""))"),"HC_BN1546_MTG_snRNAseq_rep1_L001_I2_001.fastq.gz")</f>
        <v>HC_BN1546_MTG_snRNAseq_rep1_L001_I2_001.fastq.gz</v>
      </c>
      <c r="J947" s="46" t="str">
        <f t="shared" si="3"/>
        <v>/data/neurogen/ASAP/scRNAseq/data/batch18_ASAP_snRNA-seq_*/Raw_Data_and_Processing/cellranger_processing/cellranger_fastqs/outs/fastq_path/H*/BN1546_S2_L001_I2_001.fastq.gz</v>
      </c>
      <c r="K947" s="46" t="s">
        <v>1314</v>
      </c>
      <c r="L947" s="46" t="s">
        <v>3217</v>
      </c>
      <c r="M947" s="46" t="s">
        <v>1309</v>
      </c>
      <c r="N947" s="46" t="s">
        <v>1310</v>
      </c>
      <c r="O947" s="46" t="s">
        <v>1311</v>
      </c>
      <c r="P947" s="46" t="s">
        <v>1312</v>
      </c>
      <c r="Q947" s="46" t="s">
        <v>31</v>
      </c>
      <c r="R947" s="46" t="s">
        <v>31</v>
      </c>
      <c r="S947" s="46" t="s">
        <v>31</v>
      </c>
      <c r="T947" s="46" t="s">
        <v>31</v>
      </c>
      <c r="U947" s="46" t="s">
        <v>49</v>
      </c>
    </row>
    <row r="948" spans="1:21">
      <c r="A948" s="46" t="s">
        <v>745</v>
      </c>
      <c r="B948" s="46" t="s">
        <v>155</v>
      </c>
      <c r="C948" s="46" t="s">
        <v>666</v>
      </c>
      <c r="D948" s="46">
        <v>1</v>
      </c>
      <c r="E948" s="46">
        <v>0</v>
      </c>
      <c r="F948" s="46" t="s">
        <v>746</v>
      </c>
      <c r="G948" s="46" t="s">
        <v>1305</v>
      </c>
      <c r="H948" s="46" t="s">
        <v>3218</v>
      </c>
      <c r="I948" s="46" t="str">
        <f ca="1">IFERROR(__xludf.DUMMYFUNCTION("CONCAT(A948,REGEXREPLACE(H948,"".*_L0"",""_L0""))"),"HC_BN1546_MTG_snRNAseq_rep1_L001_R1_001.fastq.gz")</f>
        <v>HC_BN1546_MTG_snRNAseq_rep1_L001_R1_001.fastq.gz</v>
      </c>
      <c r="J948" s="46" t="str">
        <f t="shared" si="3"/>
        <v>/data/neurogen/ASAP/scRNAseq/data/batch18_ASAP_snRNA-seq_*/Raw_Data_and_Processing/cellranger_processing/cellranger_fastqs/outs/fastq_path/H*/BN1546_S2_L001_R1_001.fastq.gz</v>
      </c>
      <c r="K948" s="46" t="s">
        <v>1317</v>
      </c>
      <c r="L948" s="46" t="s">
        <v>3219</v>
      </c>
      <c r="M948" s="46" t="s">
        <v>1309</v>
      </c>
      <c r="N948" s="46" t="s">
        <v>1310</v>
      </c>
      <c r="O948" s="46" t="s">
        <v>1311</v>
      </c>
      <c r="P948" s="46" t="s">
        <v>1312</v>
      </c>
      <c r="Q948" s="46" t="s">
        <v>31</v>
      </c>
      <c r="R948" s="46" t="s">
        <v>31</v>
      </c>
      <c r="S948" s="46" t="s">
        <v>31</v>
      </c>
      <c r="T948" s="46" t="s">
        <v>31</v>
      </c>
      <c r="U948" s="46" t="s">
        <v>49</v>
      </c>
    </row>
    <row r="949" spans="1:21">
      <c r="A949" s="46" t="s">
        <v>745</v>
      </c>
      <c r="B949" s="46" t="s">
        <v>155</v>
      </c>
      <c r="C949" s="46" t="s">
        <v>666</v>
      </c>
      <c r="D949" s="46">
        <v>1</v>
      </c>
      <c r="E949" s="46">
        <v>0</v>
      </c>
      <c r="F949" s="46" t="s">
        <v>746</v>
      </c>
      <c r="G949" s="46" t="s">
        <v>1305</v>
      </c>
      <c r="H949" s="46" t="s">
        <v>3220</v>
      </c>
      <c r="I949" s="46" t="str">
        <f ca="1">IFERROR(__xludf.DUMMYFUNCTION("CONCAT(A949,REGEXREPLACE(H949,"".*_L0"",""_L0""))"),"HC_BN1546_MTG_snRNAseq_rep1_L001_R2_001.fastq.gz")</f>
        <v>HC_BN1546_MTG_snRNAseq_rep1_L001_R2_001.fastq.gz</v>
      </c>
      <c r="J949" s="46" t="str">
        <f t="shared" si="3"/>
        <v>/data/neurogen/ASAP/scRNAseq/data/batch18_ASAP_snRNA-seq_*/Raw_Data_and_Processing/cellranger_processing/cellranger_fastqs/outs/fastq_path/H*/BN1546_S2_L001_R2_001.fastq.gz</v>
      </c>
      <c r="K949" s="46" t="s">
        <v>1320</v>
      </c>
      <c r="L949" s="46" t="s">
        <v>3221</v>
      </c>
      <c r="M949" s="46" t="s">
        <v>1309</v>
      </c>
      <c r="N949" s="46" t="s">
        <v>1310</v>
      </c>
      <c r="O949" s="46" t="s">
        <v>1311</v>
      </c>
      <c r="P949" s="46" t="s">
        <v>1312</v>
      </c>
      <c r="Q949" s="46" t="s">
        <v>31</v>
      </c>
      <c r="R949" s="46" t="s">
        <v>31</v>
      </c>
      <c r="S949" s="46" t="s">
        <v>31</v>
      </c>
      <c r="T949" s="46" t="s">
        <v>31</v>
      </c>
      <c r="U949" s="46" t="s">
        <v>49</v>
      </c>
    </row>
    <row r="950" spans="1:21">
      <c r="A950" s="46" t="s">
        <v>745</v>
      </c>
      <c r="B950" s="46" t="s">
        <v>155</v>
      </c>
      <c r="C950" s="46" t="s">
        <v>666</v>
      </c>
      <c r="D950" s="46">
        <v>1</v>
      </c>
      <c r="E950" s="46">
        <v>0</v>
      </c>
      <c r="F950" s="46" t="s">
        <v>746</v>
      </c>
      <c r="G950" s="46" t="s">
        <v>1305</v>
      </c>
      <c r="H950" s="46" t="s">
        <v>3222</v>
      </c>
      <c r="I950" s="46" t="str">
        <f ca="1">IFERROR(__xludf.DUMMYFUNCTION("CONCAT(A950,REGEXREPLACE(H950,"".*_L0"",""_L0""))"),"HC_BN1546_MTG_snRNAseq_rep1_L002_I1_001.fastq.gz")</f>
        <v>HC_BN1546_MTG_snRNAseq_rep1_L002_I1_001.fastq.gz</v>
      </c>
      <c r="J950" s="46" t="str">
        <f t="shared" si="3"/>
        <v>/data/neurogen/ASAP/scRNAseq/data/batch18_ASAP_snRNA-seq_*/Raw_Data_and_Processing/cellranger_processing/cellranger_fastqs/outs/fastq_path/H*/BN1546_S2_L002_I1_001.fastq.gz</v>
      </c>
      <c r="K950" s="46" t="s">
        <v>1323</v>
      </c>
      <c r="L950" s="46" t="s">
        <v>3223</v>
      </c>
      <c r="M950" s="46" t="s">
        <v>1309</v>
      </c>
      <c r="N950" s="46" t="s">
        <v>1310</v>
      </c>
      <c r="O950" s="46" t="s">
        <v>1311</v>
      </c>
      <c r="P950" s="46" t="s">
        <v>1312</v>
      </c>
      <c r="Q950" s="46" t="s">
        <v>31</v>
      </c>
      <c r="R950" s="46" t="s">
        <v>31</v>
      </c>
      <c r="S950" s="46" t="s">
        <v>31</v>
      </c>
      <c r="T950" s="46" t="s">
        <v>31</v>
      </c>
      <c r="U950" s="46" t="s">
        <v>49</v>
      </c>
    </row>
    <row r="951" spans="1:21">
      <c r="A951" s="46" t="s">
        <v>745</v>
      </c>
      <c r="B951" s="46" t="s">
        <v>155</v>
      </c>
      <c r="C951" s="46" t="s">
        <v>666</v>
      </c>
      <c r="D951" s="46">
        <v>1</v>
      </c>
      <c r="E951" s="46">
        <v>0</v>
      </c>
      <c r="F951" s="46" t="s">
        <v>746</v>
      </c>
      <c r="G951" s="46" t="s">
        <v>1305</v>
      </c>
      <c r="H951" s="46" t="s">
        <v>3224</v>
      </c>
      <c r="I951" s="46" t="str">
        <f ca="1">IFERROR(__xludf.DUMMYFUNCTION("CONCAT(A951,REGEXREPLACE(H951,"".*_L0"",""_L0""))"),"HC_BN1546_MTG_snRNAseq_rep1_L002_I2_001.fastq.gz")</f>
        <v>HC_BN1546_MTG_snRNAseq_rep1_L002_I2_001.fastq.gz</v>
      </c>
      <c r="J951" s="46" t="str">
        <f t="shared" si="3"/>
        <v>/data/neurogen/ASAP/scRNAseq/data/batch18_ASAP_snRNA-seq_*/Raw_Data_and_Processing/cellranger_processing/cellranger_fastqs/outs/fastq_path/H*/BN1546_S2_L002_I2_001.fastq.gz</v>
      </c>
      <c r="K951" s="46" t="s">
        <v>1326</v>
      </c>
      <c r="L951" s="46" t="s">
        <v>3225</v>
      </c>
      <c r="M951" s="46" t="s">
        <v>1309</v>
      </c>
      <c r="N951" s="46" t="s">
        <v>1310</v>
      </c>
      <c r="O951" s="46" t="s">
        <v>1311</v>
      </c>
      <c r="P951" s="46" t="s">
        <v>1312</v>
      </c>
      <c r="Q951" s="46" t="s">
        <v>31</v>
      </c>
      <c r="R951" s="46" t="s">
        <v>31</v>
      </c>
      <c r="S951" s="46" t="s">
        <v>31</v>
      </c>
      <c r="T951" s="46" t="s">
        <v>31</v>
      </c>
      <c r="U951" s="46" t="s">
        <v>49</v>
      </c>
    </row>
    <row r="952" spans="1:21">
      <c r="A952" s="46" t="s">
        <v>745</v>
      </c>
      <c r="B952" s="46" t="s">
        <v>155</v>
      </c>
      <c r="C952" s="46" t="s">
        <v>666</v>
      </c>
      <c r="D952" s="46">
        <v>1</v>
      </c>
      <c r="E952" s="46">
        <v>0</v>
      </c>
      <c r="F952" s="46" t="s">
        <v>746</v>
      </c>
      <c r="G952" s="46" t="s">
        <v>1305</v>
      </c>
      <c r="H952" s="46" t="s">
        <v>3226</v>
      </c>
      <c r="I952" s="46" t="str">
        <f ca="1">IFERROR(__xludf.DUMMYFUNCTION("CONCAT(A952,REGEXREPLACE(H952,"".*_L0"",""_L0""))"),"HC_BN1546_MTG_snRNAseq_rep1_L002_R1_001.fastq.gz")</f>
        <v>HC_BN1546_MTG_snRNAseq_rep1_L002_R1_001.fastq.gz</v>
      </c>
      <c r="J952" s="46" t="str">
        <f t="shared" si="3"/>
        <v>/data/neurogen/ASAP/scRNAseq/data/batch18_ASAP_snRNA-seq_*/Raw_Data_and_Processing/cellranger_processing/cellranger_fastqs/outs/fastq_path/H*/BN1546_S2_L002_R1_001.fastq.gz</v>
      </c>
      <c r="K952" s="46" t="s">
        <v>1329</v>
      </c>
      <c r="L952" s="46" t="s">
        <v>3227</v>
      </c>
      <c r="M952" s="46" t="s">
        <v>1309</v>
      </c>
      <c r="N952" s="46" t="s">
        <v>1310</v>
      </c>
      <c r="O952" s="46" t="s">
        <v>1311</v>
      </c>
      <c r="P952" s="46" t="s">
        <v>1312</v>
      </c>
      <c r="Q952" s="46" t="s">
        <v>31</v>
      </c>
      <c r="R952" s="46" t="s">
        <v>31</v>
      </c>
      <c r="S952" s="46" t="s">
        <v>31</v>
      </c>
      <c r="T952" s="46" t="s">
        <v>31</v>
      </c>
      <c r="U952" s="46" t="s">
        <v>49</v>
      </c>
    </row>
    <row r="953" spans="1:21">
      <c r="A953" s="46" t="s">
        <v>745</v>
      </c>
      <c r="B953" s="46" t="s">
        <v>155</v>
      </c>
      <c r="C953" s="46" t="s">
        <v>666</v>
      </c>
      <c r="D953" s="46">
        <v>1</v>
      </c>
      <c r="E953" s="46">
        <v>0</v>
      </c>
      <c r="F953" s="46" t="s">
        <v>746</v>
      </c>
      <c r="G953" s="46" t="s">
        <v>1305</v>
      </c>
      <c r="H953" s="46" t="s">
        <v>3228</v>
      </c>
      <c r="I953" s="46" t="str">
        <f ca="1">IFERROR(__xludf.DUMMYFUNCTION("CONCAT(A953,REGEXREPLACE(H953,"".*_L0"",""_L0""))"),"HC_BN1546_MTG_snRNAseq_rep1_L002_R2_001.fastq.gz")</f>
        <v>HC_BN1546_MTG_snRNAseq_rep1_L002_R2_001.fastq.gz</v>
      </c>
      <c r="J953" s="46" t="str">
        <f t="shared" si="3"/>
        <v>/data/neurogen/ASAP/scRNAseq/data/batch18_ASAP_snRNA-seq_*/Raw_Data_and_Processing/cellranger_processing/cellranger_fastqs/outs/fastq_path/H*/BN1546_S2_L002_R2_001.fastq.gz</v>
      </c>
      <c r="K953" s="46" t="s">
        <v>1332</v>
      </c>
      <c r="L953" s="46" t="s">
        <v>3229</v>
      </c>
      <c r="M953" s="46" t="s">
        <v>1309</v>
      </c>
      <c r="N953" s="46" t="s">
        <v>1310</v>
      </c>
      <c r="O953" s="46" t="s">
        <v>1311</v>
      </c>
      <c r="P953" s="46" t="s">
        <v>1312</v>
      </c>
      <c r="Q953" s="46" t="s">
        <v>31</v>
      </c>
      <c r="R953" s="46" t="s">
        <v>31</v>
      </c>
      <c r="S953" s="46" t="s">
        <v>31</v>
      </c>
      <c r="T953" s="46" t="s">
        <v>31</v>
      </c>
      <c r="U953" s="46" t="s">
        <v>49</v>
      </c>
    </row>
    <row r="954" spans="1:21">
      <c r="A954" s="46" t="s">
        <v>745</v>
      </c>
      <c r="B954" s="46" t="s">
        <v>155</v>
      </c>
      <c r="C954" s="46" t="s">
        <v>666</v>
      </c>
      <c r="D954" s="46">
        <v>1</v>
      </c>
      <c r="E954" s="46">
        <v>0</v>
      </c>
      <c r="F954" s="46" t="s">
        <v>746</v>
      </c>
      <c r="G954" s="46" t="s">
        <v>1305</v>
      </c>
      <c r="H954" s="46" t="s">
        <v>3230</v>
      </c>
      <c r="I954" s="46" t="str">
        <f ca="1">IFERROR(__xludf.DUMMYFUNCTION("CONCAT(A954,REGEXREPLACE(H954,"".*_L0"",""_L0""))"),"HC_BN1546_MTG_snRNAseq_rep1_L003_I1_001.fastq.gz")</f>
        <v>HC_BN1546_MTG_snRNAseq_rep1_L003_I1_001.fastq.gz</v>
      </c>
      <c r="J954" s="46" t="str">
        <f t="shared" si="3"/>
        <v>/data/neurogen/ASAP/scRNAseq/data/batch18_ASAP_snRNA-seq_*/Raw_Data_and_Processing/cellranger_processing/cellranger_fastqs/outs/fastq_path/H*/BN1546_S2_L003_I1_001.fastq.gz</v>
      </c>
      <c r="K954" s="46" t="s">
        <v>1335</v>
      </c>
      <c r="L954" s="46" t="s">
        <v>3231</v>
      </c>
      <c r="M954" s="46" t="s">
        <v>1309</v>
      </c>
      <c r="N954" s="46" t="s">
        <v>1310</v>
      </c>
      <c r="O954" s="46" t="s">
        <v>1311</v>
      </c>
      <c r="P954" s="46" t="s">
        <v>1312</v>
      </c>
      <c r="Q954" s="46" t="s">
        <v>31</v>
      </c>
      <c r="R954" s="46" t="s">
        <v>31</v>
      </c>
      <c r="S954" s="46" t="s">
        <v>31</v>
      </c>
      <c r="T954" s="46" t="s">
        <v>31</v>
      </c>
      <c r="U954" s="46" t="s">
        <v>49</v>
      </c>
    </row>
    <row r="955" spans="1:21">
      <c r="A955" s="46" t="s">
        <v>745</v>
      </c>
      <c r="B955" s="46" t="s">
        <v>155</v>
      </c>
      <c r="C955" s="46" t="s">
        <v>666</v>
      </c>
      <c r="D955" s="46">
        <v>1</v>
      </c>
      <c r="E955" s="46">
        <v>0</v>
      </c>
      <c r="F955" s="46" t="s">
        <v>746</v>
      </c>
      <c r="G955" s="46" t="s">
        <v>1305</v>
      </c>
      <c r="H955" s="46" t="s">
        <v>3232</v>
      </c>
      <c r="I955" s="46" t="str">
        <f ca="1">IFERROR(__xludf.DUMMYFUNCTION("CONCAT(A955,REGEXREPLACE(H955,"".*_L0"",""_L0""))"),"HC_BN1546_MTG_snRNAseq_rep1_L003_I2_001.fastq.gz")</f>
        <v>HC_BN1546_MTG_snRNAseq_rep1_L003_I2_001.fastq.gz</v>
      </c>
      <c r="J955" s="46" t="str">
        <f t="shared" si="3"/>
        <v>/data/neurogen/ASAP/scRNAseq/data/batch18_ASAP_snRNA-seq_*/Raw_Data_and_Processing/cellranger_processing/cellranger_fastqs/outs/fastq_path/H*/BN1546_S2_L003_I2_001.fastq.gz</v>
      </c>
      <c r="K955" s="46" t="s">
        <v>1338</v>
      </c>
      <c r="L955" s="46" t="s">
        <v>3233</v>
      </c>
      <c r="M955" s="46" t="s">
        <v>1309</v>
      </c>
      <c r="N955" s="46" t="s">
        <v>1310</v>
      </c>
      <c r="O955" s="46" t="s">
        <v>1311</v>
      </c>
      <c r="P955" s="46" t="s">
        <v>1312</v>
      </c>
      <c r="Q955" s="46" t="s">
        <v>31</v>
      </c>
      <c r="R955" s="46" t="s">
        <v>31</v>
      </c>
      <c r="S955" s="46" t="s">
        <v>31</v>
      </c>
      <c r="T955" s="46" t="s">
        <v>31</v>
      </c>
      <c r="U955" s="46" t="s">
        <v>49</v>
      </c>
    </row>
    <row r="956" spans="1:21">
      <c r="A956" s="46" t="s">
        <v>745</v>
      </c>
      <c r="B956" s="46" t="s">
        <v>155</v>
      </c>
      <c r="C956" s="46" t="s">
        <v>666</v>
      </c>
      <c r="D956" s="46">
        <v>1</v>
      </c>
      <c r="E956" s="46">
        <v>0</v>
      </c>
      <c r="F956" s="46" t="s">
        <v>746</v>
      </c>
      <c r="G956" s="46" t="s">
        <v>1305</v>
      </c>
      <c r="H956" s="46" t="s">
        <v>3234</v>
      </c>
      <c r="I956" s="46" t="str">
        <f ca="1">IFERROR(__xludf.DUMMYFUNCTION("CONCAT(A956,REGEXREPLACE(H956,"".*_L0"",""_L0""))"),"HC_BN1546_MTG_snRNAseq_rep1_L003_R1_001.fastq.gz")</f>
        <v>HC_BN1546_MTG_snRNAseq_rep1_L003_R1_001.fastq.gz</v>
      </c>
      <c r="J956" s="46" t="str">
        <f t="shared" si="3"/>
        <v>/data/neurogen/ASAP/scRNAseq/data/batch18_ASAP_snRNA-seq_*/Raw_Data_and_Processing/cellranger_processing/cellranger_fastqs/outs/fastq_path/H*/BN1546_S2_L003_R1_001.fastq.gz</v>
      </c>
      <c r="K956" s="46" t="s">
        <v>1341</v>
      </c>
      <c r="L956" s="46" t="s">
        <v>3235</v>
      </c>
      <c r="M956" s="46" t="s">
        <v>1309</v>
      </c>
      <c r="N956" s="46" t="s">
        <v>1310</v>
      </c>
      <c r="O956" s="46" t="s">
        <v>1311</v>
      </c>
      <c r="P956" s="46" t="s">
        <v>1312</v>
      </c>
      <c r="Q956" s="46" t="s">
        <v>31</v>
      </c>
      <c r="R956" s="46" t="s">
        <v>31</v>
      </c>
      <c r="S956" s="46" t="s">
        <v>31</v>
      </c>
      <c r="T956" s="46" t="s">
        <v>31</v>
      </c>
      <c r="U956" s="46" t="s">
        <v>49</v>
      </c>
    </row>
    <row r="957" spans="1:21">
      <c r="A957" s="46" t="s">
        <v>745</v>
      </c>
      <c r="B957" s="46" t="s">
        <v>155</v>
      </c>
      <c r="C957" s="46" t="s">
        <v>666</v>
      </c>
      <c r="D957" s="46">
        <v>1</v>
      </c>
      <c r="E957" s="46">
        <v>0</v>
      </c>
      <c r="F957" s="46" t="s">
        <v>746</v>
      </c>
      <c r="G957" s="46" t="s">
        <v>1305</v>
      </c>
      <c r="H957" s="46" t="s">
        <v>3236</v>
      </c>
      <c r="I957" s="46" t="str">
        <f ca="1">IFERROR(__xludf.DUMMYFUNCTION("CONCAT(A957,REGEXREPLACE(H957,"".*_L0"",""_L0""))"),"HC_BN1546_MTG_snRNAseq_rep1_L003_R2_001.fastq.gz")</f>
        <v>HC_BN1546_MTG_snRNAseq_rep1_L003_R2_001.fastq.gz</v>
      </c>
      <c r="J957" s="46" t="str">
        <f t="shared" si="3"/>
        <v>/data/neurogen/ASAP/scRNAseq/data/batch18_ASAP_snRNA-seq_*/Raw_Data_and_Processing/cellranger_processing/cellranger_fastqs/outs/fastq_path/H*/BN1546_S2_L003_R2_001.fastq.gz</v>
      </c>
      <c r="K957" s="46" t="s">
        <v>1344</v>
      </c>
      <c r="L957" s="46" t="s">
        <v>3237</v>
      </c>
      <c r="M957" s="46" t="s">
        <v>1309</v>
      </c>
      <c r="N957" s="46" t="s">
        <v>1310</v>
      </c>
      <c r="O957" s="46" t="s">
        <v>1311</v>
      </c>
      <c r="P957" s="46" t="s">
        <v>1312</v>
      </c>
      <c r="Q957" s="46" t="s">
        <v>31</v>
      </c>
      <c r="R957" s="46" t="s">
        <v>31</v>
      </c>
      <c r="S957" s="46" t="s">
        <v>31</v>
      </c>
      <c r="T957" s="46" t="s">
        <v>31</v>
      </c>
      <c r="U957" s="46" t="s">
        <v>49</v>
      </c>
    </row>
    <row r="958" spans="1:21">
      <c r="A958" s="46" t="s">
        <v>745</v>
      </c>
      <c r="B958" s="46" t="s">
        <v>155</v>
      </c>
      <c r="C958" s="46" t="s">
        <v>666</v>
      </c>
      <c r="D958" s="46">
        <v>1</v>
      </c>
      <c r="E958" s="46">
        <v>0</v>
      </c>
      <c r="F958" s="46" t="s">
        <v>746</v>
      </c>
      <c r="G958" s="46" t="s">
        <v>1305</v>
      </c>
      <c r="H958" s="46" t="s">
        <v>3238</v>
      </c>
      <c r="I958" s="46" t="str">
        <f ca="1">IFERROR(__xludf.DUMMYFUNCTION("CONCAT(A958,REGEXREPLACE(H958,"".*_L0"",""_L0""))"),"HC_BN1546_MTG_snRNAseq_rep1_L004_I1_001.fastq.gz")</f>
        <v>HC_BN1546_MTG_snRNAseq_rep1_L004_I1_001.fastq.gz</v>
      </c>
      <c r="J958" s="46" t="str">
        <f t="shared" si="3"/>
        <v>/data/neurogen/ASAP/scRNAseq/data/batch18_ASAP_snRNA-seq_*/Raw_Data_and_Processing/cellranger_processing/cellranger_fastqs/outs/fastq_path/H*/BN1546_S2_L004_I1_001.fastq.gz</v>
      </c>
      <c r="K958" s="46" t="s">
        <v>1347</v>
      </c>
      <c r="L958" s="46" t="s">
        <v>3239</v>
      </c>
      <c r="M958" s="46" t="s">
        <v>1309</v>
      </c>
      <c r="N958" s="46" t="s">
        <v>1310</v>
      </c>
      <c r="O958" s="46" t="s">
        <v>1311</v>
      </c>
      <c r="P958" s="46" t="s">
        <v>1312</v>
      </c>
      <c r="Q958" s="46" t="s">
        <v>31</v>
      </c>
      <c r="R958" s="46" t="s">
        <v>31</v>
      </c>
      <c r="S958" s="46" t="s">
        <v>31</v>
      </c>
      <c r="T958" s="46" t="s">
        <v>31</v>
      </c>
      <c r="U958" s="46" t="s">
        <v>49</v>
      </c>
    </row>
    <row r="959" spans="1:21">
      <c r="A959" s="46" t="s">
        <v>745</v>
      </c>
      <c r="B959" s="46" t="s">
        <v>155</v>
      </c>
      <c r="C959" s="46" t="s">
        <v>666</v>
      </c>
      <c r="D959" s="46">
        <v>1</v>
      </c>
      <c r="E959" s="46">
        <v>0</v>
      </c>
      <c r="F959" s="46" t="s">
        <v>746</v>
      </c>
      <c r="G959" s="46" t="s">
        <v>1305</v>
      </c>
      <c r="H959" s="46" t="s">
        <v>3240</v>
      </c>
      <c r="I959" s="46" t="str">
        <f ca="1">IFERROR(__xludf.DUMMYFUNCTION("CONCAT(A959,REGEXREPLACE(H959,"".*_L0"",""_L0""))"),"HC_BN1546_MTG_snRNAseq_rep1_L004_I2_001.fastq.gz")</f>
        <v>HC_BN1546_MTG_snRNAseq_rep1_L004_I2_001.fastq.gz</v>
      </c>
      <c r="J959" s="46" t="str">
        <f t="shared" si="3"/>
        <v>/data/neurogen/ASAP/scRNAseq/data/batch18_ASAP_snRNA-seq_*/Raw_Data_and_Processing/cellranger_processing/cellranger_fastqs/outs/fastq_path/H*/BN1546_S2_L004_I2_001.fastq.gz</v>
      </c>
      <c r="K959" s="46" t="s">
        <v>1350</v>
      </c>
      <c r="L959" s="46" t="s">
        <v>3241</v>
      </c>
      <c r="M959" s="46" t="s">
        <v>1309</v>
      </c>
      <c r="N959" s="46" t="s">
        <v>1310</v>
      </c>
      <c r="O959" s="46" t="s">
        <v>1311</v>
      </c>
      <c r="P959" s="46" t="s">
        <v>1312</v>
      </c>
      <c r="Q959" s="46" t="s">
        <v>31</v>
      </c>
      <c r="R959" s="46" t="s">
        <v>31</v>
      </c>
      <c r="S959" s="46" t="s">
        <v>31</v>
      </c>
      <c r="T959" s="46" t="s">
        <v>31</v>
      </c>
      <c r="U959" s="46" t="s">
        <v>49</v>
      </c>
    </row>
    <row r="960" spans="1:21">
      <c r="A960" s="46" t="s">
        <v>745</v>
      </c>
      <c r="B960" s="46" t="s">
        <v>155</v>
      </c>
      <c r="C960" s="46" t="s">
        <v>666</v>
      </c>
      <c r="D960" s="46">
        <v>1</v>
      </c>
      <c r="E960" s="46">
        <v>0</v>
      </c>
      <c r="F960" s="46" t="s">
        <v>746</v>
      </c>
      <c r="G960" s="46" t="s">
        <v>1305</v>
      </c>
      <c r="H960" s="46" t="s">
        <v>3242</v>
      </c>
      <c r="I960" s="46" t="str">
        <f ca="1">IFERROR(__xludf.DUMMYFUNCTION("CONCAT(A960,REGEXREPLACE(H960,"".*_L0"",""_L0""))"),"HC_BN1546_MTG_snRNAseq_rep1_L004_R1_001.fastq.gz")</f>
        <v>HC_BN1546_MTG_snRNAseq_rep1_L004_R1_001.fastq.gz</v>
      </c>
      <c r="J960" s="46" t="str">
        <f t="shared" si="3"/>
        <v>/data/neurogen/ASAP/scRNAseq/data/batch18_ASAP_snRNA-seq_*/Raw_Data_and_Processing/cellranger_processing/cellranger_fastqs/outs/fastq_path/H*/BN1546_S2_L004_R1_001.fastq.gz</v>
      </c>
      <c r="K960" s="46" t="s">
        <v>1353</v>
      </c>
      <c r="L960" s="46" t="s">
        <v>3243</v>
      </c>
      <c r="M960" s="46" t="s">
        <v>1309</v>
      </c>
      <c r="N960" s="46" t="s">
        <v>1310</v>
      </c>
      <c r="O960" s="46" t="s">
        <v>1311</v>
      </c>
      <c r="P960" s="46" t="s">
        <v>1312</v>
      </c>
      <c r="Q960" s="46" t="s">
        <v>31</v>
      </c>
      <c r="R960" s="46" t="s">
        <v>31</v>
      </c>
      <c r="S960" s="46" t="s">
        <v>31</v>
      </c>
      <c r="T960" s="46" t="s">
        <v>31</v>
      </c>
      <c r="U960" s="46" t="s">
        <v>49</v>
      </c>
    </row>
    <row r="961" spans="1:21">
      <c r="A961" s="46" t="s">
        <v>745</v>
      </c>
      <c r="B961" s="46" t="s">
        <v>155</v>
      </c>
      <c r="C961" s="46" t="s">
        <v>666</v>
      </c>
      <c r="D961" s="46">
        <v>1</v>
      </c>
      <c r="E961" s="46">
        <v>0</v>
      </c>
      <c r="F961" s="46" t="s">
        <v>746</v>
      </c>
      <c r="G961" s="46" t="s">
        <v>1305</v>
      </c>
      <c r="H961" s="46" t="s">
        <v>3244</v>
      </c>
      <c r="I961" s="46" t="str">
        <f ca="1">IFERROR(__xludf.DUMMYFUNCTION("CONCAT(A961,REGEXREPLACE(H961,"".*_L0"",""_L0""))"),"HC_BN1546_MTG_snRNAseq_rep1_L004_R2_001.fastq.gz")</f>
        <v>HC_BN1546_MTG_snRNAseq_rep1_L004_R2_001.fastq.gz</v>
      </c>
      <c r="J961" s="46" t="str">
        <f t="shared" si="3"/>
        <v>/data/neurogen/ASAP/scRNAseq/data/batch18_ASAP_snRNA-seq_*/Raw_Data_and_Processing/cellranger_processing/cellranger_fastqs/outs/fastq_path/H*/BN1546_S2_L004_R2_001.fastq.gz</v>
      </c>
      <c r="K961" s="46" t="s">
        <v>1356</v>
      </c>
      <c r="L961" s="46" t="s">
        <v>3245</v>
      </c>
      <c r="M961" s="46" t="s">
        <v>1309</v>
      </c>
      <c r="N961" s="46" t="s">
        <v>1310</v>
      </c>
      <c r="O961" s="46" t="s">
        <v>1311</v>
      </c>
      <c r="P961" s="46" t="s">
        <v>1312</v>
      </c>
      <c r="Q961" s="46" t="s">
        <v>31</v>
      </c>
      <c r="R961" s="46" t="s">
        <v>31</v>
      </c>
      <c r="S961" s="46" t="s">
        <v>31</v>
      </c>
      <c r="T961" s="46" t="s">
        <v>31</v>
      </c>
      <c r="U961" s="46" t="s">
        <v>49</v>
      </c>
    </row>
    <row r="962" spans="1:21">
      <c r="A962" s="46" t="s">
        <v>757</v>
      </c>
      <c r="B962" s="46" t="s">
        <v>173</v>
      </c>
      <c r="C962" s="46" t="s">
        <v>666</v>
      </c>
      <c r="D962" s="46">
        <v>1</v>
      </c>
      <c r="E962" s="46">
        <v>0</v>
      </c>
      <c r="F962" s="46" t="s">
        <v>746</v>
      </c>
      <c r="G962" s="46" t="s">
        <v>1305</v>
      </c>
      <c r="H962" s="46" t="s">
        <v>3246</v>
      </c>
      <c r="I962" s="46" t="str">
        <f ca="1">IFERROR(__xludf.DUMMYFUNCTION("CONCAT(A962,REGEXREPLACE(H962,"".*_L0"",""_L0""))"),"ILB_BN1726_MTG_snRNAseq_rep1_L001_I1_001.fastq.gz")</f>
        <v>ILB_BN1726_MTG_snRNAseq_rep1_L001_I1_001.fastq.gz</v>
      </c>
      <c r="J962" s="46" t="str">
        <f t="shared" si="3"/>
        <v>/data/neurogen/ASAP/scRNAseq/data/batch18_ASAP_snRNA-seq_*/Raw_Data_and_Processing/cellranger_processing/cellranger_fastqs/outs/fastq_path/H*/BN1726_S1_L001_I1_001.fastq.gz</v>
      </c>
      <c r="K962" s="46" t="s">
        <v>1307</v>
      </c>
      <c r="L962" s="46" t="s">
        <v>3247</v>
      </c>
      <c r="M962" s="46" t="s">
        <v>1309</v>
      </c>
      <c r="N962" s="46" t="s">
        <v>1310</v>
      </c>
      <c r="O962" s="46" t="s">
        <v>1311</v>
      </c>
      <c r="P962" s="46" t="s">
        <v>1312</v>
      </c>
      <c r="Q962" s="46" t="s">
        <v>31</v>
      </c>
      <c r="R962" s="46" t="s">
        <v>31</v>
      </c>
      <c r="S962" s="46" t="s">
        <v>31</v>
      </c>
      <c r="T962" s="46" t="s">
        <v>31</v>
      </c>
      <c r="U962" s="46" t="s">
        <v>49</v>
      </c>
    </row>
    <row r="963" spans="1:21">
      <c r="A963" s="46" t="s">
        <v>757</v>
      </c>
      <c r="B963" s="46" t="s">
        <v>173</v>
      </c>
      <c r="C963" s="46" t="s">
        <v>666</v>
      </c>
      <c r="D963" s="46">
        <v>1</v>
      </c>
      <c r="E963" s="46">
        <v>0</v>
      </c>
      <c r="F963" s="46" t="s">
        <v>746</v>
      </c>
      <c r="G963" s="46" t="s">
        <v>1305</v>
      </c>
      <c r="H963" s="46" t="s">
        <v>3248</v>
      </c>
      <c r="I963" s="46" t="str">
        <f ca="1">IFERROR(__xludf.DUMMYFUNCTION("CONCAT(A963,REGEXREPLACE(H963,"".*_L0"",""_L0""))"),"ILB_BN1726_MTG_snRNAseq_rep1_L001_I2_001.fastq.gz")</f>
        <v>ILB_BN1726_MTG_snRNAseq_rep1_L001_I2_001.fastq.gz</v>
      </c>
      <c r="J963" s="46" t="str">
        <f t="shared" si="3"/>
        <v>/data/neurogen/ASAP/scRNAseq/data/batch18_ASAP_snRNA-seq_*/Raw_Data_and_Processing/cellranger_processing/cellranger_fastqs/outs/fastq_path/H*/BN1726_S1_L001_I2_001.fastq.gz</v>
      </c>
      <c r="K963" s="46" t="s">
        <v>1314</v>
      </c>
      <c r="L963" s="46" t="s">
        <v>3249</v>
      </c>
      <c r="M963" s="46" t="s">
        <v>1309</v>
      </c>
      <c r="N963" s="46" t="s">
        <v>1310</v>
      </c>
      <c r="O963" s="46" t="s">
        <v>1311</v>
      </c>
      <c r="P963" s="46" t="s">
        <v>1312</v>
      </c>
      <c r="Q963" s="46" t="s">
        <v>31</v>
      </c>
      <c r="R963" s="46" t="s">
        <v>31</v>
      </c>
      <c r="S963" s="46" t="s">
        <v>31</v>
      </c>
      <c r="T963" s="46" t="s">
        <v>31</v>
      </c>
      <c r="U963" s="46" t="s">
        <v>49</v>
      </c>
    </row>
    <row r="964" spans="1:21">
      <c r="A964" s="46" t="s">
        <v>757</v>
      </c>
      <c r="B964" s="46" t="s">
        <v>173</v>
      </c>
      <c r="C964" s="46" t="s">
        <v>666</v>
      </c>
      <c r="D964" s="46">
        <v>1</v>
      </c>
      <c r="E964" s="46">
        <v>0</v>
      </c>
      <c r="F964" s="46" t="s">
        <v>746</v>
      </c>
      <c r="G964" s="46" t="s">
        <v>1305</v>
      </c>
      <c r="H964" s="46" t="s">
        <v>3250</v>
      </c>
      <c r="I964" s="46" t="str">
        <f ca="1">IFERROR(__xludf.DUMMYFUNCTION("CONCAT(A964,REGEXREPLACE(H964,"".*_L0"",""_L0""))"),"ILB_BN1726_MTG_snRNAseq_rep1_L001_R1_001.fastq.gz")</f>
        <v>ILB_BN1726_MTG_snRNAseq_rep1_L001_R1_001.fastq.gz</v>
      </c>
      <c r="J964" s="46" t="str">
        <f t="shared" si="3"/>
        <v>/data/neurogen/ASAP/scRNAseq/data/batch18_ASAP_snRNA-seq_*/Raw_Data_and_Processing/cellranger_processing/cellranger_fastqs/outs/fastq_path/H*/BN1726_S1_L001_R1_001.fastq.gz</v>
      </c>
      <c r="K964" s="46" t="s">
        <v>1317</v>
      </c>
      <c r="L964" s="46" t="s">
        <v>3251</v>
      </c>
      <c r="M964" s="46" t="s">
        <v>1309</v>
      </c>
      <c r="N964" s="46" t="s">
        <v>1310</v>
      </c>
      <c r="O964" s="46" t="s">
        <v>1311</v>
      </c>
      <c r="P964" s="46" t="s">
        <v>1312</v>
      </c>
      <c r="Q964" s="46" t="s">
        <v>31</v>
      </c>
      <c r="R964" s="46" t="s">
        <v>31</v>
      </c>
      <c r="S964" s="46" t="s">
        <v>31</v>
      </c>
      <c r="T964" s="46" t="s">
        <v>31</v>
      </c>
      <c r="U964" s="46" t="s">
        <v>49</v>
      </c>
    </row>
    <row r="965" spans="1:21">
      <c r="A965" s="46" t="s">
        <v>757</v>
      </c>
      <c r="B965" s="46" t="s">
        <v>173</v>
      </c>
      <c r="C965" s="46" t="s">
        <v>666</v>
      </c>
      <c r="D965" s="46">
        <v>1</v>
      </c>
      <c r="E965" s="46">
        <v>0</v>
      </c>
      <c r="F965" s="46" t="s">
        <v>746</v>
      </c>
      <c r="G965" s="46" t="s">
        <v>1305</v>
      </c>
      <c r="H965" s="46" t="s">
        <v>3252</v>
      </c>
      <c r="I965" s="46" t="str">
        <f ca="1">IFERROR(__xludf.DUMMYFUNCTION("CONCAT(A965,REGEXREPLACE(H965,"".*_L0"",""_L0""))"),"ILB_BN1726_MTG_snRNAseq_rep1_L001_R2_001.fastq.gz")</f>
        <v>ILB_BN1726_MTG_snRNAseq_rep1_L001_R2_001.fastq.gz</v>
      </c>
      <c r="J965" s="46" t="str">
        <f t="shared" si="3"/>
        <v>/data/neurogen/ASAP/scRNAseq/data/batch18_ASAP_snRNA-seq_*/Raw_Data_and_Processing/cellranger_processing/cellranger_fastqs/outs/fastq_path/H*/BN1726_S1_L001_R2_001.fastq.gz</v>
      </c>
      <c r="K965" s="46" t="s">
        <v>1320</v>
      </c>
      <c r="L965" s="46" t="s">
        <v>3253</v>
      </c>
      <c r="M965" s="46" t="s">
        <v>1309</v>
      </c>
      <c r="N965" s="46" t="s">
        <v>1310</v>
      </c>
      <c r="O965" s="46" t="s">
        <v>1311</v>
      </c>
      <c r="P965" s="46" t="s">
        <v>1312</v>
      </c>
      <c r="Q965" s="46" t="s">
        <v>31</v>
      </c>
      <c r="R965" s="46" t="s">
        <v>31</v>
      </c>
      <c r="S965" s="46" t="s">
        <v>31</v>
      </c>
      <c r="T965" s="46" t="s">
        <v>31</v>
      </c>
      <c r="U965" s="46" t="s">
        <v>49</v>
      </c>
    </row>
    <row r="966" spans="1:21">
      <c r="A966" s="46" t="s">
        <v>757</v>
      </c>
      <c r="B966" s="46" t="s">
        <v>173</v>
      </c>
      <c r="C966" s="46" t="s">
        <v>666</v>
      </c>
      <c r="D966" s="46">
        <v>1</v>
      </c>
      <c r="E966" s="46">
        <v>0</v>
      </c>
      <c r="F966" s="46" t="s">
        <v>746</v>
      </c>
      <c r="G966" s="46" t="s">
        <v>1305</v>
      </c>
      <c r="H966" s="46" t="s">
        <v>3254</v>
      </c>
      <c r="I966" s="46" t="str">
        <f ca="1">IFERROR(__xludf.DUMMYFUNCTION("CONCAT(A966,REGEXREPLACE(H966,"".*_L0"",""_L0""))"),"ILB_BN1726_MTG_snRNAseq_rep1_L002_I1_001.fastq.gz")</f>
        <v>ILB_BN1726_MTG_snRNAseq_rep1_L002_I1_001.fastq.gz</v>
      </c>
      <c r="J966" s="46" t="str">
        <f t="shared" si="3"/>
        <v>/data/neurogen/ASAP/scRNAseq/data/batch18_ASAP_snRNA-seq_*/Raw_Data_and_Processing/cellranger_processing/cellranger_fastqs/outs/fastq_path/H*/BN1726_S1_L002_I1_001.fastq.gz</v>
      </c>
      <c r="K966" s="46" t="s">
        <v>1323</v>
      </c>
      <c r="L966" s="46" t="s">
        <v>3255</v>
      </c>
      <c r="M966" s="46" t="s">
        <v>1309</v>
      </c>
      <c r="N966" s="46" t="s">
        <v>1310</v>
      </c>
      <c r="O966" s="46" t="s">
        <v>1311</v>
      </c>
      <c r="P966" s="46" t="s">
        <v>1312</v>
      </c>
      <c r="Q966" s="46" t="s">
        <v>31</v>
      </c>
      <c r="R966" s="46" t="s">
        <v>31</v>
      </c>
      <c r="S966" s="46" t="s">
        <v>31</v>
      </c>
      <c r="T966" s="46" t="s">
        <v>31</v>
      </c>
      <c r="U966" s="46" t="s">
        <v>49</v>
      </c>
    </row>
    <row r="967" spans="1:21">
      <c r="A967" s="46" t="s">
        <v>757</v>
      </c>
      <c r="B967" s="46" t="s">
        <v>173</v>
      </c>
      <c r="C967" s="46" t="s">
        <v>666</v>
      </c>
      <c r="D967" s="46">
        <v>1</v>
      </c>
      <c r="E967" s="46">
        <v>0</v>
      </c>
      <c r="F967" s="46" t="s">
        <v>746</v>
      </c>
      <c r="G967" s="46" t="s">
        <v>1305</v>
      </c>
      <c r="H967" s="46" t="s">
        <v>3256</v>
      </c>
      <c r="I967" s="46" t="str">
        <f ca="1">IFERROR(__xludf.DUMMYFUNCTION("CONCAT(A967,REGEXREPLACE(H967,"".*_L0"",""_L0""))"),"ILB_BN1726_MTG_snRNAseq_rep1_L002_I2_001.fastq.gz")</f>
        <v>ILB_BN1726_MTG_snRNAseq_rep1_L002_I2_001.fastq.gz</v>
      </c>
      <c r="J967" s="46" t="str">
        <f t="shared" si="3"/>
        <v>/data/neurogen/ASAP/scRNAseq/data/batch18_ASAP_snRNA-seq_*/Raw_Data_and_Processing/cellranger_processing/cellranger_fastqs/outs/fastq_path/H*/BN1726_S1_L002_I2_001.fastq.gz</v>
      </c>
      <c r="K967" s="46" t="s">
        <v>1326</v>
      </c>
      <c r="L967" s="46" t="s">
        <v>3257</v>
      </c>
      <c r="M967" s="46" t="s">
        <v>1309</v>
      </c>
      <c r="N967" s="46" t="s">
        <v>1310</v>
      </c>
      <c r="O967" s="46" t="s">
        <v>1311</v>
      </c>
      <c r="P967" s="46" t="s">
        <v>1312</v>
      </c>
      <c r="Q967" s="46" t="s">
        <v>31</v>
      </c>
      <c r="R967" s="46" t="s">
        <v>31</v>
      </c>
      <c r="S967" s="46" t="s">
        <v>31</v>
      </c>
      <c r="T967" s="46" t="s">
        <v>31</v>
      </c>
      <c r="U967" s="46" t="s">
        <v>49</v>
      </c>
    </row>
    <row r="968" spans="1:21">
      <c r="A968" s="46" t="s">
        <v>757</v>
      </c>
      <c r="B968" s="46" t="s">
        <v>173</v>
      </c>
      <c r="C968" s="46" t="s">
        <v>666</v>
      </c>
      <c r="D968" s="46">
        <v>1</v>
      </c>
      <c r="E968" s="46">
        <v>0</v>
      </c>
      <c r="F968" s="46" t="s">
        <v>746</v>
      </c>
      <c r="G968" s="46" t="s">
        <v>1305</v>
      </c>
      <c r="H968" s="46" t="s">
        <v>3258</v>
      </c>
      <c r="I968" s="46" t="str">
        <f ca="1">IFERROR(__xludf.DUMMYFUNCTION("CONCAT(A968,REGEXREPLACE(H968,"".*_L0"",""_L0""))"),"ILB_BN1726_MTG_snRNAseq_rep1_L002_R1_001.fastq.gz")</f>
        <v>ILB_BN1726_MTG_snRNAseq_rep1_L002_R1_001.fastq.gz</v>
      </c>
      <c r="J968" s="46" t="str">
        <f t="shared" si="3"/>
        <v>/data/neurogen/ASAP/scRNAseq/data/batch18_ASAP_snRNA-seq_*/Raw_Data_and_Processing/cellranger_processing/cellranger_fastqs/outs/fastq_path/H*/BN1726_S1_L002_R1_001.fastq.gz</v>
      </c>
      <c r="K968" s="46" t="s">
        <v>1329</v>
      </c>
      <c r="L968" s="46" t="s">
        <v>3259</v>
      </c>
      <c r="M968" s="46" t="s">
        <v>1309</v>
      </c>
      <c r="N968" s="46" t="s">
        <v>1310</v>
      </c>
      <c r="O968" s="46" t="s">
        <v>1311</v>
      </c>
      <c r="P968" s="46" t="s">
        <v>1312</v>
      </c>
      <c r="Q968" s="46" t="s">
        <v>31</v>
      </c>
      <c r="R968" s="46" t="s">
        <v>31</v>
      </c>
      <c r="S968" s="46" t="s">
        <v>31</v>
      </c>
      <c r="T968" s="46" t="s">
        <v>31</v>
      </c>
      <c r="U968" s="46" t="s">
        <v>49</v>
      </c>
    </row>
    <row r="969" spans="1:21">
      <c r="A969" s="46" t="s">
        <v>757</v>
      </c>
      <c r="B969" s="46" t="s">
        <v>173</v>
      </c>
      <c r="C969" s="46" t="s">
        <v>666</v>
      </c>
      <c r="D969" s="46">
        <v>1</v>
      </c>
      <c r="E969" s="46">
        <v>0</v>
      </c>
      <c r="F969" s="46" t="s">
        <v>746</v>
      </c>
      <c r="G969" s="46" t="s">
        <v>1305</v>
      </c>
      <c r="H969" s="46" t="s">
        <v>3260</v>
      </c>
      <c r="I969" s="46" t="str">
        <f ca="1">IFERROR(__xludf.DUMMYFUNCTION("CONCAT(A969,REGEXREPLACE(H969,"".*_L0"",""_L0""))"),"ILB_BN1726_MTG_snRNAseq_rep1_L002_R2_001.fastq.gz")</f>
        <v>ILB_BN1726_MTG_snRNAseq_rep1_L002_R2_001.fastq.gz</v>
      </c>
      <c r="J969" s="46" t="str">
        <f t="shared" si="3"/>
        <v>/data/neurogen/ASAP/scRNAseq/data/batch18_ASAP_snRNA-seq_*/Raw_Data_and_Processing/cellranger_processing/cellranger_fastqs/outs/fastq_path/H*/BN1726_S1_L002_R2_001.fastq.gz</v>
      </c>
      <c r="K969" s="46" t="s">
        <v>1332</v>
      </c>
      <c r="L969" s="46" t="s">
        <v>3261</v>
      </c>
      <c r="M969" s="46" t="s">
        <v>1309</v>
      </c>
      <c r="N969" s="46" t="s">
        <v>1310</v>
      </c>
      <c r="O969" s="46" t="s">
        <v>1311</v>
      </c>
      <c r="P969" s="46" t="s">
        <v>1312</v>
      </c>
      <c r="Q969" s="46" t="s">
        <v>31</v>
      </c>
      <c r="R969" s="46" t="s">
        <v>31</v>
      </c>
      <c r="S969" s="46" t="s">
        <v>31</v>
      </c>
      <c r="T969" s="46" t="s">
        <v>31</v>
      </c>
      <c r="U969" s="46" t="s">
        <v>49</v>
      </c>
    </row>
    <row r="970" spans="1:21">
      <c r="A970" s="46" t="s">
        <v>757</v>
      </c>
      <c r="B970" s="46" t="s">
        <v>173</v>
      </c>
      <c r="C970" s="46" t="s">
        <v>666</v>
      </c>
      <c r="D970" s="46">
        <v>1</v>
      </c>
      <c r="E970" s="46">
        <v>0</v>
      </c>
      <c r="F970" s="46" t="s">
        <v>746</v>
      </c>
      <c r="G970" s="46" t="s">
        <v>1305</v>
      </c>
      <c r="H970" s="46" t="s">
        <v>3262</v>
      </c>
      <c r="I970" s="46" t="str">
        <f ca="1">IFERROR(__xludf.DUMMYFUNCTION("CONCAT(A970,REGEXREPLACE(H970,"".*_L0"",""_L0""))"),"ILB_BN1726_MTG_snRNAseq_rep1_L003_I1_001.fastq.gz")</f>
        <v>ILB_BN1726_MTG_snRNAseq_rep1_L003_I1_001.fastq.gz</v>
      </c>
      <c r="J970" s="46" t="str">
        <f t="shared" si="3"/>
        <v>/data/neurogen/ASAP/scRNAseq/data/batch18_ASAP_snRNA-seq_*/Raw_Data_and_Processing/cellranger_processing/cellranger_fastqs/outs/fastq_path/H*/BN1726_S1_L003_I1_001.fastq.gz</v>
      </c>
      <c r="K970" s="46" t="s">
        <v>1335</v>
      </c>
      <c r="L970" s="46" t="s">
        <v>3263</v>
      </c>
      <c r="M970" s="46" t="s">
        <v>1309</v>
      </c>
      <c r="N970" s="46" t="s">
        <v>1310</v>
      </c>
      <c r="O970" s="46" t="s">
        <v>1311</v>
      </c>
      <c r="P970" s="46" t="s">
        <v>1312</v>
      </c>
      <c r="Q970" s="46" t="s">
        <v>31</v>
      </c>
      <c r="R970" s="46" t="s">
        <v>31</v>
      </c>
      <c r="S970" s="46" t="s">
        <v>31</v>
      </c>
      <c r="T970" s="46" t="s">
        <v>31</v>
      </c>
      <c r="U970" s="46" t="s">
        <v>49</v>
      </c>
    </row>
    <row r="971" spans="1:21">
      <c r="A971" s="46" t="s">
        <v>757</v>
      </c>
      <c r="B971" s="46" t="s">
        <v>173</v>
      </c>
      <c r="C971" s="46" t="s">
        <v>666</v>
      </c>
      <c r="D971" s="46">
        <v>1</v>
      </c>
      <c r="E971" s="46">
        <v>0</v>
      </c>
      <c r="F971" s="46" t="s">
        <v>746</v>
      </c>
      <c r="G971" s="46" t="s">
        <v>1305</v>
      </c>
      <c r="H971" s="46" t="s">
        <v>3264</v>
      </c>
      <c r="I971" s="46" t="str">
        <f ca="1">IFERROR(__xludf.DUMMYFUNCTION("CONCAT(A971,REGEXREPLACE(H971,"".*_L0"",""_L0""))"),"ILB_BN1726_MTG_snRNAseq_rep1_L003_I2_001.fastq.gz")</f>
        <v>ILB_BN1726_MTG_snRNAseq_rep1_L003_I2_001.fastq.gz</v>
      </c>
      <c r="J971" s="46" t="str">
        <f t="shared" si="3"/>
        <v>/data/neurogen/ASAP/scRNAseq/data/batch18_ASAP_snRNA-seq_*/Raw_Data_and_Processing/cellranger_processing/cellranger_fastqs/outs/fastq_path/H*/BN1726_S1_L003_I2_001.fastq.gz</v>
      </c>
      <c r="K971" s="46" t="s">
        <v>1338</v>
      </c>
      <c r="L971" s="46" t="s">
        <v>3265</v>
      </c>
      <c r="M971" s="46" t="s">
        <v>1309</v>
      </c>
      <c r="N971" s="46" t="s">
        <v>1310</v>
      </c>
      <c r="O971" s="46" t="s">
        <v>1311</v>
      </c>
      <c r="P971" s="46" t="s">
        <v>1312</v>
      </c>
      <c r="Q971" s="46" t="s">
        <v>31</v>
      </c>
      <c r="R971" s="46" t="s">
        <v>31</v>
      </c>
      <c r="S971" s="46" t="s">
        <v>31</v>
      </c>
      <c r="T971" s="46" t="s">
        <v>31</v>
      </c>
      <c r="U971" s="46" t="s">
        <v>49</v>
      </c>
    </row>
    <row r="972" spans="1:21">
      <c r="A972" s="46" t="s">
        <v>757</v>
      </c>
      <c r="B972" s="46" t="s">
        <v>173</v>
      </c>
      <c r="C972" s="46" t="s">
        <v>666</v>
      </c>
      <c r="D972" s="46">
        <v>1</v>
      </c>
      <c r="E972" s="46">
        <v>0</v>
      </c>
      <c r="F972" s="46" t="s">
        <v>746</v>
      </c>
      <c r="G972" s="46" t="s">
        <v>1305</v>
      </c>
      <c r="H972" s="46" t="s">
        <v>3266</v>
      </c>
      <c r="I972" s="46" t="str">
        <f ca="1">IFERROR(__xludf.DUMMYFUNCTION("CONCAT(A972,REGEXREPLACE(H972,"".*_L0"",""_L0""))"),"ILB_BN1726_MTG_snRNAseq_rep1_L003_R1_001.fastq.gz")</f>
        <v>ILB_BN1726_MTG_snRNAseq_rep1_L003_R1_001.fastq.gz</v>
      </c>
      <c r="J972" s="46" t="str">
        <f t="shared" si="3"/>
        <v>/data/neurogen/ASAP/scRNAseq/data/batch18_ASAP_snRNA-seq_*/Raw_Data_and_Processing/cellranger_processing/cellranger_fastqs/outs/fastq_path/H*/BN1726_S1_L003_R1_001.fastq.gz</v>
      </c>
      <c r="K972" s="46" t="s">
        <v>1341</v>
      </c>
      <c r="L972" s="46" t="s">
        <v>3267</v>
      </c>
      <c r="M972" s="46" t="s">
        <v>1309</v>
      </c>
      <c r="N972" s="46" t="s">
        <v>1310</v>
      </c>
      <c r="O972" s="46" t="s">
        <v>1311</v>
      </c>
      <c r="P972" s="46" t="s">
        <v>1312</v>
      </c>
      <c r="Q972" s="46" t="s">
        <v>31</v>
      </c>
      <c r="R972" s="46" t="s">
        <v>31</v>
      </c>
      <c r="S972" s="46" t="s">
        <v>31</v>
      </c>
      <c r="T972" s="46" t="s">
        <v>31</v>
      </c>
      <c r="U972" s="46" t="s">
        <v>49</v>
      </c>
    </row>
    <row r="973" spans="1:21">
      <c r="A973" s="46" t="s">
        <v>757</v>
      </c>
      <c r="B973" s="46" t="s">
        <v>173</v>
      </c>
      <c r="C973" s="46" t="s">
        <v>666</v>
      </c>
      <c r="D973" s="46">
        <v>1</v>
      </c>
      <c r="E973" s="46">
        <v>0</v>
      </c>
      <c r="F973" s="46" t="s">
        <v>746</v>
      </c>
      <c r="G973" s="46" t="s">
        <v>1305</v>
      </c>
      <c r="H973" s="46" t="s">
        <v>3268</v>
      </c>
      <c r="I973" s="46" t="str">
        <f ca="1">IFERROR(__xludf.DUMMYFUNCTION("CONCAT(A973,REGEXREPLACE(H973,"".*_L0"",""_L0""))"),"ILB_BN1726_MTG_snRNAseq_rep1_L003_R2_001.fastq.gz")</f>
        <v>ILB_BN1726_MTG_snRNAseq_rep1_L003_R2_001.fastq.gz</v>
      </c>
      <c r="J973" s="46" t="str">
        <f t="shared" si="3"/>
        <v>/data/neurogen/ASAP/scRNAseq/data/batch18_ASAP_snRNA-seq_*/Raw_Data_and_Processing/cellranger_processing/cellranger_fastqs/outs/fastq_path/H*/BN1726_S1_L003_R2_001.fastq.gz</v>
      </c>
      <c r="K973" s="46" t="s">
        <v>1344</v>
      </c>
      <c r="L973" s="46" t="s">
        <v>3269</v>
      </c>
      <c r="M973" s="46" t="s">
        <v>1309</v>
      </c>
      <c r="N973" s="46" t="s">
        <v>1310</v>
      </c>
      <c r="O973" s="46" t="s">
        <v>1311</v>
      </c>
      <c r="P973" s="46" t="s">
        <v>1312</v>
      </c>
      <c r="Q973" s="46" t="s">
        <v>31</v>
      </c>
      <c r="R973" s="46" t="s">
        <v>31</v>
      </c>
      <c r="S973" s="46" t="s">
        <v>31</v>
      </c>
      <c r="T973" s="46" t="s">
        <v>31</v>
      </c>
      <c r="U973" s="46" t="s">
        <v>49</v>
      </c>
    </row>
    <row r="974" spans="1:21">
      <c r="A974" s="46" t="s">
        <v>757</v>
      </c>
      <c r="B974" s="46" t="s">
        <v>173</v>
      </c>
      <c r="C974" s="46" t="s">
        <v>666</v>
      </c>
      <c r="D974" s="46">
        <v>1</v>
      </c>
      <c r="E974" s="46">
        <v>0</v>
      </c>
      <c r="F974" s="46" t="s">
        <v>746</v>
      </c>
      <c r="G974" s="46" t="s">
        <v>1305</v>
      </c>
      <c r="H974" s="46" t="s">
        <v>3270</v>
      </c>
      <c r="I974" s="46" t="str">
        <f ca="1">IFERROR(__xludf.DUMMYFUNCTION("CONCAT(A974,REGEXREPLACE(H974,"".*_L0"",""_L0""))"),"ILB_BN1726_MTG_snRNAseq_rep1_L004_I1_001.fastq.gz")</f>
        <v>ILB_BN1726_MTG_snRNAseq_rep1_L004_I1_001.fastq.gz</v>
      </c>
      <c r="J974" s="46" t="str">
        <f t="shared" si="3"/>
        <v>/data/neurogen/ASAP/scRNAseq/data/batch18_ASAP_snRNA-seq_*/Raw_Data_and_Processing/cellranger_processing/cellranger_fastqs/outs/fastq_path/H*/BN1726_S1_L004_I1_001.fastq.gz</v>
      </c>
      <c r="K974" s="46" t="s">
        <v>1347</v>
      </c>
      <c r="L974" s="47" t="s">
        <v>3271</v>
      </c>
      <c r="M974" s="46" t="s">
        <v>1309</v>
      </c>
      <c r="N974" s="46" t="s">
        <v>1310</v>
      </c>
      <c r="O974" s="46" t="s">
        <v>1311</v>
      </c>
      <c r="P974" s="46" t="s">
        <v>1312</v>
      </c>
      <c r="Q974" s="46" t="s">
        <v>31</v>
      </c>
      <c r="R974" s="46" t="s">
        <v>31</v>
      </c>
      <c r="S974" s="46" t="s">
        <v>31</v>
      </c>
      <c r="T974" s="46" t="s">
        <v>31</v>
      </c>
      <c r="U974" s="46" t="s">
        <v>49</v>
      </c>
    </row>
    <row r="975" spans="1:21">
      <c r="A975" s="46" t="s">
        <v>757</v>
      </c>
      <c r="B975" s="46" t="s">
        <v>173</v>
      </c>
      <c r="C975" s="46" t="s">
        <v>666</v>
      </c>
      <c r="D975" s="46">
        <v>1</v>
      </c>
      <c r="E975" s="46">
        <v>0</v>
      </c>
      <c r="F975" s="46" t="s">
        <v>746</v>
      </c>
      <c r="G975" s="46" t="s">
        <v>1305</v>
      </c>
      <c r="H975" s="46" t="s">
        <v>3272</v>
      </c>
      <c r="I975" s="46" t="str">
        <f ca="1">IFERROR(__xludf.DUMMYFUNCTION("CONCAT(A975,REGEXREPLACE(H975,"".*_L0"",""_L0""))"),"ILB_BN1726_MTG_snRNAseq_rep1_L004_I2_001.fastq.gz")</f>
        <v>ILB_BN1726_MTG_snRNAseq_rep1_L004_I2_001.fastq.gz</v>
      </c>
      <c r="J975" s="46" t="str">
        <f t="shared" si="3"/>
        <v>/data/neurogen/ASAP/scRNAseq/data/batch18_ASAP_snRNA-seq_*/Raw_Data_and_Processing/cellranger_processing/cellranger_fastqs/outs/fastq_path/H*/BN1726_S1_L004_I2_001.fastq.gz</v>
      </c>
      <c r="K975" s="46" t="s">
        <v>1350</v>
      </c>
      <c r="L975" s="46" t="s">
        <v>3273</v>
      </c>
      <c r="M975" s="46" t="s">
        <v>1309</v>
      </c>
      <c r="N975" s="46" t="s">
        <v>1310</v>
      </c>
      <c r="O975" s="46" t="s">
        <v>1311</v>
      </c>
      <c r="P975" s="46" t="s">
        <v>1312</v>
      </c>
      <c r="Q975" s="46" t="s">
        <v>31</v>
      </c>
      <c r="R975" s="46" t="s">
        <v>31</v>
      </c>
      <c r="S975" s="46" t="s">
        <v>31</v>
      </c>
      <c r="T975" s="46" t="s">
        <v>31</v>
      </c>
      <c r="U975" s="46" t="s">
        <v>49</v>
      </c>
    </row>
    <row r="976" spans="1:21">
      <c r="A976" s="46" t="s">
        <v>757</v>
      </c>
      <c r="B976" s="46" t="s">
        <v>173</v>
      </c>
      <c r="C976" s="46" t="s">
        <v>666</v>
      </c>
      <c r="D976" s="46">
        <v>1</v>
      </c>
      <c r="E976" s="46">
        <v>0</v>
      </c>
      <c r="F976" s="46" t="s">
        <v>746</v>
      </c>
      <c r="G976" s="46" t="s">
        <v>1305</v>
      </c>
      <c r="H976" s="46" t="s">
        <v>3274</v>
      </c>
      <c r="I976" s="46" t="str">
        <f ca="1">IFERROR(__xludf.DUMMYFUNCTION("CONCAT(A976,REGEXREPLACE(H976,"".*_L0"",""_L0""))"),"ILB_BN1726_MTG_snRNAseq_rep1_L004_R1_001.fastq.gz")</f>
        <v>ILB_BN1726_MTG_snRNAseq_rep1_L004_R1_001.fastq.gz</v>
      </c>
      <c r="J976" s="46" t="str">
        <f t="shared" si="3"/>
        <v>/data/neurogen/ASAP/scRNAseq/data/batch18_ASAP_snRNA-seq_*/Raw_Data_and_Processing/cellranger_processing/cellranger_fastqs/outs/fastq_path/H*/BN1726_S1_L004_R1_001.fastq.gz</v>
      </c>
      <c r="K976" s="46" t="s">
        <v>1353</v>
      </c>
      <c r="L976" s="46" t="s">
        <v>3275</v>
      </c>
      <c r="M976" s="46" t="s">
        <v>1309</v>
      </c>
      <c r="N976" s="46" t="s">
        <v>1310</v>
      </c>
      <c r="O976" s="46" t="s">
        <v>1311</v>
      </c>
      <c r="P976" s="46" t="s">
        <v>1312</v>
      </c>
      <c r="Q976" s="46" t="s">
        <v>31</v>
      </c>
      <c r="R976" s="46" t="s">
        <v>31</v>
      </c>
      <c r="S976" s="46" t="s">
        <v>31</v>
      </c>
      <c r="T976" s="46" t="s">
        <v>31</v>
      </c>
      <c r="U976" s="46" t="s">
        <v>49</v>
      </c>
    </row>
    <row r="977" spans="1:21">
      <c r="A977" s="46" t="s">
        <v>757</v>
      </c>
      <c r="B977" s="46" t="s">
        <v>173</v>
      </c>
      <c r="C977" s="46" t="s">
        <v>666</v>
      </c>
      <c r="D977" s="46">
        <v>1</v>
      </c>
      <c r="E977" s="46">
        <v>0</v>
      </c>
      <c r="F977" s="46" t="s">
        <v>746</v>
      </c>
      <c r="G977" s="46" t="s">
        <v>1305</v>
      </c>
      <c r="H977" s="46" t="s">
        <v>3276</v>
      </c>
      <c r="I977" s="46" t="str">
        <f ca="1">IFERROR(__xludf.DUMMYFUNCTION("CONCAT(A977,REGEXREPLACE(H977,"".*_L0"",""_L0""))"),"ILB_BN1726_MTG_snRNAseq_rep1_L004_R2_001.fastq.gz")</f>
        <v>ILB_BN1726_MTG_snRNAseq_rep1_L004_R2_001.fastq.gz</v>
      </c>
      <c r="J977" s="46" t="str">
        <f t="shared" si="3"/>
        <v>/data/neurogen/ASAP/scRNAseq/data/batch18_ASAP_snRNA-seq_*/Raw_Data_and_Processing/cellranger_processing/cellranger_fastqs/outs/fastq_path/H*/BN1726_S1_L004_R2_001.fastq.gz</v>
      </c>
      <c r="K977" s="46" t="s">
        <v>1356</v>
      </c>
      <c r="L977" s="46" t="s">
        <v>3277</v>
      </c>
      <c r="M977" s="46" t="s">
        <v>1309</v>
      </c>
      <c r="N977" s="46" t="s">
        <v>1310</v>
      </c>
      <c r="O977" s="46" t="s">
        <v>1311</v>
      </c>
      <c r="P977" s="46" t="s">
        <v>1312</v>
      </c>
      <c r="Q977" s="46" t="s">
        <v>31</v>
      </c>
      <c r="R977" s="46" t="s">
        <v>31</v>
      </c>
      <c r="S977" s="46" t="s">
        <v>31</v>
      </c>
      <c r="T977" s="46" t="s">
        <v>31</v>
      </c>
      <c r="U977" s="46" t="s">
        <v>49</v>
      </c>
    </row>
    <row r="978" spans="1:21">
      <c r="A978" s="46" t="s">
        <v>765</v>
      </c>
      <c r="B978" s="46" t="s">
        <v>187</v>
      </c>
      <c r="C978" s="46" t="s">
        <v>666</v>
      </c>
      <c r="D978" s="46">
        <v>1</v>
      </c>
      <c r="E978" s="46">
        <v>0</v>
      </c>
      <c r="F978" s="46" t="s">
        <v>746</v>
      </c>
      <c r="G978" s="46" t="s">
        <v>1305</v>
      </c>
      <c r="H978" s="46" t="s">
        <v>3278</v>
      </c>
      <c r="I978" s="46" t="str">
        <f ca="1">IFERROR(__xludf.DUMMYFUNCTION("CONCAT(A978,REGEXREPLACE(H978,"".*_L0"",""_L0""))"),"PD_BN1756_MTG_snRNAseq_rep1_L001_I1_001.fastq.gz")</f>
        <v>PD_BN1756_MTG_snRNAseq_rep1_L001_I1_001.fastq.gz</v>
      </c>
      <c r="J978" s="46" t="str">
        <f t="shared" si="3"/>
        <v>/data/neurogen/ASAP/scRNAseq/data/batch18_ASAP_snRNA-seq_*/Raw_Data_and_Processing/cellranger_processing/cellranger_fastqs/outs/fastq_path/H*/BN1756_S3_L001_I1_001.fastq.gz</v>
      </c>
      <c r="K978" s="46" t="s">
        <v>1307</v>
      </c>
      <c r="L978" s="46" t="s">
        <v>3279</v>
      </c>
      <c r="M978" s="46" t="s">
        <v>1309</v>
      </c>
      <c r="N978" s="46" t="s">
        <v>1310</v>
      </c>
      <c r="O978" s="46" t="s">
        <v>1311</v>
      </c>
      <c r="P978" s="46" t="s">
        <v>1312</v>
      </c>
      <c r="Q978" s="46" t="s">
        <v>31</v>
      </c>
      <c r="R978" s="46" t="s">
        <v>31</v>
      </c>
      <c r="S978" s="46" t="s">
        <v>31</v>
      </c>
      <c r="T978" s="46" t="s">
        <v>31</v>
      </c>
      <c r="U978" s="46" t="s">
        <v>49</v>
      </c>
    </row>
    <row r="979" spans="1:21">
      <c r="A979" s="46" t="s">
        <v>765</v>
      </c>
      <c r="B979" s="46" t="s">
        <v>187</v>
      </c>
      <c r="C979" s="46" t="s">
        <v>666</v>
      </c>
      <c r="D979" s="46">
        <v>1</v>
      </c>
      <c r="E979" s="46">
        <v>0</v>
      </c>
      <c r="F979" s="46" t="s">
        <v>746</v>
      </c>
      <c r="G979" s="46" t="s">
        <v>1305</v>
      </c>
      <c r="H979" s="46" t="s">
        <v>3280</v>
      </c>
      <c r="I979" s="46" t="str">
        <f ca="1">IFERROR(__xludf.DUMMYFUNCTION("CONCAT(A979,REGEXREPLACE(H979,"".*_L0"",""_L0""))"),"PD_BN1756_MTG_snRNAseq_rep1_L001_I2_001.fastq.gz")</f>
        <v>PD_BN1756_MTG_snRNAseq_rep1_L001_I2_001.fastq.gz</v>
      </c>
      <c r="J979" s="46" t="str">
        <f t="shared" si="3"/>
        <v>/data/neurogen/ASAP/scRNAseq/data/batch18_ASAP_snRNA-seq_*/Raw_Data_and_Processing/cellranger_processing/cellranger_fastqs/outs/fastq_path/H*/BN1756_S3_L001_I2_001.fastq.gz</v>
      </c>
      <c r="K979" s="46" t="s">
        <v>1314</v>
      </c>
      <c r="L979" s="46" t="s">
        <v>3281</v>
      </c>
      <c r="M979" s="46" t="s">
        <v>1309</v>
      </c>
      <c r="N979" s="46" t="s">
        <v>1310</v>
      </c>
      <c r="O979" s="46" t="s">
        <v>1311</v>
      </c>
      <c r="P979" s="46" t="s">
        <v>1312</v>
      </c>
      <c r="Q979" s="46" t="s">
        <v>31</v>
      </c>
      <c r="R979" s="46" t="s">
        <v>31</v>
      </c>
      <c r="S979" s="46" t="s">
        <v>31</v>
      </c>
      <c r="T979" s="46" t="s">
        <v>31</v>
      </c>
      <c r="U979" s="46" t="s">
        <v>49</v>
      </c>
    </row>
    <row r="980" spans="1:21">
      <c r="A980" s="46" t="s">
        <v>765</v>
      </c>
      <c r="B980" s="46" t="s">
        <v>187</v>
      </c>
      <c r="C980" s="46" t="s">
        <v>666</v>
      </c>
      <c r="D980" s="46">
        <v>1</v>
      </c>
      <c r="E980" s="46">
        <v>0</v>
      </c>
      <c r="F980" s="46" t="s">
        <v>746</v>
      </c>
      <c r="G980" s="46" t="s">
        <v>1305</v>
      </c>
      <c r="H980" s="46" t="s">
        <v>3282</v>
      </c>
      <c r="I980" s="46" t="str">
        <f ca="1">IFERROR(__xludf.DUMMYFUNCTION("CONCAT(A980,REGEXREPLACE(H980,"".*_L0"",""_L0""))"),"PD_BN1756_MTG_snRNAseq_rep1_L001_R1_001.fastq.gz")</f>
        <v>PD_BN1756_MTG_snRNAseq_rep1_L001_R1_001.fastq.gz</v>
      </c>
      <c r="J980" s="46" t="str">
        <f t="shared" si="3"/>
        <v>/data/neurogen/ASAP/scRNAseq/data/batch18_ASAP_snRNA-seq_*/Raw_Data_and_Processing/cellranger_processing/cellranger_fastqs/outs/fastq_path/H*/BN1756_S3_L001_R1_001.fastq.gz</v>
      </c>
      <c r="K980" s="46" t="s">
        <v>1317</v>
      </c>
      <c r="L980" s="46" t="s">
        <v>3283</v>
      </c>
      <c r="M980" s="46" t="s">
        <v>1309</v>
      </c>
      <c r="N980" s="46" t="s">
        <v>1310</v>
      </c>
      <c r="O980" s="46" t="s">
        <v>1311</v>
      </c>
      <c r="P980" s="46" t="s">
        <v>1312</v>
      </c>
      <c r="Q980" s="46" t="s">
        <v>31</v>
      </c>
      <c r="R980" s="46" t="s">
        <v>31</v>
      </c>
      <c r="S980" s="46" t="s">
        <v>31</v>
      </c>
      <c r="T980" s="46" t="s">
        <v>31</v>
      </c>
      <c r="U980" s="46" t="s">
        <v>49</v>
      </c>
    </row>
    <row r="981" spans="1:21">
      <c r="A981" s="46" t="s">
        <v>765</v>
      </c>
      <c r="B981" s="46" t="s">
        <v>187</v>
      </c>
      <c r="C981" s="46" t="s">
        <v>666</v>
      </c>
      <c r="D981" s="46">
        <v>1</v>
      </c>
      <c r="E981" s="46">
        <v>0</v>
      </c>
      <c r="F981" s="46" t="s">
        <v>746</v>
      </c>
      <c r="G981" s="46" t="s">
        <v>1305</v>
      </c>
      <c r="H981" s="46" t="s">
        <v>3284</v>
      </c>
      <c r="I981" s="46" t="str">
        <f ca="1">IFERROR(__xludf.DUMMYFUNCTION("CONCAT(A981,REGEXREPLACE(H981,"".*_L0"",""_L0""))"),"PD_BN1756_MTG_snRNAseq_rep1_L001_R2_001.fastq.gz")</f>
        <v>PD_BN1756_MTG_snRNAseq_rep1_L001_R2_001.fastq.gz</v>
      </c>
      <c r="J981" s="46" t="str">
        <f t="shared" si="3"/>
        <v>/data/neurogen/ASAP/scRNAseq/data/batch18_ASAP_snRNA-seq_*/Raw_Data_and_Processing/cellranger_processing/cellranger_fastqs/outs/fastq_path/H*/BN1756_S3_L001_R2_001.fastq.gz</v>
      </c>
      <c r="K981" s="46" t="s">
        <v>1320</v>
      </c>
      <c r="L981" s="46" t="s">
        <v>3285</v>
      </c>
      <c r="M981" s="46" t="s">
        <v>1309</v>
      </c>
      <c r="N981" s="46" t="s">
        <v>1310</v>
      </c>
      <c r="O981" s="46" t="s">
        <v>1311</v>
      </c>
      <c r="P981" s="46" t="s">
        <v>1312</v>
      </c>
      <c r="Q981" s="46" t="s">
        <v>31</v>
      </c>
      <c r="R981" s="46" t="s">
        <v>31</v>
      </c>
      <c r="S981" s="46" t="s">
        <v>31</v>
      </c>
      <c r="T981" s="46" t="s">
        <v>31</v>
      </c>
      <c r="U981" s="46" t="s">
        <v>49</v>
      </c>
    </row>
    <row r="982" spans="1:21">
      <c r="A982" s="46" t="s">
        <v>765</v>
      </c>
      <c r="B982" s="46" t="s">
        <v>187</v>
      </c>
      <c r="C982" s="46" t="s">
        <v>666</v>
      </c>
      <c r="D982" s="46">
        <v>1</v>
      </c>
      <c r="E982" s="46">
        <v>0</v>
      </c>
      <c r="F982" s="46" t="s">
        <v>746</v>
      </c>
      <c r="G982" s="46" t="s">
        <v>1305</v>
      </c>
      <c r="H982" s="46" t="s">
        <v>3286</v>
      </c>
      <c r="I982" s="46" t="str">
        <f ca="1">IFERROR(__xludf.DUMMYFUNCTION("CONCAT(A982,REGEXREPLACE(H982,"".*_L0"",""_L0""))"),"PD_BN1756_MTG_snRNAseq_rep1_L002_I1_001.fastq.gz")</f>
        <v>PD_BN1756_MTG_snRNAseq_rep1_L002_I1_001.fastq.gz</v>
      </c>
      <c r="J982" s="46" t="str">
        <f t="shared" si="3"/>
        <v>/data/neurogen/ASAP/scRNAseq/data/batch18_ASAP_snRNA-seq_*/Raw_Data_and_Processing/cellranger_processing/cellranger_fastqs/outs/fastq_path/H*/BN1756_S3_L002_I1_001.fastq.gz</v>
      </c>
      <c r="K982" s="46" t="s">
        <v>1323</v>
      </c>
      <c r="L982" s="46" t="s">
        <v>3287</v>
      </c>
      <c r="M982" s="46" t="s">
        <v>1309</v>
      </c>
      <c r="N982" s="46" t="s">
        <v>1310</v>
      </c>
      <c r="O982" s="46" t="s">
        <v>1311</v>
      </c>
      <c r="P982" s="46" t="s">
        <v>1312</v>
      </c>
      <c r="Q982" s="46" t="s">
        <v>31</v>
      </c>
      <c r="R982" s="46" t="s">
        <v>31</v>
      </c>
      <c r="S982" s="46" t="s">
        <v>31</v>
      </c>
      <c r="T982" s="46" t="s">
        <v>31</v>
      </c>
      <c r="U982" s="46" t="s">
        <v>49</v>
      </c>
    </row>
    <row r="983" spans="1:21">
      <c r="A983" s="46" t="s">
        <v>765</v>
      </c>
      <c r="B983" s="46" t="s">
        <v>187</v>
      </c>
      <c r="C983" s="46" t="s">
        <v>666</v>
      </c>
      <c r="D983" s="46">
        <v>1</v>
      </c>
      <c r="E983" s="46">
        <v>0</v>
      </c>
      <c r="F983" s="46" t="s">
        <v>746</v>
      </c>
      <c r="G983" s="46" t="s">
        <v>1305</v>
      </c>
      <c r="H983" s="46" t="s">
        <v>3288</v>
      </c>
      <c r="I983" s="46" t="str">
        <f ca="1">IFERROR(__xludf.DUMMYFUNCTION("CONCAT(A983,REGEXREPLACE(H983,"".*_L0"",""_L0""))"),"PD_BN1756_MTG_snRNAseq_rep1_L002_I2_001.fastq.gz")</f>
        <v>PD_BN1756_MTG_snRNAseq_rep1_L002_I2_001.fastq.gz</v>
      </c>
      <c r="J983" s="46" t="str">
        <f t="shared" si="3"/>
        <v>/data/neurogen/ASAP/scRNAseq/data/batch18_ASAP_snRNA-seq_*/Raw_Data_and_Processing/cellranger_processing/cellranger_fastqs/outs/fastq_path/H*/BN1756_S3_L002_I2_001.fastq.gz</v>
      </c>
      <c r="K983" s="46" t="s">
        <v>1326</v>
      </c>
      <c r="L983" s="46" t="s">
        <v>3289</v>
      </c>
      <c r="M983" s="46" t="s">
        <v>1309</v>
      </c>
      <c r="N983" s="46" t="s">
        <v>1310</v>
      </c>
      <c r="O983" s="46" t="s">
        <v>1311</v>
      </c>
      <c r="P983" s="46" t="s">
        <v>1312</v>
      </c>
      <c r="Q983" s="46" t="s">
        <v>31</v>
      </c>
      <c r="R983" s="46" t="s">
        <v>31</v>
      </c>
      <c r="S983" s="46" t="s">
        <v>31</v>
      </c>
      <c r="T983" s="46" t="s">
        <v>31</v>
      </c>
      <c r="U983" s="46" t="s">
        <v>49</v>
      </c>
    </row>
    <row r="984" spans="1:21">
      <c r="A984" s="46" t="s">
        <v>765</v>
      </c>
      <c r="B984" s="46" t="s">
        <v>187</v>
      </c>
      <c r="C984" s="46" t="s">
        <v>666</v>
      </c>
      <c r="D984" s="46">
        <v>1</v>
      </c>
      <c r="E984" s="46">
        <v>0</v>
      </c>
      <c r="F984" s="46" t="s">
        <v>746</v>
      </c>
      <c r="G984" s="46" t="s">
        <v>1305</v>
      </c>
      <c r="H984" s="46" t="s">
        <v>3290</v>
      </c>
      <c r="I984" s="46" t="str">
        <f ca="1">IFERROR(__xludf.DUMMYFUNCTION("CONCAT(A984,REGEXREPLACE(H984,"".*_L0"",""_L0""))"),"PD_BN1756_MTG_snRNAseq_rep1_L002_R1_001.fastq.gz")</f>
        <v>PD_BN1756_MTG_snRNAseq_rep1_L002_R1_001.fastq.gz</v>
      </c>
      <c r="J984" s="46" t="str">
        <f t="shared" si="3"/>
        <v>/data/neurogen/ASAP/scRNAseq/data/batch18_ASAP_snRNA-seq_*/Raw_Data_and_Processing/cellranger_processing/cellranger_fastqs/outs/fastq_path/H*/BN1756_S3_L002_R1_001.fastq.gz</v>
      </c>
      <c r="K984" s="46" t="s">
        <v>1329</v>
      </c>
      <c r="L984" s="46" t="s">
        <v>3291</v>
      </c>
      <c r="M984" s="46" t="s">
        <v>1309</v>
      </c>
      <c r="N984" s="46" t="s">
        <v>1310</v>
      </c>
      <c r="O984" s="46" t="s">
        <v>1311</v>
      </c>
      <c r="P984" s="46" t="s">
        <v>1312</v>
      </c>
      <c r="Q984" s="46" t="s">
        <v>31</v>
      </c>
      <c r="R984" s="46" t="s">
        <v>31</v>
      </c>
      <c r="S984" s="46" t="s">
        <v>31</v>
      </c>
      <c r="T984" s="46" t="s">
        <v>31</v>
      </c>
      <c r="U984" s="46" t="s">
        <v>49</v>
      </c>
    </row>
    <row r="985" spans="1:21">
      <c r="A985" s="46" t="s">
        <v>765</v>
      </c>
      <c r="B985" s="46" t="s">
        <v>187</v>
      </c>
      <c r="C985" s="46" t="s">
        <v>666</v>
      </c>
      <c r="D985" s="46">
        <v>1</v>
      </c>
      <c r="E985" s="46">
        <v>0</v>
      </c>
      <c r="F985" s="46" t="s">
        <v>746</v>
      </c>
      <c r="G985" s="46" t="s">
        <v>1305</v>
      </c>
      <c r="H985" s="46" t="s">
        <v>3292</v>
      </c>
      <c r="I985" s="46" t="str">
        <f ca="1">IFERROR(__xludf.DUMMYFUNCTION("CONCAT(A985,REGEXREPLACE(H985,"".*_L0"",""_L0""))"),"PD_BN1756_MTG_snRNAseq_rep1_L002_R2_001.fastq.gz")</f>
        <v>PD_BN1756_MTG_snRNAseq_rep1_L002_R2_001.fastq.gz</v>
      </c>
      <c r="J985" s="46" t="str">
        <f t="shared" si="3"/>
        <v>/data/neurogen/ASAP/scRNAseq/data/batch18_ASAP_snRNA-seq_*/Raw_Data_and_Processing/cellranger_processing/cellranger_fastqs/outs/fastq_path/H*/BN1756_S3_L002_R2_001.fastq.gz</v>
      </c>
      <c r="K985" s="46" t="s">
        <v>1332</v>
      </c>
      <c r="L985" s="46" t="s">
        <v>3293</v>
      </c>
      <c r="M985" s="46" t="s">
        <v>1309</v>
      </c>
      <c r="N985" s="46" t="s">
        <v>1310</v>
      </c>
      <c r="O985" s="46" t="s">
        <v>1311</v>
      </c>
      <c r="P985" s="46" t="s">
        <v>1312</v>
      </c>
      <c r="Q985" s="46" t="s">
        <v>31</v>
      </c>
      <c r="R985" s="46" t="s">
        <v>31</v>
      </c>
      <c r="S985" s="46" t="s">
        <v>31</v>
      </c>
      <c r="T985" s="46" t="s">
        <v>31</v>
      </c>
      <c r="U985" s="46" t="s">
        <v>49</v>
      </c>
    </row>
    <row r="986" spans="1:21">
      <c r="A986" s="46" t="s">
        <v>765</v>
      </c>
      <c r="B986" s="46" t="s">
        <v>187</v>
      </c>
      <c r="C986" s="46" t="s">
        <v>666</v>
      </c>
      <c r="D986" s="46">
        <v>1</v>
      </c>
      <c r="E986" s="46">
        <v>0</v>
      </c>
      <c r="F986" s="46" t="s">
        <v>746</v>
      </c>
      <c r="G986" s="46" t="s">
        <v>1305</v>
      </c>
      <c r="H986" s="46" t="s">
        <v>3294</v>
      </c>
      <c r="I986" s="46" t="str">
        <f ca="1">IFERROR(__xludf.DUMMYFUNCTION("CONCAT(A986,REGEXREPLACE(H986,"".*_L0"",""_L0""))"),"PD_BN1756_MTG_snRNAseq_rep1_L003_I1_001.fastq.gz")</f>
        <v>PD_BN1756_MTG_snRNAseq_rep1_L003_I1_001.fastq.gz</v>
      </c>
      <c r="J986" s="46" t="str">
        <f t="shared" si="3"/>
        <v>/data/neurogen/ASAP/scRNAseq/data/batch18_ASAP_snRNA-seq_*/Raw_Data_and_Processing/cellranger_processing/cellranger_fastqs/outs/fastq_path/H*/BN1756_S3_L003_I1_001.fastq.gz</v>
      </c>
      <c r="K986" s="46" t="s">
        <v>1335</v>
      </c>
      <c r="L986" s="46" t="s">
        <v>3295</v>
      </c>
      <c r="M986" s="46" t="s">
        <v>1309</v>
      </c>
      <c r="N986" s="46" t="s">
        <v>1310</v>
      </c>
      <c r="O986" s="46" t="s">
        <v>1311</v>
      </c>
      <c r="P986" s="46" t="s">
        <v>1312</v>
      </c>
      <c r="Q986" s="46" t="s">
        <v>31</v>
      </c>
      <c r="R986" s="46" t="s">
        <v>31</v>
      </c>
      <c r="S986" s="46" t="s">
        <v>31</v>
      </c>
      <c r="T986" s="46" t="s">
        <v>31</v>
      </c>
      <c r="U986" s="46" t="s">
        <v>49</v>
      </c>
    </row>
    <row r="987" spans="1:21">
      <c r="A987" s="46" t="s">
        <v>765</v>
      </c>
      <c r="B987" s="46" t="s">
        <v>187</v>
      </c>
      <c r="C987" s="46" t="s">
        <v>666</v>
      </c>
      <c r="D987" s="46">
        <v>1</v>
      </c>
      <c r="E987" s="46">
        <v>0</v>
      </c>
      <c r="F987" s="46" t="s">
        <v>746</v>
      </c>
      <c r="G987" s="46" t="s">
        <v>1305</v>
      </c>
      <c r="H987" s="46" t="s">
        <v>3296</v>
      </c>
      <c r="I987" s="46" t="str">
        <f ca="1">IFERROR(__xludf.DUMMYFUNCTION("CONCAT(A987,REGEXREPLACE(H987,"".*_L0"",""_L0""))"),"PD_BN1756_MTG_snRNAseq_rep1_L003_I2_001.fastq.gz")</f>
        <v>PD_BN1756_MTG_snRNAseq_rep1_L003_I2_001.fastq.gz</v>
      </c>
      <c r="J987" s="46" t="str">
        <f t="shared" si="3"/>
        <v>/data/neurogen/ASAP/scRNAseq/data/batch18_ASAP_snRNA-seq_*/Raw_Data_and_Processing/cellranger_processing/cellranger_fastqs/outs/fastq_path/H*/BN1756_S3_L003_I2_001.fastq.gz</v>
      </c>
      <c r="K987" s="46" t="s">
        <v>1338</v>
      </c>
      <c r="L987" s="46" t="s">
        <v>3297</v>
      </c>
      <c r="M987" s="46" t="s">
        <v>1309</v>
      </c>
      <c r="N987" s="46" t="s">
        <v>1310</v>
      </c>
      <c r="O987" s="46" t="s">
        <v>1311</v>
      </c>
      <c r="P987" s="46" t="s">
        <v>1312</v>
      </c>
      <c r="Q987" s="46" t="s">
        <v>31</v>
      </c>
      <c r="R987" s="46" t="s">
        <v>31</v>
      </c>
      <c r="S987" s="46" t="s">
        <v>31</v>
      </c>
      <c r="T987" s="46" t="s">
        <v>31</v>
      </c>
      <c r="U987" s="46" t="s">
        <v>49</v>
      </c>
    </row>
    <row r="988" spans="1:21">
      <c r="A988" s="46" t="s">
        <v>765</v>
      </c>
      <c r="B988" s="46" t="s">
        <v>187</v>
      </c>
      <c r="C988" s="46" t="s">
        <v>666</v>
      </c>
      <c r="D988" s="46">
        <v>1</v>
      </c>
      <c r="E988" s="46">
        <v>0</v>
      </c>
      <c r="F988" s="46" t="s">
        <v>746</v>
      </c>
      <c r="G988" s="46" t="s">
        <v>1305</v>
      </c>
      <c r="H988" s="46" t="s">
        <v>3298</v>
      </c>
      <c r="I988" s="46" t="str">
        <f ca="1">IFERROR(__xludf.DUMMYFUNCTION("CONCAT(A988,REGEXREPLACE(H988,"".*_L0"",""_L0""))"),"PD_BN1756_MTG_snRNAseq_rep1_L003_R1_001.fastq.gz")</f>
        <v>PD_BN1756_MTG_snRNAseq_rep1_L003_R1_001.fastq.gz</v>
      </c>
      <c r="J988" s="46" t="str">
        <f t="shared" si="3"/>
        <v>/data/neurogen/ASAP/scRNAseq/data/batch18_ASAP_snRNA-seq_*/Raw_Data_and_Processing/cellranger_processing/cellranger_fastqs/outs/fastq_path/H*/BN1756_S3_L003_R1_001.fastq.gz</v>
      </c>
      <c r="K988" s="46" t="s">
        <v>1341</v>
      </c>
      <c r="L988" s="46" t="s">
        <v>3299</v>
      </c>
      <c r="M988" s="46" t="s">
        <v>1309</v>
      </c>
      <c r="N988" s="46" t="s">
        <v>1310</v>
      </c>
      <c r="O988" s="46" t="s">
        <v>1311</v>
      </c>
      <c r="P988" s="46" t="s">
        <v>1312</v>
      </c>
      <c r="Q988" s="46" t="s">
        <v>31</v>
      </c>
      <c r="R988" s="46" t="s">
        <v>31</v>
      </c>
      <c r="S988" s="46" t="s">
        <v>31</v>
      </c>
      <c r="T988" s="46" t="s">
        <v>31</v>
      </c>
      <c r="U988" s="46" t="s">
        <v>49</v>
      </c>
    </row>
    <row r="989" spans="1:21">
      <c r="A989" s="46" t="s">
        <v>765</v>
      </c>
      <c r="B989" s="46" t="s">
        <v>187</v>
      </c>
      <c r="C989" s="46" t="s">
        <v>666</v>
      </c>
      <c r="D989" s="46">
        <v>1</v>
      </c>
      <c r="E989" s="46">
        <v>0</v>
      </c>
      <c r="F989" s="46" t="s">
        <v>746</v>
      </c>
      <c r="G989" s="46" t="s">
        <v>1305</v>
      </c>
      <c r="H989" s="46" t="s">
        <v>3300</v>
      </c>
      <c r="I989" s="46" t="str">
        <f ca="1">IFERROR(__xludf.DUMMYFUNCTION("CONCAT(A989,REGEXREPLACE(H989,"".*_L0"",""_L0""))"),"PD_BN1756_MTG_snRNAseq_rep1_L003_R2_001.fastq.gz")</f>
        <v>PD_BN1756_MTG_snRNAseq_rep1_L003_R2_001.fastq.gz</v>
      </c>
      <c r="J989" s="46" t="str">
        <f t="shared" si="3"/>
        <v>/data/neurogen/ASAP/scRNAseq/data/batch18_ASAP_snRNA-seq_*/Raw_Data_and_Processing/cellranger_processing/cellranger_fastqs/outs/fastq_path/H*/BN1756_S3_L003_R2_001.fastq.gz</v>
      </c>
      <c r="K989" s="46" t="s">
        <v>1344</v>
      </c>
      <c r="L989" s="46" t="s">
        <v>3301</v>
      </c>
      <c r="M989" s="46" t="s">
        <v>1309</v>
      </c>
      <c r="N989" s="46" t="s">
        <v>1310</v>
      </c>
      <c r="O989" s="46" t="s">
        <v>1311</v>
      </c>
      <c r="P989" s="46" t="s">
        <v>1312</v>
      </c>
      <c r="Q989" s="46" t="s">
        <v>31</v>
      </c>
      <c r="R989" s="46" t="s">
        <v>31</v>
      </c>
      <c r="S989" s="46" t="s">
        <v>31</v>
      </c>
      <c r="T989" s="46" t="s">
        <v>31</v>
      </c>
      <c r="U989" s="46" t="s">
        <v>49</v>
      </c>
    </row>
    <row r="990" spans="1:21">
      <c r="A990" s="46" t="s">
        <v>765</v>
      </c>
      <c r="B990" s="46" t="s">
        <v>187</v>
      </c>
      <c r="C990" s="46" t="s">
        <v>666</v>
      </c>
      <c r="D990" s="46">
        <v>1</v>
      </c>
      <c r="E990" s="46">
        <v>0</v>
      </c>
      <c r="F990" s="46" t="s">
        <v>746</v>
      </c>
      <c r="G990" s="46" t="s">
        <v>1305</v>
      </c>
      <c r="H990" s="46" t="s">
        <v>3302</v>
      </c>
      <c r="I990" s="46" t="str">
        <f ca="1">IFERROR(__xludf.DUMMYFUNCTION("CONCAT(A990,REGEXREPLACE(H990,"".*_L0"",""_L0""))"),"PD_BN1756_MTG_snRNAseq_rep1_L004_I1_001.fastq.gz")</f>
        <v>PD_BN1756_MTG_snRNAseq_rep1_L004_I1_001.fastq.gz</v>
      </c>
      <c r="J990" s="46" t="str">
        <f t="shared" si="3"/>
        <v>/data/neurogen/ASAP/scRNAseq/data/batch18_ASAP_snRNA-seq_*/Raw_Data_and_Processing/cellranger_processing/cellranger_fastqs/outs/fastq_path/H*/BN1756_S3_L004_I1_001.fastq.gz</v>
      </c>
      <c r="K990" s="46" t="s">
        <v>1347</v>
      </c>
      <c r="L990" s="46" t="s">
        <v>3303</v>
      </c>
      <c r="M990" s="46" t="s">
        <v>1309</v>
      </c>
      <c r="N990" s="46" t="s">
        <v>1310</v>
      </c>
      <c r="O990" s="46" t="s">
        <v>1311</v>
      </c>
      <c r="P990" s="46" t="s">
        <v>1312</v>
      </c>
      <c r="Q990" s="46" t="s">
        <v>31</v>
      </c>
      <c r="R990" s="46" t="s">
        <v>31</v>
      </c>
      <c r="S990" s="46" t="s">
        <v>31</v>
      </c>
      <c r="T990" s="46" t="s">
        <v>31</v>
      </c>
      <c r="U990" s="46" t="s">
        <v>49</v>
      </c>
    </row>
    <row r="991" spans="1:21">
      <c r="A991" s="46" t="s">
        <v>765</v>
      </c>
      <c r="B991" s="46" t="s">
        <v>187</v>
      </c>
      <c r="C991" s="46" t="s">
        <v>666</v>
      </c>
      <c r="D991" s="46">
        <v>1</v>
      </c>
      <c r="E991" s="46">
        <v>0</v>
      </c>
      <c r="F991" s="46" t="s">
        <v>746</v>
      </c>
      <c r="G991" s="46" t="s">
        <v>1305</v>
      </c>
      <c r="H991" s="46" t="s">
        <v>3304</v>
      </c>
      <c r="I991" s="46" t="str">
        <f ca="1">IFERROR(__xludf.DUMMYFUNCTION("CONCAT(A991,REGEXREPLACE(H991,"".*_L0"",""_L0""))"),"PD_BN1756_MTG_snRNAseq_rep1_L004_I2_001.fastq.gz")</f>
        <v>PD_BN1756_MTG_snRNAseq_rep1_L004_I2_001.fastq.gz</v>
      </c>
      <c r="J991" s="46" t="str">
        <f t="shared" si="3"/>
        <v>/data/neurogen/ASAP/scRNAseq/data/batch18_ASAP_snRNA-seq_*/Raw_Data_and_Processing/cellranger_processing/cellranger_fastqs/outs/fastq_path/H*/BN1756_S3_L004_I2_001.fastq.gz</v>
      </c>
      <c r="K991" s="46" t="s">
        <v>1350</v>
      </c>
      <c r="L991" s="46" t="s">
        <v>3305</v>
      </c>
      <c r="M991" s="46" t="s">
        <v>1309</v>
      </c>
      <c r="N991" s="46" t="s">
        <v>1310</v>
      </c>
      <c r="O991" s="46" t="s">
        <v>1311</v>
      </c>
      <c r="P991" s="46" t="s">
        <v>1312</v>
      </c>
      <c r="Q991" s="46" t="s">
        <v>31</v>
      </c>
      <c r="R991" s="46" t="s">
        <v>31</v>
      </c>
      <c r="S991" s="46" t="s">
        <v>31</v>
      </c>
      <c r="T991" s="46" t="s">
        <v>31</v>
      </c>
      <c r="U991" s="46" t="s">
        <v>49</v>
      </c>
    </row>
    <row r="992" spans="1:21">
      <c r="A992" s="46" t="s">
        <v>765</v>
      </c>
      <c r="B992" s="46" t="s">
        <v>187</v>
      </c>
      <c r="C992" s="46" t="s">
        <v>666</v>
      </c>
      <c r="D992" s="46">
        <v>1</v>
      </c>
      <c r="E992" s="46">
        <v>0</v>
      </c>
      <c r="F992" s="46" t="s">
        <v>746</v>
      </c>
      <c r="G992" s="46" t="s">
        <v>1305</v>
      </c>
      <c r="H992" s="46" t="s">
        <v>3306</v>
      </c>
      <c r="I992" s="46" t="str">
        <f ca="1">IFERROR(__xludf.DUMMYFUNCTION("CONCAT(A992,REGEXREPLACE(H992,"".*_L0"",""_L0""))"),"PD_BN1756_MTG_snRNAseq_rep1_L004_R1_001.fastq.gz")</f>
        <v>PD_BN1756_MTG_snRNAseq_rep1_L004_R1_001.fastq.gz</v>
      </c>
      <c r="J992" s="46" t="str">
        <f t="shared" si="3"/>
        <v>/data/neurogen/ASAP/scRNAseq/data/batch18_ASAP_snRNA-seq_*/Raw_Data_and_Processing/cellranger_processing/cellranger_fastqs/outs/fastq_path/H*/BN1756_S3_L004_R1_001.fastq.gz</v>
      </c>
      <c r="K992" s="46" t="s">
        <v>1353</v>
      </c>
      <c r="L992" s="46" t="s">
        <v>3307</v>
      </c>
      <c r="M992" s="46" t="s">
        <v>1309</v>
      </c>
      <c r="N992" s="46" t="s">
        <v>1310</v>
      </c>
      <c r="O992" s="46" t="s">
        <v>1311</v>
      </c>
      <c r="P992" s="46" t="s">
        <v>1312</v>
      </c>
      <c r="Q992" s="46" t="s">
        <v>31</v>
      </c>
      <c r="R992" s="46" t="s">
        <v>31</v>
      </c>
      <c r="S992" s="46" t="s">
        <v>31</v>
      </c>
      <c r="T992" s="46" t="s">
        <v>31</v>
      </c>
      <c r="U992" s="46" t="s">
        <v>49</v>
      </c>
    </row>
    <row r="993" spans="1:21">
      <c r="A993" s="46" t="s">
        <v>765</v>
      </c>
      <c r="B993" s="46" t="s">
        <v>187</v>
      </c>
      <c r="C993" s="46" t="s">
        <v>666</v>
      </c>
      <c r="D993" s="46">
        <v>1</v>
      </c>
      <c r="E993" s="46">
        <v>0</v>
      </c>
      <c r="F993" s="46" t="s">
        <v>746</v>
      </c>
      <c r="G993" s="46" t="s">
        <v>1305</v>
      </c>
      <c r="H993" s="46" t="s">
        <v>3308</v>
      </c>
      <c r="I993" s="46" t="str">
        <f ca="1">IFERROR(__xludf.DUMMYFUNCTION("CONCAT(A993,REGEXREPLACE(H993,"".*_L0"",""_L0""))"),"PD_BN1756_MTG_snRNAseq_rep1_L004_R2_001.fastq.gz")</f>
        <v>PD_BN1756_MTG_snRNAseq_rep1_L004_R2_001.fastq.gz</v>
      </c>
      <c r="J993" s="46" t="str">
        <f t="shared" si="3"/>
        <v>/data/neurogen/ASAP/scRNAseq/data/batch18_ASAP_snRNA-seq_*/Raw_Data_and_Processing/cellranger_processing/cellranger_fastqs/outs/fastq_path/H*/BN1756_S3_L004_R2_001.fastq.gz</v>
      </c>
      <c r="K993" s="46" t="s">
        <v>1356</v>
      </c>
      <c r="L993" s="46" t="s">
        <v>3309</v>
      </c>
      <c r="M993" s="46" t="s">
        <v>1309</v>
      </c>
      <c r="N993" s="46" t="s">
        <v>1310</v>
      </c>
      <c r="O993" s="46" t="s">
        <v>1311</v>
      </c>
      <c r="P993" s="46" t="s">
        <v>1312</v>
      </c>
      <c r="Q993" s="46" t="s">
        <v>31</v>
      </c>
      <c r="R993" s="46" t="s">
        <v>31</v>
      </c>
      <c r="S993" s="46" t="s">
        <v>31</v>
      </c>
      <c r="T993" s="46" t="s">
        <v>31</v>
      </c>
      <c r="U993" s="46" t="s">
        <v>49</v>
      </c>
    </row>
    <row r="994" spans="1:21">
      <c r="A994" s="46" t="s">
        <v>749</v>
      </c>
      <c r="B994" s="46" t="s">
        <v>161</v>
      </c>
      <c r="C994" s="46" t="s">
        <v>666</v>
      </c>
      <c r="D994" s="46">
        <v>1</v>
      </c>
      <c r="E994" s="46">
        <v>0</v>
      </c>
      <c r="F994" s="46" t="s">
        <v>750</v>
      </c>
      <c r="G994" s="46" t="s">
        <v>1305</v>
      </c>
      <c r="H994" s="46" t="s">
        <v>3310</v>
      </c>
      <c r="I994" s="46" t="str">
        <f ca="1">IFERROR(__xludf.DUMMYFUNCTION("CONCAT(A994,REGEXREPLACE(H994,"".*_L0"",""_L0""))"),"HC_BN1578_MTG_snRNAseq_rep1_L001_I1_001.fastq.gz")</f>
        <v>HC_BN1578_MTG_snRNAseq_rep1_L001_I1_001.fastq.gz</v>
      </c>
      <c r="J994" s="46" t="str">
        <f t="shared" si="3"/>
        <v>/data/neurogen/ASAP/scRNAseq/data/batch19_ASAP_snRNA-seq_*/Raw_Data_and_Processing/cellranger_processing/cellranger_fastqs/outs/fastq_path/H*/BN1578_S1_L001_I1_001.fastq.gz</v>
      </c>
      <c r="K994" s="46" t="s">
        <v>1307</v>
      </c>
      <c r="L994" s="47" t="s">
        <v>3311</v>
      </c>
      <c r="M994" s="46" t="s">
        <v>1309</v>
      </c>
      <c r="N994" s="46" t="s">
        <v>1310</v>
      </c>
      <c r="O994" s="46" t="s">
        <v>1311</v>
      </c>
      <c r="P994" s="46" t="s">
        <v>1312</v>
      </c>
      <c r="Q994" s="46" t="s">
        <v>31</v>
      </c>
      <c r="R994" s="46" t="s">
        <v>31</v>
      </c>
      <c r="S994" s="46" t="s">
        <v>31</v>
      </c>
      <c r="T994" s="46" t="s">
        <v>31</v>
      </c>
      <c r="U994" s="46" t="s">
        <v>49</v>
      </c>
    </row>
    <row r="995" spans="1:21">
      <c r="A995" s="46" t="s">
        <v>749</v>
      </c>
      <c r="B995" s="46" t="s">
        <v>161</v>
      </c>
      <c r="C995" s="46" t="s">
        <v>666</v>
      </c>
      <c r="D995" s="46">
        <v>1</v>
      </c>
      <c r="E995" s="46">
        <v>0</v>
      </c>
      <c r="F995" s="46" t="s">
        <v>750</v>
      </c>
      <c r="G995" s="46" t="s">
        <v>1305</v>
      </c>
      <c r="H995" s="46" t="s">
        <v>3312</v>
      </c>
      <c r="I995" s="46" t="str">
        <f ca="1">IFERROR(__xludf.DUMMYFUNCTION("CONCAT(A995,REGEXREPLACE(H995,"".*_L0"",""_L0""))"),"HC_BN1578_MTG_snRNAseq_rep1_L001_I2_001.fastq.gz")</f>
        <v>HC_BN1578_MTG_snRNAseq_rep1_L001_I2_001.fastq.gz</v>
      </c>
      <c r="J995" s="46" t="str">
        <f t="shared" si="3"/>
        <v>/data/neurogen/ASAP/scRNAseq/data/batch19_ASAP_snRNA-seq_*/Raw_Data_and_Processing/cellranger_processing/cellranger_fastqs/outs/fastq_path/H*/BN1578_S1_L001_I2_001.fastq.gz</v>
      </c>
      <c r="K995" s="46" t="s">
        <v>1314</v>
      </c>
      <c r="L995" s="46" t="s">
        <v>3313</v>
      </c>
      <c r="M995" s="46" t="s">
        <v>1309</v>
      </c>
      <c r="N995" s="46" t="s">
        <v>1310</v>
      </c>
      <c r="O995" s="46" t="s">
        <v>1311</v>
      </c>
      <c r="P995" s="46" t="s">
        <v>1312</v>
      </c>
      <c r="Q995" s="46" t="s">
        <v>31</v>
      </c>
      <c r="R995" s="46" t="s">
        <v>31</v>
      </c>
      <c r="S995" s="46" t="s">
        <v>31</v>
      </c>
      <c r="T995" s="46" t="s">
        <v>31</v>
      </c>
      <c r="U995" s="46" t="s">
        <v>49</v>
      </c>
    </row>
    <row r="996" spans="1:21">
      <c r="A996" s="46" t="s">
        <v>749</v>
      </c>
      <c r="B996" s="46" t="s">
        <v>161</v>
      </c>
      <c r="C996" s="46" t="s">
        <v>666</v>
      </c>
      <c r="D996" s="46">
        <v>1</v>
      </c>
      <c r="E996" s="46">
        <v>0</v>
      </c>
      <c r="F996" s="46" t="s">
        <v>750</v>
      </c>
      <c r="G996" s="46" t="s">
        <v>1305</v>
      </c>
      <c r="H996" s="46" t="s">
        <v>3314</v>
      </c>
      <c r="I996" s="46" t="str">
        <f ca="1">IFERROR(__xludf.DUMMYFUNCTION("CONCAT(A996,REGEXREPLACE(H996,"".*_L0"",""_L0""))"),"HC_BN1578_MTG_snRNAseq_rep1_L001_R1_001.fastq.gz")</f>
        <v>HC_BN1578_MTG_snRNAseq_rep1_L001_R1_001.fastq.gz</v>
      </c>
      <c r="J996" s="46" t="str">
        <f t="shared" si="3"/>
        <v>/data/neurogen/ASAP/scRNAseq/data/batch19_ASAP_snRNA-seq_*/Raw_Data_and_Processing/cellranger_processing/cellranger_fastqs/outs/fastq_path/H*/BN1578_S1_L001_R1_001.fastq.gz</v>
      </c>
      <c r="K996" s="46" t="s">
        <v>1317</v>
      </c>
      <c r="L996" s="46" t="s">
        <v>3315</v>
      </c>
      <c r="M996" s="46" t="s">
        <v>1309</v>
      </c>
      <c r="N996" s="46" t="s">
        <v>1310</v>
      </c>
      <c r="O996" s="46" t="s">
        <v>1311</v>
      </c>
      <c r="P996" s="46" t="s">
        <v>1312</v>
      </c>
      <c r="Q996" s="46" t="s">
        <v>31</v>
      </c>
      <c r="R996" s="46" t="s">
        <v>31</v>
      </c>
      <c r="S996" s="46" t="s">
        <v>31</v>
      </c>
      <c r="T996" s="46" t="s">
        <v>31</v>
      </c>
      <c r="U996" s="46" t="s">
        <v>49</v>
      </c>
    </row>
    <row r="997" spans="1:21">
      <c r="A997" s="46" t="s">
        <v>749</v>
      </c>
      <c r="B997" s="46" t="s">
        <v>161</v>
      </c>
      <c r="C997" s="46" t="s">
        <v>666</v>
      </c>
      <c r="D997" s="46">
        <v>1</v>
      </c>
      <c r="E997" s="46">
        <v>0</v>
      </c>
      <c r="F997" s="46" t="s">
        <v>750</v>
      </c>
      <c r="G997" s="46" t="s">
        <v>1305</v>
      </c>
      <c r="H997" s="46" t="s">
        <v>3316</v>
      </c>
      <c r="I997" s="46" t="str">
        <f ca="1">IFERROR(__xludf.DUMMYFUNCTION("CONCAT(A997,REGEXREPLACE(H997,"".*_L0"",""_L0""))"),"HC_BN1578_MTG_snRNAseq_rep1_L001_R2_001.fastq.gz")</f>
        <v>HC_BN1578_MTG_snRNAseq_rep1_L001_R2_001.fastq.gz</v>
      </c>
      <c r="J997" s="46" t="str">
        <f t="shared" si="3"/>
        <v>/data/neurogen/ASAP/scRNAseq/data/batch19_ASAP_snRNA-seq_*/Raw_Data_and_Processing/cellranger_processing/cellranger_fastqs/outs/fastq_path/H*/BN1578_S1_L001_R2_001.fastq.gz</v>
      </c>
      <c r="K997" s="46" t="s">
        <v>1320</v>
      </c>
      <c r="L997" s="46" t="s">
        <v>3317</v>
      </c>
      <c r="M997" s="46" t="s">
        <v>1309</v>
      </c>
      <c r="N997" s="46" t="s">
        <v>1310</v>
      </c>
      <c r="O997" s="46" t="s">
        <v>1311</v>
      </c>
      <c r="P997" s="46" t="s">
        <v>1312</v>
      </c>
      <c r="Q997" s="46" t="s">
        <v>31</v>
      </c>
      <c r="R997" s="46" t="s">
        <v>31</v>
      </c>
      <c r="S997" s="46" t="s">
        <v>31</v>
      </c>
      <c r="T997" s="46" t="s">
        <v>31</v>
      </c>
      <c r="U997" s="46" t="s">
        <v>49</v>
      </c>
    </row>
    <row r="998" spans="1:21">
      <c r="A998" s="46" t="s">
        <v>749</v>
      </c>
      <c r="B998" s="46" t="s">
        <v>161</v>
      </c>
      <c r="C998" s="46" t="s">
        <v>666</v>
      </c>
      <c r="D998" s="46">
        <v>1</v>
      </c>
      <c r="E998" s="46">
        <v>0</v>
      </c>
      <c r="F998" s="46" t="s">
        <v>750</v>
      </c>
      <c r="G998" s="46" t="s">
        <v>1305</v>
      </c>
      <c r="H998" s="46" t="s">
        <v>3318</v>
      </c>
      <c r="I998" s="46" t="str">
        <f ca="1">IFERROR(__xludf.DUMMYFUNCTION("CONCAT(A998,REGEXREPLACE(H998,"".*_L0"",""_L0""))"),"HC_BN1578_MTG_snRNAseq_rep1_L002_I1_001.fastq.gz")</f>
        <v>HC_BN1578_MTG_snRNAseq_rep1_L002_I1_001.fastq.gz</v>
      </c>
      <c r="J998" s="46" t="str">
        <f t="shared" si="3"/>
        <v>/data/neurogen/ASAP/scRNAseq/data/batch19_ASAP_snRNA-seq_*/Raw_Data_and_Processing/cellranger_processing/cellranger_fastqs/outs/fastq_path/H*/BN1578_S1_L002_I1_001.fastq.gz</v>
      </c>
      <c r="K998" s="46" t="s">
        <v>1323</v>
      </c>
      <c r="L998" s="46" t="s">
        <v>3319</v>
      </c>
      <c r="M998" s="46" t="s">
        <v>1309</v>
      </c>
      <c r="N998" s="46" t="s">
        <v>1310</v>
      </c>
      <c r="O998" s="46" t="s">
        <v>1311</v>
      </c>
      <c r="P998" s="46" t="s">
        <v>1312</v>
      </c>
      <c r="Q998" s="46" t="s">
        <v>31</v>
      </c>
      <c r="R998" s="46" t="s">
        <v>31</v>
      </c>
      <c r="S998" s="46" t="s">
        <v>31</v>
      </c>
      <c r="T998" s="46" t="s">
        <v>31</v>
      </c>
      <c r="U998" s="46" t="s">
        <v>49</v>
      </c>
    </row>
    <row r="999" spans="1:21">
      <c r="A999" s="46" t="s">
        <v>749</v>
      </c>
      <c r="B999" s="46" t="s">
        <v>161</v>
      </c>
      <c r="C999" s="46" t="s">
        <v>666</v>
      </c>
      <c r="D999" s="46">
        <v>1</v>
      </c>
      <c r="E999" s="46">
        <v>0</v>
      </c>
      <c r="F999" s="46" t="s">
        <v>750</v>
      </c>
      <c r="G999" s="46" t="s">
        <v>1305</v>
      </c>
      <c r="H999" s="46" t="s">
        <v>3320</v>
      </c>
      <c r="I999" s="46" t="str">
        <f ca="1">IFERROR(__xludf.DUMMYFUNCTION("CONCAT(A999,REGEXREPLACE(H999,"".*_L0"",""_L0""))"),"HC_BN1578_MTG_snRNAseq_rep1_L002_I2_001.fastq.gz")</f>
        <v>HC_BN1578_MTG_snRNAseq_rep1_L002_I2_001.fastq.gz</v>
      </c>
      <c r="J999" s="46" t="str">
        <f t="shared" si="3"/>
        <v>/data/neurogen/ASAP/scRNAseq/data/batch19_ASAP_snRNA-seq_*/Raw_Data_and_Processing/cellranger_processing/cellranger_fastqs/outs/fastq_path/H*/BN1578_S1_L002_I2_001.fastq.gz</v>
      </c>
      <c r="K999" s="46" t="s">
        <v>1326</v>
      </c>
      <c r="L999" s="46" t="s">
        <v>3321</v>
      </c>
      <c r="M999" s="46" t="s">
        <v>1309</v>
      </c>
      <c r="N999" s="46" t="s">
        <v>1310</v>
      </c>
      <c r="O999" s="46" t="s">
        <v>1311</v>
      </c>
      <c r="P999" s="46" t="s">
        <v>1312</v>
      </c>
      <c r="Q999" s="46" t="s">
        <v>31</v>
      </c>
      <c r="R999" s="46" t="s">
        <v>31</v>
      </c>
      <c r="S999" s="46" t="s">
        <v>31</v>
      </c>
      <c r="T999" s="46" t="s">
        <v>31</v>
      </c>
      <c r="U999" s="46" t="s">
        <v>49</v>
      </c>
    </row>
    <row r="1000" spans="1:21">
      <c r="A1000" s="46" t="s">
        <v>749</v>
      </c>
      <c r="B1000" s="46" t="s">
        <v>161</v>
      </c>
      <c r="C1000" s="46" t="s">
        <v>666</v>
      </c>
      <c r="D1000" s="46">
        <v>1</v>
      </c>
      <c r="E1000" s="46">
        <v>0</v>
      </c>
      <c r="F1000" s="46" t="s">
        <v>750</v>
      </c>
      <c r="G1000" s="46" t="s">
        <v>1305</v>
      </c>
      <c r="H1000" s="46" t="s">
        <v>3322</v>
      </c>
      <c r="I1000" s="46" t="str">
        <f ca="1">IFERROR(__xludf.DUMMYFUNCTION("CONCAT(A1000,REGEXREPLACE(H1000,"".*_L0"",""_L0""))"),"HC_BN1578_MTG_snRNAseq_rep1_L002_R1_001.fastq.gz")</f>
        <v>HC_BN1578_MTG_snRNAseq_rep1_L002_R1_001.fastq.gz</v>
      </c>
      <c r="J1000" s="46" t="str">
        <f t="shared" si="3"/>
        <v>/data/neurogen/ASAP/scRNAseq/data/batch19_ASAP_snRNA-seq_*/Raw_Data_and_Processing/cellranger_processing/cellranger_fastqs/outs/fastq_path/H*/BN1578_S1_L002_R1_001.fastq.gz</v>
      </c>
      <c r="K1000" s="46" t="s">
        <v>1329</v>
      </c>
      <c r="L1000" s="46" t="s">
        <v>3323</v>
      </c>
      <c r="M1000" s="46" t="s">
        <v>1309</v>
      </c>
      <c r="N1000" s="46" t="s">
        <v>1310</v>
      </c>
      <c r="O1000" s="46" t="s">
        <v>1311</v>
      </c>
      <c r="P1000" s="46" t="s">
        <v>1312</v>
      </c>
      <c r="Q1000" s="46" t="s">
        <v>31</v>
      </c>
      <c r="R1000" s="46" t="s">
        <v>31</v>
      </c>
      <c r="S1000" s="46" t="s">
        <v>31</v>
      </c>
      <c r="T1000" s="46" t="s">
        <v>31</v>
      </c>
      <c r="U1000" s="46" t="s">
        <v>49</v>
      </c>
    </row>
    <row r="1001" spans="1:21">
      <c r="A1001" s="46" t="s">
        <v>749</v>
      </c>
      <c r="B1001" s="46" t="s">
        <v>161</v>
      </c>
      <c r="C1001" s="46" t="s">
        <v>666</v>
      </c>
      <c r="D1001" s="46">
        <v>1</v>
      </c>
      <c r="E1001" s="46">
        <v>0</v>
      </c>
      <c r="F1001" s="46" t="s">
        <v>750</v>
      </c>
      <c r="G1001" s="46" t="s">
        <v>1305</v>
      </c>
      <c r="H1001" s="46" t="s">
        <v>3324</v>
      </c>
      <c r="I1001" s="46" t="str">
        <f ca="1">IFERROR(__xludf.DUMMYFUNCTION("CONCAT(A1001,REGEXREPLACE(H1001,"".*_L0"",""_L0""))"),"HC_BN1578_MTG_snRNAseq_rep1_L002_R2_001.fastq.gz")</f>
        <v>HC_BN1578_MTG_snRNAseq_rep1_L002_R2_001.fastq.gz</v>
      </c>
      <c r="J1001" s="46" t="str">
        <f t="shared" si="3"/>
        <v>/data/neurogen/ASAP/scRNAseq/data/batch19_ASAP_snRNA-seq_*/Raw_Data_and_Processing/cellranger_processing/cellranger_fastqs/outs/fastq_path/H*/BN1578_S1_L002_R2_001.fastq.gz</v>
      </c>
      <c r="K1001" s="46" t="s">
        <v>1332</v>
      </c>
      <c r="L1001" s="46" t="s">
        <v>3325</v>
      </c>
      <c r="M1001" s="46" t="s">
        <v>1309</v>
      </c>
      <c r="N1001" s="46" t="s">
        <v>1310</v>
      </c>
      <c r="O1001" s="46" t="s">
        <v>1311</v>
      </c>
      <c r="P1001" s="46" t="s">
        <v>1312</v>
      </c>
      <c r="Q1001" s="46" t="s">
        <v>31</v>
      </c>
      <c r="R1001" s="46" t="s">
        <v>31</v>
      </c>
      <c r="S1001" s="46" t="s">
        <v>31</v>
      </c>
      <c r="T1001" s="46" t="s">
        <v>31</v>
      </c>
      <c r="U1001" s="46" t="s">
        <v>49</v>
      </c>
    </row>
    <row r="1002" spans="1:21">
      <c r="A1002" s="46" t="s">
        <v>749</v>
      </c>
      <c r="B1002" s="46" t="s">
        <v>161</v>
      </c>
      <c r="C1002" s="46" t="s">
        <v>666</v>
      </c>
      <c r="D1002" s="46">
        <v>1</v>
      </c>
      <c r="E1002" s="46">
        <v>0</v>
      </c>
      <c r="F1002" s="46" t="s">
        <v>750</v>
      </c>
      <c r="G1002" s="46" t="s">
        <v>1305</v>
      </c>
      <c r="H1002" s="46" t="s">
        <v>3326</v>
      </c>
      <c r="I1002" s="46" t="str">
        <f ca="1">IFERROR(__xludf.DUMMYFUNCTION("CONCAT(A1002,REGEXREPLACE(H1002,"".*_L0"",""_L0""))"),"HC_BN1578_MTG_snRNAseq_rep1_L003_I1_001.fastq.gz")</f>
        <v>HC_BN1578_MTG_snRNAseq_rep1_L003_I1_001.fastq.gz</v>
      </c>
      <c r="J1002" s="46" t="str">
        <f t="shared" si="3"/>
        <v>/data/neurogen/ASAP/scRNAseq/data/batch19_ASAP_snRNA-seq_*/Raw_Data_and_Processing/cellranger_processing/cellranger_fastqs/outs/fastq_path/H*/BN1578_S1_L003_I1_001.fastq.gz</v>
      </c>
      <c r="K1002" s="46" t="s">
        <v>1335</v>
      </c>
      <c r="L1002" s="46" t="s">
        <v>3327</v>
      </c>
      <c r="M1002" s="46" t="s">
        <v>1309</v>
      </c>
      <c r="N1002" s="46" t="s">
        <v>1310</v>
      </c>
      <c r="O1002" s="46" t="s">
        <v>1311</v>
      </c>
      <c r="P1002" s="46" t="s">
        <v>1312</v>
      </c>
      <c r="Q1002" s="46" t="s">
        <v>31</v>
      </c>
      <c r="R1002" s="46" t="s">
        <v>31</v>
      </c>
      <c r="S1002" s="46" t="s">
        <v>31</v>
      </c>
      <c r="T1002" s="46" t="s">
        <v>31</v>
      </c>
      <c r="U1002" s="46" t="s">
        <v>49</v>
      </c>
    </row>
    <row r="1003" spans="1:21">
      <c r="A1003" s="46" t="s">
        <v>749</v>
      </c>
      <c r="B1003" s="46" t="s">
        <v>161</v>
      </c>
      <c r="C1003" s="46" t="s">
        <v>666</v>
      </c>
      <c r="D1003" s="46">
        <v>1</v>
      </c>
      <c r="E1003" s="46">
        <v>0</v>
      </c>
      <c r="F1003" s="46" t="s">
        <v>750</v>
      </c>
      <c r="G1003" s="46" t="s">
        <v>1305</v>
      </c>
      <c r="H1003" s="46" t="s">
        <v>3328</v>
      </c>
      <c r="I1003" s="46" t="str">
        <f ca="1">IFERROR(__xludf.DUMMYFUNCTION("CONCAT(A1003,REGEXREPLACE(H1003,"".*_L0"",""_L0""))"),"HC_BN1578_MTG_snRNAseq_rep1_L003_I2_001.fastq.gz")</f>
        <v>HC_BN1578_MTG_snRNAseq_rep1_L003_I2_001.fastq.gz</v>
      </c>
      <c r="J1003" s="46" t="str">
        <f t="shared" si="3"/>
        <v>/data/neurogen/ASAP/scRNAseq/data/batch19_ASAP_snRNA-seq_*/Raw_Data_and_Processing/cellranger_processing/cellranger_fastqs/outs/fastq_path/H*/BN1578_S1_L003_I2_001.fastq.gz</v>
      </c>
      <c r="K1003" s="46" t="s">
        <v>1338</v>
      </c>
      <c r="L1003" s="46" t="s">
        <v>3329</v>
      </c>
      <c r="M1003" s="46" t="s">
        <v>1309</v>
      </c>
      <c r="N1003" s="46" t="s">
        <v>1310</v>
      </c>
      <c r="O1003" s="46" t="s">
        <v>1311</v>
      </c>
      <c r="P1003" s="46" t="s">
        <v>1312</v>
      </c>
      <c r="Q1003" s="46" t="s">
        <v>31</v>
      </c>
      <c r="R1003" s="46" t="s">
        <v>31</v>
      </c>
      <c r="S1003" s="46" t="s">
        <v>31</v>
      </c>
      <c r="T1003" s="46" t="s">
        <v>31</v>
      </c>
      <c r="U1003" s="46" t="s">
        <v>49</v>
      </c>
    </row>
    <row r="1004" spans="1:21">
      <c r="A1004" s="46" t="s">
        <v>749</v>
      </c>
      <c r="B1004" s="46" t="s">
        <v>161</v>
      </c>
      <c r="C1004" s="46" t="s">
        <v>666</v>
      </c>
      <c r="D1004" s="46">
        <v>1</v>
      </c>
      <c r="E1004" s="46">
        <v>0</v>
      </c>
      <c r="F1004" s="46" t="s">
        <v>750</v>
      </c>
      <c r="G1004" s="46" t="s">
        <v>1305</v>
      </c>
      <c r="H1004" s="46" t="s">
        <v>3330</v>
      </c>
      <c r="I1004" s="46" t="str">
        <f ca="1">IFERROR(__xludf.DUMMYFUNCTION("CONCAT(A1004,REGEXREPLACE(H1004,"".*_L0"",""_L0""))"),"HC_BN1578_MTG_snRNAseq_rep1_L003_R1_001.fastq.gz")</f>
        <v>HC_BN1578_MTG_snRNAseq_rep1_L003_R1_001.fastq.gz</v>
      </c>
      <c r="J1004" s="46" t="str">
        <f t="shared" si="3"/>
        <v>/data/neurogen/ASAP/scRNAseq/data/batch19_ASAP_snRNA-seq_*/Raw_Data_and_Processing/cellranger_processing/cellranger_fastqs/outs/fastq_path/H*/BN1578_S1_L003_R1_001.fastq.gz</v>
      </c>
      <c r="K1004" s="46" t="s">
        <v>1341</v>
      </c>
      <c r="L1004" s="46" t="s">
        <v>3331</v>
      </c>
      <c r="M1004" s="46" t="s">
        <v>1309</v>
      </c>
      <c r="N1004" s="46" t="s">
        <v>1310</v>
      </c>
      <c r="O1004" s="46" t="s">
        <v>1311</v>
      </c>
      <c r="P1004" s="46" t="s">
        <v>1312</v>
      </c>
      <c r="Q1004" s="46" t="s">
        <v>31</v>
      </c>
      <c r="R1004" s="46" t="s">
        <v>31</v>
      </c>
      <c r="S1004" s="46" t="s">
        <v>31</v>
      </c>
      <c r="T1004" s="46" t="s">
        <v>31</v>
      </c>
      <c r="U1004" s="46" t="s">
        <v>49</v>
      </c>
    </row>
    <row r="1005" spans="1:21">
      <c r="A1005" s="46" t="s">
        <v>749</v>
      </c>
      <c r="B1005" s="46" t="s">
        <v>161</v>
      </c>
      <c r="C1005" s="46" t="s">
        <v>666</v>
      </c>
      <c r="D1005" s="46">
        <v>1</v>
      </c>
      <c r="E1005" s="46">
        <v>0</v>
      </c>
      <c r="F1005" s="46" t="s">
        <v>750</v>
      </c>
      <c r="G1005" s="46" t="s">
        <v>1305</v>
      </c>
      <c r="H1005" s="46" t="s">
        <v>3332</v>
      </c>
      <c r="I1005" s="46" t="str">
        <f ca="1">IFERROR(__xludf.DUMMYFUNCTION("CONCAT(A1005,REGEXREPLACE(H1005,"".*_L0"",""_L0""))"),"HC_BN1578_MTG_snRNAseq_rep1_L003_R2_001.fastq.gz")</f>
        <v>HC_BN1578_MTG_snRNAseq_rep1_L003_R2_001.fastq.gz</v>
      </c>
      <c r="J1005" s="46" t="str">
        <f t="shared" si="3"/>
        <v>/data/neurogen/ASAP/scRNAseq/data/batch19_ASAP_snRNA-seq_*/Raw_Data_and_Processing/cellranger_processing/cellranger_fastqs/outs/fastq_path/H*/BN1578_S1_L003_R2_001.fastq.gz</v>
      </c>
      <c r="K1005" s="46" t="s">
        <v>1344</v>
      </c>
      <c r="L1005" s="46" t="s">
        <v>3333</v>
      </c>
      <c r="M1005" s="46" t="s">
        <v>1309</v>
      </c>
      <c r="N1005" s="46" t="s">
        <v>1310</v>
      </c>
      <c r="O1005" s="46" t="s">
        <v>1311</v>
      </c>
      <c r="P1005" s="46" t="s">
        <v>1312</v>
      </c>
      <c r="Q1005" s="46" t="s">
        <v>31</v>
      </c>
      <c r="R1005" s="46" t="s">
        <v>31</v>
      </c>
      <c r="S1005" s="46" t="s">
        <v>31</v>
      </c>
      <c r="T1005" s="46" t="s">
        <v>31</v>
      </c>
      <c r="U1005" s="46" t="s">
        <v>49</v>
      </c>
    </row>
    <row r="1006" spans="1:21">
      <c r="A1006" s="46" t="s">
        <v>749</v>
      </c>
      <c r="B1006" s="46" t="s">
        <v>161</v>
      </c>
      <c r="C1006" s="46" t="s">
        <v>666</v>
      </c>
      <c r="D1006" s="46">
        <v>1</v>
      </c>
      <c r="E1006" s="46">
        <v>0</v>
      </c>
      <c r="F1006" s="46" t="s">
        <v>750</v>
      </c>
      <c r="G1006" s="46" t="s">
        <v>1305</v>
      </c>
      <c r="H1006" s="46" t="s">
        <v>3334</v>
      </c>
      <c r="I1006" s="46" t="str">
        <f ca="1">IFERROR(__xludf.DUMMYFUNCTION("CONCAT(A1006,REGEXREPLACE(H1006,"".*_L0"",""_L0""))"),"HC_BN1578_MTG_snRNAseq_rep1_L004_I1_001.fastq.gz")</f>
        <v>HC_BN1578_MTG_snRNAseq_rep1_L004_I1_001.fastq.gz</v>
      </c>
      <c r="J1006" s="46" t="str">
        <f t="shared" si="3"/>
        <v>/data/neurogen/ASAP/scRNAseq/data/batch19_ASAP_snRNA-seq_*/Raw_Data_and_Processing/cellranger_processing/cellranger_fastqs/outs/fastq_path/H*/BN1578_S1_L004_I1_001.fastq.gz</v>
      </c>
      <c r="K1006" s="46" t="s">
        <v>1347</v>
      </c>
      <c r="L1006" s="46" t="s">
        <v>3335</v>
      </c>
      <c r="M1006" s="46" t="s">
        <v>1309</v>
      </c>
      <c r="N1006" s="46" t="s">
        <v>1310</v>
      </c>
      <c r="O1006" s="46" t="s">
        <v>1311</v>
      </c>
      <c r="P1006" s="46" t="s">
        <v>1312</v>
      </c>
      <c r="Q1006" s="46" t="s">
        <v>31</v>
      </c>
      <c r="R1006" s="46" t="s">
        <v>31</v>
      </c>
      <c r="S1006" s="46" t="s">
        <v>31</v>
      </c>
      <c r="T1006" s="46" t="s">
        <v>31</v>
      </c>
      <c r="U1006" s="46" t="s">
        <v>49</v>
      </c>
    </row>
    <row r="1007" spans="1:21">
      <c r="A1007" s="46" t="s">
        <v>749</v>
      </c>
      <c r="B1007" s="46" t="s">
        <v>161</v>
      </c>
      <c r="C1007" s="46" t="s">
        <v>666</v>
      </c>
      <c r="D1007" s="46">
        <v>1</v>
      </c>
      <c r="E1007" s="46">
        <v>0</v>
      </c>
      <c r="F1007" s="46" t="s">
        <v>750</v>
      </c>
      <c r="G1007" s="46" t="s">
        <v>1305</v>
      </c>
      <c r="H1007" s="46" t="s">
        <v>3336</v>
      </c>
      <c r="I1007" s="46" t="str">
        <f ca="1">IFERROR(__xludf.DUMMYFUNCTION("CONCAT(A1007,REGEXREPLACE(H1007,"".*_L0"",""_L0""))"),"HC_BN1578_MTG_snRNAseq_rep1_L004_I2_001.fastq.gz")</f>
        <v>HC_BN1578_MTG_snRNAseq_rep1_L004_I2_001.fastq.gz</v>
      </c>
      <c r="J1007" s="46" t="str">
        <f t="shared" si="3"/>
        <v>/data/neurogen/ASAP/scRNAseq/data/batch19_ASAP_snRNA-seq_*/Raw_Data_and_Processing/cellranger_processing/cellranger_fastqs/outs/fastq_path/H*/BN1578_S1_L004_I2_001.fastq.gz</v>
      </c>
      <c r="K1007" s="46" t="s">
        <v>1350</v>
      </c>
      <c r="L1007" s="46" t="s">
        <v>3337</v>
      </c>
      <c r="M1007" s="46" t="s">
        <v>1309</v>
      </c>
      <c r="N1007" s="46" t="s">
        <v>1310</v>
      </c>
      <c r="O1007" s="46" t="s">
        <v>1311</v>
      </c>
      <c r="P1007" s="46" t="s">
        <v>1312</v>
      </c>
      <c r="Q1007" s="46" t="s">
        <v>31</v>
      </c>
      <c r="R1007" s="46" t="s">
        <v>31</v>
      </c>
      <c r="S1007" s="46" t="s">
        <v>31</v>
      </c>
      <c r="T1007" s="46" t="s">
        <v>31</v>
      </c>
      <c r="U1007" s="46" t="s">
        <v>49</v>
      </c>
    </row>
    <row r="1008" spans="1:21">
      <c r="A1008" s="46" t="s">
        <v>749</v>
      </c>
      <c r="B1008" s="46" t="s">
        <v>161</v>
      </c>
      <c r="C1008" s="46" t="s">
        <v>666</v>
      </c>
      <c r="D1008" s="46">
        <v>1</v>
      </c>
      <c r="E1008" s="46">
        <v>0</v>
      </c>
      <c r="F1008" s="46" t="s">
        <v>750</v>
      </c>
      <c r="G1008" s="46" t="s">
        <v>1305</v>
      </c>
      <c r="H1008" s="46" t="s">
        <v>3338</v>
      </c>
      <c r="I1008" s="46" t="str">
        <f ca="1">IFERROR(__xludf.DUMMYFUNCTION("CONCAT(A1008,REGEXREPLACE(H1008,"".*_L0"",""_L0""))"),"HC_BN1578_MTG_snRNAseq_rep1_L004_R1_001.fastq.gz")</f>
        <v>HC_BN1578_MTG_snRNAseq_rep1_L004_R1_001.fastq.gz</v>
      </c>
      <c r="J1008" s="46" t="str">
        <f t="shared" si="3"/>
        <v>/data/neurogen/ASAP/scRNAseq/data/batch19_ASAP_snRNA-seq_*/Raw_Data_and_Processing/cellranger_processing/cellranger_fastqs/outs/fastq_path/H*/BN1578_S1_L004_R1_001.fastq.gz</v>
      </c>
      <c r="K1008" s="46" t="s">
        <v>1353</v>
      </c>
      <c r="L1008" s="46" t="s">
        <v>3339</v>
      </c>
      <c r="M1008" s="46" t="s">
        <v>1309</v>
      </c>
      <c r="N1008" s="46" t="s">
        <v>1310</v>
      </c>
      <c r="O1008" s="46" t="s">
        <v>1311</v>
      </c>
      <c r="P1008" s="46" t="s">
        <v>1312</v>
      </c>
      <c r="Q1008" s="46" t="s">
        <v>31</v>
      </c>
      <c r="R1008" s="46" t="s">
        <v>31</v>
      </c>
      <c r="S1008" s="46" t="s">
        <v>31</v>
      </c>
      <c r="T1008" s="46" t="s">
        <v>31</v>
      </c>
      <c r="U1008" s="46" t="s">
        <v>49</v>
      </c>
    </row>
    <row r="1009" spans="1:21">
      <c r="A1009" s="46" t="s">
        <v>749</v>
      </c>
      <c r="B1009" s="46" t="s">
        <v>161</v>
      </c>
      <c r="C1009" s="46" t="s">
        <v>666</v>
      </c>
      <c r="D1009" s="46">
        <v>1</v>
      </c>
      <c r="E1009" s="46">
        <v>0</v>
      </c>
      <c r="F1009" s="46" t="s">
        <v>750</v>
      </c>
      <c r="G1009" s="46" t="s">
        <v>1305</v>
      </c>
      <c r="H1009" s="46" t="s">
        <v>3340</v>
      </c>
      <c r="I1009" s="46" t="str">
        <f ca="1">IFERROR(__xludf.DUMMYFUNCTION("CONCAT(A1009,REGEXREPLACE(H1009,"".*_L0"",""_L0""))"),"HC_BN1578_MTG_snRNAseq_rep1_L004_R2_001.fastq.gz")</f>
        <v>HC_BN1578_MTG_snRNAseq_rep1_L004_R2_001.fastq.gz</v>
      </c>
      <c r="J1009" s="46" t="str">
        <f t="shared" si="3"/>
        <v>/data/neurogen/ASAP/scRNAseq/data/batch19_ASAP_snRNA-seq_*/Raw_Data_and_Processing/cellranger_processing/cellranger_fastqs/outs/fastq_path/H*/BN1578_S1_L004_R2_001.fastq.gz</v>
      </c>
      <c r="K1009" s="46" t="s">
        <v>1356</v>
      </c>
      <c r="L1009" s="46" t="s">
        <v>3341</v>
      </c>
      <c r="M1009" s="46" t="s">
        <v>1309</v>
      </c>
      <c r="N1009" s="46" t="s">
        <v>1310</v>
      </c>
      <c r="O1009" s="46" t="s">
        <v>1311</v>
      </c>
      <c r="P1009" s="46" t="s">
        <v>1312</v>
      </c>
      <c r="Q1009" s="46" t="s">
        <v>31</v>
      </c>
      <c r="R1009" s="46" t="s">
        <v>31</v>
      </c>
      <c r="S1009" s="46" t="s">
        <v>31</v>
      </c>
      <c r="T1009" s="46" t="s">
        <v>31</v>
      </c>
      <c r="U1009" s="46" t="s">
        <v>49</v>
      </c>
    </row>
    <row r="1010" spans="1:21">
      <c r="A1010" s="46" t="s">
        <v>760</v>
      </c>
      <c r="B1010" s="46" t="s">
        <v>179</v>
      </c>
      <c r="C1010" s="46" t="s">
        <v>666</v>
      </c>
      <c r="D1010" s="46">
        <v>1</v>
      </c>
      <c r="E1010" s="46">
        <v>0</v>
      </c>
      <c r="F1010" s="46" t="s">
        <v>750</v>
      </c>
      <c r="G1010" s="46" t="s">
        <v>1305</v>
      </c>
      <c r="H1010" s="46" t="s">
        <v>3342</v>
      </c>
      <c r="I1010" s="46" t="str">
        <f ca="1">IFERROR(__xludf.DUMMYFUNCTION("CONCAT(A1010,REGEXREPLACE(H1010,"".*_L0"",""_L0""))"),"ILB_BN1741_MTG_snRNAseq_rep1_L001_I1_001.fastq.gz")</f>
        <v>ILB_BN1741_MTG_snRNAseq_rep1_L001_I1_001.fastq.gz</v>
      </c>
      <c r="J1010" s="46" t="str">
        <f t="shared" si="3"/>
        <v>/data/neurogen/ASAP/scRNAseq/data/batch19_ASAP_snRNA-seq_*/Raw_Data_and_Processing/cellranger_processing/cellranger_fastqs/outs/fastq_path/H*/BN1741_S2_L001_I1_001.fastq.gz</v>
      </c>
      <c r="K1010" s="46" t="s">
        <v>1307</v>
      </c>
      <c r="L1010" s="46" t="s">
        <v>3343</v>
      </c>
      <c r="M1010" s="46" t="s">
        <v>1309</v>
      </c>
      <c r="N1010" s="46" t="s">
        <v>1310</v>
      </c>
      <c r="O1010" s="46" t="s">
        <v>1311</v>
      </c>
      <c r="P1010" s="46" t="s">
        <v>1312</v>
      </c>
      <c r="Q1010" s="46" t="s">
        <v>31</v>
      </c>
      <c r="R1010" s="46" t="s">
        <v>31</v>
      </c>
      <c r="S1010" s="46" t="s">
        <v>31</v>
      </c>
      <c r="T1010" s="46" t="s">
        <v>31</v>
      </c>
      <c r="U1010" s="46" t="s">
        <v>49</v>
      </c>
    </row>
    <row r="1011" spans="1:21">
      <c r="A1011" s="46" t="s">
        <v>760</v>
      </c>
      <c r="B1011" s="46" t="s">
        <v>179</v>
      </c>
      <c r="C1011" s="46" t="s">
        <v>666</v>
      </c>
      <c r="D1011" s="46">
        <v>1</v>
      </c>
      <c r="E1011" s="46">
        <v>0</v>
      </c>
      <c r="F1011" s="46" t="s">
        <v>750</v>
      </c>
      <c r="G1011" s="46" t="s">
        <v>1305</v>
      </c>
      <c r="H1011" s="46" t="s">
        <v>3344</v>
      </c>
      <c r="I1011" s="46" t="str">
        <f ca="1">IFERROR(__xludf.DUMMYFUNCTION("CONCAT(A1011,REGEXREPLACE(H1011,"".*_L0"",""_L0""))"),"ILB_BN1741_MTG_snRNAseq_rep1_L001_I2_001.fastq.gz")</f>
        <v>ILB_BN1741_MTG_snRNAseq_rep1_L001_I2_001.fastq.gz</v>
      </c>
      <c r="J1011" s="46" t="str">
        <f t="shared" si="3"/>
        <v>/data/neurogen/ASAP/scRNAseq/data/batch19_ASAP_snRNA-seq_*/Raw_Data_and_Processing/cellranger_processing/cellranger_fastqs/outs/fastq_path/H*/BN1741_S2_L001_I2_001.fastq.gz</v>
      </c>
      <c r="K1011" s="46" t="s">
        <v>1314</v>
      </c>
      <c r="L1011" s="46" t="s">
        <v>3345</v>
      </c>
      <c r="M1011" s="46" t="s">
        <v>1309</v>
      </c>
      <c r="N1011" s="46" t="s">
        <v>1310</v>
      </c>
      <c r="O1011" s="46" t="s">
        <v>1311</v>
      </c>
      <c r="P1011" s="46" t="s">
        <v>1312</v>
      </c>
      <c r="Q1011" s="46" t="s">
        <v>31</v>
      </c>
      <c r="R1011" s="46" t="s">
        <v>31</v>
      </c>
      <c r="S1011" s="46" t="s">
        <v>31</v>
      </c>
      <c r="T1011" s="46" t="s">
        <v>31</v>
      </c>
      <c r="U1011" s="46" t="s">
        <v>49</v>
      </c>
    </row>
    <row r="1012" spans="1:21">
      <c r="A1012" s="46" t="s">
        <v>760</v>
      </c>
      <c r="B1012" s="46" t="s">
        <v>179</v>
      </c>
      <c r="C1012" s="46" t="s">
        <v>666</v>
      </c>
      <c r="D1012" s="46">
        <v>1</v>
      </c>
      <c r="E1012" s="46">
        <v>0</v>
      </c>
      <c r="F1012" s="46" t="s">
        <v>750</v>
      </c>
      <c r="G1012" s="46" t="s">
        <v>1305</v>
      </c>
      <c r="H1012" s="46" t="s">
        <v>3346</v>
      </c>
      <c r="I1012" s="46" t="str">
        <f ca="1">IFERROR(__xludf.DUMMYFUNCTION("CONCAT(A1012,REGEXREPLACE(H1012,"".*_L0"",""_L0""))"),"ILB_BN1741_MTG_snRNAseq_rep1_L001_R1_001.fastq.gz")</f>
        <v>ILB_BN1741_MTG_snRNAseq_rep1_L001_R1_001.fastq.gz</v>
      </c>
      <c r="J1012" s="46" t="str">
        <f t="shared" si="3"/>
        <v>/data/neurogen/ASAP/scRNAseq/data/batch19_ASAP_snRNA-seq_*/Raw_Data_and_Processing/cellranger_processing/cellranger_fastqs/outs/fastq_path/H*/BN1741_S2_L001_R1_001.fastq.gz</v>
      </c>
      <c r="K1012" s="46" t="s">
        <v>1317</v>
      </c>
      <c r="L1012" s="46" t="s">
        <v>3347</v>
      </c>
      <c r="M1012" s="46" t="s">
        <v>1309</v>
      </c>
      <c r="N1012" s="46" t="s">
        <v>1310</v>
      </c>
      <c r="O1012" s="46" t="s">
        <v>1311</v>
      </c>
      <c r="P1012" s="46" t="s">
        <v>1312</v>
      </c>
      <c r="Q1012" s="46" t="s">
        <v>31</v>
      </c>
      <c r="R1012" s="46" t="s">
        <v>31</v>
      </c>
      <c r="S1012" s="46" t="s">
        <v>31</v>
      </c>
      <c r="T1012" s="46" t="s">
        <v>31</v>
      </c>
      <c r="U1012" s="46" t="s">
        <v>49</v>
      </c>
    </row>
    <row r="1013" spans="1:21">
      <c r="A1013" s="46" t="s">
        <v>760</v>
      </c>
      <c r="B1013" s="46" t="s">
        <v>179</v>
      </c>
      <c r="C1013" s="46" t="s">
        <v>666</v>
      </c>
      <c r="D1013" s="46">
        <v>1</v>
      </c>
      <c r="E1013" s="46">
        <v>0</v>
      </c>
      <c r="F1013" s="46" t="s">
        <v>750</v>
      </c>
      <c r="G1013" s="46" t="s">
        <v>1305</v>
      </c>
      <c r="H1013" s="46" t="s">
        <v>3348</v>
      </c>
      <c r="I1013" s="46" t="str">
        <f ca="1">IFERROR(__xludf.DUMMYFUNCTION("CONCAT(A1013,REGEXREPLACE(H1013,"".*_L0"",""_L0""))"),"ILB_BN1741_MTG_snRNAseq_rep1_L001_R2_001.fastq.gz")</f>
        <v>ILB_BN1741_MTG_snRNAseq_rep1_L001_R2_001.fastq.gz</v>
      </c>
      <c r="J1013" s="46" t="str">
        <f t="shared" si="3"/>
        <v>/data/neurogen/ASAP/scRNAseq/data/batch19_ASAP_snRNA-seq_*/Raw_Data_and_Processing/cellranger_processing/cellranger_fastqs/outs/fastq_path/H*/BN1741_S2_L001_R2_001.fastq.gz</v>
      </c>
      <c r="K1013" s="46" t="s">
        <v>1320</v>
      </c>
      <c r="L1013" s="46" t="s">
        <v>3349</v>
      </c>
      <c r="M1013" s="46" t="s">
        <v>1309</v>
      </c>
      <c r="N1013" s="46" t="s">
        <v>1310</v>
      </c>
      <c r="O1013" s="46" t="s">
        <v>1311</v>
      </c>
      <c r="P1013" s="46" t="s">
        <v>1312</v>
      </c>
      <c r="Q1013" s="46" t="s">
        <v>31</v>
      </c>
      <c r="R1013" s="46" t="s">
        <v>31</v>
      </c>
      <c r="S1013" s="46" t="s">
        <v>31</v>
      </c>
      <c r="T1013" s="46" t="s">
        <v>31</v>
      </c>
      <c r="U1013" s="46" t="s">
        <v>49</v>
      </c>
    </row>
    <row r="1014" spans="1:21">
      <c r="A1014" s="46" t="s">
        <v>760</v>
      </c>
      <c r="B1014" s="46" t="s">
        <v>179</v>
      </c>
      <c r="C1014" s="46" t="s">
        <v>666</v>
      </c>
      <c r="D1014" s="46">
        <v>1</v>
      </c>
      <c r="E1014" s="46">
        <v>0</v>
      </c>
      <c r="F1014" s="46" t="s">
        <v>750</v>
      </c>
      <c r="G1014" s="46" t="s">
        <v>1305</v>
      </c>
      <c r="H1014" s="46" t="s">
        <v>3350</v>
      </c>
      <c r="I1014" s="46" t="str">
        <f ca="1">IFERROR(__xludf.DUMMYFUNCTION("CONCAT(A1014,REGEXREPLACE(H1014,"".*_L0"",""_L0""))"),"ILB_BN1741_MTG_snRNAseq_rep1_L002_I1_001.fastq.gz")</f>
        <v>ILB_BN1741_MTG_snRNAseq_rep1_L002_I1_001.fastq.gz</v>
      </c>
      <c r="J1014" s="46" t="str">
        <f t="shared" si="3"/>
        <v>/data/neurogen/ASAP/scRNAseq/data/batch19_ASAP_snRNA-seq_*/Raw_Data_and_Processing/cellranger_processing/cellranger_fastqs/outs/fastq_path/H*/BN1741_S2_L002_I1_001.fastq.gz</v>
      </c>
      <c r="K1014" s="46" t="s">
        <v>1323</v>
      </c>
      <c r="L1014" s="46" t="s">
        <v>3351</v>
      </c>
      <c r="M1014" s="46" t="s">
        <v>1309</v>
      </c>
      <c r="N1014" s="46" t="s">
        <v>1310</v>
      </c>
      <c r="O1014" s="46" t="s">
        <v>1311</v>
      </c>
      <c r="P1014" s="46" t="s">
        <v>1312</v>
      </c>
      <c r="Q1014" s="46" t="s">
        <v>31</v>
      </c>
      <c r="R1014" s="46" t="s">
        <v>31</v>
      </c>
      <c r="S1014" s="46" t="s">
        <v>31</v>
      </c>
      <c r="T1014" s="46" t="s">
        <v>31</v>
      </c>
      <c r="U1014" s="46" t="s">
        <v>49</v>
      </c>
    </row>
    <row r="1015" spans="1:21">
      <c r="A1015" s="46" t="s">
        <v>760</v>
      </c>
      <c r="B1015" s="46" t="s">
        <v>179</v>
      </c>
      <c r="C1015" s="46" t="s">
        <v>666</v>
      </c>
      <c r="D1015" s="46">
        <v>1</v>
      </c>
      <c r="E1015" s="46">
        <v>0</v>
      </c>
      <c r="F1015" s="46" t="s">
        <v>750</v>
      </c>
      <c r="G1015" s="46" t="s">
        <v>1305</v>
      </c>
      <c r="H1015" s="46" t="s">
        <v>3352</v>
      </c>
      <c r="I1015" s="46" t="str">
        <f ca="1">IFERROR(__xludf.DUMMYFUNCTION("CONCAT(A1015,REGEXREPLACE(H1015,"".*_L0"",""_L0""))"),"ILB_BN1741_MTG_snRNAseq_rep1_L002_I2_001.fastq.gz")</f>
        <v>ILB_BN1741_MTG_snRNAseq_rep1_L002_I2_001.fastq.gz</v>
      </c>
      <c r="J1015" s="46" t="str">
        <f t="shared" si="3"/>
        <v>/data/neurogen/ASAP/scRNAseq/data/batch19_ASAP_snRNA-seq_*/Raw_Data_and_Processing/cellranger_processing/cellranger_fastqs/outs/fastq_path/H*/BN1741_S2_L002_I2_001.fastq.gz</v>
      </c>
      <c r="K1015" s="46" t="s">
        <v>1326</v>
      </c>
      <c r="L1015" s="46" t="s">
        <v>3353</v>
      </c>
      <c r="M1015" s="46" t="s">
        <v>1309</v>
      </c>
      <c r="N1015" s="46" t="s">
        <v>1310</v>
      </c>
      <c r="O1015" s="46" t="s">
        <v>1311</v>
      </c>
      <c r="P1015" s="46" t="s">
        <v>1312</v>
      </c>
      <c r="Q1015" s="46" t="s">
        <v>31</v>
      </c>
      <c r="R1015" s="46" t="s">
        <v>31</v>
      </c>
      <c r="S1015" s="46" t="s">
        <v>31</v>
      </c>
      <c r="T1015" s="46" t="s">
        <v>31</v>
      </c>
      <c r="U1015" s="46" t="s">
        <v>49</v>
      </c>
    </row>
    <row r="1016" spans="1:21">
      <c r="A1016" s="46" t="s">
        <v>760</v>
      </c>
      <c r="B1016" s="46" t="s">
        <v>179</v>
      </c>
      <c r="C1016" s="46" t="s">
        <v>666</v>
      </c>
      <c r="D1016" s="46">
        <v>1</v>
      </c>
      <c r="E1016" s="46">
        <v>0</v>
      </c>
      <c r="F1016" s="46" t="s">
        <v>750</v>
      </c>
      <c r="G1016" s="46" t="s">
        <v>1305</v>
      </c>
      <c r="H1016" s="46" t="s">
        <v>3354</v>
      </c>
      <c r="I1016" s="46" t="str">
        <f ca="1">IFERROR(__xludf.DUMMYFUNCTION("CONCAT(A1016,REGEXREPLACE(H1016,"".*_L0"",""_L0""))"),"ILB_BN1741_MTG_snRNAseq_rep1_L002_R1_001.fastq.gz")</f>
        <v>ILB_BN1741_MTG_snRNAseq_rep1_L002_R1_001.fastq.gz</v>
      </c>
      <c r="J1016" s="46" t="str">
        <f t="shared" si="3"/>
        <v>/data/neurogen/ASAP/scRNAseq/data/batch19_ASAP_snRNA-seq_*/Raw_Data_and_Processing/cellranger_processing/cellranger_fastqs/outs/fastq_path/H*/BN1741_S2_L002_R1_001.fastq.gz</v>
      </c>
      <c r="K1016" s="46" t="s">
        <v>1329</v>
      </c>
      <c r="L1016" s="46" t="s">
        <v>3355</v>
      </c>
      <c r="M1016" s="46" t="s">
        <v>1309</v>
      </c>
      <c r="N1016" s="46" t="s">
        <v>1310</v>
      </c>
      <c r="O1016" s="46" t="s">
        <v>1311</v>
      </c>
      <c r="P1016" s="46" t="s">
        <v>1312</v>
      </c>
      <c r="Q1016" s="46" t="s">
        <v>31</v>
      </c>
      <c r="R1016" s="46" t="s">
        <v>31</v>
      </c>
      <c r="S1016" s="46" t="s">
        <v>31</v>
      </c>
      <c r="T1016" s="46" t="s">
        <v>31</v>
      </c>
      <c r="U1016" s="46" t="s">
        <v>49</v>
      </c>
    </row>
    <row r="1017" spans="1:21">
      <c r="A1017" s="46" t="s">
        <v>760</v>
      </c>
      <c r="B1017" s="46" t="s">
        <v>179</v>
      </c>
      <c r="C1017" s="46" t="s">
        <v>666</v>
      </c>
      <c r="D1017" s="46">
        <v>1</v>
      </c>
      <c r="E1017" s="46">
        <v>0</v>
      </c>
      <c r="F1017" s="46" t="s">
        <v>750</v>
      </c>
      <c r="G1017" s="46" t="s">
        <v>1305</v>
      </c>
      <c r="H1017" s="46" t="s">
        <v>3356</v>
      </c>
      <c r="I1017" s="46" t="str">
        <f ca="1">IFERROR(__xludf.DUMMYFUNCTION("CONCAT(A1017,REGEXREPLACE(H1017,"".*_L0"",""_L0""))"),"ILB_BN1741_MTG_snRNAseq_rep1_L002_R2_001.fastq.gz")</f>
        <v>ILB_BN1741_MTG_snRNAseq_rep1_L002_R2_001.fastq.gz</v>
      </c>
      <c r="J1017" s="46" t="str">
        <f t="shared" si="3"/>
        <v>/data/neurogen/ASAP/scRNAseq/data/batch19_ASAP_snRNA-seq_*/Raw_Data_and_Processing/cellranger_processing/cellranger_fastqs/outs/fastq_path/H*/BN1741_S2_L002_R2_001.fastq.gz</v>
      </c>
      <c r="K1017" s="46" t="s">
        <v>1332</v>
      </c>
      <c r="L1017" s="46" t="s">
        <v>3357</v>
      </c>
      <c r="M1017" s="46" t="s">
        <v>1309</v>
      </c>
      <c r="N1017" s="46" t="s">
        <v>1310</v>
      </c>
      <c r="O1017" s="46" t="s">
        <v>1311</v>
      </c>
      <c r="P1017" s="46" t="s">
        <v>1312</v>
      </c>
      <c r="Q1017" s="46" t="s">
        <v>31</v>
      </c>
      <c r="R1017" s="46" t="s">
        <v>31</v>
      </c>
      <c r="S1017" s="46" t="s">
        <v>31</v>
      </c>
      <c r="T1017" s="46" t="s">
        <v>31</v>
      </c>
      <c r="U1017" s="46" t="s">
        <v>49</v>
      </c>
    </row>
    <row r="1018" spans="1:21">
      <c r="A1018" s="46" t="s">
        <v>760</v>
      </c>
      <c r="B1018" s="46" t="s">
        <v>179</v>
      </c>
      <c r="C1018" s="46" t="s">
        <v>666</v>
      </c>
      <c r="D1018" s="46">
        <v>1</v>
      </c>
      <c r="E1018" s="46">
        <v>0</v>
      </c>
      <c r="F1018" s="46" t="s">
        <v>750</v>
      </c>
      <c r="G1018" s="46" t="s">
        <v>1305</v>
      </c>
      <c r="H1018" s="46" t="s">
        <v>3358</v>
      </c>
      <c r="I1018" s="46" t="str">
        <f ca="1">IFERROR(__xludf.DUMMYFUNCTION("CONCAT(A1018,REGEXREPLACE(H1018,"".*_L0"",""_L0""))"),"ILB_BN1741_MTG_snRNAseq_rep1_L003_I1_001.fastq.gz")</f>
        <v>ILB_BN1741_MTG_snRNAseq_rep1_L003_I1_001.fastq.gz</v>
      </c>
      <c r="J1018" s="46" t="str">
        <f t="shared" si="3"/>
        <v>/data/neurogen/ASAP/scRNAseq/data/batch19_ASAP_snRNA-seq_*/Raw_Data_and_Processing/cellranger_processing/cellranger_fastqs/outs/fastq_path/H*/BN1741_S2_L003_I1_001.fastq.gz</v>
      </c>
      <c r="K1018" s="46" t="s">
        <v>1335</v>
      </c>
      <c r="L1018" s="46" t="s">
        <v>3359</v>
      </c>
      <c r="M1018" s="46" t="s">
        <v>1309</v>
      </c>
      <c r="N1018" s="46" t="s">
        <v>1310</v>
      </c>
      <c r="O1018" s="46" t="s">
        <v>1311</v>
      </c>
      <c r="P1018" s="46" t="s">
        <v>1312</v>
      </c>
      <c r="Q1018" s="46" t="s">
        <v>31</v>
      </c>
      <c r="R1018" s="46" t="s">
        <v>31</v>
      </c>
      <c r="S1018" s="46" t="s">
        <v>31</v>
      </c>
      <c r="T1018" s="46" t="s">
        <v>31</v>
      </c>
      <c r="U1018" s="46" t="s">
        <v>49</v>
      </c>
    </row>
    <row r="1019" spans="1:21">
      <c r="A1019" s="46" t="s">
        <v>760</v>
      </c>
      <c r="B1019" s="46" t="s">
        <v>179</v>
      </c>
      <c r="C1019" s="46" t="s">
        <v>666</v>
      </c>
      <c r="D1019" s="46">
        <v>1</v>
      </c>
      <c r="E1019" s="46">
        <v>0</v>
      </c>
      <c r="F1019" s="46" t="s">
        <v>750</v>
      </c>
      <c r="G1019" s="46" t="s">
        <v>1305</v>
      </c>
      <c r="H1019" s="46" t="s">
        <v>3360</v>
      </c>
      <c r="I1019" s="46" t="str">
        <f ca="1">IFERROR(__xludf.DUMMYFUNCTION("CONCAT(A1019,REGEXREPLACE(H1019,"".*_L0"",""_L0""))"),"ILB_BN1741_MTG_snRNAseq_rep1_L003_I2_001.fastq.gz")</f>
        <v>ILB_BN1741_MTG_snRNAseq_rep1_L003_I2_001.fastq.gz</v>
      </c>
      <c r="J1019" s="46" t="str">
        <f t="shared" si="3"/>
        <v>/data/neurogen/ASAP/scRNAseq/data/batch19_ASAP_snRNA-seq_*/Raw_Data_and_Processing/cellranger_processing/cellranger_fastqs/outs/fastq_path/H*/BN1741_S2_L003_I2_001.fastq.gz</v>
      </c>
      <c r="K1019" s="46" t="s">
        <v>1338</v>
      </c>
      <c r="L1019" s="46" t="s">
        <v>3361</v>
      </c>
      <c r="M1019" s="46" t="s">
        <v>1309</v>
      </c>
      <c r="N1019" s="46" t="s">
        <v>1310</v>
      </c>
      <c r="O1019" s="46" t="s">
        <v>1311</v>
      </c>
      <c r="P1019" s="46" t="s">
        <v>1312</v>
      </c>
      <c r="Q1019" s="46" t="s">
        <v>31</v>
      </c>
      <c r="R1019" s="46" t="s">
        <v>31</v>
      </c>
      <c r="S1019" s="46" t="s">
        <v>31</v>
      </c>
      <c r="T1019" s="46" t="s">
        <v>31</v>
      </c>
      <c r="U1019" s="46" t="s">
        <v>49</v>
      </c>
    </row>
    <row r="1020" spans="1:21">
      <c r="A1020" s="46" t="s">
        <v>760</v>
      </c>
      <c r="B1020" s="46" t="s">
        <v>179</v>
      </c>
      <c r="C1020" s="46" t="s">
        <v>666</v>
      </c>
      <c r="D1020" s="46">
        <v>1</v>
      </c>
      <c r="E1020" s="46">
        <v>0</v>
      </c>
      <c r="F1020" s="46" t="s">
        <v>750</v>
      </c>
      <c r="G1020" s="46" t="s">
        <v>1305</v>
      </c>
      <c r="H1020" s="46" t="s">
        <v>3362</v>
      </c>
      <c r="I1020" s="46" t="str">
        <f ca="1">IFERROR(__xludf.DUMMYFUNCTION("CONCAT(A1020,REGEXREPLACE(H1020,"".*_L0"",""_L0""))"),"ILB_BN1741_MTG_snRNAseq_rep1_L003_R1_001.fastq.gz")</f>
        <v>ILB_BN1741_MTG_snRNAseq_rep1_L003_R1_001.fastq.gz</v>
      </c>
      <c r="J1020" s="46" t="str">
        <f t="shared" si="3"/>
        <v>/data/neurogen/ASAP/scRNAseq/data/batch19_ASAP_snRNA-seq_*/Raw_Data_and_Processing/cellranger_processing/cellranger_fastqs/outs/fastq_path/H*/BN1741_S2_L003_R1_001.fastq.gz</v>
      </c>
      <c r="K1020" s="46" t="s">
        <v>1341</v>
      </c>
      <c r="L1020" s="46" t="s">
        <v>3363</v>
      </c>
      <c r="M1020" s="46" t="s">
        <v>1309</v>
      </c>
      <c r="N1020" s="46" t="s">
        <v>1310</v>
      </c>
      <c r="O1020" s="46" t="s">
        <v>1311</v>
      </c>
      <c r="P1020" s="46" t="s">
        <v>1312</v>
      </c>
      <c r="Q1020" s="46" t="s">
        <v>31</v>
      </c>
      <c r="R1020" s="46" t="s">
        <v>31</v>
      </c>
      <c r="S1020" s="46" t="s">
        <v>31</v>
      </c>
      <c r="T1020" s="46" t="s">
        <v>31</v>
      </c>
      <c r="U1020" s="46" t="s">
        <v>49</v>
      </c>
    </row>
    <row r="1021" spans="1:21">
      <c r="A1021" s="46" t="s">
        <v>760</v>
      </c>
      <c r="B1021" s="46" t="s">
        <v>179</v>
      </c>
      <c r="C1021" s="46" t="s">
        <v>666</v>
      </c>
      <c r="D1021" s="46">
        <v>1</v>
      </c>
      <c r="E1021" s="46">
        <v>0</v>
      </c>
      <c r="F1021" s="46" t="s">
        <v>750</v>
      </c>
      <c r="G1021" s="46" t="s">
        <v>1305</v>
      </c>
      <c r="H1021" s="46" t="s">
        <v>3364</v>
      </c>
      <c r="I1021" s="46" t="str">
        <f ca="1">IFERROR(__xludf.DUMMYFUNCTION("CONCAT(A1021,REGEXREPLACE(H1021,"".*_L0"",""_L0""))"),"ILB_BN1741_MTG_snRNAseq_rep1_L003_R2_001.fastq.gz")</f>
        <v>ILB_BN1741_MTG_snRNAseq_rep1_L003_R2_001.fastq.gz</v>
      </c>
      <c r="J1021" s="46" t="str">
        <f t="shared" si="3"/>
        <v>/data/neurogen/ASAP/scRNAseq/data/batch19_ASAP_snRNA-seq_*/Raw_Data_and_Processing/cellranger_processing/cellranger_fastqs/outs/fastq_path/H*/BN1741_S2_L003_R2_001.fastq.gz</v>
      </c>
      <c r="K1021" s="46" t="s">
        <v>1344</v>
      </c>
      <c r="L1021" s="46" t="s">
        <v>3365</v>
      </c>
      <c r="M1021" s="46" t="s">
        <v>1309</v>
      </c>
      <c r="N1021" s="46" t="s">
        <v>1310</v>
      </c>
      <c r="O1021" s="46" t="s">
        <v>1311</v>
      </c>
      <c r="P1021" s="46" t="s">
        <v>1312</v>
      </c>
      <c r="Q1021" s="46" t="s">
        <v>31</v>
      </c>
      <c r="R1021" s="46" t="s">
        <v>31</v>
      </c>
      <c r="S1021" s="46" t="s">
        <v>31</v>
      </c>
      <c r="T1021" s="46" t="s">
        <v>31</v>
      </c>
      <c r="U1021" s="46" t="s">
        <v>49</v>
      </c>
    </row>
    <row r="1022" spans="1:21">
      <c r="A1022" s="46" t="s">
        <v>760</v>
      </c>
      <c r="B1022" s="46" t="s">
        <v>179</v>
      </c>
      <c r="C1022" s="46" t="s">
        <v>666</v>
      </c>
      <c r="D1022" s="46">
        <v>1</v>
      </c>
      <c r="E1022" s="46">
        <v>0</v>
      </c>
      <c r="F1022" s="46" t="s">
        <v>750</v>
      </c>
      <c r="G1022" s="46" t="s">
        <v>1305</v>
      </c>
      <c r="H1022" s="46" t="s">
        <v>3366</v>
      </c>
      <c r="I1022" s="46" t="str">
        <f ca="1">IFERROR(__xludf.DUMMYFUNCTION("CONCAT(A1022,REGEXREPLACE(H1022,"".*_L0"",""_L0""))"),"ILB_BN1741_MTG_snRNAseq_rep1_L004_I1_001.fastq.gz")</f>
        <v>ILB_BN1741_MTG_snRNAseq_rep1_L004_I1_001.fastq.gz</v>
      </c>
      <c r="J1022" s="46" t="str">
        <f t="shared" ref="J1022:J1276" si="4">CONCATENATE("/data/neurogen/ASAP/scRNAseq/data/",F1022,"_ASAP_snRNA-seq_*/Raw_Data_and_Processing/cellranger_processing/cellranger_fastqs/outs/fastq_path/H*/",H1022)</f>
        <v>/data/neurogen/ASAP/scRNAseq/data/batch19_ASAP_snRNA-seq_*/Raw_Data_and_Processing/cellranger_processing/cellranger_fastqs/outs/fastq_path/H*/BN1741_S2_L004_I1_001.fastq.gz</v>
      </c>
      <c r="K1022" s="46" t="s">
        <v>1347</v>
      </c>
      <c r="L1022" s="46" t="s">
        <v>3367</v>
      </c>
      <c r="M1022" s="46" t="s">
        <v>1309</v>
      </c>
      <c r="N1022" s="46" t="s">
        <v>1310</v>
      </c>
      <c r="O1022" s="46" t="s">
        <v>1311</v>
      </c>
      <c r="P1022" s="46" t="s">
        <v>1312</v>
      </c>
      <c r="Q1022" s="46" t="s">
        <v>31</v>
      </c>
      <c r="R1022" s="46" t="s">
        <v>31</v>
      </c>
      <c r="S1022" s="46" t="s">
        <v>31</v>
      </c>
      <c r="T1022" s="46" t="s">
        <v>31</v>
      </c>
      <c r="U1022" s="46" t="s">
        <v>49</v>
      </c>
    </row>
    <row r="1023" spans="1:21">
      <c r="A1023" s="46" t="s">
        <v>760</v>
      </c>
      <c r="B1023" s="46" t="s">
        <v>179</v>
      </c>
      <c r="C1023" s="46" t="s">
        <v>666</v>
      </c>
      <c r="D1023" s="46">
        <v>1</v>
      </c>
      <c r="E1023" s="46">
        <v>0</v>
      </c>
      <c r="F1023" s="46" t="s">
        <v>750</v>
      </c>
      <c r="G1023" s="46" t="s">
        <v>1305</v>
      </c>
      <c r="H1023" s="46" t="s">
        <v>3368</v>
      </c>
      <c r="I1023" s="46" t="str">
        <f ca="1">IFERROR(__xludf.DUMMYFUNCTION("CONCAT(A1023,REGEXREPLACE(H1023,"".*_L0"",""_L0""))"),"ILB_BN1741_MTG_snRNAseq_rep1_L004_I2_001.fastq.gz")</f>
        <v>ILB_BN1741_MTG_snRNAseq_rep1_L004_I2_001.fastq.gz</v>
      </c>
      <c r="J1023" s="46" t="str">
        <f t="shared" si="4"/>
        <v>/data/neurogen/ASAP/scRNAseq/data/batch19_ASAP_snRNA-seq_*/Raw_Data_and_Processing/cellranger_processing/cellranger_fastqs/outs/fastq_path/H*/BN1741_S2_L004_I2_001.fastq.gz</v>
      </c>
      <c r="K1023" s="46" t="s">
        <v>1350</v>
      </c>
      <c r="L1023" s="46" t="s">
        <v>3369</v>
      </c>
      <c r="M1023" s="46" t="s">
        <v>1309</v>
      </c>
      <c r="N1023" s="46" t="s">
        <v>1310</v>
      </c>
      <c r="O1023" s="46" t="s">
        <v>1311</v>
      </c>
      <c r="P1023" s="46" t="s">
        <v>1312</v>
      </c>
      <c r="Q1023" s="46" t="s">
        <v>31</v>
      </c>
      <c r="R1023" s="46" t="s">
        <v>31</v>
      </c>
      <c r="S1023" s="46" t="s">
        <v>31</v>
      </c>
      <c r="T1023" s="46" t="s">
        <v>31</v>
      </c>
      <c r="U1023" s="46" t="s">
        <v>49</v>
      </c>
    </row>
    <row r="1024" spans="1:21">
      <c r="A1024" s="46" t="s">
        <v>760</v>
      </c>
      <c r="B1024" s="46" t="s">
        <v>179</v>
      </c>
      <c r="C1024" s="46" t="s">
        <v>666</v>
      </c>
      <c r="D1024" s="46">
        <v>1</v>
      </c>
      <c r="E1024" s="46">
        <v>0</v>
      </c>
      <c r="F1024" s="46" t="s">
        <v>750</v>
      </c>
      <c r="G1024" s="46" t="s">
        <v>1305</v>
      </c>
      <c r="H1024" s="46" t="s">
        <v>3370</v>
      </c>
      <c r="I1024" s="46" t="str">
        <f ca="1">IFERROR(__xludf.DUMMYFUNCTION("CONCAT(A1024,REGEXREPLACE(H1024,"".*_L0"",""_L0""))"),"ILB_BN1741_MTG_snRNAseq_rep1_L004_R1_001.fastq.gz")</f>
        <v>ILB_BN1741_MTG_snRNAseq_rep1_L004_R1_001.fastq.gz</v>
      </c>
      <c r="J1024" s="46" t="str">
        <f t="shared" si="4"/>
        <v>/data/neurogen/ASAP/scRNAseq/data/batch19_ASAP_snRNA-seq_*/Raw_Data_and_Processing/cellranger_processing/cellranger_fastqs/outs/fastq_path/H*/BN1741_S2_L004_R1_001.fastq.gz</v>
      </c>
      <c r="K1024" s="46" t="s">
        <v>1353</v>
      </c>
      <c r="L1024" s="47" t="s">
        <v>3371</v>
      </c>
      <c r="M1024" s="46" t="s">
        <v>1309</v>
      </c>
      <c r="N1024" s="46" t="s">
        <v>1310</v>
      </c>
      <c r="O1024" s="46" t="s">
        <v>1311</v>
      </c>
      <c r="P1024" s="46" t="s">
        <v>1312</v>
      </c>
      <c r="Q1024" s="46" t="s">
        <v>31</v>
      </c>
      <c r="R1024" s="46" t="s">
        <v>31</v>
      </c>
      <c r="S1024" s="46" t="s">
        <v>31</v>
      </c>
      <c r="T1024" s="46" t="s">
        <v>31</v>
      </c>
      <c r="U1024" s="46" t="s">
        <v>49</v>
      </c>
    </row>
    <row r="1025" spans="1:21">
      <c r="A1025" s="46" t="s">
        <v>760</v>
      </c>
      <c r="B1025" s="46" t="s">
        <v>179</v>
      </c>
      <c r="C1025" s="46" t="s">
        <v>666</v>
      </c>
      <c r="D1025" s="46">
        <v>1</v>
      </c>
      <c r="E1025" s="46">
        <v>0</v>
      </c>
      <c r="F1025" s="46" t="s">
        <v>750</v>
      </c>
      <c r="G1025" s="46" t="s">
        <v>1305</v>
      </c>
      <c r="H1025" s="46" t="s">
        <v>3372</v>
      </c>
      <c r="I1025" s="46" t="str">
        <f ca="1">IFERROR(__xludf.DUMMYFUNCTION("CONCAT(A1025,REGEXREPLACE(H1025,"".*_L0"",""_L0""))"),"ILB_BN1741_MTG_snRNAseq_rep1_L004_R2_001.fastq.gz")</f>
        <v>ILB_BN1741_MTG_snRNAseq_rep1_L004_R2_001.fastq.gz</v>
      </c>
      <c r="J1025" s="46" t="str">
        <f t="shared" si="4"/>
        <v>/data/neurogen/ASAP/scRNAseq/data/batch19_ASAP_snRNA-seq_*/Raw_Data_and_Processing/cellranger_processing/cellranger_fastqs/outs/fastq_path/H*/BN1741_S2_L004_R2_001.fastq.gz</v>
      </c>
      <c r="K1025" s="46" t="s">
        <v>1356</v>
      </c>
      <c r="L1025" s="46" t="s">
        <v>3373</v>
      </c>
      <c r="M1025" s="46" t="s">
        <v>1309</v>
      </c>
      <c r="N1025" s="46" t="s">
        <v>1310</v>
      </c>
      <c r="O1025" s="46" t="s">
        <v>1311</v>
      </c>
      <c r="P1025" s="46" t="s">
        <v>1312</v>
      </c>
      <c r="Q1025" s="46" t="s">
        <v>31</v>
      </c>
      <c r="R1025" s="46" t="s">
        <v>31</v>
      </c>
      <c r="S1025" s="46" t="s">
        <v>31</v>
      </c>
      <c r="T1025" s="46" t="s">
        <v>31</v>
      </c>
      <c r="U1025" s="46" t="s">
        <v>49</v>
      </c>
    </row>
    <row r="1026" spans="1:21">
      <c r="A1026" s="46" t="s">
        <v>767</v>
      </c>
      <c r="B1026" s="46" t="s">
        <v>197</v>
      </c>
      <c r="C1026" s="46" t="s">
        <v>666</v>
      </c>
      <c r="D1026" s="46">
        <v>1</v>
      </c>
      <c r="E1026" s="46">
        <v>0</v>
      </c>
      <c r="F1026" s="46" t="s">
        <v>750</v>
      </c>
      <c r="G1026" s="46" t="s">
        <v>1305</v>
      </c>
      <c r="H1026" s="46" t="s">
        <v>3374</v>
      </c>
      <c r="I1026" s="46" t="str">
        <f ca="1">IFERROR(__xludf.DUMMYFUNCTION("CONCAT(A1026,REGEXREPLACE(H1026,"".*_L0"",""_L0""))"),"PD_BN1805_MTG_snRNAseq_rep1_L001_I1_001.fastq.gz")</f>
        <v>PD_BN1805_MTG_snRNAseq_rep1_L001_I1_001.fastq.gz</v>
      </c>
      <c r="J1026" s="46" t="str">
        <f t="shared" si="4"/>
        <v>/data/neurogen/ASAP/scRNAseq/data/batch19_ASAP_snRNA-seq_*/Raw_Data_and_Processing/cellranger_processing/cellranger_fastqs/outs/fastq_path/H*/BN1805_S3_L001_I1_001.fastq.gz</v>
      </c>
      <c r="K1026" s="46" t="s">
        <v>1307</v>
      </c>
      <c r="L1026" s="46" t="s">
        <v>3375</v>
      </c>
      <c r="M1026" s="46" t="s">
        <v>1309</v>
      </c>
      <c r="N1026" s="46" t="s">
        <v>1310</v>
      </c>
      <c r="O1026" s="46" t="s">
        <v>1311</v>
      </c>
      <c r="P1026" s="46" t="s">
        <v>1312</v>
      </c>
      <c r="Q1026" s="46" t="s">
        <v>31</v>
      </c>
      <c r="R1026" s="46" t="s">
        <v>31</v>
      </c>
      <c r="S1026" s="46" t="s">
        <v>31</v>
      </c>
      <c r="T1026" s="46" t="s">
        <v>31</v>
      </c>
      <c r="U1026" s="46" t="s">
        <v>49</v>
      </c>
    </row>
    <row r="1027" spans="1:21">
      <c r="A1027" s="46" t="s">
        <v>767</v>
      </c>
      <c r="B1027" s="46" t="s">
        <v>197</v>
      </c>
      <c r="C1027" s="46" t="s">
        <v>666</v>
      </c>
      <c r="D1027" s="46">
        <v>1</v>
      </c>
      <c r="E1027" s="46">
        <v>0</v>
      </c>
      <c r="F1027" s="46" t="s">
        <v>750</v>
      </c>
      <c r="G1027" s="46" t="s">
        <v>1305</v>
      </c>
      <c r="H1027" s="46" t="s">
        <v>3376</v>
      </c>
      <c r="I1027" s="46" t="str">
        <f ca="1">IFERROR(__xludf.DUMMYFUNCTION("CONCAT(A1027,REGEXREPLACE(H1027,"".*_L0"",""_L0""))"),"PD_BN1805_MTG_snRNAseq_rep1_L001_I2_001.fastq.gz")</f>
        <v>PD_BN1805_MTG_snRNAseq_rep1_L001_I2_001.fastq.gz</v>
      </c>
      <c r="J1027" s="46" t="str">
        <f t="shared" si="4"/>
        <v>/data/neurogen/ASAP/scRNAseq/data/batch19_ASAP_snRNA-seq_*/Raw_Data_and_Processing/cellranger_processing/cellranger_fastqs/outs/fastq_path/H*/BN1805_S3_L001_I2_001.fastq.gz</v>
      </c>
      <c r="K1027" s="46" t="s">
        <v>1314</v>
      </c>
      <c r="L1027" s="46" t="s">
        <v>3377</v>
      </c>
      <c r="M1027" s="46" t="s">
        <v>1309</v>
      </c>
      <c r="N1027" s="46" t="s">
        <v>1310</v>
      </c>
      <c r="O1027" s="46" t="s">
        <v>1311</v>
      </c>
      <c r="P1027" s="46" t="s">
        <v>1312</v>
      </c>
      <c r="Q1027" s="46" t="s">
        <v>31</v>
      </c>
      <c r="R1027" s="46" t="s">
        <v>31</v>
      </c>
      <c r="S1027" s="46" t="s">
        <v>31</v>
      </c>
      <c r="T1027" s="46" t="s">
        <v>31</v>
      </c>
      <c r="U1027" s="46" t="s">
        <v>49</v>
      </c>
    </row>
    <row r="1028" spans="1:21">
      <c r="A1028" s="46" t="s">
        <v>767</v>
      </c>
      <c r="B1028" s="46" t="s">
        <v>197</v>
      </c>
      <c r="C1028" s="46" t="s">
        <v>666</v>
      </c>
      <c r="D1028" s="46">
        <v>1</v>
      </c>
      <c r="E1028" s="46">
        <v>0</v>
      </c>
      <c r="F1028" s="46" t="s">
        <v>750</v>
      </c>
      <c r="G1028" s="46" t="s">
        <v>1305</v>
      </c>
      <c r="H1028" s="46" t="s">
        <v>3378</v>
      </c>
      <c r="I1028" s="46" t="str">
        <f ca="1">IFERROR(__xludf.DUMMYFUNCTION("CONCAT(A1028,REGEXREPLACE(H1028,"".*_L0"",""_L0""))"),"PD_BN1805_MTG_snRNAseq_rep1_L001_R1_001.fastq.gz")</f>
        <v>PD_BN1805_MTG_snRNAseq_rep1_L001_R1_001.fastq.gz</v>
      </c>
      <c r="J1028" s="46" t="str">
        <f t="shared" si="4"/>
        <v>/data/neurogen/ASAP/scRNAseq/data/batch19_ASAP_snRNA-seq_*/Raw_Data_and_Processing/cellranger_processing/cellranger_fastqs/outs/fastq_path/H*/BN1805_S3_L001_R1_001.fastq.gz</v>
      </c>
      <c r="K1028" s="46" t="s">
        <v>1317</v>
      </c>
      <c r="L1028" s="46" t="s">
        <v>3379</v>
      </c>
      <c r="M1028" s="46" t="s">
        <v>1309</v>
      </c>
      <c r="N1028" s="46" t="s">
        <v>1310</v>
      </c>
      <c r="O1028" s="46" t="s">
        <v>1311</v>
      </c>
      <c r="P1028" s="46" t="s">
        <v>1312</v>
      </c>
      <c r="Q1028" s="46" t="s">
        <v>31</v>
      </c>
      <c r="R1028" s="46" t="s">
        <v>31</v>
      </c>
      <c r="S1028" s="46" t="s">
        <v>31</v>
      </c>
      <c r="T1028" s="46" t="s">
        <v>31</v>
      </c>
      <c r="U1028" s="46" t="s">
        <v>49</v>
      </c>
    </row>
    <row r="1029" spans="1:21">
      <c r="A1029" s="46" t="s">
        <v>767</v>
      </c>
      <c r="B1029" s="46" t="s">
        <v>197</v>
      </c>
      <c r="C1029" s="46" t="s">
        <v>666</v>
      </c>
      <c r="D1029" s="46">
        <v>1</v>
      </c>
      <c r="E1029" s="46">
        <v>0</v>
      </c>
      <c r="F1029" s="46" t="s">
        <v>750</v>
      </c>
      <c r="G1029" s="46" t="s">
        <v>1305</v>
      </c>
      <c r="H1029" s="46" t="s">
        <v>3380</v>
      </c>
      <c r="I1029" s="46" t="str">
        <f ca="1">IFERROR(__xludf.DUMMYFUNCTION("CONCAT(A1029,REGEXREPLACE(H1029,"".*_L0"",""_L0""))"),"PD_BN1805_MTG_snRNAseq_rep1_L001_R2_001.fastq.gz")</f>
        <v>PD_BN1805_MTG_snRNAseq_rep1_L001_R2_001.fastq.gz</v>
      </c>
      <c r="J1029" s="46" t="str">
        <f t="shared" si="4"/>
        <v>/data/neurogen/ASAP/scRNAseq/data/batch19_ASAP_snRNA-seq_*/Raw_Data_and_Processing/cellranger_processing/cellranger_fastqs/outs/fastq_path/H*/BN1805_S3_L001_R2_001.fastq.gz</v>
      </c>
      <c r="K1029" s="46" t="s">
        <v>1320</v>
      </c>
      <c r="L1029" s="46" t="s">
        <v>3381</v>
      </c>
      <c r="M1029" s="46" t="s">
        <v>1309</v>
      </c>
      <c r="N1029" s="46" t="s">
        <v>1310</v>
      </c>
      <c r="O1029" s="46" t="s">
        <v>1311</v>
      </c>
      <c r="P1029" s="46" t="s">
        <v>1312</v>
      </c>
      <c r="Q1029" s="46" t="s">
        <v>31</v>
      </c>
      <c r="R1029" s="46" t="s">
        <v>31</v>
      </c>
      <c r="S1029" s="46" t="s">
        <v>31</v>
      </c>
      <c r="T1029" s="46" t="s">
        <v>31</v>
      </c>
      <c r="U1029" s="46" t="s">
        <v>49</v>
      </c>
    </row>
    <row r="1030" spans="1:21">
      <c r="A1030" s="46" t="s">
        <v>767</v>
      </c>
      <c r="B1030" s="46" t="s">
        <v>197</v>
      </c>
      <c r="C1030" s="46" t="s">
        <v>666</v>
      </c>
      <c r="D1030" s="46">
        <v>1</v>
      </c>
      <c r="E1030" s="46">
        <v>0</v>
      </c>
      <c r="F1030" s="46" t="s">
        <v>750</v>
      </c>
      <c r="G1030" s="46" t="s">
        <v>1305</v>
      </c>
      <c r="H1030" s="46" t="s">
        <v>3382</v>
      </c>
      <c r="I1030" s="46" t="str">
        <f ca="1">IFERROR(__xludf.DUMMYFUNCTION("CONCAT(A1030,REGEXREPLACE(H1030,"".*_L0"",""_L0""))"),"PD_BN1805_MTG_snRNAseq_rep1_L002_I1_001.fastq.gz")</f>
        <v>PD_BN1805_MTG_snRNAseq_rep1_L002_I1_001.fastq.gz</v>
      </c>
      <c r="J1030" s="46" t="str">
        <f t="shared" si="4"/>
        <v>/data/neurogen/ASAP/scRNAseq/data/batch19_ASAP_snRNA-seq_*/Raw_Data_and_Processing/cellranger_processing/cellranger_fastqs/outs/fastq_path/H*/BN1805_S3_L002_I1_001.fastq.gz</v>
      </c>
      <c r="K1030" s="46" t="s">
        <v>1323</v>
      </c>
      <c r="L1030" s="47" t="s">
        <v>3383</v>
      </c>
      <c r="M1030" s="46" t="s">
        <v>1309</v>
      </c>
      <c r="N1030" s="46" t="s">
        <v>1310</v>
      </c>
      <c r="O1030" s="46" t="s">
        <v>1311</v>
      </c>
      <c r="P1030" s="46" t="s">
        <v>1312</v>
      </c>
      <c r="Q1030" s="46" t="s">
        <v>31</v>
      </c>
      <c r="R1030" s="46" t="s">
        <v>31</v>
      </c>
      <c r="S1030" s="46" t="s">
        <v>31</v>
      </c>
      <c r="T1030" s="46" t="s">
        <v>31</v>
      </c>
      <c r="U1030" s="46" t="s">
        <v>49</v>
      </c>
    </row>
    <row r="1031" spans="1:21">
      <c r="A1031" s="46" t="s">
        <v>767</v>
      </c>
      <c r="B1031" s="46" t="s">
        <v>197</v>
      </c>
      <c r="C1031" s="46" t="s">
        <v>666</v>
      </c>
      <c r="D1031" s="46">
        <v>1</v>
      </c>
      <c r="E1031" s="46">
        <v>0</v>
      </c>
      <c r="F1031" s="46" t="s">
        <v>750</v>
      </c>
      <c r="G1031" s="46" t="s">
        <v>1305</v>
      </c>
      <c r="H1031" s="46" t="s">
        <v>3384</v>
      </c>
      <c r="I1031" s="46" t="str">
        <f ca="1">IFERROR(__xludf.DUMMYFUNCTION("CONCAT(A1031,REGEXREPLACE(H1031,"".*_L0"",""_L0""))"),"PD_BN1805_MTG_snRNAseq_rep1_L002_I2_001.fastq.gz")</f>
        <v>PD_BN1805_MTG_snRNAseq_rep1_L002_I2_001.fastq.gz</v>
      </c>
      <c r="J1031" s="46" t="str">
        <f t="shared" si="4"/>
        <v>/data/neurogen/ASAP/scRNAseq/data/batch19_ASAP_snRNA-seq_*/Raw_Data_and_Processing/cellranger_processing/cellranger_fastqs/outs/fastq_path/H*/BN1805_S3_L002_I2_001.fastq.gz</v>
      </c>
      <c r="K1031" s="46" t="s">
        <v>1326</v>
      </c>
      <c r="L1031" s="46" t="s">
        <v>3385</v>
      </c>
      <c r="M1031" s="46" t="s">
        <v>1309</v>
      </c>
      <c r="N1031" s="46" t="s">
        <v>1310</v>
      </c>
      <c r="O1031" s="46" t="s">
        <v>1311</v>
      </c>
      <c r="P1031" s="46" t="s">
        <v>1312</v>
      </c>
      <c r="Q1031" s="46" t="s">
        <v>31</v>
      </c>
      <c r="R1031" s="46" t="s">
        <v>31</v>
      </c>
      <c r="S1031" s="46" t="s">
        <v>31</v>
      </c>
      <c r="T1031" s="46" t="s">
        <v>31</v>
      </c>
      <c r="U1031" s="46" t="s">
        <v>49</v>
      </c>
    </row>
    <row r="1032" spans="1:21">
      <c r="A1032" s="46" t="s">
        <v>767</v>
      </c>
      <c r="B1032" s="46" t="s">
        <v>197</v>
      </c>
      <c r="C1032" s="46" t="s">
        <v>666</v>
      </c>
      <c r="D1032" s="46">
        <v>1</v>
      </c>
      <c r="E1032" s="46">
        <v>0</v>
      </c>
      <c r="F1032" s="46" t="s">
        <v>750</v>
      </c>
      <c r="G1032" s="46" t="s">
        <v>1305</v>
      </c>
      <c r="H1032" s="46" t="s">
        <v>3386</v>
      </c>
      <c r="I1032" s="46" t="str">
        <f ca="1">IFERROR(__xludf.DUMMYFUNCTION("CONCAT(A1032,REGEXREPLACE(H1032,"".*_L0"",""_L0""))"),"PD_BN1805_MTG_snRNAseq_rep1_L002_R1_001.fastq.gz")</f>
        <v>PD_BN1805_MTG_snRNAseq_rep1_L002_R1_001.fastq.gz</v>
      </c>
      <c r="J1032" s="46" t="str">
        <f t="shared" si="4"/>
        <v>/data/neurogen/ASAP/scRNAseq/data/batch19_ASAP_snRNA-seq_*/Raw_Data_and_Processing/cellranger_processing/cellranger_fastqs/outs/fastq_path/H*/BN1805_S3_L002_R1_001.fastq.gz</v>
      </c>
      <c r="K1032" s="46" t="s">
        <v>1329</v>
      </c>
      <c r="L1032" s="46" t="s">
        <v>3387</v>
      </c>
      <c r="M1032" s="46" t="s">
        <v>1309</v>
      </c>
      <c r="N1032" s="46" t="s">
        <v>1310</v>
      </c>
      <c r="O1032" s="46" t="s">
        <v>1311</v>
      </c>
      <c r="P1032" s="46" t="s">
        <v>1312</v>
      </c>
      <c r="Q1032" s="46" t="s">
        <v>31</v>
      </c>
      <c r="R1032" s="46" t="s">
        <v>31</v>
      </c>
      <c r="S1032" s="46" t="s">
        <v>31</v>
      </c>
      <c r="T1032" s="46" t="s">
        <v>31</v>
      </c>
      <c r="U1032" s="46" t="s">
        <v>49</v>
      </c>
    </row>
    <row r="1033" spans="1:21">
      <c r="A1033" s="46" t="s">
        <v>767</v>
      </c>
      <c r="B1033" s="46" t="s">
        <v>197</v>
      </c>
      <c r="C1033" s="46" t="s">
        <v>666</v>
      </c>
      <c r="D1033" s="46">
        <v>1</v>
      </c>
      <c r="E1033" s="46">
        <v>0</v>
      </c>
      <c r="F1033" s="46" t="s">
        <v>750</v>
      </c>
      <c r="G1033" s="46" t="s">
        <v>1305</v>
      </c>
      <c r="H1033" s="46" t="s">
        <v>3388</v>
      </c>
      <c r="I1033" s="46" t="str">
        <f ca="1">IFERROR(__xludf.DUMMYFUNCTION("CONCAT(A1033,REGEXREPLACE(H1033,"".*_L0"",""_L0""))"),"PD_BN1805_MTG_snRNAseq_rep1_L002_R2_001.fastq.gz")</f>
        <v>PD_BN1805_MTG_snRNAseq_rep1_L002_R2_001.fastq.gz</v>
      </c>
      <c r="J1033" s="46" t="str">
        <f t="shared" si="4"/>
        <v>/data/neurogen/ASAP/scRNAseq/data/batch19_ASAP_snRNA-seq_*/Raw_Data_and_Processing/cellranger_processing/cellranger_fastqs/outs/fastq_path/H*/BN1805_S3_L002_R2_001.fastq.gz</v>
      </c>
      <c r="K1033" s="46" t="s">
        <v>1332</v>
      </c>
      <c r="L1033" s="47" t="s">
        <v>3389</v>
      </c>
      <c r="M1033" s="46" t="s">
        <v>1309</v>
      </c>
      <c r="N1033" s="46" t="s">
        <v>1310</v>
      </c>
      <c r="O1033" s="46" t="s">
        <v>1311</v>
      </c>
      <c r="P1033" s="46" t="s">
        <v>1312</v>
      </c>
      <c r="Q1033" s="46" t="s">
        <v>31</v>
      </c>
      <c r="R1033" s="46" t="s">
        <v>31</v>
      </c>
      <c r="S1033" s="46" t="s">
        <v>31</v>
      </c>
      <c r="T1033" s="46" t="s">
        <v>31</v>
      </c>
      <c r="U1033" s="46" t="s">
        <v>49</v>
      </c>
    </row>
    <row r="1034" spans="1:21">
      <c r="A1034" s="46" t="s">
        <v>767</v>
      </c>
      <c r="B1034" s="46" t="s">
        <v>197</v>
      </c>
      <c r="C1034" s="46" t="s">
        <v>666</v>
      </c>
      <c r="D1034" s="46">
        <v>1</v>
      </c>
      <c r="E1034" s="46">
        <v>0</v>
      </c>
      <c r="F1034" s="46" t="s">
        <v>750</v>
      </c>
      <c r="G1034" s="46" t="s">
        <v>1305</v>
      </c>
      <c r="H1034" s="46" t="s">
        <v>3390</v>
      </c>
      <c r="I1034" s="46" t="str">
        <f ca="1">IFERROR(__xludf.DUMMYFUNCTION("CONCAT(A1034,REGEXREPLACE(H1034,"".*_L0"",""_L0""))"),"PD_BN1805_MTG_snRNAseq_rep1_L003_I1_001.fastq.gz")</f>
        <v>PD_BN1805_MTG_snRNAseq_rep1_L003_I1_001.fastq.gz</v>
      </c>
      <c r="J1034" s="46" t="str">
        <f t="shared" si="4"/>
        <v>/data/neurogen/ASAP/scRNAseq/data/batch19_ASAP_snRNA-seq_*/Raw_Data_and_Processing/cellranger_processing/cellranger_fastqs/outs/fastq_path/H*/BN1805_S3_L003_I1_001.fastq.gz</v>
      </c>
      <c r="K1034" s="46" t="s">
        <v>1335</v>
      </c>
      <c r="L1034" s="46" t="s">
        <v>3391</v>
      </c>
      <c r="M1034" s="46" t="s">
        <v>1309</v>
      </c>
      <c r="N1034" s="46" t="s">
        <v>1310</v>
      </c>
      <c r="O1034" s="46" t="s">
        <v>1311</v>
      </c>
      <c r="P1034" s="46" t="s">
        <v>1312</v>
      </c>
      <c r="Q1034" s="46" t="s">
        <v>31</v>
      </c>
      <c r="R1034" s="46" t="s">
        <v>31</v>
      </c>
      <c r="S1034" s="46" t="s">
        <v>31</v>
      </c>
      <c r="T1034" s="46" t="s">
        <v>31</v>
      </c>
      <c r="U1034" s="46" t="s">
        <v>49</v>
      </c>
    </row>
    <row r="1035" spans="1:21">
      <c r="A1035" s="46" t="s">
        <v>767</v>
      </c>
      <c r="B1035" s="46" t="s">
        <v>197</v>
      </c>
      <c r="C1035" s="46" t="s">
        <v>666</v>
      </c>
      <c r="D1035" s="46">
        <v>1</v>
      </c>
      <c r="E1035" s="46">
        <v>0</v>
      </c>
      <c r="F1035" s="46" t="s">
        <v>750</v>
      </c>
      <c r="G1035" s="46" t="s">
        <v>1305</v>
      </c>
      <c r="H1035" s="46" t="s">
        <v>3392</v>
      </c>
      <c r="I1035" s="46" t="str">
        <f ca="1">IFERROR(__xludf.DUMMYFUNCTION("CONCAT(A1035,REGEXREPLACE(H1035,"".*_L0"",""_L0""))"),"PD_BN1805_MTG_snRNAseq_rep1_L003_I2_001.fastq.gz")</f>
        <v>PD_BN1805_MTG_snRNAseq_rep1_L003_I2_001.fastq.gz</v>
      </c>
      <c r="J1035" s="46" t="str">
        <f t="shared" si="4"/>
        <v>/data/neurogen/ASAP/scRNAseq/data/batch19_ASAP_snRNA-seq_*/Raw_Data_and_Processing/cellranger_processing/cellranger_fastqs/outs/fastq_path/H*/BN1805_S3_L003_I2_001.fastq.gz</v>
      </c>
      <c r="K1035" s="46" t="s">
        <v>1338</v>
      </c>
      <c r="L1035" s="46" t="s">
        <v>3393</v>
      </c>
      <c r="M1035" s="46" t="s">
        <v>1309</v>
      </c>
      <c r="N1035" s="46" t="s">
        <v>1310</v>
      </c>
      <c r="O1035" s="46" t="s">
        <v>1311</v>
      </c>
      <c r="P1035" s="46" t="s">
        <v>1312</v>
      </c>
      <c r="Q1035" s="46" t="s">
        <v>31</v>
      </c>
      <c r="R1035" s="46" t="s">
        <v>31</v>
      </c>
      <c r="S1035" s="46" t="s">
        <v>31</v>
      </c>
      <c r="T1035" s="46" t="s">
        <v>31</v>
      </c>
      <c r="U1035" s="46" t="s">
        <v>49</v>
      </c>
    </row>
    <row r="1036" spans="1:21">
      <c r="A1036" s="46" t="s">
        <v>767</v>
      </c>
      <c r="B1036" s="46" t="s">
        <v>197</v>
      </c>
      <c r="C1036" s="46" t="s">
        <v>666</v>
      </c>
      <c r="D1036" s="46">
        <v>1</v>
      </c>
      <c r="E1036" s="46">
        <v>0</v>
      </c>
      <c r="F1036" s="46" t="s">
        <v>750</v>
      </c>
      <c r="G1036" s="46" t="s">
        <v>1305</v>
      </c>
      <c r="H1036" s="46" t="s">
        <v>3394</v>
      </c>
      <c r="I1036" s="46" t="str">
        <f ca="1">IFERROR(__xludf.DUMMYFUNCTION("CONCAT(A1036,REGEXREPLACE(H1036,"".*_L0"",""_L0""))"),"PD_BN1805_MTG_snRNAseq_rep1_L003_R1_001.fastq.gz")</f>
        <v>PD_BN1805_MTG_snRNAseq_rep1_L003_R1_001.fastq.gz</v>
      </c>
      <c r="J1036" s="46" t="str">
        <f t="shared" si="4"/>
        <v>/data/neurogen/ASAP/scRNAseq/data/batch19_ASAP_snRNA-seq_*/Raw_Data_and_Processing/cellranger_processing/cellranger_fastqs/outs/fastq_path/H*/BN1805_S3_L003_R1_001.fastq.gz</v>
      </c>
      <c r="K1036" s="46" t="s">
        <v>1341</v>
      </c>
      <c r="L1036" s="46" t="s">
        <v>3395</v>
      </c>
      <c r="M1036" s="46" t="s">
        <v>1309</v>
      </c>
      <c r="N1036" s="46" t="s">
        <v>1310</v>
      </c>
      <c r="O1036" s="46" t="s">
        <v>1311</v>
      </c>
      <c r="P1036" s="46" t="s">
        <v>1312</v>
      </c>
      <c r="Q1036" s="46" t="s">
        <v>31</v>
      </c>
      <c r="R1036" s="46" t="s">
        <v>31</v>
      </c>
      <c r="S1036" s="46" t="s">
        <v>31</v>
      </c>
      <c r="T1036" s="46" t="s">
        <v>31</v>
      </c>
      <c r="U1036" s="46" t="s">
        <v>49</v>
      </c>
    </row>
    <row r="1037" spans="1:21">
      <c r="A1037" s="46" t="s">
        <v>767</v>
      </c>
      <c r="B1037" s="46" t="s">
        <v>197</v>
      </c>
      <c r="C1037" s="46" t="s">
        <v>666</v>
      </c>
      <c r="D1037" s="46">
        <v>1</v>
      </c>
      <c r="E1037" s="46">
        <v>0</v>
      </c>
      <c r="F1037" s="46" t="s">
        <v>750</v>
      </c>
      <c r="G1037" s="46" t="s">
        <v>1305</v>
      </c>
      <c r="H1037" s="46" t="s">
        <v>3396</v>
      </c>
      <c r="I1037" s="46" t="str">
        <f ca="1">IFERROR(__xludf.DUMMYFUNCTION("CONCAT(A1037,REGEXREPLACE(H1037,"".*_L0"",""_L0""))"),"PD_BN1805_MTG_snRNAseq_rep1_L003_R2_001.fastq.gz")</f>
        <v>PD_BN1805_MTG_snRNAseq_rep1_L003_R2_001.fastq.gz</v>
      </c>
      <c r="J1037" s="46" t="str">
        <f t="shared" si="4"/>
        <v>/data/neurogen/ASAP/scRNAseq/data/batch19_ASAP_snRNA-seq_*/Raw_Data_and_Processing/cellranger_processing/cellranger_fastqs/outs/fastq_path/H*/BN1805_S3_L003_R2_001.fastq.gz</v>
      </c>
      <c r="K1037" s="46" t="s">
        <v>1344</v>
      </c>
      <c r="L1037" s="46" t="s">
        <v>3397</v>
      </c>
      <c r="M1037" s="46" t="s">
        <v>1309</v>
      </c>
      <c r="N1037" s="46" t="s">
        <v>1310</v>
      </c>
      <c r="O1037" s="46" t="s">
        <v>1311</v>
      </c>
      <c r="P1037" s="46" t="s">
        <v>1312</v>
      </c>
      <c r="Q1037" s="46" t="s">
        <v>31</v>
      </c>
      <c r="R1037" s="46" t="s">
        <v>31</v>
      </c>
      <c r="S1037" s="46" t="s">
        <v>31</v>
      </c>
      <c r="T1037" s="46" t="s">
        <v>31</v>
      </c>
      <c r="U1037" s="46" t="s">
        <v>49</v>
      </c>
    </row>
    <row r="1038" spans="1:21">
      <c r="A1038" s="46" t="s">
        <v>767</v>
      </c>
      <c r="B1038" s="46" t="s">
        <v>197</v>
      </c>
      <c r="C1038" s="46" t="s">
        <v>666</v>
      </c>
      <c r="D1038" s="46">
        <v>1</v>
      </c>
      <c r="E1038" s="46">
        <v>0</v>
      </c>
      <c r="F1038" s="46" t="s">
        <v>750</v>
      </c>
      <c r="G1038" s="46" t="s">
        <v>1305</v>
      </c>
      <c r="H1038" s="46" t="s">
        <v>3398</v>
      </c>
      <c r="I1038" s="46" t="str">
        <f ca="1">IFERROR(__xludf.DUMMYFUNCTION("CONCAT(A1038,REGEXREPLACE(H1038,"".*_L0"",""_L0""))"),"PD_BN1805_MTG_snRNAseq_rep1_L004_I1_001.fastq.gz")</f>
        <v>PD_BN1805_MTG_snRNAseq_rep1_L004_I1_001.fastq.gz</v>
      </c>
      <c r="J1038" s="46" t="str">
        <f t="shared" si="4"/>
        <v>/data/neurogen/ASAP/scRNAseq/data/batch19_ASAP_snRNA-seq_*/Raw_Data_and_Processing/cellranger_processing/cellranger_fastqs/outs/fastq_path/H*/BN1805_S3_L004_I1_001.fastq.gz</v>
      </c>
      <c r="K1038" s="46" t="s">
        <v>1347</v>
      </c>
      <c r="L1038" s="46" t="s">
        <v>3399</v>
      </c>
      <c r="M1038" s="46" t="s">
        <v>1309</v>
      </c>
      <c r="N1038" s="46" t="s">
        <v>1310</v>
      </c>
      <c r="O1038" s="46" t="s">
        <v>1311</v>
      </c>
      <c r="P1038" s="46" t="s">
        <v>1312</v>
      </c>
      <c r="Q1038" s="46" t="s">
        <v>31</v>
      </c>
      <c r="R1038" s="46" t="s">
        <v>31</v>
      </c>
      <c r="S1038" s="46" t="s">
        <v>31</v>
      </c>
      <c r="T1038" s="46" t="s">
        <v>31</v>
      </c>
      <c r="U1038" s="46" t="s">
        <v>49</v>
      </c>
    </row>
    <row r="1039" spans="1:21">
      <c r="A1039" s="46" t="s">
        <v>767</v>
      </c>
      <c r="B1039" s="46" t="s">
        <v>197</v>
      </c>
      <c r="C1039" s="46" t="s">
        <v>666</v>
      </c>
      <c r="D1039" s="46">
        <v>1</v>
      </c>
      <c r="E1039" s="46">
        <v>0</v>
      </c>
      <c r="F1039" s="46" t="s">
        <v>750</v>
      </c>
      <c r="G1039" s="46" t="s">
        <v>1305</v>
      </c>
      <c r="H1039" s="46" t="s">
        <v>3400</v>
      </c>
      <c r="I1039" s="46" t="str">
        <f ca="1">IFERROR(__xludf.DUMMYFUNCTION("CONCAT(A1039,REGEXREPLACE(H1039,"".*_L0"",""_L0""))"),"PD_BN1805_MTG_snRNAseq_rep1_L004_I2_001.fastq.gz")</f>
        <v>PD_BN1805_MTG_snRNAseq_rep1_L004_I2_001.fastq.gz</v>
      </c>
      <c r="J1039" s="46" t="str">
        <f t="shared" si="4"/>
        <v>/data/neurogen/ASAP/scRNAseq/data/batch19_ASAP_snRNA-seq_*/Raw_Data_and_Processing/cellranger_processing/cellranger_fastqs/outs/fastq_path/H*/BN1805_S3_L004_I2_001.fastq.gz</v>
      </c>
      <c r="K1039" s="46" t="s">
        <v>1350</v>
      </c>
      <c r="L1039" s="46" t="s">
        <v>3401</v>
      </c>
      <c r="M1039" s="46" t="s">
        <v>1309</v>
      </c>
      <c r="N1039" s="46" t="s">
        <v>1310</v>
      </c>
      <c r="O1039" s="46" t="s">
        <v>1311</v>
      </c>
      <c r="P1039" s="46" t="s">
        <v>1312</v>
      </c>
      <c r="Q1039" s="46" t="s">
        <v>31</v>
      </c>
      <c r="R1039" s="46" t="s">
        <v>31</v>
      </c>
      <c r="S1039" s="46" t="s">
        <v>31</v>
      </c>
      <c r="T1039" s="46" t="s">
        <v>31</v>
      </c>
      <c r="U1039" s="46" t="s">
        <v>49</v>
      </c>
    </row>
    <row r="1040" spans="1:21">
      <c r="A1040" s="46" t="s">
        <v>767</v>
      </c>
      <c r="B1040" s="46" t="s">
        <v>197</v>
      </c>
      <c r="C1040" s="46" t="s">
        <v>666</v>
      </c>
      <c r="D1040" s="46">
        <v>1</v>
      </c>
      <c r="E1040" s="46">
        <v>0</v>
      </c>
      <c r="F1040" s="46" t="s">
        <v>750</v>
      </c>
      <c r="G1040" s="46" t="s">
        <v>1305</v>
      </c>
      <c r="H1040" s="46" t="s">
        <v>3402</v>
      </c>
      <c r="I1040" s="46" t="str">
        <f ca="1">IFERROR(__xludf.DUMMYFUNCTION("CONCAT(A1040,REGEXREPLACE(H1040,"".*_L0"",""_L0""))"),"PD_BN1805_MTG_snRNAseq_rep1_L004_R1_001.fastq.gz")</f>
        <v>PD_BN1805_MTG_snRNAseq_rep1_L004_R1_001.fastq.gz</v>
      </c>
      <c r="J1040" s="46" t="str">
        <f t="shared" si="4"/>
        <v>/data/neurogen/ASAP/scRNAseq/data/batch19_ASAP_snRNA-seq_*/Raw_Data_and_Processing/cellranger_processing/cellranger_fastqs/outs/fastq_path/H*/BN1805_S3_L004_R1_001.fastq.gz</v>
      </c>
      <c r="K1040" s="46" t="s">
        <v>1353</v>
      </c>
      <c r="L1040" s="46" t="s">
        <v>3403</v>
      </c>
      <c r="M1040" s="46" t="s">
        <v>1309</v>
      </c>
      <c r="N1040" s="46" t="s">
        <v>1310</v>
      </c>
      <c r="O1040" s="46" t="s">
        <v>1311</v>
      </c>
      <c r="P1040" s="46" t="s">
        <v>1312</v>
      </c>
      <c r="Q1040" s="46" t="s">
        <v>31</v>
      </c>
      <c r="R1040" s="46" t="s">
        <v>31</v>
      </c>
      <c r="S1040" s="46" t="s">
        <v>31</v>
      </c>
      <c r="T1040" s="46" t="s">
        <v>31</v>
      </c>
      <c r="U1040" s="46" t="s">
        <v>49</v>
      </c>
    </row>
    <row r="1041" spans="1:21">
      <c r="A1041" s="46" t="s">
        <v>767</v>
      </c>
      <c r="B1041" s="46" t="s">
        <v>197</v>
      </c>
      <c r="C1041" s="46" t="s">
        <v>666</v>
      </c>
      <c r="D1041" s="46">
        <v>1</v>
      </c>
      <c r="E1041" s="46">
        <v>0</v>
      </c>
      <c r="F1041" s="46" t="s">
        <v>750</v>
      </c>
      <c r="G1041" s="46" t="s">
        <v>1305</v>
      </c>
      <c r="H1041" s="46" t="s">
        <v>3404</v>
      </c>
      <c r="I1041" s="46" t="str">
        <f ca="1">IFERROR(__xludf.DUMMYFUNCTION("CONCAT(A1041,REGEXREPLACE(H1041,"".*_L0"",""_L0""))"),"PD_BN1805_MTG_snRNAseq_rep1_L004_R2_001.fastq.gz")</f>
        <v>PD_BN1805_MTG_snRNAseq_rep1_L004_R2_001.fastq.gz</v>
      </c>
      <c r="J1041" s="46" t="str">
        <f t="shared" si="4"/>
        <v>/data/neurogen/ASAP/scRNAseq/data/batch19_ASAP_snRNA-seq_*/Raw_Data_and_Processing/cellranger_processing/cellranger_fastqs/outs/fastq_path/H*/BN1805_S3_L004_R2_001.fastq.gz</v>
      </c>
      <c r="K1041" s="46" t="s">
        <v>1356</v>
      </c>
      <c r="L1041" s="46" t="s">
        <v>3405</v>
      </c>
      <c r="M1041" s="46" t="s">
        <v>1309</v>
      </c>
      <c r="N1041" s="46" t="s">
        <v>1310</v>
      </c>
      <c r="O1041" s="46" t="s">
        <v>1311</v>
      </c>
      <c r="P1041" s="46" t="s">
        <v>1312</v>
      </c>
      <c r="Q1041" s="46" t="s">
        <v>31</v>
      </c>
      <c r="R1041" s="46" t="s">
        <v>31</v>
      </c>
      <c r="S1041" s="46" t="s">
        <v>31</v>
      </c>
      <c r="T1041" s="46" t="s">
        <v>31</v>
      </c>
      <c r="U1041" s="46" t="s">
        <v>49</v>
      </c>
    </row>
    <row r="1042" spans="1:21">
      <c r="A1042" s="46" t="s">
        <v>763</v>
      </c>
      <c r="B1042" s="46" t="s">
        <v>185</v>
      </c>
      <c r="C1042" s="46" t="s">
        <v>666</v>
      </c>
      <c r="D1042" s="46">
        <v>1</v>
      </c>
      <c r="E1042" s="46">
        <v>0</v>
      </c>
      <c r="F1042" s="46" t="s">
        <v>764</v>
      </c>
      <c r="G1042" s="46" t="s">
        <v>1305</v>
      </c>
      <c r="H1042" s="46" t="s">
        <v>3406</v>
      </c>
      <c r="I1042" s="46" t="str">
        <f ca="1">IFERROR(__xludf.DUMMYFUNCTION("CONCAT(A1042,REGEXREPLACE(H1042,"".*_L0"",""_L0""))"),"ILB_BN1752_MTG_snRNAseq_rep1_L001_I1_001.fastq.gz")</f>
        <v>ILB_BN1752_MTG_snRNAseq_rep1_L001_I1_001.fastq.gz</v>
      </c>
      <c r="J1042" s="46" t="str">
        <f t="shared" si="4"/>
        <v>/data/neurogen/ASAP/scRNAseq/data/batch20_ASAP_snRNA-seq_*/Raw_Data_and_Processing/cellranger_processing/cellranger_fastqs/outs/fastq_path/H*/BN1752_S1_L001_I1_001.fastq.gz</v>
      </c>
      <c r="K1042" s="46" t="s">
        <v>1307</v>
      </c>
      <c r="L1042" s="46" t="s">
        <v>3407</v>
      </c>
      <c r="M1042" s="46" t="s">
        <v>1309</v>
      </c>
      <c r="N1042" s="46" t="s">
        <v>1310</v>
      </c>
      <c r="O1042" s="46" t="s">
        <v>1311</v>
      </c>
      <c r="P1042" s="46" t="s">
        <v>1312</v>
      </c>
      <c r="Q1042" s="46" t="s">
        <v>31</v>
      </c>
      <c r="R1042" s="46" t="s">
        <v>31</v>
      </c>
      <c r="S1042" s="46" t="s">
        <v>31</v>
      </c>
      <c r="T1042" s="46" t="s">
        <v>31</v>
      </c>
      <c r="U1042" s="46" t="s">
        <v>49</v>
      </c>
    </row>
    <row r="1043" spans="1:21">
      <c r="A1043" s="46" t="s">
        <v>763</v>
      </c>
      <c r="B1043" s="46" t="s">
        <v>185</v>
      </c>
      <c r="C1043" s="46" t="s">
        <v>666</v>
      </c>
      <c r="D1043" s="46">
        <v>1</v>
      </c>
      <c r="E1043" s="46">
        <v>0</v>
      </c>
      <c r="F1043" s="46" t="s">
        <v>764</v>
      </c>
      <c r="G1043" s="46" t="s">
        <v>1305</v>
      </c>
      <c r="H1043" s="46" t="s">
        <v>3408</v>
      </c>
      <c r="I1043" s="46" t="str">
        <f ca="1">IFERROR(__xludf.DUMMYFUNCTION("CONCAT(A1043,REGEXREPLACE(H1043,"".*_L0"",""_L0""))"),"ILB_BN1752_MTG_snRNAseq_rep1_L001_I2_001.fastq.gz")</f>
        <v>ILB_BN1752_MTG_snRNAseq_rep1_L001_I2_001.fastq.gz</v>
      </c>
      <c r="J1043" s="46" t="str">
        <f t="shared" si="4"/>
        <v>/data/neurogen/ASAP/scRNAseq/data/batch20_ASAP_snRNA-seq_*/Raw_Data_and_Processing/cellranger_processing/cellranger_fastqs/outs/fastq_path/H*/BN1752_S1_L001_I2_001.fastq.gz</v>
      </c>
      <c r="K1043" s="46" t="s">
        <v>1314</v>
      </c>
      <c r="L1043" s="46" t="s">
        <v>3409</v>
      </c>
      <c r="M1043" s="46" t="s">
        <v>1309</v>
      </c>
      <c r="N1043" s="46" t="s">
        <v>1310</v>
      </c>
      <c r="O1043" s="46" t="s">
        <v>1311</v>
      </c>
      <c r="P1043" s="46" t="s">
        <v>1312</v>
      </c>
      <c r="Q1043" s="46" t="s">
        <v>31</v>
      </c>
      <c r="R1043" s="46" t="s">
        <v>31</v>
      </c>
      <c r="S1043" s="46" t="s">
        <v>31</v>
      </c>
      <c r="T1043" s="46" t="s">
        <v>31</v>
      </c>
      <c r="U1043" s="46" t="s">
        <v>49</v>
      </c>
    </row>
    <row r="1044" spans="1:21">
      <c r="A1044" s="46" t="s">
        <v>763</v>
      </c>
      <c r="B1044" s="46" t="s">
        <v>185</v>
      </c>
      <c r="C1044" s="46" t="s">
        <v>666</v>
      </c>
      <c r="D1044" s="46">
        <v>1</v>
      </c>
      <c r="E1044" s="46">
        <v>0</v>
      </c>
      <c r="F1044" s="46" t="s">
        <v>764</v>
      </c>
      <c r="G1044" s="46" t="s">
        <v>1305</v>
      </c>
      <c r="H1044" s="46" t="s">
        <v>3410</v>
      </c>
      <c r="I1044" s="46" t="str">
        <f ca="1">IFERROR(__xludf.DUMMYFUNCTION("CONCAT(A1044,REGEXREPLACE(H1044,"".*_L0"",""_L0""))"),"ILB_BN1752_MTG_snRNAseq_rep1_L001_R1_001.fastq.gz")</f>
        <v>ILB_BN1752_MTG_snRNAseq_rep1_L001_R1_001.fastq.gz</v>
      </c>
      <c r="J1044" s="46" t="str">
        <f t="shared" si="4"/>
        <v>/data/neurogen/ASAP/scRNAseq/data/batch20_ASAP_snRNA-seq_*/Raw_Data_and_Processing/cellranger_processing/cellranger_fastqs/outs/fastq_path/H*/BN1752_S1_L001_R1_001.fastq.gz</v>
      </c>
      <c r="K1044" s="46" t="s">
        <v>1317</v>
      </c>
      <c r="L1044" s="46" t="s">
        <v>3411</v>
      </c>
      <c r="M1044" s="46" t="s">
        <v>1309</v>
      </c>
      <c r="N1044" s="46" t="s">
        <v>1310</v>
      </c>
      <c r="O1044" s="46" t="s">
        <v>1311</v>
      </c>
      <c r="P1044" s="46" t="s">
        <v>1312</v>
      </c>
      <c r="Q1044" s="46" t="s">
        <v>31</v>
      </c>
      <c r="R1044" s="46" t="s">
        <v>31</v>
      </c>
      <c r="S1044" s="46" t="s">
        <v>31</v>
      </c>
      <c r="T1044" s="46" t="s">
        <v>31</v>
      </c>
      <c r="U1044" s="46" t="s">
        <v>49</v>
      </c>
    </row>
    <row r="1045" spans="1:21">
      <c r="A1045" s="46" t="s">
        <v>763</v>
      </c>
      <c r="B1045" s="46" t="s">
        <v>185</v>
      </c>
      <c r="C1045" s="46" t="s">
        <v>666</v>
      </c>
      <c r="D1045" s="46">
        <v>1</v>
      </c>
      <c r="E1045" s="46">
        <v>0</v>
      </c>
      <c r="F1045" s="46" t="s">
        <v>764</v>
      </c>
      <c r="G1045" s="46" t="s">
        <v>1305</v>
      </c>
      <c r="H1045" s="46" t="s">
        <v>3412</v>
      </c>
      <c r="I1045" s="46" t="str">
        <f ca="1">IFERROR(__xludf.DUMMYFUNCTION("CONCAT(A1045,REGEXREPLACE(H1045,"".*_L0"",""_L0""))"),"ILB_BN1752_MTG_snRNAseq_rep1_L001_R2_001.fastq.gz")</f>
        <v>ILB_BN1752_MTG_snRNAseq_rep1_L001_R2_001.fastq.gz</v>
      </c>
      <c r="J1045" s="46" t="str">
        <f t="shared" si="4"/>
        <v>/data/neurogen/ASAP/scRNAseq/data/batch20_ASAP_snRNA-seq_*/Raw_Data_and_Processing/cellranger_processing/cellranger_fastqs/outs/fastq_path/H*/BN1752_S1_L001_R2_001.fastq.gz</v>
      </c>
      <c r="K1045" s="46" t="s">
        <v>1320</v>
      </c>
      <c r="L1045" s="46" t="s">
        <v>3413</v>
      </c>
      <c r="M1045" s="46" t="s">
        <v>1309</v>
      </c>
      <c r="N1045" s="46" t="s">
        <v>1310</v>
      </c>
      <c r="O1045" s="46" t="s">
        <v>1311</v>
      </c>
      <c r="P1045" s="46" t="s">
        <v>1312</v>
      </c>
      <c r="Q1045" s="46" t="s">
        <v>31</v>
      </c>
      <c r="R1045" s="46" t="s">
        <v>31</v>
      </c>
      <c r="S1045" s="46" t="s">
        <v>31</v>
      </c>
      <c r="T1045" s="46" t="s">
        <v>31</v>
      </c>
      <c r="U1045" s="46" t="s">
        <v>49</v>
      </c>
    </row>
    <row r="1046" spans="1:21">
      <c r="A1046" s="46" t="s">
        <v>763</v>
      </c>
      <c r="B1046" s="46" t="s">
        <v>185</v>
      </c>
      <c r="C1046" s="46" t="s">
        <v>666</v>
      </c>
      <c r="D1046" s="46">
        <v>1</v>
      </c>
      <c r="E1046" s="46">
        <v>0</v>
      </c>
      <c r="F1046" s="46" t="s">
        <v>764</v>
      </c>
      <c r="G1046" s="46" t="s">
        <v>1305</v>
      </c>
      <c r="H1046" s="46" t="s">
        <v>3414</v>
      </c>
      <c r="I1046" s="46" t="str">
        <f ca="1">IFERROR(__xludf.DUMMYFUNCTION("CONCAT(A1046,REGEXREPLACE(H1046,"".*_L0"",""_L0""))"),"ILB_BN1752_MTG_snRNAseq_rep1_L002_I1_001.fastq.gz")</f>
        <v>ILB_BN1752_MTG_snRNAseq_rep1_L002_I1_001.fastq.gz</v>
      </c>
      <c r="J1046" s="46" t="str">
        <f t="shared" si="4"/>
        <v>/data/neurogen/ASAP/scRNAseq/data/batch20_ASAP_snRNA-seq_*/Raw_Data_and_Processing/cellranger_processing/cellranger_fastqs/outs/fastq_path/H*/BN1752_S1_L002_I1_001.fastq.gz</v>
      </c>
      <c r="K1046" s="46" t="s">
        <v>1323</v>
      </c>
      <c r="L1046" s="46" t="s">
        <v>3415</v>
      </c>
      <c r="M1046" s="46" t="s">
        <v>1309</v>
      </c>
      <c r="N1046" s="46" t="s">
        <v>1310</v>
      </c>
      <c r="O1046" s="46" t="s">
        <v>1311</v>
      </c>
      <c r="P1046" s="46" t="s">
        <v>1312</v>
      </c>
      <c r="Q1046" s="46" t="s">
        <v>31</v>
      </c>
      <c r="R1046" s="46" t="s">
        <v>31</v>
      </c>
      <c r="S1046" s="46" t="s">
        <v>31</v>
      </c>
      <c r="T1046" s="46" t="s">
        <v>31</v>
      </c>
      <c r="U1046" s="46" t="s">
        <v>49</v>
      </c>
    </row>
    <row r="1047" spans="1:21">
      <c r="A1047" s="46" t="s">
        <v>763</v>
      </c>
      <c r="B1047" s="46" t="s">
        <v>185</v>
      </c>
      <c r="C1047" s="46" t="s">
        <v>666</v>
      </c>
      <c r="D1047" s="46">
        <v>1</v>
      </c>
      <c r="E1047" s="46">
        <v>0</v>
      </c>
      <c r="F1047" s="46" t="s">
        <v>764</v>
      </c>
      <c r="G1047" s="46" t="s">
        <v>1305</v>
      </c>
      <c r="H1047" s="46" t="s">
        <v>3416</v>
      </c>
      <c r="I1047" s="46" t="str">
        <f ca="1">IFERROR(__xludf.DUMMYFUNCTION("CONCAT(A1047,REGEXREPLACE(H1047,"".*_L0"",""_L0""))"),"ILB_BN1752_MTG_snRNAseq_rep1_L002_I2_001.fastq.gz")</f>
        <v>ILB_BN1752_MTG_snRNAseq_rep1_L002_I2_001.fastq.gz</v>
      </c>
      <c r="J1047" s="46" t="str">
        <f t="shared" si="4"/>
        <v>/data/neurogen/ASAP/scRNAseq/data/batch20_ASAP_snRNA-seq_*/Raw_Data_and_Processing/cellranger_processing/cellranger_fastqs/outs/fastq_path/H*/BN1752_S1_L002_I2_001.fastq.gz</v>
      </c>
      <c r="K1047" s="46" t="s">
        <v>1326</v>
      </c>
      <c r="L1047" s="46" t="s">
        <v>3417</v>
      </c>
      <c r="M1047" s="46" t="s">
        <v>1309</v>
      </c>
      <c r="N1047" s="46" t="s">
        <v>1310</v>
      </c>
      <c r="O1047" s="46" t="s">
        <v>1311</v>
      </c>
      <c r="P1047" s="46" t="s">
        <v>1312</v>
      </c>
      <c r="Q1047" s="46" t="s">
        <v>31</v>
      </c>
      <c r="R1047" s="46" t="s">
        <v>31</v>
      </c>
      <c r="S1047" s="46" t="s">
        <v>31</v>
      </c>
      <c r="T1047" s="46" t="s">
        <v>31</v>
      </c>
      <c r="U1047" s="46" t="s">
        <v>49</v>
      </c>
    </row>
    <row r="1048" spans="1:21">
      <c r="A1048" s="46" t="s">
        <v>763</v>
      </c>
      <c r="B1048" s="46" t="s">
        <v>185</v>
      </c>
      <c r="C1048" s="46" t="s">
        <v>666</v>
      </c>
      <c r="D1048" s="46">
        <v>1</v>
      </c>
      <c r="E1048" s="46">
        <v>0</v>
      </c>
      <c r="F1048" s="46" t="s">
        <v>764</v>
      </c>
      <c r="G1048" s="46" t="s">
        <v>1305</v>
      </c>
      <c r="H1048" s="46" t="s">
        <v>3418</v>
      </c>
      <c r="I1048" s="46" t="str">
        <f ca="1">IFERROR(__xludf.DUMMYFUNCTION("CONCAT(A1048,REGEXREPLACE(H1048,"".*_L0"",""_L0""))"),"ILB_BN1752_MTG_snRNAseq_rep1_L002_R1_001.fastq.gz")</f>
        <v>ILB_BN1752_MTG_snRNAseq_rep1_L002_R1_001.fastq.gz</v>
      </c>
      <c r="J1048" s="46" t="str">
        <f t="shared" si="4"/>
        <v>/data/neurogen/ASAP/scRNAseq/data/batch20_ASAP_snRNA-seq_*/Raw_Data_and_Processing/cellranger_processing/cellranger_fastqs/outs/fastq_path/H*/BN1752_S1_L002_R1_001.fastq.gz</v>
      </c>
      <c r="K1048" s="46" t="s">
        <v>1329</v>
      </c>
      <c r="L1048" s="46" t="s">
        <v>3419</v>
      </c>
      <c r="M1048" s="46" t="s">
        <v>1309</v>
      </c>
      <c r="N1048" s="46" t="s">
        <v>1310</v>
      </c>
      <c r="O1048" s="46" t="s">
        <v>1311</v>
      </c>
      <c r="P1048" s="46" t="s">
        <v>1312</v>
      </c>
      <c r="Q1048" s="46" t="s">
        <v>31</v>
      </c>
      <c r="R1048" s="46" t="s">
        <v>31</v>
      </c>
      <c r="S1048" s="46" t="s">
        <v>31</v>
      </c>
      <c r="T1048" s="46" t="s">
        <v>31</v>
      </c>
      <c r="U1048" s="46" t="s">
        <v>49</v>
      </c>
    </row>
    <row r="1049" spans="1:21">
      <c r="A1049" s="46" t="s">
        <v>763</v>
      </c>
      <c r="B1049" s="46" t="s">
        <v>185</v>
      </c>
      <c r="C1049" s="46" t="s">
        <v>666</v>
      </c>
      <c r="D1049" s="46">
        <v>1</v>
      </c>
      <c r="E1049" s="46">
        <v>0</v>
      </c>
      <c r="F1049" s="46" t="s">
        <v>764</v>
      </c>
      <c r="G1049" s="46" t="s">
        <v>1305</v>
      </c>
      <c r="H1049" s="46" t="s">
        <v>3420</v>
      </c>
      <c r="I1049" s="46" t="str">
        <f ca="1">IFERROR(__xludf.DUMMYFUNCTION("CONCAT(A1049,REGEXREPLACE(H1049,"".*_L0"",""_L0""))"),"ILB_BN1752_MTG_snRNAseq_rep1_L002_R2_001.fastq.gz")</f>
        <v>ILB_BN1752_MTG_snRNAseq_rep1_L002_R2_001.fastq.gz</v>
      </c>
      <c r="J1049" s="46" t="str">
        <f t="shared" si="4"/>
        <v>/data/neurogen/ASAP/scRNAseq/data/batch20_ASAP_snRNA-seq_*/Raw_Data_and_Processing/cellranger_processing/cellranger_fastqs/outs/fastq_path/H*/BN1752_S1_L002_R2_001.fastq.gz</v>
      </c>
      <c r="K1049" s="46" t="s">
        <v>1332</v>
      </c>
      <c r="L1049" s="47" t="s">
        <v>3421</v>
      </c>
      <c r="M1049" s="46" t="s">
        <v>1309</v>
      </c>
      <c r="N1049" s="46" t="s">
        <v>1310</v>
      </c>
      <c r="O1049" s="46" t="s">
        <v>1311</v>
      </c>
      <c r="P1049" s="46" t="s">
        <v>1312</v>
      </c>
      <c r="Q1049" s="46" t="s">
        <v>31</v>
      </c>
      <c r="R1049" s="46" t="s">
        <v>31</v>
      </c>
      <c r="S1049" s="46" t="s">
        <v>31</v>
      </c>
      <c r="T1049" s="46" t="s">
        <v>31</v>
      </c>
      <c r="U1049" s="46" t="s">
        <v>49</v>
      </c>
    </row>
    <row r="1050" spans="1:21">
      <c r="A1050" s="46" t="s">
        <v>763</v>
      </c>
      <c r="B1050" s="46" t="s">
        <v>185</v>
      </c>
      <c r="C1050" s="46" t="s">
        <v>666</v>
      </c>
      <c r="D1050" s="46">
        <v>1</v>
      </c>
      <c r="E1050" s="46">
        <v>0</v>
      </c>
      <c r="F1050" s="46" t="s">
        <v>764</v>
      </c>
      <c r="G1050" s="46" t="s">
        <v>1305</v>
      </c>
      <c r="H1050" s="46" t="s">
        <v>3422</v>
      </c>
      <c r="I1050" s="46" t="str">
        <f ca="1">IFERROR(__xludf.DUMMYFUNCTION("CONCAT(A1050,REGEXREPLACE(H1050,"".*_L0"",""_L0""))"),"ILB_BN1752_MTG_snRNAseq_rep1_L003_I1_001.fastq.gz")</f>
        <v>ILB_BN1752_MTG_snRNAseq_rep1_L003_I1_001.fastq.gz</v>
      </c>
      <c r="J1050" s="46" t="str">
        <f t="shared" si="4"/>
        <v>/data/neurogen/ASAP/scRNAseq/data/batch20_ASAP_snRNA-seq_*/Raw_Data_and_Processing/cellranger_processing/cellranger_fastqs/outs/fastq_path/H*/BN1752_S1_L003_I1_001.fastq.gz</v>
      </c>
      <c r="K1050" s="46" t="s">
        <v>1335</v>
      </c>
      <c r="L1050" s="46" t="s">
        <v>3423</v>
      </c>
      <c r="M1050" s="46" t="s">
        <v>1309</v>
      </c>
      <c r="N1050" s="46" t="s">
        <v>1310</v>
      </c>
      <c r="O1050" s="46" t="s">
        <v>1311</v>
      </c>
      <c r="P1050" s="46" t="s">
        <v>1312</v>
      </c>
      <c r="Q1050" s="46" t="s">
        <v>31</v>
      </c>
      <c r="R1050" s="46" t="s">
        <v>31</v>
      </c>
      <c r="S1050" s="46" t="s">
        <v>31</v>
      </c>
      <c r="T1050" s="46" t="s">
        <v>31</v>
      </c>
      <c r="U1050" s="46" t="s">
        <v>49</v>
      </c>
    </row>
    <row r="1051" spans="1:21">
      <c r="A1051" s="46" t="s">
        <v>763</v>
      </c>
      <c r="B1051" s="46" t="s">
        <v>185</v>
      </c>
      <c r="C1051" s="46" t="s">
        <v>666</v>
      </c>
      <c r="D1051" s="46">
        <v>1</v>
      </c>
      <c r="E1051" s="46">
        <v>0</v>
      </c>
      <c r="F1051" s="46" t="s">
        <v>764</v>
      </c>
      <c r="G1051" s="46" t="s">
        <v>1305</v>
      </c>
      <c r="H1051" s="46" t="s">
        <v>3424</v>
      </c>
      <c r="I1051" s="46" t="str">
        <f ca="1">IFERROR(__xludf.DUMMYFUNCTION("CONCAT(A1051,REGEXREPLACE(H1051,"".*_L0"",""_L0""))"),"ILB_BN1752_MTG_snRNAseq_rep1_L003_I2_001.fastq.gz")</f>
        <v>ILB_BN1752_MTG_snRNAseq_rep1_L003_I2_001.fastq.gz</v>
      </c>
      <c r="J1051" s="46" t="str">
        <f t="shared" si="4"/>
        <v>/data/neurogen/ASAP/scRNAseq/data/batch20_ASAP_snRNA-seq_*/Raw_Data_and_Processing/cellranger_processing/cellranger_fastqs/outs/fastq_path/H*/BN1752_S1_L003_I2_001.fastq.gz</v>
      </c>
      <c r="K1051" s="46" t="s">
        <v>1338</v>
      </c>
      <c r="L1051" s="46" t="s">
        <v>3425</v>
      </c>
      <c r="M1051" s="46" t="s">
        <v>1309</v>
      </c>
      <c r="N1051" s="46" t="s">
        <v>1310</v>
      </c>
      <c r="O1051" s="46" t="s">
        <v>1311</v>
      </c>
      <c r="P1051" s="46" t="s">
        <v>1312</v>
      </c>
      <c r="Q1051" s="46" t="s">
        <v>31</v>
      </c>
      <c r="R1051" s="46" t="s">
        <v>31</v>
      </c>
      <c r="S1051" s="46" t="s">
        <v>31</v>
      </c>
      <c r="T1051" s="46" t="s">
        <v>31</v>
      </c>
      <c r="U1051" s="46" t="s">
        <v>49</v>
      </c>
    </row>
    <row r="1052" spans="1:21">
      <c r="A1052" s="46" t="s">
        <v>763</v>
      </c>
      <c r="B1052" s="46" t="s">
        <v>185</v>
      </c>
      <c r="C1052" s="46" t="s">
        <v>666</v>
      </c>
      <c r="D1052" s="46">
        <v>1</v>
      </c>
      <c r="E1052" s="46">
        <v>0</v>
      </c>
      <c r="F1052" s="46" t="s">
        <v>764</v>
      </c>
      <c r="G1052" s="46" t="s">
        <v>1305</v>
      </c>
      <c r="H1052" s="46" t="s">
        <v>3426</v>
      </c>
      <c r="I1052" s="46" t="str">
        <f ca="1">IFERROR(__xludf.DUMMYFUNCTION("CONCAT(A1052,REGEXREPLACE(H1052,"".*_L0"",""_L0""))"),"ILB_BN1752_MTG_snRNAseq_rep1_L003_R1_001.fastq.gz")</f>
        <v>ILB_BN1752_MTG_snRNAseq_rep1_L003_R1_001.fastq.gz</v>
      </c>
      <c r="J1052" s="46" t="str">
        <f t="shared" si="4"/>
        <v>/data/neurogen/ASAP/scRNAseq/data/batch20_ASAP_snRNA-seq_*/Raw_Data_and_Processing/cellranger_processing/cellranger_fastqs/outs/fastq_path/H*/BN1752_S1_L003_R1_001.fastq.gz</v>
      </c>
      <c r="K1052" s="46" t="s">
        <v>1341</v>
      </c>
      <c r="L1052" s="46" t="s">
        <v>3427</v>
      </c>
      <c r="M1052" s="46" t="s">
        <v>1309</v>
      </c>
      <c r="N1052" s="46" t="s">
        <v>1310</v>
      </c>
      <c r="O1052" s="46" t="s">
        <v>1311</v>
      </c>
      <c r="P1052" s="46" t="s">
        <v>1312</v>
      </c>
      <c r="Q1052" s="46" t="s">
        <v>31</v>
      </c>
      <c r="R1052" s="46" t="s">
        <v>31</v>
      </c>
      <c r="S1052" s="46" t="s">
        <v>31</v>
      </c>
      <c r="T1052" s="46" t="s">
        <v>31</v>
      </c>
      <c r="U1052" s="46" t="s">
        <v>49</v>
      </c>
    </row>
    <row r="1053" spans="1:21">
      <c r="A1053" s="46" t="s">
        <v>763</v>
      </c>
      <c r="B1053" s="46" t="s">
        <v>185</v>
      </c>
      <c r="C1053" s="46" t="s">
        <v>666</v>
      </c>
      <c r="D1053" s="46">
        <v>1</v>
      </c>
      <c r="E1053" s="46">
        <v>0</v>
      </c>
      <c r="F1053" s="46" t="s">
        <v>764</v>
      </c>
      <c r="G1053" s="46" t="s">
        <v>1305</v>
      </c>
      <c r="H1053" s="46" t="s">
        <v>3428</v>
      </c>
      <c r="I1053" s="46" t="str">
        <f ca="1">IFERROR(__xludf.DUMMYFUNCTION("CONCAT(A1053,REGEXREPLACE(H1053,"".*_L0"",""_L0""))"),"ILB_BN1752_MTG_snRNAseq_rep1_L003_R2_001.fastq.gz")</f>
        <v>ILB_BN1752_MTG_snRNAseq_rep1_L003_R2_001.fastq.gz</v>
      </c>
      <c r="J1053" s="46" t="str">
        <f t="shared" si="4"/>
        <v>/data/neurogen/ASAP/scRNAseq/data/batch20_ASAP_snRNA-seq_*/Raw_Data_and_Processing/cellranger_processing/cellranger_fastqs/outs/fastq_path/H*/BN1752_S1_L003_R2_001.fastq.gz</v>
      </c>
      <c r="K1053" s="46" t="s">
        <v>1344</v>
      </c>
      <c r="L1053" s="46" t="s">
        <v>3429</v>
      </c>
      <c r="M1053" s="46" t="s">
        <v>1309</v>
      </c>
      <c r="N1053" s="46" t="s">
        <v>1310</v>
      </c>
      <c r="O1053" s="46" t="s">
        <v>1311</v>
      </c>
      <c r="P1053" s="46" t="s">
        <v>1312</v>
      </c>
      <c r="Q1053" s="46" t="s">
        <v>31</v>
      </c>
      <c r="R1053" s="46" t="s">
        <v>31</v>
      </c>
      <c r="S1053" s="46" t="s">
        <v>31</v>
      </c>
      <c r="T1053" s="46" t="s">
        <v>31</v>
      </c>
      <c r="U1053" s="46" t="s">
        <v>49</v>
      </c>
    </row>
    <row r="1054" spans="1:21">
      <c r="A1054" s="46" t="s">
        <v>763</v>
      </c>
      <c r="B1054" s="46" t="s">
        <v>185</v>
      </c>
      <c r="C1054" s="46" t="s">
        <v>666</v>
      </c>
      <c r="D1054" s="46">
        <v>1</v>
      </c>
      <c r="E1054" s="46">
        <v>0</v>
      </c>
      <c r="F1054" s="46" t="s">
        <v>764</v>
      </c>
      <c r="G1054" s="46" t="s">
        <v>1305</v>
      </c>
      <c r="H1054" s="46" t="s">
        <v>3430</v>
      </c>
      <c r="I1054" s="46" t="str">
        <f ca="1">IFERROR(__xludf.DUMMYFUNCTION("CONCAT(A1054,REGEXREPLACE(H1054,"".*_L0"",""_L0""))"),"ILB_BN1752_MTG_snRNAseq_rep1_L004_I1_001.fastq.gz")</f>
        <v>ILB_BN1752_MTG_snRNAseq_rep1_L004_I1_001.fastq.gz</v>
      </c>
      <c r="J1054" s="46" t="str">
        <f t="shared" si="4"/>
        <v>/data/neurogen/ASAP/scRNAseq/data/batch20_ASAP_snRNA-seq_*/Raw_Data_and_Processing/cellranger_processing/cellranger_fastqs/outs/fastq_path/H*/BN1752_S1_L004_I1_001.fastq.gz</v>
      </c>
      <c r="K1054" s="46" t="s">
        <v>1347</v>
      </c>
      <c r="L1054" s="46" t="s">
        <v>3431</v>
      </c>
      <c r="M1054" s="46" t="s">
        <v>1309</v>
      </c>
      <c r="N1054" s="46" t="s">
        <v>1310</v>
      </c>
      <c r="O1054" s="46" t="s">
        <v>1311</v>
      </c>
      <c r="P1054" s="46" t="s">
        <v>1312</v>
      </c>
      <c r="Q1054" s="46" t="s">
        <v>31</v>
      </c>
      <c r="R1054" s="46" t="s">
        <v>31</v>
      </c>
      <c r="S1054" s="46" t="s">
        <v>31</v>
      </c>
      <c r="T1054" s="46" t="s">
        <v>31</v>
      </c>
      <c r="U1054" s="46" t="s">
        <v>49</v>
      </c>
    </row>
    <row r="1055" spans="1:21">
      <c r="A1055" s="46" t="s">
        <v>763</v>
      </c>
      <c r="B1055" s="46" t="s">
        <v>185</v>
      </c>
      <c r="C1055" s="46" t="s">
        <v>666</v>
      </c>
      <c r="D1055" s="46">
        <v>1</v>
      </c>
      <c r="E1055" s="46">
        <v>0</v>
      </c>
      <c r="F1055" s="46" t="s">
        <v>764</v>
      </c>
      <c r="G1055" s="46" t="s">
        <v>1305</v>
      </c>
      <c r="H1055" s="46" t="s">
        <v>3432</v>
      </c>
      <c r="I1055" s="46" t="str">
        <f ca="1">IFERROR(__xludf.DUMMYFUNCTION("CONCAT(A1055,REGEXREPLACE(H1055,"".*_L0"",""_L0""))"),"ILB_BN1752_MTG_snRNAseq_rep1_L004_I2_001.fastq.gz")</f>
        <v>ILB_BN1752_MTG_snRNAseq_rep1_L004_I2_001.fastq.gz</v>
      </c>
      <c r="J1055" s="46" t="str">
        <f t="shared" si="4"/>
        <v>/data/neurogen/ASAP/scRNAseq/data/batch20_ASAP_snRNA-seq_*/Raw_Data_and_Processing/cellranger_processing/cellranger_fastqs/outs/fastq_path/H*/BN1752_S1_L004_I2_001.fastq.gz</v>
      </c>
      <c r="K1055" s="46" t="s">
        <v>1350</v>
      </c>
      <c r="L1055" s="46" t="s">
        <v>3433</v>
      </c>
      <c r="M1055" s="46" t="s">
        <v>1309</v>
      </c>
      <c r="N1055" s="46" t="s">
        <v>1310</v>
      </c>
      <c r="O1055" s="46" t="s">
        <v>1311</v>
      </c>
      <c r="P1055" s="46" t="s">
        <v>1312</v>
      </c>
      <c r="Q1055" s="46" t="s">
        <v>31</v>
      </c>
      <c r="R1055" s="46" t="s">
        <v>31</v>
      </c>
      <c r="S1055" s="46" t="s">
        <v>31</v>
      </c>
      <c r="T1055" s="46" t="s">
        <v>31</v>
      </c>
      <c r="U1055" s="46" t="s">
        <v>49</v>
      </c>
    </row>
    <row r="1056" spans="1:21">
      <c r="A1056" s="46" t="s">
        <v>763</v>
      </c>
      <c r="B1056" s="46" t="s">
        <v>185</v>
      </c>
      <c r="C1056" s="46" t="s">
        <v>666</v>
      </c>
      <c r="D1056" s="46">
        <v>1</v>
      </c>
      <c r="E1056" s="46">
        <v>0</v>
      </c>
      <c r="F1056" s="46" t="s">
        <v>764</v>
      </c>
      <c r="G1056" s="46" t="s">
        <v>1305</v>
      </c>
      <c r="H1056" s="46" t="s">
        <v>3434</v>
      </c>
      <c r="I1056" s="46" t="str">
        <f ca="1">IFERROR(__xludf.DUMMYFUNCTION("CONCAT(A1056,REGEXREPLACE(H1056,"".*_L0"",""_L0""))"),"ILB_BN1752_MTG_snRNAseq_rep1_L004_R1_001.fastq.gz")</f>
        <v>ILB_BN1752_MTG_snRNAseq_rep1_L004_R1_001.fastq.gz</v>
      </c>
      <c r="J1056" s="46" t="str">
        <f t="shared" si="4"/>
        <v>/data/neurogen/ASAP/scRNAseq/data/batch20_ASAP_snRNA-seq_*/Raw_Data_and_Processing/cellranger_processing/cellranger_fastqs/outs/fastq_path/H*/BN1752_S1_L004_R1_001.fastq.gz</v>
      </c>
      <c r="K1056" s="46" t="s">
        <v>1353</v>
      </c>
      <c r="L1056" s="46" t="s">
        <v>3435</v>
      </c>
      <c r="M1056" s="46" t="s">
        <v>1309</v>
      </c>
      <c r="N1056" s="46" t="s">
        <v>1310</v>
      </c>
      <c r="O1056" s="46" t="s">
        <v>1311</v>
      </c>
      <c r="P1056" s="46" t="s">
        <v>1312</v>
      </c>
      <c r="Q1056" s="46" t="s">
        <v>31</v>
      </c>
      <c r="R1056" s="46" t="s">
        <v>31</v>
      </c>
      <c r="S1056" s="46" t="s">
        <v>31</v>
      </c>
      <c r="T1056" s="46" t="s">
        <v>31</v>
      </c>
      <c r="U1056" s="46" t="s">
        <v>49</v>
      </c>
    </row>
    <row r="1057" spans="1:21">
      <c r="A1057" s="46" t="s">
        <v>763</v>
      </c>
      <c r="B1057" s="46" t="s">
        <v>185</v>
      </c>
      <c r="C1057" s="46" t="s">
        <v>666</v>
      </c>
      <c r="D1057" s="46">
        <v>1</v>
      </c>
      <c r="E1057" s="46">
        <v>0</v>
      </c>
      <c r="F1057" s="46" t="s">
        <v>764</v>
      </c>
      <c r="G1057" s="46" t="s">
        <v>1305</v>
      </c>
      <c r="H1057" s="46" t="s">
        <v>3436</v>
      </c>
      <c r="I1057" s="46" t="str">
        <f ca="1">IFERROR(__xludf.DUMMYFUNCTION("CONCAT(A1057,REGEXREPLACE(H1057,"".*_L0"",""_L0""))"),"ILB_BN1752_MTG_snRNAseq_rep1_L004_R2_001.fastq.gz")</f>
        <v>ILB_BN1752_MTG_snRNAseq_rep1_L004_R2_001.fastq.gz</v>
      </c>
      <c r="J1057" s="46" t="str">
        <f t="shared" si="4"/>
        <v>/data/neurogen/ASAP/scRNAseq/data/batch20_ASAP_snRNA-seq_*/Raw_Data_and_Processing/cellranger_processing/cellranger_fastqs/outs/fastq_path/H*/BN1752_S1_L004_R2_001.fastq.gz</v>
      </c>
      <c r="K1057" s="46" t="s">
        <v>1356</v>
      </c>
      <c r="L1057" s="46" t="s">
        <v>3437</v>
      </c>
      <c r="M1057" s="46" t="s">
        <v>1309</v>
      </c>
      <c r="N1057" s="46" t="s">
        <v>1310</v>
      </c>
      <c r="O1057" s="46" t="s">
        <v>1311</v>
      </c>
      <c r="P1057" s="46" t="s">
        <v>1312</v>
      </c>
      <c r="Q1057" s="46" t="s">
        <v>31</v>
      </c>
      <c r="R1057" s="46" t="s">
        <v>31</v>
      </c>
      <c r="S1057" s="46" t="s">
        <v>31</v>
      </c>
      <c r="T1057" s="46" t="s">
        <v>31</v>
      </c>
      <c r="U1057" s="46" t="s">
        <v>49</v>
      </c>
    </row>
    <row r="1058" spans="1:21">
      <c r="A1058" s="46" t="s">
        <v>768</v>
      </c>
      <c r="B1058" s="46" t="s">
        <v>191</v>
      </c>
      <c r="C1058" s="46" t="s">
        <v>666</v>
      </c>
      <c r="D1058" s="46">
        <v>1</v>
      </c>
      <c r="E1058" s="46">
        <v>0</v>
      </c>
      <c r="F1058" s="46" t="s">
        <v>764</v>
      </c>
      <c r="G1058" s="46" t="s">
        <v>1305</v>
      </c>
      <c r="H1058" s="46" t="s">
        <v>3438</v>
      </c>
      <c r="I1058" s="46" t="str">
        <f ca="1">IFERROR(__xludf.DUMMYFUNCTION("CONCAT(A1058,REGEXREPLACE(H1058,"".*_L0"",""_L0""))"),"PD_BN1809_MTG_snRNAseq_rep1_L001_I1_001.fastq.gz")</f>
        <v>PD_BN1809_MTG_snRNAseq_rep1_L001_I1_001.fastq.gz</v>
      </c>
      <c r="J1058" s="46" t="str">
        <f t="shared" si="4"/>
        <v>/data/neurogen/ASAP/scRNAseq/data/batch20_ASAP_snRNA-seq_*/Raw_Data_and_Processing/cellranger_processing/cellranger_fastqs/outs/fastq_path/H*/BN1809_S3_L001_I1_001.fastq.gz</v>
      </c>
      <c r="K1058" s="46" t="s">
        <v>1307</v>
      </c>
      <c r="L1058" s="46" t="s">
        <v>3439</v>
      </c>
      <c r="M1058" s="46" t="s">
        <v>1309</v>
      </c>
      <c r="N1058" s="46" t="s">
        <v>1310</v>
      </c>
      <c r="O1058" s="46" t="s">
        <v>1311</v>
      </c>
      <c r="P1058" s="46" t="s">
        <v>1312</v>
      </c>
      <c r="Q1058" s="46" t="s">
        <v>31</v>
      </c>
      <c r="R1058" s="46" t="s">
        <v>31</v>
      </c>
      <c r="S1058" s="46" t="s">
        <v>31</v>
      </c>
      <c r="T1058" s="46" t="s">
        <v>31</v>
      </c>
      <c r="U1058" s="46" t="s">
        <v>49</v>
      </c>
    </row>
    <row r="1059" spans="1:21">
      <c r="A1059" s="46" t="s">
        <v>768</v>
      </c>
      <c r="B1059" s="46" t="s">
        <v>191</v>
      </c>
      <c r="C1059" s="46" t="s">
        <v>666</v>
      </c>
      <c r="D1059" s="46">
        <v>1</v>
      </c>
      <c r="E1059" s="46">
        <v>0</v>
      </c>
      <c r="F1059" s="46" t="s">
        <v>764</v>
      </c>
      <c r="G1059" s="46" t="s">
        <v>1305</v>
      </c>
      <c r="H1059" s="46" t="s">
        <v>3440</v>
      </c>
      <c r="I1059" s="46" t="str">
        <f ca="1">IFERROR(__xludf.DUMMYFUNCTION("CONCAT(A1059,REGEXREPLACE(H1059,"".*_L0"",""_L0""))"),"PD_BN1809_MTG_snRNAseq_rep1_L001_I2_001.fastq.gz")</f>
        <v>PD_BN1809_MTG_snRNAseq_rep1_L001_I2_001.fastq.gz</v>
      </c>
      <c r="J1059" s="46" t="str">
        <f t="shared" si="4"/>
        <v>/data/neurogen/ASAP/scRNAseq/data/batch20_ASAP_snRNA-seq_*/Raw_Data_and_Processing/cellranger_processing/cellranger_fastqs/outs/fastq_path/H*/BN1809_S3_L001_I2_001.fastq.gz</v>
      </c>
      <c r="K1059" s="46" t="s">
        <v>1314</v>
      </c>
      <c r="L1059" s="46" t="s">
        <v>3441</v>
      </c>
      <c r="M1059" s="46" t="s">
        <v>1309</v>
      </c>
      <c r="N1059" s="46" t="s">
        <v>1310</v>
      </c>
      <c r="O1059" s="46" t="s">
        <v>1311</v>
      </c>
      <c r="P1059" s="46" t="s">
        <v>1312</v>
      </c>
      <c r="Q1059" s="46" t="s">
        <v>31</v>
      </c>
      <c r="R1059" s="46" t="s">
        <v>31</v>
      </c>
      <c r="S1059" s="46" t="s">
        <v>31</v>
      </c>
      <c r="T1059" s="46" t="s">
        <v>31</v>
      </c>
      <c r="U1059" s="46" t="s">
        <v>49</v>
      </c>
    </row>
    <row r="1060" spans="1:21">
      <c r="A1060" s="46" t="s">
        <v>768</v>
      </c>
      <c r="B1060" s="46" t="s">
        <v>191</v>
      </c>
      <c r="C1060" s="46" t="s">
        <v>666</v>
      </c>
      <c r="D1060" s="46">
        <v>1</v>
      </c>
      <c r="E1060" s="46">
        <v>0</v>
      </c>
      <c r="F1060" s="46" t="s">
        <v>764</v>
      </c>
      <c r="G1060" s="46" t="s">
        <v>1305</v>
      </c>
      <c r="H1060" s="46" t="s">
        <v>3442</v>
      </c>
      <c r="I1060" s="46" t="str">
        <f ca="1">IFERROR(__xludf.DUMMYFUNCTION("CONCAT(A1060,REGEXREPLACE(H1060,"".*_L0"",""_L0""))"),"PD_BN1809_MTG_snRNAseq_rep1_L001_R1_001.fastq.gz")</f>
        <v>PD_BN1809_MTG_snRNAseq_rep1_L001_R1_001.fastq.gz</v>
      </c>
      <c r="J1060" s="46" t="str">
        <f t="shared" si="4"/>
        <v>/data/neurogen/ASAP/scRNAseq/data/batch20_ASAP_snRNA-seq_*/Raw_Data_and_Processing/cellranger_processing/cellranger_fastqs/outs/fastq_path/H*/BN1809_S3_L001_R1_001.fastq.gz</v>
      </c>
      <c r="K1060" s="46" t="s">
        <v>1317</v>
      </c>
      <c r="L1060" s="46" t="s">
        <v>3443</v>
      </c>
      <c r="M1060" s="46" t="s">
        <v>1309</v>
      </c>
      <c r="N1060" s="46" t="s">
        <v>1310</v>
      </c>
      <c r="O1060" s="46" t="s">
        <v>1311</v>
      </c>
      <c r="P1060" s="46" t="s">
        <v>1312</v>
      </c>
      <c r="Q1060" s="46" t="s">
        <v>31</v>
      </c>
      <c r="R1060" s="46" t="s">
        <v>31</v>
      </c>
      <c r="S1060" s="46" t="s">
        <v>31</v>
      </c>
      <c r="T1060" s="46" t="s">
        <v>31</v>
      </c>
      <c r="U1060" s="46" t="s">
        <v>49</v>
      </c>
    </row>
    <row r="1061" spans="1:21">
      <c r="A1061" s="46" t="s">
        <v>768</v>
      </c>
      <c r="B1061" s="46" t="s">
        <v>191</v>
      </c>
      <c r="C1061" s="46" t="s">
        <v>666</v>
      </c>
      <c r="D1061" s="46">
        <v>1</v>
      </c>
      <c r="E1061" s="46">
        <v>0</v>
      </c>
      <c r="F1061" s="46" t="s">
        <v>764</v>
      </c>
      <c r="G1061" s="46" t="s">
        <v>1305</v>
      </c>
      <c r="H1061" s="46" t="s">
        <v>3444</v>
      </c>
      <c r="I1061" s="46" t="str">
        <f ca="1">IFERROR(__xludf.DUMMYFUNCTION("CONCAT(A1061,REGEXREPLACE(H1061,"".*_L0"",""_L0""))"),"PD_BN1809_MTG_snRNAseq_rep1_L001_R2_001.fastq.gz")</f>
        <v>PD_BN1809_MTG_snRNAseq_rep1_L001_R2_001.fastq.gz</v>
      </c>
      <c r="J1061" s="46" t="str">
        <f t="shared" si="4"/>
        <v>/data/neurogen/ASAP/scRNAseq/data/batch20_ASAP_snRNA-seq_*/Raw_Data_and_Processing/cellranger_processing/cellranger_fastqs/outs/fastq_path/H*/BN1809_S3_L001_R2_001.fastq.gz</v>
      </c>
      <c r="K1061" s="46" t="s">
        <v>1320</v>
      </c>
      <c r="L1061" s="46" t="s">
        <v>3445</v>
      </c>
      <c r="M1061" s="46" t="s">
        <v>1309</v>
      </c>
      <c r="N1061" s="46" t="s">
        <v>1310</v>
      </c>
      <c r="O1061" s="46" t="s">
        <v>1311</v>
      </c>
      <c r="P1061" s="46" t="s">
        <v>1312</v>
      </c>
      <c r="Q1061" s="46" t="s">
        <v>31</v>
      </c>
      <c r="R1061" s="46" t="s">
        <v>31</v>
      </c>
      <c r="S1061" s="46" t="s">
        <v>31</v>
      </c>
      <c r="T1061" s="46" t="s">
        <v>31</v>
      </c>
      <c r="U1061" s="46" t="s">
        <v>49</v>
      </c>
    </row>
    <row r="1062" spans="1:21">
      <c r="A1062" s="46" t="s">
        <v>768</v>
      </c>
      <c r="B1062" s="46" t="s">
        <v>191</v>
      </c>
      <c r="C1062" s="46" t="s">
        <v>666</v>
      </c>
      <c r="D1062" s="46">
        <v>1</v>
      </c>
      <c r="E1062" s="46">
        <v>0</v>
      </c>
      <c r="F1062" s="46" t="s">
        <v>764</v>
      </c>
      <c r="G1062" s="46" t="s">
        <v>1305</v>
      </c>
      <c r="H1062" s="46" t="s">
        <v>3446</v>
      </c>
      <c r="I1062" s="46" t="str">
        <f ca="1">IFERROR(__xludf.DUMMYFUNCTION("CONCAT(A1062,REGEXREPLACE(H1062,"".*_L0"",""_L0""))"),"PD_BN1809_MTG_snRNAseq_rep1_L002_I1_001.fastq.gz")</f>
        <v>PD_BN1809_MTG_snRNAseq_rep1_L002_I1_001.fastq.gz</v>
      </c>
      <c r="J1062" s="46" t="str">
        <f t="shared" si="4"/>
        <v>/data/neurogen/ASAP/scRNAseq/data/batch20_ASAP_snRNA-seq_*/Raw_Data_and_Processing/cellranger_processing/cellranger_fastqs/outs/fastq_path/H*/BN1809_S3_L002_I1_001.fastq.gz</v>
      </c>
      <c r="K1062" s="46" t="s">
        <v>1323</v>
      </c>
      <c r="L1062" s="46" t="s">
        <v>3447</v>
      </c>
      <c r="M1062" s="46" t="s">
        <v>1309</v>
      </c>
      <c r="N1062" s="46" t="s">
        <v>1310</v>
      </c>
      <c r="O1062" s="46" t="s">
        <v>1311</v>
      </c>
      <c r="P1062" s="46" t="s">
        <v>1312</v>
      </c>
      <c r="Q1062" s="46" t="s">
        <v>31</v>
      </c>
      <c r="R1062" s="46" t="s">
        <v>31</v>
      </c>
      <c r="S1062" s="46" t="s">
        <v>31</v>
      </c>
      <c r="T1062" s="46" t="s">
        <v>31</v>
      </c>
      <c r="U1062" s="46" t="s">
        <v>49</v>
      </c>
    </row>
    <row r="1063" spans="1:21">
      <c r="A1063" s="46" t="s">
        <v>768</v>
      </c>
      <c r="B1063" s="46" t="s">
        <v>191</v>
      </c>
      <c r="C1063" s="46" t="s">
        <v>666</v>
      </c>
      <c r="D1063" s="46">
        <v>1</v>
      </c>
      <c r="E1063" s="46">
        <v>0</v>
      </c>
      <c r="F1063" s="46" t="s">
        <v>764</v>
      </c>
      <c r="G1063" s="46" t="s">
        <v>1305</v>
      </c>
      <c r="H1063" s="46" t="s">
        <v>3448</v>
      </c>
      <c r="I1063" s="46" t="str">
        <f ca="1">IFERROR(__xludf.DUMMYFUNCTION("CONCAT(A1063,REGEXREPLACE(H1063,"".*_L0"",""_L0""))"),"PD_BN1809_MTG_snRNAseq_rep1_L002_I2_001.fastq.gz")</f>
        <v>PD_BN1809_MTG_snRNAseq_rep1_L002_I2_001.fastq.gz</v>
      </c>
      <c r="J1063" s="46" t="str">
        <f t="shared" si="4"/>
        <v>/data/neurogen/ASAP/scRNAseq/data/batch20_ASAP_snRNA-seq_*/Raw_Data_and_Processing/cellranger_processing/cellranger_fastqs/outs/fastq_path/H*/BN1809_S3_L002_I2_001.fastq.gz</v>
      </c>
      <c r="K1063" s="46" t="s">
        <v>1326</v>
      </c>
      <c r="L1063" s="46" t="s">
        <v>3449</v>
      </c>
      <c r="M1063" s="46" t="s">
        <v>1309</v>
      </c>
      <c r="N1063" s="46" t="s">
        <v>1310</v>
      </c>
      <c r="O1063" s="46" t="s">
        <v>1311</v>
      </c>
      <c r="P1063" s="46" t="s">
        <v>1312</v>
      </c>
      <c r="Q1063" s="46" t="s">
        <v>31</v>
      </c>
      <c r="R1063" s="46" t="s">
        <v>31</v>
      </c>
      <c r="S1063" s="46" t="s">
        <v>31</v>
      </c>
      <c r="T1063" s="46" t="s">
        <v>31</v>
      </c>
      <c r="U1063" s="46" t="s">
        <v>49</v>
      </c>
    </row>
    <row r="1064" spans="1:21">
      <c r="A1064" s="46" t="s">
        <v>768</v>
      </c>
      <c r="B1064" s="46" t="s">
        <v>191</v>
      </c>
      <c r="C1064" s="46" t="s">
        <v>666</v>
      </c>
      <c r="D1064" s="46">
        <v>1</v>
      </c>
      <c r="E1064" s="46">
        <v>0</v>
      </c>
      <c r="F1064" s="46" t="s">
        <v>764</v>
      </c>
      <c r="G1064" s="46" t="s">
        <v>1305</v>
      </c>
      <c r="H1064" s="46" t="s">
        <v>3450</v>
      </c>
      <c r="I1064" s="46" t="str">
        <f ca="1">IFERROR(__xludf.DUMMYFUNCTION("CONCAT(A1064,REGEXREPLACE(H1064,"".*_L0"",""_L0""))"),"PD_BN1809_MTG_snRNAseq_rep1_L002_R1_001.fastq.gz")</f>
        <v>PD_BN1809_MTG_snRNAseq_rep1_L002_R1_001.fastq.gz</v>
      </c>
      <c r="J1064" s="46" t="str">
        <f t="shared" si="4"/>
        <v>/data/neurogen/ASAP/scRNAseq/data/batch20_ASAP_snRNA-seq_*/Raw_Data_and_Processing/cellranger_processing/cellranger_fastqs/outs/fastq_path/H*/BN1809_S3_L002_R1_001.fastq.gz</v>
      </c>
      <c r="K1064" s="46" t="s">
        <v>1329</v>
      </c>
      <c r="L1064" s="46" t="s">
        <v>3451</v>
      </c>
      <c r="M1064" s="46" t="s">
        <v>1309</v>
      </c>
      <c r="N1064" s="46" t="s">
        <v>1310</v>
      </c>
      <c r="O1064" s="46" t="s">
        <v>1311</v>
      </c>
      <c r="P1064" s="46" t="s">
        <v>1312</v>
      </c>
      <c r="Q1064" s="46" t="s">
        <v>31</v>
      </c>
      <c r="R1064" s="46" t="s">
        <v>31</v>
      </c>
      <c r="S1064" s="46" t="s">
        <v>31</v>
      </c>
      <c r="T1064" s="46" t="s">
        <v>31</v>
      </c>
      <c r="U1064" s="46" t="s">
        <v>49</v>
      </c>
    </row>
    <row r="1065" spans="1:21">
      <c r="A1065" s="46" t="s">
        <v>768</v>
      </c>
      <c r="B1065" s="46" t="s">
        <v>191</v>
      </c>
      <c r="C1065" s="46" t="s">
        <v>666</v>
      </c>
      <c r="D1065" s="46">
        <v>1</v>
      </c>
      <c r="E1065" s="46">
        <v>0</v>
      </c>
      <c r="F1065" s="46" t="s">
        <v>764</v>
      </c>
      <c r="G1065" s="46" t="s">
        <v>1305</v>
      </c>
      <c r="H1065" s="46" t="s">
        <v>3452</v>
      </c>
      <c r="I1065" s="46" t="str">
        <f ca="1">IFERROR(__xludf.DUMMYFUNCTION("CONCAT(A1065,REGEXREPLACE(H1065,"".*_L0"",""_L0""))"),"PD_BN1809_MTG_snRNAseq_rep1_L002_R2_001.fastq.gz")</f>
        <v>PD_BN1809_MTG_snRNAseq_rep1_L002_R2_001.fastq.gz</v>
      </c>
      <c r="J1065" s="46" t="str">
        <f t="shared" si="4"/>
        <v>/data/neurogen/ASAP/scRNAseq/data/batch20_ASAP_snRNA-seq_*/Raw_Data_and_Processing/cellranger_processing/cellranger_fastqs/outs/fastq_path/H*/BN1809_S3_L002_R2_001.fastq.gz</v>
      </c>
      <c r="K1065" s="46" t="s">
        <v>1332</v>
      </c>
      <c r="L1065" s="46" t="s">
        <v>3453</v>
      </c>
      <c r="M1065" s="46" t="s">
        <v>1309</v>
      </c>
      <c r="N1065" s="46" t="s">
        <v>1310</v>
      </c>
      <c r="O1065" s="46" t="s">
        <v>1311</v>
      </c>
      <c r="P1065" s="46" t="s">
        <v>1312</v>
      </c>
      <c r="Q1065" s="46" t="s">
        <v>31</v>
      </c>
      <c r="R1065" s="46" t="s">
        <v>31</v>
      </c>
      <c r="S1065" s="46" t="s">
        <v>31</v>
      </c>
      <c r="T1065" s="46" t="s">
        <v>31</v>
      </c>
      <c r="U1065" s="46" t="s">
        <v>49</v>
      </c>
    </row>
    <row r="1066" spans="1:21">
      <c r="A1066" s="46" t="s">
        <v>768</v>
      </c>
      <c r="B1066" s="46" t="s">
        <v>191</v>
      </c>
      <c r="C1066" s="46" t="s">
        <v>666</v>
      </c>
      <c r="D1066" s="46">
        <v>1</v>
      </c>
      <c r="E1066" s="46">
        <v>0</v>
      </c>
      <c r="F1066" s="46" t="s">
        <v>764</v>
      </c>
      <c r="G1066" s="46" t="s">
        <v>1305</v>
      </c>
      <c r="H1066" s="46" t="s">
        <v>3454</v>
      </c>
      <c r="I1066" s="46" t="str">
        <f ca="1">IFERROR(__xludf.DUMMYFUNCTION("CONCAT(A1066,REGEXREPLACE(H1066,"".*_L0"",""_L0""))"),"PD_BN1809_MTG_snRNAseq_rep1_L003_I1_001.fastq.gz")</f>
        <v>PD_BN1809_MTG_snRNAseq_rep1_L003_I1_001.fastq.gz</v>
      </c>
      <c r="J1066" s="46" t="str">
        <f t="shared" si="4"/>
        <v>/data/neurogen/ASAP/scRNAseq/data/batch20_ASAP_snRNA-seq_*/Raw_Data_and_Processing/cellranger_processing/cellranger_fastqs/outs/fastq_path/H*/BN1809_S3_L003_I1_001.fastq.gz</v>
      </c>
      <c r="K1066" s="46" t="s">
        <v>1335</v>
      </c>
      <c r="L1066" s="46" t="s">
        <v>3455</v>
      </c>
      <c r="M1066" s="46" t="s">
        <v>1309</v>
      </c>
      <c r="N1066" s="46" t="s">
        <v>1310</v>
      </c>
      <c r="O1066" s="46" t="s">
        <v>1311</v>
      </c>
      <c r="P1066" s="46" t="s">
        <v>1312</v>
      </c>
      <c r="Q1066" s="46" t="s">
        <v>31</v>
      </c>
      <c r="R1066" s="46" t="s">
        <v>31</v>
      </c>
      <c r="S1066" s="46" t="s">
        <v>31</v>
      </c>
      <c r="T1066" s="46" t="s">
        <v>31</v>
      </c>
      <c r="U1066" s="46" t="s">
        <v>49</v>
      </c>
    </row>
    <row r="1067" spans="1:21">
      <c r="A1067" s="46" t="s">
        <v>768</v>
      </c>
      <c r="B1067" s="46" t="s">
        <v>191</v>
      </c>
      <c r="C1067" s="46" t="s">
        <v>666</v>
      </c>
      <c r="D1067" s="46">
        <v>1</v>
      </c>
      <c r="E1067" s="46">
        <v>0</v>
      </c>
      <c r="F1067" s="46" t="s">
        <v>764</v>
      </c>
      <c r="G1067" s="46" t="s">
        <v>1305</v>
      </c>
      <c r="H1067" s="46" t="s">
        <v>3456</v>
      </c>
      <c r="I1067" s="46" t="str">
        <f ca="1">IFERROR(__xludf.DUMMYFUNCTION("CONCAT(A1067,REGEXREPLACE(H1067,"".*_L0"",""_L0""))"),"PD_BN1809_MTG_snRNAseq_rep1_L003_I2_001.fastq.gz")</f>
        <v>PD_BN1809_MTG_snRNAseq_rep1_L003_I2_001.fastq.gz</v>
      </c>
      <c r="J1067" s="46" t="str">
        <f t="shared" si="4"/>
        <v>/data/neurogen/ASAP/scRNAseq/data/batch20_ASAP_snRNA-seq_*/Raw_Data_and_Processing/cellranger_processing/cellranger_fastqs/outs/fastq_path/H*/BN1809_S3_L003_I2_001.fastq.gz</v>
      </c>
      <c r="K1067" s="46" t="s">
        <v>1338</v>
      </c>
      <c r="L1067" s="46" t="s">
        <v>3457</v>
      </c>
      <c r="M1067" s="46" t="s">
        <v>1309</v>
      </c>
      <c r="N1067" s="46" t="s">
        <v>1310</v>
      </c>
      <c r="O1067" s="46" t="s">
        <v>1311</v>
      </c>
      <c r="P1067" s="46" t="s">
        <v>1312</v>
      </c>
      <c r="Q1067" s="46" t="s">
        <v>31</v>
      </c>
      <c r="R1067" s="46" t="s">
        <v>31</v>
      </c>
      <c r="S1067" s="46" t="s">
        <v>31</v>
      </c>
      <c r="T1067" s="46" t="s">
        <v>31</v>
      </c>
      <c r="U1067" s="46" t="s">
        <v>49</v>
      </c>
    </row>
    <row r="1068" spans="1:21">
      <c r="A1068" s="46" t="s">
        <v>768</v>
      </c>
      <c r="B1068" s="46" t="s">
        <v>191</v>
      </c>
      <c r="C1068" s="46" t="s">
        <v>666</v>
      </c>
      <c r="D1068" s="46">
        <v>1</v>
      </c>
      <c r="E1068" s="46">
        <v>0</v>
      </c>
      <c r="F1068" s="46" t="s">
        <v>764</v>
      </c>
      <c r="G1068" s="46" t="s">
        <v>1305</v>
      </c>
      <c r="H1068" s="46" t="s">
        <v>3458</v>
      </c>
      <c r="I1068" s="46" t="str">
        <f ca="1">IFERROR(__xludf.DUMMYFUNCTION("CONCAT(A1068,REGEXREPLACE(H1068,"".*_L0"",""_L0""))"),"PD_BN1809_MTG_snRNAseq_rep1_L003_R1_001.fastq.gz")</f>
        <v>PD_BN1809_MTG_snRNAseq_rep1_L003_R1_001.fastq.gz</v>
      </c>
      <c r="J1068" s="46" t="str">
        <f t="shared" si="4"/>
        <v>/data/neurogen/ASAP/scRNAseq/data/batch20_ASAP_snRNA-seq_*/Raw_Data_and_Processing/cellranger_processing/cellranger_fastqs/outs/fastq_path/H*/BN1809_S3_L003_R1_001.fastq.gz</v>
      </c>
      <c r="K1068" s="46" t="s">
        <v>1341</v>
      </c>
      <c r="L1068" s="46" t="s">
        <v>3459</v>
      </c>
      <c r="M1068" s="46" t="s">
        <v>1309</v>
      </c>
      <c r="N1068" s="46" t="s">
        <v>1310</v>
      </c>
      <c r="O1068" s="46" t="s">
        <v>1311</v>
      </c>
      <c r="P1068" s="46" t="s">
        <v>1312</v>
      </c>
      <c r="Q1068" s="46" t="s">
        <v>31</v>
      </c>
      <c r="R1068" s="46" t="s">
        <v>31</v>
      </c>
      <c r="S1068" s="46" t="s">
        <v>31</v>
      </c>
      <c r="T1068" s="46" t="s">
        <v>31</v>
      </c>
      <c r="U1068" s="46" t="s">
        <v>49</v>
      </c>
    </row>
    <row r="1069" spans="1:21">
      <c r="A1069" s="46" t="s">
        <v>768</v>
      </c>
      <c r="B1069" s="46" t="s">
        <v>191</v>
      </c>
      <c r="C1069" s="46" t="s">
        <v>666</v>
      </c>
      <c r="D1069" s="46">
        <v>1</v>
      </c>
      <c r="E1069" s="46">
        <v>0</v>
      </c>
      <c r="F1069" s="46" t="s">
        <v>764</v>
      </c>
      <c r="G1069" s="46" t="s">
        <v>1305</v>
      </c>
      <c r="H1069" s="46" t="s">
        <v>3460</v>
      </c>
      <c r="I1069" s="46" t="str">
        <f ca="1">IFERROR(__xludf.DUMMYFUNCTION("CONCAT(A1069,REGEXREPLACE(H1069,"".*_L0"",""_L0""))"),"PD_BN1809_MTG_snRNAseq_rep1_L003_R2_001.fastq.gz")</f>
        <v>PD_BN1809_MTG_snRNAseq_rep1_L003_R2_001.fastq.gz</v>
      </c>
      <c r="J1069" s="46" t="str">
        <f t="shared" si="4"/>
        <v>/data/neurogen/ASAP/scRNAseq/data/batch20_ASAP_snRNA-seq_*/Raw_Data_and_Processing/cellranger_processing/cellranger_fastqs/outs/fastq_path/H*/BN1809_S3_L003_R2_001.fastq.gz</v>
      </c>
      <c r="K1069" s="46" t="s">
        <v>1344</v>
      </c>
      <c r="L1069" s="46" t="s">
        <v>3461</v>
      </c>
      <c r="M1069" s="46" t="s">
        <v>1309</v>
      </c>
      <c r="N1069" s="46" t="s">
        <v>1310</v>
      </c>
      <c r="O1069" s="46" t="s">
        <v>1311</v>
      </c>
      <c r="P1069" s="46" t="s">
        <v>1312</v>
      </c>
      <c r="Q1069" s="46" t="s">
        <v>31</v>
      </c>
      <c r="R1069" s="46" t="s">
        <v>31</v>
      </c>
      <c r="S1069" s="46" t="s">
        <v>31</v>
      </c>
      <c r="T1069" s="46" t="s">
        <v>31</v>
      </c>
      <c r="U1069" s="46" t="s">
        <v>49</v>
      </c>
    </row>
    <row r="1070" spans="1:21">
      <c r="A1070" s="46" t="s">
        <v>768</v>
      </c>
      <c r="B1070" s="46" t="s">
        <v>191</v>
      </c>
      <c r="C1070" s="46" t="s">
        <v>666</v>
      </c>
      <c r="D1070" s="46">
        <v>1</v>
      </c>
      <c r="E1070" s="46">
        <v>0</v>
      </c>
      <c r="F1070" s="46" t="s">
        <v>764</v>
      </c>
      <c r="G1070" s="46" t="s">
        <v>1305</v>
      </c>
      <c r="H1070" s="46" t="s">
        <v>3462</v>
      </c>
      <c r="I1070" s="46" t="str">
        <f ca="1">IFERROR(__xludf.DUMMYFUNCTION("CONCAT(A1070,REGEXREPLACE(H1070,"".*_L0"",""_L0""))"),"PD_BN1809_MTG_snRNAseq_rep1_L004_I1_001.fastq.gz")</f>
        <v>PD_BN1809_MTG_snRNAseq_rep1_L004_I1_001.fastq.gz</v>
      </c>
      <c r="J1070" s="46" t="str">
        <f t="shared" si="4"/>
        <v>/data/neurogen/ASAP/scRNAseq/data/batch20_ASAP_snRNA-seq_*/Raw_Data_and_Processing/cellranger_processing/cellranger_fastqs/outs/fastq_path/H*/BN1809_S3_L004_I1_001.fastq.gz</v>
      </c>
      <c r="K1070" s="46" t="s">
        <v>1347</v>
      </c>
      <c r="L1070" s="46" t="s">
        <v>3463</v>
      </c>
      <c r="M1070" s="46" t="s">
        <v>1309</v>
      </c>
      <c r="N1070" s="46" t="s">
        <v>1310</v>
      </c>
      <c r="O1070" s="46" t="s">
        <v>1311</v>
      </c>
      <c r="P1070" s="46" t="s">
        <v>1312</v>
      </c>
      <c r="Q1070" s="46" t="s">
        <v>31</v>
      </c>
      <c r="R1070" s="46" t="s">
        <v>31</v>
      </c>
      <c r="S1070" s="46" t="s">
        <v>31</v>
      </c>
      <c r="T1070" s="46" t="s">
        <v>31</v>
      </c>
      <c r="U1070" s="46" t="s">
        <v>49</v>
      </c>
    </row>
    <row r="1071" spans="1:21">
      <c r="A1071" s="46" t="s">
        <v>768</v>
      </c>
      <c r="B1071" s="46" t="s">
        <v>191</v>
      </c>
      <c r="C1071" s="46" t="s">
        <v>666</v>
      </c>
      <c r="D1071" s="46">
        <v>1</v>
      </c>
      <c r="E1071" s="46">
        <v>0</v>
      </c>
      <c r="F1071" s="46" t="s">
        <v>764</v>
      </c>
      <c r="G1071" s="46" t="s">
        <v>1305</v>
      </c>
      <c r="H1071" s="46" t="s">
        <v>3464</v>
      </c>
      <c r="I1071" s="46" t="str">
        <f ca="1">IFERROR(__xludf.DUMMYFUNCTION("CONCAT(A1071,REGEXREPLACE(H1071,"".*_L0"",""_L0""))"),"PD_BN1809_MTG_snRNAseq_rep1_L004_I2_001.fastq.gz")</f>
        <v>PD_BN1809_MTG_snRNAseq_rep1_L004_I2_001.fastq.gz</v>
      </c>
      <c r="J1071" s="46" t="str">
        <f t="shared" si="4"/>
        <v>/data/neurogen/ASAP/scRNAseq/data/batch20_ASAP_snRNA-seq_*/Raw_Data_and_Processing/cellranger_processing/cellranger_fastqs/outs/fastq_path/H*/BN1809_S3_L004_I2_001.fastq.gz</v>
      </c>
      <c r="K1071" s="46" t="s">
        <v>1350</v>
      </c>
      <c r="L1071" s="46" t="s">
        <v>3465</v>
      </c>
      <c r="M1071" s="46" t="s">
        <v>1309</v>
      </c>
      <c r="N1071" s="46" t="s">
        <v>1310</v>
      </c>
      <c r="O1071" s="46" t="s">
        <v>1311</v>
      </c>
      <c r="P1071" s="46" t="s">
        <v>1312</v>
      </c>
      <c r="Q1071" s="46" t="s">
        <v>31</v>
      </c>
      <c r="R1071" s="46" t="s">
        <v>31</v>
      </c>
      <c r="S1071" s="46" t="s">
        <v>31</v>
      </c>
      <c r="T1071" s="46" t="s">
        <v>31</v>
      </c>
      <c r="U1071" s="46" t="s">
        <v>49</v>
      </c>
    </row>
    <row r="1072" spans="1:21">
      <c r="A1072" s="46" t="s">
        <v>768</v>
      </c>
      <c r="B1072" s="46" t="s">
        <v>191</v>
      </c>
      <c r="C1072" s="46" t="s">
        <v>666</v>
      </c>
      <c r="D1072" s="46">
        <v>1</v>
      </c>
      <c r="E1072" s="46">
        <v>0</v>
      </c>
      <c r="F1072" s="46" t="s">
        <v>764</v>
      </c>
      <c r="G1072" s="46" t="s">
        <v>1305</v>
      </c>
      <c r="H1072" s="46" t="s">
        <v>3466</v>
      </c>
      <c r="I1072" s="46" t="str">
        <f ca="1">IFERROR(__xludf.DUMMYFUNCTION("CONCAT(A1072,REGEXREPLACE(H1072,"".*_L0"",""_L0""))"),"PD_BN1809_MTG_snRNAseq_rep1_L004_R1_001.fastq.gz")</f>
        <v>PD_BN1809_MTG_snRNAseq_rep1_L004_R1_001.fastq.gz</v>
      </c>
      <c r="J1072" s="46" t="str">
        <f t="shared" si="4"/>
        <v>/data/neurogen/ASAP/scRNAseq/data/batch20_ASAP_snRNA-seq_*/Raw_Data_and_Processing/cellranger_processing/cellranger_fastqs/outs/fastq_path/H*/BN1809_S3_L004_R1_001.fastq.gz</v>
      </c>
      <c r="K1072" s="46" t="s">
        <v>1353</v>
      </c>
      <c r="L1072" s="46" t="s">
        <v>3467</v>
      </c>
      <c r="M1072" s="46" t="s">
        <v>1309</v>
      </c>
      <c r="N1072" s="46" t="s">
        <v>1310</v>
      </c>
      <c r="O1072" s="46" t="s">
        <v>1311</v>
      </c>
      <c r="P1072" s="46" t="s">
        <v>1312</v>
      </c>
      <c r="Q1072" s="46" t="s">
        <v>31</v>
      </c>
      <c r="R1072" s="46" t="s">
        <v>31</v>
      </c>
      <c r="S1072" s="46" t="s">
        <v>31</v>
      </c>
      <c r="T1072" s="46" t="s">
        <v>31</v>
      </c>
      <c r="U1072" s="46" t="s">
        <v>49</v>
      </c>
    </row>
    <row r="1073" spans="1:21">
      <c r="A1073" s="46" t="s">
        <v>768</v>
      </c>
      <c r="B1073" s="46" t="s">
        <v>191</v>
      </c>
      <c r="C1073" s="46" t="s">
        <v>666</v>
      </c>
      <c r="D1073" s="46">
        <v>1</v>
      </c>
      <c r="E1073" s="46">
        <v>0</v>
      </c>
      <c r="F1073" s="46" t="s">
        <v>764</v>
      </c>
      <c r="G1073" s="46" t="s">
        <v>1305</v>
      </c>
      <c r="H1073" s="46" t="s">
        <v>3468</v>
      </c>
      <c r="I1073" s="46" t="str">
        <f ca="1">IFERROR(__xludf.DUMMYFUNCTION("CONCAT(A1073,REGEXREPLACE(H1073,"".*_L0"",""_L0""))"),"PD_BN1809_MTG_snRNAseq_rep1_L004_R2_001.fastq.gz")</f>
        <v>PD_BN1809_MTG_snRNAseq_rep1_L004_R2_001.fastq.gz</v>
      </c>
      <c r="J1073" s="46" t="str">
        <f t="shared" si="4"/>
        <v>/data/neurogen/ASAP/scRNAseq/data/batch20_ASAP_snRNA-seq_*/Raw_Data_and_Processing/cellranger_processing/cellranger_fastqs/outs/fastq_path/H*/BN1809_S3_L004_R2_001.fastq.gz</v>
      </c>
      <c r="K1073" s="46" t="s">
        <v>1356</v>
      </c>
      <c r="L1073" s="46" t="s">
        <v>3469</v>
      </c>
      <c r="M1073" s="46" t="s">
        <v>1309</v>
      </c>
      <c r="N1073" s="46" t="s">
        <v>1310</v>
      </c>
      <c r="O1073" s="46" t="s">
        <v>1311</v>
      </c>
      <c r="P1073" s="46" t="s">
        <v>1312</v>
      </c>
      <c r="Q1073" s="46" t="s">
        <v>31</v>
      </c>
      <c r="R1073" s="46" t="s">
        <v>31</v>
      </c>
      <c r="S1073" s="46" t="s">
        <v>31</v>
      </c>
      <c r="T1073" s="46" t="s">
        <v>31</v>
      </c>
      <c r="U1073" s="46" t="s">
        <v>49</v>
      </c>
    </row>
    <row r="1074" spans="1:21">
      <c r="A1074" s="46" t="s">
        <v>754</v>
      </c>
      <c r="B1074" s="46" t="s">
        <v>169</v>
      </c>
      <c r="C1074" s="46" t="s">
        <v>666</v>
      </c>
      <c r="D1074" s="46">
        <v>1</v>
      </c>
      <c r="E1074" s="46">
        <v>0</v>
      </c>
      <c r="F1074" s="46" t="s">
        <v>755</v>
      </c>
      <c r="G1074" s="46" t="s">
        <v>1305</v>
      </c>
      <c r="H1074" s="46" t="s">
        <v>3470</v>
      </c>
      <c r="I1074" s="46" t="str">
        <f ca="1">IFERROR(__xludf.DUMMYFUNCTION("CONCAT(A1074,REGEXREPLACE(H1074,"".*_L0"",""_L0""))"),"HC_BN1719_MTG_snRNAseq_rep1_L001_I1_001.fastq.gz")</f>
        <v>HC_BN1719_MTG_snRNAseq_rep1_L001_I1_001.fastq.gz</v>
      </c>
      <c r="J1074" s="46" t="str">
        <f t="shared" si="4"/>
        <v>/data/neurogen/ASAP/scRNAseq/data/batch21_ASAP_snRNA-seq_*/Raw_Data_and_Processing/cellranger_processing/cellranger_fastqs/outs/fastq_path/H*/BN1719_S1_L001_I1_001.fastq.gz</v>
      </c>
      <c r="K1074" s="46" t="s">
        <v>1307</v>
      </c>
      <c r="L1074" s="46" t="s">
        <v>3471</v>
      </c>
      <c r="M1074" s="46" t="s">
        <v>1309</v>
      </c>
      <c r="N1074" s="46" t="s">
        <v>1310</v>
      </c>
      <c r="O1074" s="46" t="s">
        <v>1311</v>
      </c>
      <c r="P1074" s="46" t="s">
        <v>1312</v>
      </c>
      <c r="Q1074" s="46" t="s">
        <v>31</v>
      </c>
      <c r="R1074" s="46" t="s">
        <v>31</v>
      </c>
      <c r="S1074" s="46" t="s">
        <v>31</v>
      </c>
      <c r="T1074" s="46" t="s">
        <v>31</v>
      </c>
      <c r="U1074" s="46" t="s">
        <v>49</v>
      </c>
    </row>
    <row r="1075" spans="1:21">
      <c r="A1075" s="46" t="s">
        <v>754</v>
      </c>
      <c r="B1075" s="46" t="s">
        <v>169</v>
      </c>
      <c r="C1075" s="46" t="s">
        <v>666</v>
      </c>
      <c r="D1075" s="46">
        <v>1</v>
      </c>
      <c r="E1075" s="46">
        <v>0</v>
      </c>
      <c r="F1075" s="46" t="s">
        <v>755</v>
      </c>
      <c r="G1075" s="46" t="s">
        <v>1305</v>
      </c>
      <c r="H1075" s="46" t="s">
        <v>3472</v>
      </c>
      <c r="I1075" s="46" t="str">
        <f ca="1">IFERROR(__xludf.DUMMYFUNCTION("CONCAT(A1075,REGEXREPLACE(H1075,"".*_L0"",""_L0""))"),"HC_BN1719_MTG_snRNAseq_rep1_L001_I2_001.fastq.gz")</f>
        <v>HC_BN1719_MTG_snRNAseq_rep1_L001_I2_001.fastq.gz</v>
      </c>
      <c r="J1075" s="46" t="str">
        <f t="shared" si="4"/>
        <v>/data/neurogen/ASAP/scRNAseq/data/batch21_ASAP_snRNA-seq_*/Raw_Data_and_Processing/cellranger_processing/cellranger_fastqs/outs/fastq_path/H*/BN1719_S1_L001_I2_001.fastq.gz</v>
      </c>
      <c r="K1075" s="46" t="s">
        <v>1314</v>
      </c>
      <c r="L1075" s="46" t="s">
        <v>3473</v>
      </c>
      <c r="M1075" s="46" t="s">
        <v>1309</v>
      </c>
      <c r="N1075" s="46" t="s">
        <v>1310</v>
      </c>
      <c r="O1075" s="46" t="s">
        <v>1311</v>
      </c>
      <c r="P1075" s="46" t="s">
        <v>1312</v>
      </c>
      <c r="Q1075" s="46" t="s">
        <v>31</v>
      </c>
      <c r="R1075" s="46" t="s">
        <v>31</v>
      </c>
      <c r="S1075" s="46" t="s">
        <v>31</v>
      </c>
      <c r="T1075" s="46" t="s">
        <v>31</v>
      </c>
      <c r="U1075" s="46" t="s">
        <v>49</v>
      </c>
    </row>
    <row r="1076" spans="1:21">
      <c r="A1076" s="46" t="s">
        <v>754</v>
      </c>
      <c r="B1076" s="46" t="s">
        <v>169</v>
      </c>
      <c r="C1076" s="46" t="s">
        <v>666</v>
      </c>
      <c r="D1076" s="46">
        <v>1</v>
      </c>
      <c r="E1076" s="46">
        <v>0</v>
      </c>
      <c r="F1076" s="46" t="s">
        <v>755</v>
      </c>
      <c r="G1076" s="46" t="s">
        <v>1305</v>
      </c>
      <c r="H1076" s="46" t="s">
        <v>3474</v>
      </c>
      <c r="I1076" s="46" t="str">
        <f ca="1">IFERROR(__xludf.DUMMYFUNCTION("CONCAT(A1076,REGEXREPLACE(H1076,"".*_L0"",""_L0""))"),"HC_BN1719_MTG_snRNAseq_rep1_L001_R1_001.fastq.gz")</f>
        <v>HC_BN1719_MTG_snRNAseq_rep1_L001_R1_001.fastq.gz</v>
      </c>
      <c r="J1076" s="46" t="str">
        <f t="shared" si="4"/>
        <v>/data/neurogen/ASAP/scRNAseq/data/batch21_ASAP_snRNA-seq_*/Raw_Data_and_Processing/cellranger_processing/cellranger_fastqs/outs/fastq_path/H*/BN1719_S1_L001_R1_001.fastq.gz</v>
      </c>
      <c r="K1076" s="46" t="s">
        <v>1317</v>
      </c>
      <c r="L1076" s="46" t="s">
        <v>3475</v>
      </c>
      <c r="M1076" s="46" t="s">
        <v>1309</v>
      </c>
      <c r="N1076" s="46" t="s">
        <v>1310</v>
      </c>
      <c r="O1076" s="46" t="s">
        <v>1311</v>
      </c>
      <c r="P1076" s="46" t="s">
        <v>1312</v>
      </c>
      <c r="Q1076" s="46" t="s">
        <v>31</v>
      </c>
      <c r="R1076" s="46" t="s">
        <v>31</v>
      </c>
      <c r="S1076" s="46" t="s">
        <v>31</v>
      </c>
      <c r="T1076" s="46" t="s">
        <v>31</v>
      </c>
      <c r="U1076" s="46" t="s">
        <v>49</v>
      </c>
    </row>
    <row r="1077" spans="1:21">
      <c r="A1077" s="46" t="s">
        <v>754</v>
      </c>
      <c r="B1077" s="46" t="s">
        <v>169</v>
      </c>
      <c r="C1077" s="46" t="s">
        <v>666</v>
      </c>
      <c r="D1077" s="46">
        <v>1</v>
      </c>
      <c r="E1077" s="46">
        <v>0</v>
      </c>
      <c r="F1077" s="46" t="s">
        <v>755</v>
      </c>
      <c r="G1077" s="46" t="s">
        <v>1305</v>
      </c>
      <c r="H1077" s="46" t="s">
        <v>3476</v>
      </c>
      <c r="I1077" s="46" t="str">
        <f ca="1">IFERROR(__xludf.DUMMYFUNCTION("CONCAT(A1077,REGEXREPLACE(H1077,"".*_L0"",""_L0""))"),"HC_BN1719_MTG_snRNAseq_rep1_L001_R2_001.fastq.gz")</f>
        <v>HC_BN1719_MTG_snRNAseq_rep1_L001_R2_001.fastq.gz</v>
      </c>
      <c r="J1077" s="46" t="str">
        <f t="shared" si="4"/>
        <v>/data/neurogen/ASAP/scRNAseq/data/batch21_ASAP_snRNA-seq_*/Raw_Data_and_Processing/cellranger_processing/cellranger_fastqs/outs/fastq_path/H*/BN1719_S1_L001_R2_001.fastq.gz</v>
      </c>
      <c r="K1077" s="46" t="s">
        <v>1320</v>
      </c>
      <c r="L1077" s="46" t="s">
        <v>3477</v>
      </c>
      <c r="M1077" s="46" t="s">
        <v>1309</v>
      </c>
      <c r="N1077" s="46" t="s">
        <v>1310</v>
      </c>
      <c r="O1077" s="46" t="s">
        <v>1311</v>
      </c>
      <c r="P1077" s="46" t="s">
        <v>1312</v>
      </c>
      <c r="Q1077" s="46" t="s">
        <v>31</v>
      </c>
      <c r="R1077" s="46" t="s">
        <v>31</v>
      </c>
      <c r="S1077" s="46" t="s">
        <v>31</v>
      </c>
      <c r="T1077" s="46" t="s">
        <v>31</v>
      </c>
      <c r="U1077" s="46" t="s">
        <v>49</v>
      </c>
    </row>
    <row r="1078" spans="1:21">
      <c r="A1078" s="46" t="s">
        <v>754</v>
      </c>
      <c r="B1078" s="46" t="s">
        <v>169</v>
      </c>
      <c r="C1078" s="46" t="s">
        <v>666</v>
      </c>
      <c r="D1078" s="46">
        <v>1</v>
      </c>
      <c r="E1078" s="46">
        <v>0</v>
      </c>
      <c r="F1078" s="46" t="s">
        <v>755</v>
      </c>
      <c r="G1078" s="46" t="s">
        <v>1305</v>
      </c>
      <c r="H1078" s="46" t="s">
        <v>3478</v>
      </c>
      <c r="I1078" s="46" t="str">
        <f ca="1">IFERROR(__xludf.DUMMYFUNCTION("CONCAT(A1078,REGEXREPLACE(H1078,"".*_L0"",""_L0""))"),"HC_BN1719_MTG_snRNAseq_rep1_L002_I1_001.fastq.gz")</f>
        <v>HC_BN1719_MTG_snRNAseq_rep1_L002_I1_001.fastq.gz</v>
      </c>
      <c r="J1078" s="46" t="str">
        <f t="shared" si="4"/>
        <v>/data/neurogen/ASAP/scRNAseq/data/batch21_ASAP_snRNA-seq_*/Raw_Data_and_Processing/cellranger_processing/cellranger_fastqs/outs/fastq_path/H*/BN1719_S1_L002_I1_001.fastq.gz</v>
      </c>
      <c r="K1078" s="46" t="s">
        <v>1323</v>
      </c>
      <c r="L1078" s="46" t="s">
        <v>3479</v>
      </c>
      <c r="M1078" s="46" t="s">
        <v>1309</v>
      </c>
      <c r="N1078" s="46" t="s">
        <v>1310</v>
      </c>
      <c r="O1078" s="46" t="s">
        <v>1311</v>
      </c>
      <c r="P1078" s="46" t="s">
        <v>1312</v>
      </c>
      <c r="Q1078" s="46" t="s">
        <v>31</v>
      </c>
      <c r="R1078" s="46" t="s">
        <v>31</v>
      </c>
      <c r="S1078" s="46" t="s">
        <v>31</v>
      </c>
      <c r="T1078" s="46" t="s">
        <v>31</v>
      </c>
      <c r="U1078" s="46" t="s">
        <v>49</v>
      </c>
    </row>
    <row r="1079" spans="1:21">
      <c r="A1079" s="46" t="s">
        <v>754</v>
      </c>
      <c r="B1079" s="46" t="s">
        <v>169</v>
      </c>
      <c r="C1079" s="46" t="s">
        <v>666</v>
      </c>
      <c r="D1079" s="46">
        <v>1</v>
      </c>
      <c r="E1079" s="46">
        <v>0</v>
      </c>
      <c r="F1079" s="46" t="s">
        <v>755</v>
      </c>
      <c r="G1079" s="46" t="s">
        <v>1305</v>
      </c>
      <c r="H1079" s="46" t="s">
        <v>3480</v>
      </c>
      <c r="I1079" s="46" t="str">
        <f ca="1">IFERROR(__xludf.DUMMYFUNCTION("CONCAT(A1079,REGEXREPLACE(H1079,"".*_L0"",""_L0""))"),"HC_BN1719_MTG_snRNAseq_rep1_L002_I2_001.fastq.gz")</f>
        <v>HC_BN1719_MTG_snRNAseq_rep1_L002_I2_001.fastq.gz</v>
      </c>
      <c r="J1079" s="46" t="str">
        <f t="shared" si="4"/>
        <v>/data/neurogen/ASAP/scRNAseq/data/batch21_ASAP_snRNA-seq_*/Raw_Data_and_Processing/cellranger_processing/cellranger_fastqs/outs/fastq_path/H*/BN1719_S1_L002_I2_001.fastq.gz</v>
      </c>
      <c r="K1079" s="46" t="s">
        <v>1326</v>
      </c>
      <c r="L1079" s="46" t="s">
        <v>3481</v>
      </c>
      <c r="M1079" s="46" t="s">
        <v>1309</v>
      </c>
      <c r="N1079" s="46" t="s">
        <v>1310</v>
      </c>
      <c r="O1079" s="46" t="s">
        <v>1311</v>
      </c>
      <c r="P1079" s="46" t="s">
        <v>1312</v>
      </c>
      <c r="Q1079" s="46" t="s">
        <v>31</v>
      </c>
      <c r="R1079" s="46" t="s">
        <v>31</v>
      </c>
      <c r="S1079" s="46" t="s">
        <v>31</v>
      </c>
      <c r="T1079" s="46" t="s">
        <v>31</v>
      </c>
      <c r="U1079" s="46" t="s">
        <v>49</v>
      </c>
    </row>
    <row r="1080" spans="1:21">
      <c r="A1080" s="46" t="s">
        <v>754</v>
      </c>
      <c r="B1080" s="46" t="s">
        <v>169</v>
      </c>
      <c r="C1080" s="46" t="s">
        <v>666</v>
      </c>
      <c r="D1080" s="46">
        <v>1</v>
      </c>
      <c r="E1080" s="46">
        <v>0</v>
      </c>
      <c r="F1080" s="46" t="s">
        <v>755</v>
      </c>
      <c r="G1080" s="46" t="s">
        <v>1305</v>
      </c>
      <c r="H1080" s="46" t="s">
        <v>3482</v>
      </c>
      <c r="I1080" s="46" t="str">
        <f ca="1">IFERROR(__xludf.DUMMYFUNCTION("CONCAT(A1080,REGEXREPLACE(H1080,"".*_L0"",""_L0""))"),"HC_BN1719_MTG_snRNAseq_rep1_L002_R1_001.fastq.gz")</f>
        <v>HC_BN1719_MTG_snRNAseq_rep1_L002_R1_001.fastq.gz</v>
      </c>
      <c r="J1080" s="46" t="str">
        <f t="shared" si="4"/>
        <v>/data/neurogen/ASAP/scRNAseq/data/batch21_ASAP_snRNA-seq_*/Raw_Data_and_Processing/cellranger_processing/cellranger_fastqs/outs/fastq_path/H*/BN1719_S1_L002_R1_001.fastq.gz</v>
      </c>
      <c r="K1080" s="46" t="s">
        <v>1329</v>
      </c>
      <c r="L1080" s="46" t="s">
        <v>3483</v>
      </c>
      <c r="M1080" s="46" t="s">
        <v>1309</v>
      </c>
      <c r="N1080" s="46" t="s">
        <v>1310</v>
      </c>
      <c r="O1080" s="46" t="s">
        <v>1311</v>
      </c>
      <c r="P1080" s="46" t="s">
        <v>1312</v>
      </c>
      <c r="Q1080" s="46" t="s">
        <v>31</v>
      </c>
      <c r="R1080" s="46" t="s">
        <v>31</v>
      </c>
      <c r="S1080" s="46" t="s">
        <v>31</v>
      </c>
      <c r="T1080" s="46" t="s">
        <v>31</v>
      </c>
      <c r="U1080" s="46" t="s">
        <v>49</v>
      </c>
    </row>
    <row r="1081" spans="1:21">
      <c r="A1081" s="46" t="s">
        <v>754</v>
      </c>
      <c r="B1081" s="46" t="s">
        <v>169</v>
      </c>
      <c r="C1081" s="46" t="s">
        <v>666</v>
      </c>
      <c r="D1081" s="46">
        <v>1</v>
      </c>
      <c r="E1081" s="46">
        <v>0</v>
      </c>
      <c r="F1081" s="46" t="s">
        <v>755</v>
      </c>
      <c r="G1081" s="46" t="s">
        <v>1305</v>
      </c>
      <c r="H1081" s="46" t="s">
        <v>3484</v>
      </c>
      <c r="I1081" s="46" t="str">
        <f ca="1">IFERROR(__xludf.DUMMYFUNCTION("CONCAT(A1081,REGEXREPLACE(H1081,"".*_L0"",""_L0""))"),"HC_BN1719_MTG_snRNAseq_rep1_L002_R2_001.fastq.gz")</f>
        <v>HC_BN1719_MTG_snRNAseq_rep1_L002_R2_001.fastq.gz</v>
      </c>
      <c r="J1081" s="46" t="str">
        <f t="shared" si="4"/>
        <v>/data/neurogen/ASAP/scRNAseq/data/batch21_ASAP_snRNA-seq_*/Raw_Data_and_Processing/cellranger_processing/cellranger_fastqs/outs/fastq_path/H*/BN1719_S1_L002_R2_001.fastq.gz</v>
      </c>
      <c r="K1081" s="46" t="s">
        <v>1332</v>
      </c>
      <c r="L1081" s="46" t="s">
        <v>3485</v>
      </c>
      <c r="M1081" s="46" t="s">
        <v>1309</v>
      </c>
      <c r="N1081" s="46" t="s">
        <v>1310</v>
      </c>
      <c r="O1081" s="46" t="s">
        <v>1311</v>
      </c>
      <c r="P1081" s="46" t="s">
        <v>1312</v>
      </c>
      <c r="Q1081" s="46" t="s">
        <v>31</v>
      </c>
      <c r="R1081" s="46" t="s">
        <v>31</v>
      </c>
      <c r="S1081" s="46" t="s">
        <v>31</v>
      </c>
      <c r="T1081" s="46" t="s">
        <v>31</v>
      </c>
      <c r="U1081" s="46" t="s">
        <v>49</v>
      </c>
    </row>
    <row r="1082" spans="1:21">
      <c r="A1082" s="46" t="s">
        <v>754</v>
      </c>
      <c r="B1082" s="46" t="s">
        <v>169</v>
      </c>
      <c r="C1082" s="46" t="s">
        <v>666</v>
      </c>
      <c r="D1082" s="46">
        <v>1</v>
      </c>
      <c r="E1082" s="46">
        <v>0</v>
      </c>
      <c r="F1082" s="46" t="s">
        <v>755</v>
      </c>
      <c r="G1082" s="46" t="s">
        <v>1305</v>
      </c>
      <c r="H1082" s="46" t="s">
        <v>3486</v>
      </c>
      <c r="I1082" s="46" t="str">
        <f ca="1">IFERROR(__xludf.DUMMYFUNCTION("CONCAT(A1082,REGEXREPLACE(H1082,"".*_L0"",""_L0""))"),"HC_BN1719_MTG_snRNAseq_rep1_L003_I1_001.fastq.gz")</f>
        <v>HC_BN1719_MTG_snRNAseq_rep1_L003_I1_001.fastq.gz</v>
      </c>
      <c r="J1082" s="46" t="str">
        <f t="shared" si="4"/>
        <v>/data/neurogen/ASAP/scRNAseq/data/batch21_ASAP_snRNA-seq_*/Raw_Data_and_Processing/cellranger_processing/cellranger_fastqs/outs/fastq_path/H*/BN1719_S1_L003_I1_001.fastq.gz</v>
      </c>
      <c r="K1082" s="46" t="s">
        <v>1335</v>
      </c>
      <c r="L1082" s="47" t="s">
        <v>3487</v>
      </c>
      <c r="M1082" s="46" t="s">
        <v>1309</v>
      </c>
      <c r="N1082" s="46" t="s">
        <v>1310</v>
      </c>
      <c r="O1082" s="46" t="s">
        <v>1311</v>
      </c>
      <c r="P1082" s="46" t="s">
        <v>1312</v>
      </c>
      <c r="Q1082" s="46" t="s">
        <v>31</v>
      </c>
      <c r="R1082" s="46" t="s">
        <v>31</v>
      </c>
      <c r="S1082" s="46" t="s">
        <v>31</v>
      </c>
      <c r="T1082" s="46" t="s">
        <v>31</v>
      </c>
      <c r="U1082" s="46" t="s">
        <v>49</v>
      </c>
    </row>
    <row r="1083" spans="1:21">
      <c r="A1083" s="46" t="s">
        <v>754</v>
      </c>
      <c r="B1083" s="46" t="s">
        <v>169</v>
      </c>
      <c r="C1083" s="46" t="s">
        <v>666</v>
      </c>
      <c r="D1083" s="46">
        <v>1</v>
      </c>
      <c r="E1083" s="46">
        <v>0</v>
      </c>
      <c r="F1083" s="46" t="s">
        <v>755</v>
      </c>
      <c r="G1083" s="46" t="s">
        <v>1305</v>
      </c>
      <c r="H1083" s="46" t="s">
        <v>3488</v>
      </c>
      <c r="I1083" s="46" t="str">
        <f ca="1">IFERROR(__xludf.DUMMYFUNCTION("CONCAT(A1083,REGEXREPLACE(H1083,"".*_L0"",""_L0""))"),"HC_BN1719_MTG_snRNAseq_rep1_L003_I2_001.fastq.gz")</f>
        <v>HC_BN1719_MTG_snRNAseq_rep1_L003_I2_001.fastq.gz</v>
      </c>
      <c r="J1083" s="46" t="str">
        <f t="shared" si="4"/>
        <v>/data/neurogen/ASAP/scRNAseq/data/batch21_ASAP_snRNA-seq_*/Raw_Data_and_Processing/cellranger_processing/cellranger_fastqs/outs/fastq_path/H*/BN1719_S1_L003_I2_001.fastq.gz</v>
      </c>
      <c r="K1083" s="46" t="s">
        <v>1338</v>
      </c>
      <c r="L1083" s="47" t="s">
        <v>3489</v>
      </c>
      <c r="M1083" s="46" t="s">
        <v>1309</v>
      </c>
      <c r="N1083" s="46" t="s">
        <v>1310</v>
      </c>
      <c r="O1083" s="46" t="s">
        <v>1311</v>
      </c>
      <c r="P1083" s="46" t="s">
        <v>1312</v>
      </c>
      <c r="Q1083" s="46" t="s">
        <v>31</v>
      </c>
      <c r="R1083" s="46" t="s">
        <v>31</v>
      </c>
      <c r="S1083" s="46" t="s">
        <v>31</v>
      </c>
      <c r="T1083" s="46" t="s">
        <v>31</v>
      </c>
      <c r="U1083" s="46" t="s">
        <v>49</v>
      </c>
    </row>
    <row r="1084" spans="1:21">
      <c r="A1084" s="46" t="s">
        <v>754</v>
      </c>
      <c r="B1084" s="46" t="s">
        <v>169</v>
      </c>
      <c r="C1084" s="46" t="s">
        <v>666</v>
      </c>
      <c r="D1084" s="46">
        <v>1</v>
      </c>
      <c r="E1084" s="46">
        <v>0</v>
      </c>
      <c r="F1084" s="46" t="s">
        <v>755</v>
      </c>
      <c r="G1084" s="46" t="s">
        <v>1305</v>
      </c>
      <c r="H1084" s="46" t="s">
        <v>3490</v>
      </c>
      <c r="I1084" s="46" t="str">
        <f ca="1">IFERROR(__xludf.DUMMYFUNCTION("CONCAT(A1084,REGEXREPLACE(H1084,"".*_L0"",""_L0""))"),"HC_BN1719_MTG_snRNAseq_rep1_L003_R1_001.fastq.gz")</f>
        <v>HC_BN1719_MTG_snRNAseq_rep1_L003_R1_001.fastq.gz</v>
      </c>
      <c r="J1084" s="46" t="str">
        <f t="shared" si="4"/>
        <v>/data/neurogen/ASAP/scRNAseq/data/batch21_ASAP_snRNA-seq_*/Raw_Data_and_Processing/cellranger_processing/cellranger_fastqs/outs/fastq_path/H*/BN1719_S1_L003_R1_001.fastq.gz</v>
      </c>
      <c r="K1084" s="46" t="s">
        <v>1341</v>
      </c>
      <c r="L1084" s="46" t="s">
        <v>3491</v>
      </c>
      <c r="M1084" s="46" t="s">
        <v>1309</v>
      </c>
      <c r="N1084" s="46" t="s">
        <v>1310</v>
      </c>
      <c r="O1084" s="46" t="s">
        <v>1311</v>
      </c>
      <c r="P1084" s="46" t="s">
        <v>1312</v>
      </c>
      <c r="Q1084" s="46" t="s">
        <v>31</v>
      </c>
      <c r="R1084" s="46" t="s">
        <v>31</v>
      </c>
      <c r="S1084" s="46" t="s">
        <v>31</v>
      </c>
      <c r="T1084" s="46" t="s">
        <v>31</v>
      </c>
      <c r="U1084" s="46" t="s">
        <v>49</v>
      </c>
    </row>
    <row r="1085" spans="1:21">
      <c r="A1085" s="46" t="s">
        <v>754</v>
      </c>
      <c r="B1085" s="46" t="s">
        <v>169</v>
      </c>
      <c r="C1085" s="46" t="s">
        <v>666</v>
      </c>
      <c r="D1085" s="46">
        <v>1</v>
      </c>
      <c r="E1085" s="46">
        <v>0</v>
      </c>
      <c r="F1085" s="46" t="s">
        <v>755</v>
      </c>
      <c r="G1085" s="46" t="s">
        <v>1305</v>
      </c>
      <c r="H1085" s="46" t="s">
        <v>3492</v>
      </c>
      <c r="I1085" s="46" t="str">
        <f ca="1">IFERROR(__xludf.DUMMYFUNCTION("CONCAT(A1085,REGEXREPLACE(H1085,"".*_L0"",""_L0""))"),"HC_BN1719_MTG_snRNAseq_rep1_L003_R2_001.fastq.gz")</f>
        <v>HC_BN1719_MTG_snRNAseq_rep1_L003_R2_001.fastq.gz</v>
      </c>
      <c r="J1085" s="46" t="str">
        <f t="shared" si="4"/>
        <v>/data/neurogen/ASAP/scRNAseq/data/batch21_ASAP_snRNA-seq_*/Raw_Data_and_Processing/cellranger_processing/cellranger_fastqs/outs/fastq_path/H*/BN1719_S1_L003_R2_001.fastq.gz</v>
      </c>
      <c r="K1085" s="46" t="s">
        <v>1344</v>
      </c>
      <c r="L1085" s="46" t="s">
        <v>3493</v>
      </c>
      <c r="M1085" s="46" t="s">
        <v>1309</v>
      </c>
      <c r="N1085" s="46" t="s">
        <v>1310</v>
      </c>
      <c r="O1085" s="46" t="s">
        <v>1311</v>
      </c>
      <c r="P1085" s="46" t="s">
        <v>1312</v>
      </c>
      <c r="Q1085" s="46" t="s">
        <v>31</v>
      </c>
      <c r="R1085" s="46" t="s">
        <v>31</v>
      </c>
      <c r="S1085" s="46" t="s">
        <v>31</v>
      </c>
      <c r="T1085" s="46" t="s">
        <v>31</v>
      </c>
      <c r="U1085" s="46" t="s">
        <v>49</v>
      </c>
    </row>
    <row r="1086" spans="1:21">
      <c r="A1086" s="46" t="s">
        <v>754</v>
      </c>
      <c r="B1086" s="46" t="s">
        <v>169</v>
      </c>
      <c r="C1086" s="46" t="s">
        <v>666</v>
      </c>
      <c r="D1086" s="46">
        <v>1</v>
      </c>
      <c r="E1086" s="46">
        <v>0</v>
      </c>
      <c r="F1086" s="46" t="s">
        <v>755</v>
      </c>
      <c r="G1086" s="46" t="s">
        <v>1305</v>
      </c>
      <c r="H1086" s="46" t="s">
        <v>3494</v>
      </c>
      <c r="I1086" s="46" t="str">
        <f ca="1">IFERROR(__xludf.DUMMYFUNCTION("CONCAT(A1086,REGEXREPLACE(H1086,"".*_L0"",""_L0""))"),"HC_BN1719_MTG_snRNAseq_rep1_L004_I1_001.fastq.gz")</f>
        <v>HC_BN1719_MTG_snRNAseq_rep1_L004_I1_001.fastq.gz</v>
      </c>
      <c r="J1086" s="46" t="str">
        <f t="shared" si="4"/>
        <v>/data/neurogen/ASAP/scRNAseq/data/batch21_ASAP_snRNA-seq_*/Raw_Data_and_Processing/cellranger_processing/cellranger_fastqs/outs/fastq_path/H*/BN1719_S1_L004_I1_001.fastq.gz</v>
      </c>
      <c r="K1086" s="46" t="s">
        <v>1347</v>
      </c>
      <c r="L1086" s="46" t="s">
        <v>3495</v>
      </c>
      <c r="M1086" s="46" t="s">
        <v>1309</v>
      </c>
      <c r="N1086" s="46" t="s">
        <v>1310</v>
      </c>
      <c r="O1086" s="46" t="s">
        <v>1311</v>
      </c>
      <c r="P1086" s="46" t="s">
        <v>1312</v>
      </c>
      <c r="Q1086" s="46" t="s">
        <v>31</v>
      </c>
      <c r="R1086" s="46" t="s">
        <v>31</v>
      </c>
      <c r="S1086" s="46" t="s">
        <v>31</v>
      </c>
      <c r="T1086" s="46" t="s">
        <v>31</v>
      </c>
      <c r="U1086" s="46" t="s">
        <v>49</v>
      </c>
    </row>
    <row r="1087" spans="1:21">
      <c r="A1087" s="46" t="s">
        <v>754</v>
      </c>
      <c r="B1087" s="46" t="s">
        <v>169</v>
      </c>
      <c r="C1087" s="46" t="s">
        <v>666</v>
      </c>
      <c r="D1087" s="46">
        <v>1</v>
      </c>
      <c r="E1087" s="46">
        <v>0</v>
      </c>
      <c r="F1087" s="46" t="s">
        <v>755</v>
      </c>
      <c r="G1087" s="46" t="s">
        <v>1305</v>
      </c>
      <c r="H1087" s="46" t="s">
        <v>3496</v>
      </c>
      <c r="I1087" s="46" t="str">
        <f ca="1">IFERROR(__xludf.DUMMYFUNCTION("CONCAT(A1087,REGEXREPLACE(H1087,"".*_L0"",""_L0""))"),"HC_BN1719_MTG_snRNAseq_rep1_L004_I2_001.fastq.gz")</f>
        <v>HC_BN1719_MTG_snRNAseq_rep1_L004_I2_001.fastq.gz</v>
      </c>
      <c r="J1087" s="46" t="str">
        <f t="shared" si="4"/>
        <v>/data/neurogen/ASAP/scRNAseq/data/batch21_ASAP_snRNA-seq_*/Raw_Data_and_Processing/cellranger_processing/cellranger_fastqs/outs/fastq_path/H*/BN1719_S1_L004_I2_001.fastq.gz</v>
      </c>
      <c r="K1087" s="46" t="s">
        <v>1350</v>
      </c>
      <c r="L1087" s="46" t="s">
        <v>3497</v>
      </c>
      <c r="M1087" s="46" t="s">
        <v>1309</v>
      </c>
      <c r="N1087" s="46" t="s">
        <v>1310</v>
      </c>
      <c r="O1087" s="46" t="s">
        <v>1311</v>
      </c>
      <c r="P1087" s="46" t="s">
        <v>1312</v>
      </c>
      <c r="Q1087" s="46" t="s">
        <v>31</v>
      </c>
      <c r="R1087" s="46" t="s">
        <v>31</v>
      </c>
      <c r="S1087" s="46" t="s">
        <v>31</v>
      </c>
      <c r="T1087" s="46" t="s">
        <v>31</v>
      </c>
      <c r="U1087" s="46" t="s">
        <v>49</v>
      </c>
    </row>
    <row r="1088" spans="1:21">
      <c r="A1088" s="46" t="s">
        <v>754</v>
      </c>
      <c r="B1088" s="46" t="s">
        <v>169</v>
      </c>
      <c r="C1088" s="46" t="s">
        <v>666</v>
      </c>
      <c r="D1088" s="46">
        <v>1</v>
      </c>
      <c r="E1088" s="46">
        <v>0</v>
      </c>
      <c r="F1088" s="46" t="s">
        <v>755</v>
      </c>
      <c r="G1088" s="46" t="s">
        <v>1305</v>
      </c>
      <c r="H1088" s="46" t="s">
        <v>3498</v>
      </c>
      <c r="I1088" s="46" t="str">
        <f ca="1">IFERROR(__xludf.DUMMYFUNCTION("CONCAT(A1088,REGEXREPLACE(H1088,"".*_L0"",""_L0""))"),"HC_BN1719_MTG_snRNAseq_rep1_L004_R1_001.fastq.gz")</f>
        <v>HC_BN1719_MTG_snRNAseq_rep1_L004_R1_001.fastq.gz</v>
      </c>
      <c r="J1088" s="46" t="str">
        <f t="shared" si="4"/>
        <v>/data/neurogen/ASAP/scRNAseq/data/batch21_ASAP_snRNA-seq_*/Raw_Data_and_Processing/cellranger_processing/cellranger_fastqs/outs/fastq_path/H*/BN1719_S1_L004_R1_001.fastq.gz</v>
      </c>
      <c r="K1088" s="46" t="s">
        <v>1353</v>
      </c>
      <c r="L1088" s="46" t="s">
        <v>3499</v>
      </c>
      <c r="M1088" s="46" t="s">
        <v>1309</v>
      </c>
      <c r="N1088" s="46" t="s">
        <v>1310</v>
      </c>
      <c r="O1088" s="46" t="s">
        <v>1311</v>
      </c>
      <c r="P1088" s="46" t="s">
        <v>1312</v>
      </c>
      <c r="Q1088" s="46" t="s">
        <v>31</v>
      </c>
      <c r="R1088" s="46" t="s">
        <v>31</v>
      </c>
      <c r="S1088" s="46" t="s">
        <v>31</v>
      </c>
      <c r="T1088" s="46" t="s">
        <v>31</v>
      </c>
      <c r="U1088" s="46" t="s">
        <v>49</v>
      </c>
    </row>
    <row r="1089" spans="1:21">
      <c r="A1089" s="46" t="s">
        <v>754</v>
      </c>
      <c r="B1089" s="46" t="s">
        <v>169</v>
      </c>
      <c r="C1089" s="46" t="s">
        <v>666</v>
      </c>
      <c r="D1089" s="46">
        <v>1</v>
      </c>
      <c r="E1089" s="46">
        <v>0</v>
      </c>
      <c r="F1089" s="46" t="s">
        <v>755</v>
      </c>
      <c r="G1089" s="46" t="s">
        <v>1305</v>
      </c>
      <c r="H1089" s="46" t="s">
        <v>3500</v>
      </c>
      <c r="I1089" s="46" t="str">
        <f ca="1">IFERROR(__xludf.DUMMYFUNCTION("CONCAT(A1089,REGEXREPLACE(H1089,"".*_L0"",""_L0""))"),"HC_BN1719_MTG_snRNAseq_rep1_L004_R2_001.fastq.gz")</f>
        <v>HC_BN1719_MTG_snRNAseq_rep1_L004_R2_001.fastq.gz</v>
      </c>
      <c r="J1089" s="46" t="str">
        <f t="shared" si="4"/>
        <v>/data/neurogen/ASAP/scRNAseq/data/batch21_ASAP_snRNA-seq_*/Raw_Data_and_Processing/cellranger_processing/cellranger_fastqs/outs/fastq_path/H*/BN1719_S1_L004_R2_001.fastq.gz</v>
      </c>
      <c r="K1089" s="46" t="s">
        <v>1356</v>
      </c>
      <c r="L1089" s="46" t="s">
        <v>3501</v>
      </c>
      <c r="M1089" s="46" t="s">
        <v>1309</v>
      </c>
      <c r="N1089" s="46" t="s">
        <v>1310</v>
      </c>
      <c r="O1089" s="46" t="s">
        <v>1311</v>
      </c>
      <c r="P1089" s="46" t="s">
        <v>1312</v>
      </c>
      <c r="Q1089" s="46" t="s">
        <v>31</v>
      </c>
      <c r="R1089" s="46" t="s">
        <v>31</v>
      </c>
      <c r="S1089" s="46" t="s">
        <v>31</v>
      </c>
      <c r="T1089" s="46" t="s">
        <v>31</v>
      </c>
      <c r="U1089" s="46" t="s">
        <v>49</v>
      </c>
    </row>
    <row r="1090" spans="1:21">
      <c r="A1090" s="46" t="s">
        <v>769</v>
      </c>
      <c r="B1090" s="46" t="s">
        <v>193</v>
      </c>
      <c r="C1090" s="46" t="s">
        <v>666</v>
      </c>
      <c r="D1090" s="46">
        <v>1</v>
      </c>
      <c r="E1090" s="46">
        <v>0</v>
      </c>
      <c r="F1090" s="46" t="s">
        <v>755</v>
      </c>
      <c r="G1090" s="46" t="s">
        <v>1305</v>
      </c>
      <c r="H1090" s="46" t="s">
        <v>3502</v>
      </c>
      <c r="I1090" s="46" t="str">
        <f ca="1">IFERROR(__xludf.DUMMYFUNCTION("CONCAT(A1090,REGEXREPLACE(H1090,"".*_L0"",""_L0""))"),"PD_BN1812_MTG_snRNAseq_rep1_L001_I1_001.fastq.gz")</f>
        <v>PD_BN1812_MTG_snRNAseq_rep1_L001_I1_001.fastq.gz</v>
      </c>
      <c r="J1090" s="46" t="str">
        <f t="shared" si="4"/>
        <v>/data/neurogen/ASAP/scRNAseq/data/batch21_ASAP_snRNA-seq_*/Raw_Data_and_Processing/cellranger_processing/cellranger_fastqs/outs/fastq_path/H*/BN1812_S2_L001_I1_001.fastq.gz</v>
      </c>
      <c r="K1090" s="46" t="s">
        <v>1307</v>
      </c>
      <c r="L1090" s="46" t="s">
        <v>3503</v>
      </c>
      <c r="M1090" s="46" t="s">
        <v>1309</v>
      </c>
      <c r="N1090" s="46" t="s">
        <v>1310</v>
      </c>
      <c r="O1090" s="46" t="s">
        <v>1311</v>
      </c>
      <c r="P1090" s="46" t="s">
        <v>1312</v>
      </c>
      <c r="Q1090" s="46" t="s">
        <v>31</v>
      </c>
      <c r="R1090" s="46" t="s">
        <v>31</v>
      </c>
      <c r="S1090" s="46" t="s">
        <v>31</v>
      </c>
      <c r="T1090" s="46" t="s">
        <v>31</v>
      </c>
      <c r="U1090" s="46" t="s">
        <v>49</v>
      </c>
    </row>
    <row r="1091" spans="1:21">
      <c r="A1091" s="46" t="s">
        <v>769</v>
      </c>
      <c r="B1091" s="46" t="s">
        <v>193</v>
      </c>
      <c r="C1091" s="46" t="s">
        <v>666</v>
      </c>
      <c r="D1091" s="46">
        <v>1</v>
      </c>
      <c r="E1091" s="46">
        <v>0</v>
      </c>
      <c r="F1091" s="46" t="s">
        <v>755</v>
      </c>
      <c r="G1091" s="46" t="s">
        <v>1305</v>
      </c>
      <c r="H1091" s="46" t="s">
        <v>3504</v>
      </c>
      <c r="I1091" s="46" t="str">
        <f ca="1">IFERROR(__xludf.DUMMYFUNCTION("CONCAT(A1091,REGEXREPLACE(H1091,"".*_L0"",""_L0""))"),"PD_BN1812_MTG_snRNAseq_rep1_L001_I2_001.fastq.gz")</f>
        <v>PD_BN1812_MTG_snRNAseq_rep1_L001_I2_001.fastq.gz</v>
      </c>
      <c r="J1091" s="46" t="str">
        <f t="shared" si="4"/>
        <v>/data/neurogen/ASAP/scRNAseq/data/batch21_ASAP_snRNA-seq_*/Raw_Data_and_Processing/cellranger_processing/cellranger_fastqs/outs/fastq_path/H*/BN1812_S2_L001_I2_001.fastq.gz</v>
      </c>
      <c r="K1091" s="46" t="s">
        <v>1314</v>
      </c>
      <c r="L1091" s="46" t="s">
        <v>3505</v>
      </c>
      <c r="M1091" s="46" t="s">
        <v>1309</v>
      </c>
      <c r="N1091" s="46" t="s">
        <v>1310</v>
      </c>
      <c r="O1091" s="46" t="s">
        <v>1311</v>
      </c>
      <c r="P1091" s="46" t="s">
        <v>1312</v>
      </c>
      <c r="Q1091" s="46" t="s">
        <v>31</v>
      </c>
      <c r="R1091" s="46" t="s">
        <v>31</v>
      </c>
      <c r="S1091" s="46" t="s">
        <v>31</v>
      </c>
      <c r="T1091" s="46" t="s">
        <v>31</v>
      </c>
      <c r="U1091" s="46" t="s">
        <v>49</v>
      </c>
    </row>
    <row r="1092" spans="1:21">
      <c r="A1092" s="46" t="s">
        <v>769</v>
      </c>
      <c r="B1092" s="46" t="s">
        <v>193</v>
      </c>
      <c r="C1092" s="46" t="s">
        <v>666</v>
      </c>
      <c r="D1092" s="46">
        <v>1</v>
      </c>
      <c r="E1092" s="46">
        <v>0</v>
      </c>
      <c r="F1092" s="46" t="s">
        <v>755</v>
      </c>
      <c r="G1092" s="46" t="s">
        <v>1305</v>
      </c>
      <c r="H1092" s="46" t="s">
        <v>3506</v>
      </c>
      <c r="I1092" s="46" t="str">
        <f ca="1">IFERROR(__xludf.DUMMYFUNCTION("CONCAT(A1092,REGEXREPLACE(H1092,"".*_L0"",""_L0""))"),"PD_BN1812_MTG_snRNAseq_rep1_L001_R1_001.fastq.gz")</f>
        <v>PD_BN1812_MTG_snRNAseq_rep1_L001_R1_001.fastq.gz</v>
      </c>
      <c r="J1092" s="46" t="str">
        <f t="shared" si="4"/>
        <v>/data/neurogen/ASAP/scRNAseq/data/batch21_ASAP_snRNA-seq_*/Raw_Data_and_Processing/cellranger_processing/cellranger_fastqs/outs/fastq_path/H*/BN1812_S2_L001_R1_001.fastq.gz</v>
      </c>
      <c r="K1092" s="46" t="s">
        <v>1317</v>
      </c>
      <c r="L1092" s="46" t="s">
        <v>3507</v>
      </c>
      <c r="M1092" s="46" t="s">
        <v>1309</v>
      </c>
      <c r="N1092" s="46" t="s">
        <v>1310</v>
      </c>
      <c r="O1092" s="46" t="s">
        <v>1311</v>
      </c>
      <c r="P1092" s="46" t="s">
        <v>1312</v>
      </c>
      <c r="Q1092" s="46" t="s">
        <v>31</v>
      </c>
      <c r="R1092" s="46" t="s">
        <v>31</v>
      </c>
      <c r="S1092" s="46" t="s">
        <v>31</v>
      </c>
      <c r="T1092" s="46" t="s">
        <v>31</v>
      </c>
      <c r="U1092" s="46" t="s">
        <v>49</v>
      </c>
    </row>
    <row r="1093" spans="1:21">
      <c r="A1093" s="46" t="s">
        <v>769</v>
      </c>
      <c r="B1093" s="46" t="s">
        <v>193</v>
      </c>
      <c r="C1093" s="46" t="s">
        <v>666</v>
      </c>
      <c r="D1093" s="46">
        <v>1</v>
      </c>
      <c r="E1093" s="46">
        <v>0</v>
      </c>
      <c r="F1093" s="46" t="s">
        <v>755</v>
      </c>
      <c r="G1093" s="46" t="s">
        <v>1305</v>
      </c>
      <c r="H1093" s="46" t="s">
        <v>3508</v>
      </c>
      <c r="I1093" s="46" t="str">
        <f ca="1">IFERROR(__xludf.DUMMYFUNCTION("CONCAT(A1093,REGEXREPLACE(H1093,"".*_L0"",""_L0""))"),"PD_BN1812_MTG_snRNAseq_rep1_L001_R2_001.fastq.gz")</f>
        <v>PD_BN1812_MTG_snRNAseq_rep1_L001_R2_001.fastq.gz</v>
      </c>
      <c r="J1093" s="46" t="str">
        <f t="shared" si="4"/>
        <v>/data/neurogen/ASAP/scRNAseq/data/batch21_ASAP_snRNA-seq_*/Raw_Data_and_Processing/cellranger_processing/cellranger_fastqs/outs/fastq_path/H*/BN1812_S2_L001_R2_001.fastq.gz</v>
      </c>
      <c r="K1093" s="46" t="s">
        <v>1320</v>
      </c>
      <c r="L1093" s="46" t="s">
        <v>3509</v>
      </c>
      <c r="M1093" s="46" t="s">
        <v>1309</v>
      </c>
      <c r="N1093" s="46" t="s">
        <v>1310</v>
      </c>
      <c r="O1093" s="46" t="s">
        <v>1311</v>
      </c>
      <c r="P1093" s="46" t="s">
        <v>1312</v>
      </c>
      <c r="Q1093" s="46" t="s">
        <v>31</v>
      </c>
      <c r="R1093" s="46" t="s">
        <v>31</v>
      </c>
      <c r="S1093" s="46" t="s">
        <v>31</v>
      </c>
      <c r="T1093" s="46" t="s">
        <v>31</v>
      </c>
      <c r="U1093" s="46" t="s">
        <v>49</v>
      </c>
    </row>
    <row r="1094" spans="1:21">
      <c r="A1094" s="46" t="s">
        <v>769</v>
      </c>
      <c r="B1094" s="46" t="s">
        <v>193</v>
      </c>
      <c r="C1094" s="46" t="s">
        <v>666</v>
      </c>
      <c r="D1094" s="46">
        <v>1</v>
      </c>
      <c r="E1094" s="46">
        <v>0</v>
      </c>
      <c r="F1094" s="46" t="s">
        <v>755</v>
      </c>
      <c r="G1094" s="46" t="s">
        <v>1305</v>
      </c>
      <c r="H1094" s="46" t="s">
        <v>3510</v>
      </c>
      <c r="I1094" s="46" t="str">
        <f ca="1">IFERROR(__xludf.DUMMYFUNCTION("CONCAT(A1094,REGEXREPLACE(H1094,"".*_L0"",""_L0""))"),"PD_BN1812_MTG_snRNAseq_rep1_L002_I1_001.fastq.gz")</f>
        <v>PD_BN1812_MTG_snRNAseq_rep1_L002_I1_001.fastq.gz</v>
      </c>
      <c r="J1094" s="46" t="str">
        <f t="shared" si="4"/>
        <v>/data/neurogen/ASAP/scRNAseq/data/batch21_ASAP_snRNA-seq_*/Raw_Data_and_Processing/cellranger_processing/cellranger_fastqs/outs/fastq_path/H*/BN1812_S2_L002_I1_001.fastq.gz</v>
      </c>
      <c r="K1094" s="46" t="s">
        <v>1323</v>
      </c>
      <c r="L1094" s="46" t="s">
        <v>3511</v>
      </c>
      <c r="M1094" s="46" t="s">
        <v>1309</v>
      </c>
      <c r="N1094" s="46" t="s">
        <v>1310</v>
      </c>
      <c r="O1094" s="46" t="s">
        <v>1311</v>
      </c>
      <c r="P1094" s="46" t="s">
        <v>1312</v>
      </c>
      <c r="Q1094" s="46" t="s">
        <v>31</v>
      </c>
      <c r="R1094" s="46" t="s">
        <v>31</v>
      </c>
      <c r="S1094" s="46" t="s">
        <v>31</v>
      </c>
      <c r="T1094" s="46" t="s">
        <v>31</v>
      </c>
      <c r="U1094" s="46" t="s">
        <v>49</v>
      </c>
    </row>
    <row r="1095" spans="1:21">
      <c r="A1095" s="46" t="s">
        <v>769</v>
      </c>
      <c r="B1095" s="46" t="s">
        <v>193</v>
      </c>
      <c r="C1095" s="46" t="s">
        <v>666</v>
      </c>
      <c r="D1095" s="46">
        <v>1</v>
      </c>
      <c r="E1095" s="46">
        <v>0</v>
      </c>
      <c r="F1095" s="46" t="s">
        <v>755</v>
      </c>
      <c r="G1095" s="46" t="s">
        <v>1305</v>
      </c>
      <c r="H1095" s="46" t="s">
        <v>3512</v>
      </c>
      <c r="I1095" s="46" t="str">
        <f ca="1">IFERROR(__xludf.DUMMYFUNCTION("CONCAT(A1095,REGEXREPLACE(H1095,"".*_L0"",""_L0""))"),"PD_BN1812_MTG_snRNAseq_rep1_L002_I2_001.fastq.gz")</f>
        <v>PD_BN1812_MTG_snRNAseq_rep1_L002_I2_001.fastq.gz</v>
      </c>
      <c r="J1095" s="46" t="str">
        <f t="shared" si="4"/>
        <v>/data/neurogen/ASAP/scRNAseq/data/batch21_ASAP_snRNA-seq_*/Raw_Data_and_Processing/cellranger_processing/cellranger_fastqs/outs/fastq_path/H*/BN1812_S2_L002_I2_001.fastq.gz</v>
      </c>
      <c r="K1095" s="46" t="s">
        <v>1326</v>
      </c>
      <c r="L1095" s="46" t="s">
        <v>3513</v>
      </c>
      <c r="M1095" s="46" t="s">
        <v>1309</v>
      </c>
      <c r="N1095" s="46" t="s">
        <v>1310</v>
      </c>
      <c r="O1095" s="46" t="s">
        <v>1311</v>
      </c>
      <c r="P1095" s="46" t="s">
        <v>1312</v>
      </c>
      <c r="Q1095" s="46" t="s">
        <v>31</v>
      </c>
      <c r="R1095" s="46" t="s">
        <v>31</v>
      </c>
      <c r="S1095" s="46" t="s">
        <v>31</v>
      </c>
      <c r="T1095" s="46" t="s">
        <v>31</v>
      </c>
      <c r="U1095" s="46" t="s">
        <v>49</v>
      </c>
    </row>
    <row r="1096" spans="1:21">
      <c r="A1096" s="46" t="s">
        <v>769</v>
      </c>
      <c r="B1096" s="46" t="s">
        <v>193</v>
      </c>
      <c r="C1096" s="46" t="s">
        <v>666</v>
      </c>
      <c r="D1096" s="46">
        <v>1</v>
      </c>
      <c r="E1096" s="46">
        <v>0</v>
      </c>
      <c r="F1096" s="46" t="s">
        <v>755</v>
      </c>
      <c r="G1096" s="46" t="s">
        <v>1305</v>
      </c>
      <c r="H1096" s="46" t="s">
        <v>3514</v>
      </c>
      <c r="I1096" s="46" t="str">
        <f ca="1">IFERROR(__xludf.DUMMYFUNCTION("CONCAT(A1096,REGEXREPLACE(H1096,"".*_L0"",""_L0""))"),"PD_BN1812_MTG_snRNAseq_rep1_L002_R1_001.fastq.gz")</f>
        <v>PD_BN1812_MTG_snRNAseq_rep1_L002_R1_001.fastq.gz</v>
      </c>
      <c r="J1096" s="46" t="str">
        <f t="shared" si="4"/>
        <v>/data/neurogen/ASAP/scRNAseq/data/batch21_ASAP_snRNA-seq_*/Raw_Data_and_Processing/cellranger_processing/cellranger_fastqs/outs/fastq_path/H*/BN1812_S2_L002_R1_001.fastq.gz</v>
      </c>
      <c r="K1096" s="46" t="s">
        <v>1329</v>
      </c>
      <c r="L1096" s="46" t="s">
        <v>3515</v>
      </c>
      <c r="M1096" s="46" t="s">
        <v>1309</v>
      </c>
      <c r="N1096" s="46" t="s">
        <v>1310</v>
      </c>
      <c r="O1096" s="46" t="s">
        <v>1311</v>
      </c>
      <c r="P1096" s="46" t="s">
        <v>1312</v>
      </c>
      <c r="Q1096" s="46" t="s">
        <v>31</v>
      </c>
      <c r="R1096" s="46" t="s">
        <v>31</v>
      </c>
      <c r="S1096" s="46" t="s">
        <v>31</v>
      </c>
      <c r="T1096" s="46" t="s">
        <v>31</v>
      </c>
      <c r="U1096" s="46" t="s">
        <v>49</v>
      </c>
    </row>
    <row r="1097" spans="1:21">
      <c r="A1097" s="46" t="s">
        <v>769</v>
      </c>
      <c r="B1097" s="46" t="s">
        <v>193</v>
      </c>
      <c r="C1097" s="46" t="s">
        <v>666</v>
      </c>
      <c r="D1097" s="46">
        <v>1</v>
      </c>
      <c r="E1097" s="46">
        <v>0</v>
      </c>
      <c r="F1097" s="46" t="s">
        <v>755</v>
      </c>
      <c r="G1097" s="46" t="s">
        <v>1305</v>
      </c>
      <c r="H1097" s="46" t="s">
        <v>3516</v>
      </c>
      <c r="I1097" s="46" t="str">
        <f ca="1">IFERROR(__xludf.DUMMYFUNCTION("CONCAT(A1097,REGEXREPLACE(H1097,"".*_L0"",""_L0""))"),"PD_BN1812_MTG_snRNAseq_rep1_L002_R2_001.fastq.gz")</f>
        <v>PD_BN1812_MTG_snRNAseq_rep1_L002_R2_001.fastq.gz</v>
      </c>
      <c r="J1097" s="46" t="str">
        <f t="shared" si="4"/>
        <v>/data/neurogen/ASAP/scRNAseq/data/batch21_ASAP_snRNA-seq_*/Raw_Data_and_Processing/cellranger_processing/cellranger_fastqs/outs/fastq_path/H*/BN1812_S2_L002_R2_001.fastq.gz</v>
      </c>
      <c r="K1097" s="46" t="s">
        <v>1332</v>
      </c>
      <c r="L1097" s="46" t="s">
        <v>3517</v>
      </c>
      <c r="M1097" s="46" t="s">
        <v>1309</v>
      </c>
      <c r="N1097" s="46" t="s">
        <v>1310</v>
      </c>
      <c r="O1097" s="46" t="s">
        <v>1311</v>
      </c>
      <c r="P1097" s="46" t="s">
        <v>1312</v>
      </c>
      <c r="Q1097" s="46" t="s">
        <v>31</v>
      </c>
      <c r="R1097" s="46" t="s">
        <v>31</v>
      </c>
      <c r="S1097" s="46" t="s">
        <v>31</v>
      </c>
      <c r="T1097" s="46" t="s">
        <v>31</v>
      </c>
      <c r="U1097" s="46" t="s">
        <v>49</v>
      </c>
    </row>
    <row r="1098" spans="1:21">
      <c r="A1098" s="46" t="s">
        <v>769</v>
      </c>
      <c r="B1098" s="46" t="s">
        <v>193</v>
      </c>
      <c r="C1098" s="46" t="s">
        <v>666</v>
      </c>
      <c r="D1098" s="46">
        <v>1</v>
      </c>
      <c r="E1098" s="46">
        <v>0</v>
      </c>
      <c r="F1098" s="46" t="s">
        <v>755</v>
      </c>
      <c r="G1098" s="46" t="s">
        <v>1305</v>
      </c>
      <c r="H1098" s="46" t="s">
        <v>3518</v>
      </c>
      <c r="I1098" s="46" t="str">
        <f ca="1">IFERROR(__xludf.DUMMYFUNCTION("CONCAT(A1098,REGEXREPLACE(H1098,"".*_L0"",""_L0""))"),"PD_BN1812_MTG_snRNAseq_rep1_L003_I1_001.fastq.gz")</f>
        <v>PD_BN1812_MTG_snRNAseq_rep1_L003_I1_001.fastq.gz</v>
      </c>
      <c r="J1098" s="46" t="str">
        <f t="shared" si="4"/>
        <v>/data/neurogen/ASAP/scRNAseq/data/batch21_ASAP_snRNA-seq_*/Raw_Data_and_Processing/cellranger_processing/cellranger_fastqs/outs/fastq_path/H*/BN1812_S2_L003_I1_001.fastq.gz</v>
      </c>
      <c r="K1098" s="46" t="s">
        <v>1335</v>
      </c>
      <c r="L1098" s="46" t="s">
        <v>3519</v>
      </c>
      <c r="M1098" s="46" t="s">
        <v>1309</v>
      </c>
      <c r="N1098" s="46" t="s">
        <v>1310</v>
      </c>
      <c r="O1098" s="46" t="s">
        <v>1311</v>
      </c>
      <c r="P1098" s="46" t="s">
        <v>1312</v>
      </c>
      <c r="Q1098" s="46" t="s">
        <v>31</v>
      </c>
      <c r="R1098" s="46" t="s">
        <v>31</v>
      </c>
      <c r="S1098" s="46" t="s">
        <v>31</v>
      </c>
      <c r="T1098" s="46" t="s">
        <v>31</v>
      </c>
      <c r="U1098" s="46" t="s">
        <v>49</v>
      </c>
    </row>
    <row r="1099" spans="1:21">
      <c r="A1099" s="46" t="s">
        <v>769</v>
      </c>
      <c r="B1099" s="46" t="s">
        <v>193</v>
      </c>
      <c r="C1099" s="46" t="s">
        <v>666</v>
      </c>
      <c r="D1099" s="46">
        <v>1</v>
      </c>
      <c r="E1099" s="46">
        <v>0</v>
      </c>
      <c r="F1099" s="46" t="s">
        <v>755</v>
      </c>
      <c r="G1099" s="46" t="s">
        <v>1305</v>
      </c>
      <c r="H1099" s="46" t="s">
        <v>3520</v>
      </c>
      <c r="I1099" s="46" t="str">
        <f ca="1">IFERROR(__xludf.DUMMYFUNCTION("CONCAT(A1099,REGEXREPLACE(H1099,"".*_L0"",""_L0""))"),"PD_BN1812_MTG_snRNAseq_rep1_L003_I2_001.fastq.gz")</f>
        <v>PD_BN1812_MTG_snRNAseq_rep1_L003_I2_001.fastq.gz</v>
      </c>
      <c r="J1099" s="46" t="str">
        <f t="shared" si="4"/>
        <v>/data/neurogen/ASAP/scRNAseq/data/batch21_ASAP_snRNA-seq_*/Raw_Data_and_Processing/cellranger_processing/cellranger_fastqs/outs/fastq_path/H*/BN1812_S2_L003_I2_001.fastq.gz</v>
      </c>
      <c r="K1099" s="46" t="s">
        <v>1338</v>
      </c>
      <c r="L1099" s="46" t="s">
        <v>3521</v>
      </c>
      <c r="M1099" s="46" t="s">
        <v>1309</v>
      </c>
      <c r="N1099" s="46" t="s">
        <v>1310</v>
      </c>
      <c r="O1099" s="46" t="s">
        <v>1311</v>
      </c>
      <c r="P1099" s="46" t="s">
        <v>1312</v>
      </c>
      <c r="Q1099" s="46" t="s">
        <v>31</v>
      </c>
      <c r="R1099" s="46" t="s">
        <v>31</v>
      </c>
      <c r="S1099" s="46" t="s">
        <v>31</v>
      </c>
      <c r="T1099" s="46" t="s">
        <v>31</v>
      </c>
      <c r="U1099" s="46" t="s">
        <v>49</v>
      </c>
    </row>
    <row r="1100" spans="1:21">
      <c r="A1100" s="46" t="s">
        <v>769</v>
      </c>
      <c r="B1100" s="46" t="s">
        <v>193</v>
      </c>
      <c r="C1100" s="46" t="s">
        <v>666</v>
      </c>
      <c r="D1100" s="46">
        <v>1</v>
      </c>
      <c r="E1100" s="46">
        <v>0</v>
      </c>
      <c r="F1100" s="46" t="s">
        <v>755</v>
      </c>
      <c r="G1100" s="46" t="s">
        <v>1305</v>
      </c>
      <c r="H1100" s="46" t="s">
        <v>3522</v>
      </c>
      <c r="I1100" s="46" t="str">
        <f ca="1">IFERROR(__xludf.DUMMYFUNCTION("CONCAT(A1100,REGEXREPLACE(H1100,"".*_L0"",""_L0""))"),"PD_BN1812_MTG_snRNAseq_rep1_L003_R1_001.fastq.gz")</f>
        <v>PD_BN1812_MTG_snRNAseq_rep1_L003_R1_001.fastq.gz</v>
      </c>
      <c r="J1100" s="46" t="str">
        <f t="shared" si="4"/>
        <v>/data/neurogen/ASAP/scRNAseq/data/batch21_ASAP_snRNA-seq_*/Raw_Data_and_Processing/cellranger_processing/cellranger_fastqs/outs/fastq_path/H*/BN1812_S2_L003_R1_001.fastq.gz</v>
      </c>
      <c r="K1100" s="46" t="s">
        <v>1341</v>
      </c>
      <c r="L1100" s="46" t="s">
        <v>3523</v>
      </c>
      <c r="M1100" s="46" t="s">
        <v>1309</v>
      </c>
      <c r="N1100" s="46" t="s">
        <v>1310</v>
      </c>
      <c r="O1100" s="46" t="s">
        <v>1311</v>
      </c>
      <c r="P1100" s="46" t="s">
        <v>1312</v>
      </c>
      <c r="Q1100" s="46" t="s">
        <v>31</v>
      </c>
      <c r="R1100" s="46" t="s">
        <v>31</v>
      </c>
      <c r="S1100" s="46" t="s">
        <v>31</v>
      </c>
      <c r="T1100" s="46" t="s">
        <v>31</v>
      </c>
      <c r="U1100" s="46" t="s">
        <v>49</v>
      </c>
    </row>
    <row r="1101" spans="1:21">
      <c r="A1101" s="46" t="s">
        <v>769</v>
      </c>
      <c r="B1101" s="46" t="s">
        <v>193</v>
      </c>
      <c r="C1101" s="46" t="s">
        <v>666</v>
      </c>
      <c r="D1101" s="46">
        <v>1</v>
      </c>
      <c r="E1101" s="46">
        <v>0</v>
      </c>
      <c r="F1101" s="46" t="s">
        <v>755</v>
      </c>
      <c r="G1101" s="46" t="s">
        <v>1305</v>
      </c>
      <c r="H1101" s="46" t="s">
        <v>3524</v>
      </c>
      <c r="I1101" s="46" t="str">
        <f ca="1">IFERROR(__xludf.DUMMYFUNCTION("CONCAT(A1101,REGEXREPLACE(H1101,"".*_L0"",""_L0""))"),"PD_BN1812_MTG_snRNAseq_rep1_L003_R2_001.fastq.gz")</f>
        <v>PD_BN1812_MTG_snRNAseq_rep1_L003_R2_001.fastq.gz</v>
      </c>
      <c r="J1101" s="46" t="str">
        <f t="shared" si="4"/>
        <v>/data/neurogen/ASAP/scRNAseq/data/batch21_ASAP_snRNA-seq_*/Raw_Data_and_Processing/cellranger_processing/cellranger_fastqs/outs/fastq_path/H*/BN1812_S2_L003_R2_001.fastq.gz</v>
      </c>
      <c r="K1101" s="46" t="s">
        <v>1344</v>
      </c>
      <c r="L1101" s="46" t="s">
        <v>3525</v>
      </c>
      <c r="M1101" s="46" t="s">
        <v>1309</v>
      </c>
      <c r="N1101" s="46" t="s">
        <v>1310</v>
      </c>
      <c r="O1101" s="46" t="s">
        <v>1311</v>
      </c>
      <c r="P1101" s="46" t="s">
        <v>1312</v>
      </c>
      <c r="Q1101" s="46" t="s">
        <v>31</v>
      </c>
      <c r="R1101" s="46" t="s">
        <v>31</v>
      </c>
      <c r="S1101" s="46" t="s">
        <v>31</v>
      </c>
      <c r="T1101" s="46" t="s">
        <v>31</v>
      </c>
      <c r="U1101" s="46" t="s">
        <v>49</v>
      </c>
    </row>
    <row r="1102" spans="1:21">
      <c r="A1102" s="46" t="s">
        <v>769</v>
      </c>
      <c r="B1102" s="46" t="s">
        <v>193</v>
      </c>
      <c r="C1102" s="46" t="s">
        <v>666</v>
      </c>
      <c r="D1102" s="46">
        <v>1</v>
      </c>
      <c r="E1102" s="46">
        <v>0</v>
      </c>
      <c r="F1102" s="46" t="s">
        <v>755</v>
      </c>
      <c r="G1102" s="46" t="s">
        <v>1305</v>
      </c>
      <c r="H1102" s="46" t="s">
        <v>3526</v>
      </c>
      <c r="I1102" s="46" t="str">
        <f ca="1">IFERROR(__xludf.DUMMYFUNCTION("CONCAT(A1102,REGEXREPLACE(H1102,"".*_L0"",""_L0""))"),"PD_BN1812_MTG_snRNAseq_rep1_L004_I1_001.fastq.gz")</f>
        <v>PD_BN1812_MTG_snRNAseq_rep1_L004_I1_001.fastq.gz</v>
      </c>
      <c r="J1102" s="46" t="str">
        <f t="shared" si="4"/>
        <v>/data/neurogen/ASAP/scRNAseq/data/batch21_ASAP_snRNA-seq_*/Raw_Data_and_Processing/cellranger_processing/cellranger_fastqs/outs/fastq_path/H*/BN1812_S2_L004_I1_001.fastq.gz</v>
      </c>
      <c r="K1102" s="46" t="s">
        <v>1347</v>
      </c>
      <c r="L1102" s="46" t="s">
        <v>3527</v>
      </c>
      <c r="M1102" s="46" t="s">
        <v>1309</v>
      </c>
      <c r="N1102" s="46" t="s">
        <v>1310</v>
      </c>
      <c r="O1102" s="46" t="s">
        <v>1311</v>
      </c>
      <c r="P1102" s="46" t="s">
        <v>1312</v>
      </c>
      <c r="Q1102" s="46" t="s">
        <v>31</v>
      </c>
      <c r="R1102" s="46" t="s">
        <v>31</v>
      </c>
      <c r="S1102" s="46" t="s">
        <v>31</v>
      </c>
      <c r="T1102" s="46" t="s">
        <v>31</v>
      </c>
      <c r="U1102" s="46" t="s">
        <v>49</v>
      </c>
    </row>
    <row r="1103" spans="1:21">
      <c r="A1103" s="46" t="s">
        <v>769</v>
      </c>
      <c r="B1103" s="46" t="s">
        <v>193</v>
      </c>
      <c r="C1103" s="46" t="s">
        <v>666</v>
      </c>
      <c r="D1103" s="46">
        <v>1</v>
      </c>
      <c r="E1103" s="46">
        <v>0</v>
      </c>
      <c r="F1103" s="46" t="s">
        <v>755</v>
      </c>
      <c r="G1103" s="46" t="s">
        <v>1305</v>
      </c>
      <c r="H1103" s="46" t="s">
        <v>3528</v>
      </c>
      <c r="I1103" s="46" t="str">
        <f ca="1">IFERROR(__xludf.DUMMYFUNCTION("CONCAT(A1103,REGEXREPLACE(H1103,"".*_L0"",""_L0""))"),"PD_BN1812_MTG_snRNAseq_rep1_L004_I2_001.fastq.gz")</f>
        <v>PD_BN1812_MTG_snRNAseq_rep1_L004_I2_001.fastq.gz</v>
      </c>
      <c r="J1103" s="46" t="str">
        <f t="shared" si="4"/>
        <v>/data/neurogen/ASAP/scRNAseq/data/batch21_ASAP_snRNA-seq_*/Raw_Data_and_Processing/cellranger_processing/cellranger_fastqs/outs/fastq_path/H*/BN1812_S2_L004_I2_001.fastq.gz</v>
      </c>
      <c r="K1103" s="46" t="s">
        <v>1350</v>
      </c>
      <c r="L1103" s="46" t="s">
        <v>3529</v>
      </c>
      <c r="M1103" s="46" t="s">
        <v>1309</v>
      </c>
      <c r="N1103" s="46" t="s">
        <v>1310</v>
      </c>
      <c r="O1103" s="46" t="s">
        <v>1311</v>
      </c>
      <c r="P1103" s="46" t="s">
        <v>1312</v>
      </c>
      <c r="Q1103" s="46" t="s">
        <v>31</v>
      </c>
      <c r="R1103" s="46" t="s">
        <v>31</v>
      </c>
      <c r="S1103" s="46" t="s">
        <v>31</v>
      </c>
      <c r="T1103" s="46" t="s">
        <v>31</v>
      </c>
      <c r="U1103" s="46" t="s">
        <v>49</v>
      </c>
    </row>
    <row r="1104" spans="1:21">
      <c r="A1104" s="46" t="s">
        <v>769</v>
      </c>
      <c r="B1104" s="46" t="s">
        <v>193</v>
      </c>
      <c r="C1104" s="46" t="s">
        <v>666</v>
      </c>
      <c r="D1104" s="46">
        <v>1</v>
      </c>
      <c r="E1104" s="46">
        <v>0</v>
      </c>
      <c r="F1104" s="46" t="s">
        <v>755</v>
      </c>
      <c r="G1104" s="46" t="s">
        <v>1305</v>
      </c>
      <c r="H1104" s="46" t="s">
        <v>3530</v>
      </c>
      <c r="I1104" s="46" t="str">
        <f ca="1">IFERROR(__xludf.DUMMYFUNCTION("CONCAT(A1104,REGEXREPLACE(H1104,"".*_L0"",""_L0""))"),"PD_BN1812_MTG_snRNAseq_rep1_L004_R1_001.fastq.gz")</f>
        <v>PD_BN1812_MTG_snRNAseq_rep1_L004_R1_001.fastq.gz</v>
      </c>
      <c r="J1104" s="46" t="str">
        <f t="shared" si="4"/>
        <v>/data/neurogen/ASAP/scRNAseq/data/batch21_ASAP_snRNA-seq_*/Raw_Data_and_Processing/cellranger_processing/cellranger_fastqs/outs/fastq_path/H*/BN1812_S2_L004_R1_001.fastq.gz</v>
      </c>
      <c r="K1104" s="46" t="s">
        <v>1353</v>
      </c>
      <c r="L1104" s="46" t="s">
        <v>3531</v>
      </c>
      <c r="M1104" s="46" t="s">
        <v>1309</v>
      </c>
      <c r="N1104" s="46" t="s">
        <v>1310</v>
      </c>
      <c r="O1104" s="46" t="s">
        <v>1311</v>
      </c>
      <c r="P1104" s="46" t="s">
        <v>1312</v>
      </c>
      <c r="Q1104" s="46" t="s">
        <v>31</v>
      </c>
      <c r="R1104" s="46" t="s">
        <v>31</v>
      </c>
      <c r="S1104" s="46" t="s">
        <v>31</v>
      </c>
      <c r="T1104" s="46" t="s">
        <v>31</v>
      </c>
      <c r="U1104" s="46" t="s">
        <v>49</v>
      </c>
    </row>
    <row r="1105" spans="1:21">
      <c r="A1105" s="46" t="s">
        <v>769</v>
      </c>
      <c r="B1105" s="46" t="s">
        <v>193</v>
      </c>
      <c r="C1105" s="46" t="s">
        <v>666</v>
      </c>
      <c r="D1105" s="46">
        <v>1</v>
      </c>
      <c r="E1105" s="46">
        <v>0</v>
      </c>
      <c r="F1105" s="46" t="s">
        <v>755</v>
      </c>
      <c r="G1105" s="46" t="s">
        <v>1305</v>
      </c>
      <c r="H1105" s="46" t="s">
        <v>3532</v>
      </c>
      <c r="I1105" s="46" t="str">
        <f ca="1">IFERROR(__xludf.DUMMYFUNCTION("CONCAT(A1105,REGEXREPLACE(H1105,"".*_L0"",""_L0""))"),"PD_BN1812_MTG_snRNAseq_rep1_L004_R2_001.fastq.gz")</f>
        <v>PD_BN1812_MTG_snRNAseq_rep1_L004_R2_001.fastq.gz</v>
      </c>
      <c r="J1105" s="46" t="str">
        <f t="shared" si="4"/>
        <v>/data/neurogen/ASAP/scRNAseq/data/batch21_ASAP_snRNA-seq_*/Raw_Data_and_Processing/cellranger_processing/cellranger_fastqs/outs/fastq_path/H*/BN1812_S2_L004_R2_001.fastq.gz</v>
      </c>
      <c r="K1105" s="46" t="s">
        <v>1356</v>
      </c>
      <c r="L1105" s="46" t="s">
        <v>3533</v>
      </c>
      <c r="M1105" s="46" t="s">
        <v>1309</v>
      </c>
      <c r="N1105" s="46" t="s">
        <v>1310</v>
      </c>
      <c r="O1105" s="46" t="s">
        <v>1311</v>
      </c>
      <c r="P1105" s="46" t="s">
        <v>1312</v>
      </c>
      <c r="Q1105" s="46" t="s">
        <v>31</v>
      </c>
      <c r="R1105" s="46" t="s">
        <v>31</v>
      </c>
      <c r="S1105" s="46" t="s">
        <v>31</v>
      </c>
      <c r="T1105" s="46" t="s">
        <v>31</v>
      </c>
      <c r="U1105" s="46" t="s">
        <v>49</v>
      </c>
    </row>
    <row r="1106" spans="1:21">
      <c r="A1106" s="46" t="s">
        <v>778</v>
      </c>
      <c r="B1106" s="46" t="s">
        <v>205</v>
      </c>
      <c r="C1106" s="46" t="s">
        <v>666</v>
      </c>
      <c r="D1106" s="46">
        <v>1</v>
      </c>
      <c r="E1106" s="46">
        <v>0</v>
      </c>
      <c r="F1106" s="46" t="s">
        <v>755</v>
      </c>
      <c r="G1106" s="46" t="s">
        <v>1305</v>
      </c>
      <c r="H1106" s="46" t="s">
        <v>3534</v>
      </c>
      <c r="I1106" s="46" t="str">
        <f ca="1">IFERROR(__xludf.DUMMYFUNCTION("CONCAT(A1106,REGEXREPLACE(H1106,"".*_L0"",""_L0""))"),"ILB_BN1836_MTG_snRNAseq_rep1_L001_I1_001.fastq.gz")</f>
        <v>ILB_BN1836_MTG_snRNAseq_rep1_L001_I1_001.fastq.gz</v>
      </c>
      <c r="J1106" s="46" t="str">
        <f t="shared" si="4"/>
        <v>/data/neurogen/ASAP/scRNAseq/data/batch21_ASAP_snRNA-seq_*/Raw_Data_and_Processing/cellranger_processing/cellranger_fastqs/outs/fastq_path/H*/BN1836_S3_L001_I1_001.fastq.gz</v>
      </c>
      <c r="K1106" s="46" t="s">
        <v>1307</v>
      </c>
      <c r="L1106" s="46" t="s">
        <v>3535</v>
      </c>
      <c r="M1106" s="46" t="s">
        <v>1309</v>
      </c>
      <c r="N1106" s="46" t="s">
        <v>1310</v>
      </c>
      <c r="O1106" s="46" t="s">
        <v>1311</v>
      </c>
      <c r="P1106" s="46" t="s">
        <v>1312</v>
      </c>
      <c r="Q1106" s="46" t="s">
        <v>31</v>
      </c>
      <c r="R1106" s="46" t="s">
        <v>31</v>
      </c>
      <c r="S1106" s="46" t="s">
        <v>31</v>
      </c>
      <c r="T1106" s="46" t="s">
        <v>31</v>
      </c>
      <c r="U1106" s="46" t="s">
        <v>49</v>
      </c>
    </row>
    <row r="1107" spans="1:21">
      <c r="A1107" s="46" t="s">
        <v>778</v>
      </c>
      <c r="B1107" s="46" t="s">
        <v>205</v>
      </c>
      <c r="C1107" s="46" t="s">
        <v>666</v>
      </c>
      <c r="D1107" s="46">
        <v>1</v>
      </c>
      <c r="E1107" s="46">
        <v>0</v>
      </c>
      <c r="F1107" s="46" t="s">
        <v>755</v>
      </c>
      <c r="G1107" s="46" t="s">
        <v>1305</v>
      </c>
      <c r="H1107" s="46" t="s">
        <v>3536</v>
      </c>
      <c r="I1107" s="46" t="str">
        <f ca="1">IFERROR(__xludf.DUMMYFUNCTION("CONCAT(A1107,REGEXREPLACE(H1107,"".*_L0"",""_L0""))"),"ILB_BN1836_MTG_snRNAseq_rep1_L001_I2_001.fastq.gz")</f>
        <v>ILB_BN1836_MTG_snRNAseq_rep1_L001_I2_001.fastq.gz</v>
      </c>
      <c r="J1107" s="46" t="str">
        <f t="shared" si="4"/>
        <v>/data/neurogen/ASAP/scRNAseq/data/batch21_ASAP_snRNA-seq_*/Raw_Data_and_Processing/cellranger_processing/cellranger_fastqs/outs/fastq_path/H*/BN1836_S3_L001_I2_001.fastq.gz</v>
      </c>
      <c r="K1107" s="46" t="s">
        <v>1314</v>
      </c>
      <c r="L1107" s="47" t="s">
        <v>3537</v>
      </c>
      <c r="M1107" s="46" t="s">
        <v>1309</v>
      </c>
      <c r="N1107" s="46" t="s">
        <v>1310</v>
      </c>
      <c r="O1107" s="46" t="s">
        <v>1311</v>
      </c>
      <c r="P1107" s="46" t="s">
        <v>1312</v>
      </c>
      <c r="Q1107" s="46" t="s">
        <v>31</v>
      </c>
      <c r="R1107" s="46" t="s">
        <v>31</v>
      </c>
      <c r="S1107" s="46" t="s">
        <v>31</v>
      </c>
      <c r="T1107" s="46" t="s">
        <v>31</v>
      </c>
      <c r="U1107" s="46" t="s">
        <v>49</v>
      </c>
    </row>
    <row r="1108" spans="1:21">
      <c r="A1108" s="46" t="s">
        <v>778</v>
      </c>
      <c r="B1108" s="46" t="s">
        <v>205</v>
      </c>
      <c r="C1108" s="46" t="s">
        <v>666</v>
      </c>
      <c r="D1108" s="46">
        <v>1</v>
      </c>
      <c r="E1108" s="46">
        <v>0</v>
      </c>
      <c r="F1108" s="46" t="s">
        <v>755</v>
      </c>
      <c r="G1108" s="46" t="s">
        <v>1305</v>
      </c>
      <c r="H1108" s="46" t="s">
        <v>3538</v>
      </c>
      <c r="I1108" s="46" t="str">
        <f ca="1">IFERROR(__xludf.DUMMYFUNCTION("CONCAT(A1108,REGEXREPLACE(H1108,"".*_L0"",""_L0""))"),"ILB_BN1836_MTG_snRNAseq_rep1_L001_R1_001.fastq.gz")</f>
        <v>ILB_BN1836_MTG_snRNAseq_rep1_L001_R1_001.fastq.gz</v>
      </c>
      <c r="J1108" s="46" t="str">
        <f t="shared" si="4"/>
        <v>/data/neurogen/ASAP/scRNAseq/data/batch21_ASAP_snRNA-seq_*/Raw_Data_and_Processing/cellranger_processing/cellranger_fastqs/outs/fastq_path/H*/BN1836_S3_L001_R1_001.fastq.gz</v>
      </c>
      <c r="K1108" s="46" t="s">
        <v>1317</v>
      </c>
      <c r="L1108" s="46" t="s">
        <v>3539</v>
      </c>
      <c r="M1108" s="46" t="s">
        <v>1309</v>
      </c>
      <c r="N1108" s="46" t="s">
        <v>1310</v>
      </c>
      <c r="O1108" s="46" t="s">
        <v>1311</v>
      </c>
      <c r="P1108" s="46" t="s">
        <v>1312</v>
      </c>
      <c r="Q1108" s="46" t="s">
        <v>31</v>
      </c>
      <c r="R1108" s="46" t="s">
        <v>31</v>
      </c>
      <c r="S1108" s="46" t="s">
        <v>31</v>
      </c>
      <c r="T1108" s="46" t="s">
        <v>31</v>
      </c>
      <c r="U1108" s="46" t="s">
        <v>49</v>
      </c>
    </row>
    <row r="1109" spans="1:21">
      <c r="A1109" s="46" t="s">
        <v>778</v>
      </c>
      <c r="B1109" s="46" t="s">
        <v>205</v>
      </c>
      <c r="C1109" s="46" t="s">
        <v>666</v>
      </c>
      <c r="D1109" s="46">
        <v>1</v>
      </c>
      <c r="E1109" s="46">
        <v>0</v>
      </c>
      <c r="F1109" s="46" t="s">
        <v>755</v>
      </c>
      <c r="G1109" s="46" t="s">
        <v>1305</v>
      </c>
      <c r="H1109" s="46" t="s">
        <v>3540</v>
      </c>
      <c r="I1109" s="46" t="str">
        <f ca="1">IFERROR(__xludf.DUMMYFUNCTION("CONCAT(A1109,REGEXREPLACE(H1109,"".*_L0"",""_L0""))"),"ILB_BN1836_MTG_snRNAseq_rep1_L001_R2_001.fastq.gz")</f>
        <v>ILB_BN1836_MTG_snRNAseq_rep1_L001_R2_001.fastq.gz</v>
      </c>
      <c r="J1109" s="46" t="str">
        <f t="shared" si="4"/>
        <v>/data/neurogen/ASAP/scRNAseq/data/batch21_ASAP_snRNA-seq_*/Raw_Data_and_Processing/cellranger_processing/cellranger_fastqs/outs/fastq_path/H*/BN1836_S3_L001_R2_001.fastq.gz</v>
      </c>
      <c r="K1109" s="46" t="s">
        <v>1320</v>
      </c>
      <c r="L1109" s="46" t="s">
        <v>3541</v>
      </c>
      <c r="M1109" s="46" t="s">
        <v>1309</v>
      </c>
      <c r="N1109" s="46" t="s">
        <v>1310</v>
      </c>
      <c r="O1109" s="46" t="s">
        <v>1311</v>
      </c>
      <c r="P1109" s="46" t="s">
        <v>1312</v>
      </c>
      <c r="Q1109" s="46" t="s">
        <v>31</v>
      </c>
      <c r="R1109" s="46" t="s">
        <v>31</v>
      </c>
      <c r="S1109" s="46" t="s">
        <v>31</v>
      </c>
      <c r="T1109" s="46" t="s">
        <v>31</v>
      </c>
      <c r="U1109" s="46" t="s">
        <v>49</v>
      </c>
    </row>
    <row r="1110" spans="1:21">
      <c r="A1110" s="46" t="s">
        <v>778</v>
      </c>
      <c r="B1110" s="46" t="s">
        <v>205</v>
      </c>
      <c r="C1110" s="46" t="s">
        <v>666</v>
      </c>
      <c r="D1110" s="46">
        <v>1</v>
      </c>
      <c r="E1110" s="46">
        <v>0</v>
      </c>
      <c r="F1110" s="46" t="s">
        <v>755</v>
      </c>
      <c r="G1110" s="46" t="s">
        <v>1305</v>
      </c>
      <c r="H1110" s="46" t="s">
        <v>3542</v>
      </c>
      <c r="I1110" s="46" t="str">
        <f ca="1">IFERROR(__xludf.DUMMYFUNCTION("CONCAT(A1110,REGEXREPLACE(H1110,"".*_L0"",""_L0""))"),"ILB_BN1836_MTG_snRNAseq_rep1_L002_I1_001.fastq.gz")</f>
        <v>ILB_BN1836_MTG_snRNAseq_rep1_L002_I1_001.fastq.gz</v>
      </c>
      <c r="J1110" s="46" t="str">
        <f t="shared" si="4"/>
        <v>/data/neurogen/ASAP/scRNAseq/data/batch21_ASAP_snRNA-seq_*/Raw_Data_and_Processing/cellranger_processing/cellranger_fastqs/outs/fastq_path/H*/BN1836_S3_L002_I1_001.fastq.gz</v>
      </c>
      <c r="K1110" s="46" t="s">
        <v>1323</v>
      </c>
      <c r="L1110" s="46" t="s">
        <v>3543</v>
      </c>
      <c r="M1110" s="46" t="s">
        <v>1309</v>
      </c>
      <c r="N1110" s="46" t="s">
        <v>1310</v>
      </c>
      <c r="O1110" s="46" t="s">
        <v>1311</v>
      </c>
      <c r="P1110" s="46" t="s">
        <v>1312</v>
      </c>
      <c r="Q1110" s="46" t="s">
        <v>31</v>
      </c>
      <c r="R1110" s="46" t="s">
        <v>31</v>
      </c>
      <c r="S1110" s="46" t="s">
        <v>31</v>
      </c>
      <c r="T1110" s="46" t="s">
        <v>31</v>
      </c>
      <c r="U1110" s="46" t="s">
        <v>49</v>
      </c>
    </row>
    <row r="1111" spans="1:21">
      <c r="A1111" s="46" t="s">
        <v>778</v>
      </c>
      <c r="B1111" s="46" t="s">
        <v>205</v>
      </c>
      <c r="C1111" s="46" t="s">
        <v>666</v>
      </c>
      <c r="D1111" s="46">
        <v>1</v>
      </c>
      <c r="E1111" s="46">
        <v>0</v>
      </c>
      <c r="F1111" s="46" t="s">
        <v>755</v>
      </c>
      <c r="G1111" s="46" t="s">
        <v>1305</v>
      </c>
      <c r="H1111" s="46" t="s">
        <v>3544</v>
      </c>
      <c r="I1111" s="46" t="str">
        <f ca="1">IFERROR(__xludf.DUMMYFUNCTION("CONCAT(A1111,REGEXREPLACE(H1111,"".*_L0"",""_L0""))"),"ILB_BN1836_MTG_snRNAseq_rep1_L002_I2_001.fastq.gz")</f>
        <v>ILB_BN1836_MTG_snRNAseq_rep1_L002_I2_001.fastq.gz</v>
      </c>
      <c r="J1111" s="46" t="str">
        <f t="shared" si="4"/>
        <v>/data/neurogen/ASAP/scRNAseq/data/batch21_ASAP_snRNA-seq_*/Raw_Data_and_Processing/cellranger_processing/cellranger_fastqs/outs/fastq_path/H*/BN1836_S3_L002_I2_001.fastq.gz</v>
      </c>
      <c r="K1111" s="46" t="s">
        <v>1326</v>
      </c>
      <c r="L1111" s="46" t="s">
        <v>3545</v>
      </c>
      <c r="M1111" s="46" t="s">
        <v>1309</v>
      </c>
      <c r="N1111" s="46" t="s">
        <v>1310</v>
      </c>
      <c r="O1111" s="46" t="s">
        <v>1311</v>
      </c>
      <c r="P1111" s="46" t="s">
        <v>1312</v>
      </c>
      <c r="Q1111" s="46" t="s">
        <v>31</v>
      </c>
      <c r="R1111" s="46" t="s">
        <v>31</v>
      </c>
      <c r="S1111" s="46" t="s">
        <v>31</v>
      </c>
      <c r="T1111" s="46" t="s">
        <v>31</v>
      </c>
      <c r="U1111" s="46" t="s">
        <v>49</v>
      </c>
    </row>
    <row r="1112" spans="1:21">
      <c r="A1112" s="46" t="s">
        <v>778</v>
      </c>
      <c r="B1112" s="46" t="s">
        <v>205</v>
      </c>
      <c r="C1112" s="46" t="s">
        <v>666</v>
      </c>
      <c r="D1112" s="46">
        <v>1</v>
      </c>
      <c r="E1112" s="46">
        <v>0</v>
      </c>
      <c r="F1112" s="46" t="s">
        <v>755</v>
      </c>
      <c r="G1112" s="46" t="s">
        <v>1305</v>
      </c>
      <c r="H1112" s="46" t="s">
        <v>3546</v>
      </c>
      <c r="I1112" s="46" t="str">
        <f ca="1">IFERROR(__xludf.DUMMYFUNCTION("CONCAT(A1112,REGEXREPLACE(H1112,"".*_L0"",""_L0""))"),"ILB_BN1836_MTG_snRNAseq_rep1_L002_R1_001.fastq.gz")</f>
        <v>ILB_BN1836_MTG_snRNAseq_rep1_L002_R1_001.fastq.gz</v>
      </c>
      <c r="J1112" s="46" t="str">
        <f t="shared" si="4"/>
        <v>/data/neurogen/ASAP/scRNAseq/data/batch21_ASAP_snRNA-seq_*/Raw_Data_and_Processing/cellranger_processing/cellranger_fastqs/outs/fastq_path/H*/BN1836_S3_L002_R1_001.fastq.gz</v>
      </c>
      <c r="K1112" s="46" t="s">
        <v>1329</v>
      </c>
      <c r="L1112" s="46" t="s">
        <v>3547</v>
      </c>
      <c r="M1112" s="46" t="s">
        <v>1309</v>
      </c>
      <c r="N1112" s="46" t="s">
        <v>1310</v>
      </c>
      <c r="O1112" s="46" t="s">
        <v>1311</v>
      </c>
      <c r="P1112" s="46" t="s">
        <v>1312</v>
      </c>
      <c r="Q1112" s="46" t="s">
        <v>31</v>
      </c>
      <c r="R1112" s="46" t="s">
        <v>31</v>
      </c>
      <c r="S1112" s="46" t="s">
        <v>31</v>
      </c>
      <c r="T1112" s="46" t="s">
        <v>31</v>
      </c>
      <c r="U1112" s="46" t="s">
        <v>49</v>
      </c>
    </row>
    <row r="1113" spans="1:21">
      <c r="A1113" s="46" t="s">
        <v>778</v>
      </c>
      <c r="B1113" s="46" t="s">
        <v>205</v>
      </c>
      <c r="C1113" s="46" t="s">
        <v>666</v>
      </c>
      <c r="D1113" s="46">
        <v>1</v>
      </c>
      <c r="E1113" s="46">
        <v>0</v>
      </c>
      <c r="F1113" s="46" t="s">
        <v>755</v>
      </c>
      <c r="G1113" s="46" t="s">
        <v>1305</v>
      </c>
      <c r="H1113" s="46" t="s">
        <v>3548</v>
      </c>
      <c r="I1113" s="46" t="str">
        <f ca="1">IFERROR(__xludf.DUMMYFUNCTION("CONCAT(A1113,REGEXREPLACE(H1113,"".*_L0"",""_L0""))"),"ILB_BN1836_MTG_snRNAseq_rep1_L002_R2_001.fastq.gz")</f>
        <v>ILB_BN1836_MTG_snRNAseq_rep1_L002_R2_001.fastq.gz</v>
      </c>
      <c r="J1113" s="46" t="str">
        <f t="shared" si="4"/>
        <v>/data/neurogen/ASAP/scRNAseq/data/batch21_ASAP_snRNA-seq_*/Raw_Data_and_Processing/cellranger_processing/cellranger_fastqs/outs/fastq_path/H*/BN1836_S3_L002_R2_001.fastq.gz</v>
      </c>
      <c r="K1113" s="46" t="s">
        <v>1332</v>
      </c>
      <c r="L1113" s="46" t="s">
        <v>3549</v>
      </c>
      <c r="M1113" s="46" t="s">
        <v>1309</v>
      </c>
      <c r="N1113" s="46" t="s">
        <v>1310</v>
      </c>
      <c r="O1113" s="46" t="s">
        <v>1311</v>
      </c>
      <c r="P1113" s="46" t="s">
        <v>1312</v>
      </c>
      <c r="Q1113" s="46" t="s">
        <v>31</v>
      </c>
      <c r="R1113" s="46" t="s">
        <v>31</v>
      </c>
      <c r="S1113" s="46" t="s">
        <v>31</v>
      </c>
      <c r="T1113" s="46" t="s">
        <v>31</v>
      </c>
      <c r="U1113" s="46" t="s">
        <v>49</v>
      </c>
    </row>
    <row r="1114" spans="1:21">
      <c r="A1114" s="46" t="s">
        <v>778</v>
      </c>
      <c r="B1114" s="46" t="s">
        <v>205</v>
      </c>
      <c r="C1114" s="46" t="s">
        <v>666</v>
      </c>
      <c r="D1114" s="46">
        <v>1</v>
      </c>
      <c r="E1114" s="46">
        <v>0</v>
      </c>
      <c r="F1114" s="46" t="s">
        <v>755</v>
      </c>
      <c r="G1114" s="46" t="s">
        <v>1305</v>
      </c>
      <c r="H1114" s="46" t="s">
        <v>3550</v>
      </c>
      <c r="I1114" s="46" t="str">
        <f ca="1">IFERROR(__xludf.DUMMYFUNCTION("CONCAT(A1114,REGEXREPLACE(H1114,"".*_L0"",""_L0""))"),"ILB_BN1836_MTG_snRNAseq_rep1_L003_I1_001.fastq.gz")</f>
        <v>ILB_BN1836_MTG_snRNAseq_rep1_L003_I1_001.fastq.gz</v>
      </c>
      <c r="J1114" s="46" t="str">
        <f t="shared" si="4"/>
        <v>/data/neurogen/ASAP/scRNAseq/data/batch21_ASAP_snRNA-seq_*/Raw_Data_and_Processing/cellranger_processing/cellranger_fastqs/outs/fastq_path/H*/BN1836_S3_L003_I1_001.fastq.gz</v>
      </c>
      <c r="K1114" s="46" t="s">
        <v>1335</v>
      </c>
      <c r="L1114" s="46" t="s">
        <v>3551</v>
      </c>
      <c r="M1114" s="46" t="s">
        <v>1309</v>
      </c>
      <c r="N1114" s="46" t="s">
        <v>1310</v>
      </c>
      <c r="O1114" s="46" t="s">
        <v>1311</v>
      </c>
      <c r="P1114" s="46" t="s">
        <v>1312</v>
      </c>
      <c r="Q1114" s="46" t="s">
        <v>31</v>
      </c>
      <c r="R1114" s="46" t="s">
        <v>31</v>
      </c>
      <c r="S1114" s="46" t="s">
        <v>31</v>
      </c>
      <c r="T1114" s="46" t="s">
        <v>31</v>
      </c>
      <c r="U1114" s="46" t="s">
        <v>49</v>
      </c>
    </row>
    <row r="1115" spans="1:21">
      <c r="A1115" s="46" t="s">
        <v>778</v>
      </c>
      <c r="B1115" s="46" t="s">
        <v>205</v>
      </c>
      <c r="C1115" s="46" t="s">
        <v>666</v>
      </c>
      <c r="D1115" s="46">
        <v>1</v>
      </c>
      <c r="E1115" s="46">
        <v>0</v>
      </c>
      <c r="F1115" s="46" t="s">
        <v>755</v>
      </c>
      <c r="G1115" s="46" t="s">
        <v>1305</v>
      </c>
      <c r="H1115" s="46" t="s">
        <v>3552</v>
      </c>
      <c r="I1115" s="46" t="str">
        <f ca="1">IFERROR(__xludf.DUMMYFUNCTION("CONCAT(A1115,REGEXREPLACE(H1115,"".*_L0"",""_L0""))"),"ILB_BN1836_MTG_snRNAseq_rep1_L003_I2_001.fastq.gz")</f>
        <v>ILB_BN1836_MTG_snRNAseq_rep1_L003_I2_001.fastq.gz</v>
      </c>
      <c r="J1115" s="46" t="str">
        <f t="shared" si="4"/>
        <v>/data/neurogen/ASAP/scRNAseq/data/batch21_ASAP_snRNA-seq_*/Raw_Data_and_Processing/cellranger_processing/cellranger_fastqs/outs/fastq_path/H*/BN1836_S3_L003_I2_001.fastq.gz</v>
      </c>
      <c r="K1115" s="46" t="s">
        <v>1338</v>
      </c>
      <c r="L1115" s="46" t="s">
        <v>3553</v>
      </c>
      <c r="M1115" s="46" t="s">
        <v>1309</v>
      </c>
      <c r="N1115" s="46" t="s">
        <v>1310</v>
      </c>
      <c r="O1115" s="46" t="s">
        <v>1311</v>
      </c>
      <c r="P1115" s="46" t="s">
        <v>1312</v>
      </c>
      <c r="Q1115" s="46" t="s">
        <v>31</v>
      </c>
      <c r="R1115" s="46" t="s">
        <v>31</v>
      </c>
      <c r="S1115" s="46" t="s">
        <v>31</v>
      </c>
      <c r="T1115" s="46" t="s">
        <v>31</v>
      </c>
      <c r="U1115" s="46" t="s">
        <v>49</v>
      </c>
    </row>
    <row r="1116" spans="1:21">
      <c r="A1116" s="46" t="s">
        <v>778</v>
      </c>
      <c r="B1116" s="46" t="s">
        <v>205</v>
      </c>
      <c r="C1116" s="46" t="s">
        <v>666</v>
      </c>
      <c r="D1116" s="46">
        <v>1</v>
      </c>
      <c r="E1116" s="46">
        <v>0</v>
      </c>
      <c r="F1116" s="46" t="s">
        <v>755</v>
      </c>
      <c r="G1116" s="46" t="s">
        <v>1305</v>
      </c>
      <c r="H1116" s="46" t="s">
        <v>3554</v>
      </c>
      <c r="I1116" s="46" t="str">
        <f ca="1">IFERROR(__xludf.DUMMYFUNCTION("CONCAT(A1116,REGEXREPLACE(H1116,"".*_L0"",""_L0""))"),"ILB_BN1836_MTG_snRNAseq_rep1_L003_R1_001.fastq.gz")</f>
        <v>ILB_BN1836_MTG_snRNAseq_rep1_L003_R1_001.fastq.gz</v>
      </c>
      <c r="J1116" s="46" t="str">
        <f t="shared" si="4"/>
        <v>/data/neurogen/ASAP/scRNAseq/data/batch21_ASAP_snRNA-seq_*/Raw_Data_and_Processing/cellranger_processing/cellranger_fastqs/outs/fastq_path/H*/BN1836_S3_L003_R1_001.fastq.gz</v>
      </c>
      <c r="K1116" s="46" t="s">
        <v>1341</v>
      </c>
      <c r="L1116" s="46" t="s">
        <v>3555</v>
      </c>
      <c r="M1116" s="46" t="s">
        <v>1309</v>
      </c>
      <c r="N1116" s="46" t="s">
        <v>1310</v>
      </c>
      <c r="O1116" s="46" t="s">
        <v>1311</v>
      </c>
      <c r="P1116" s="46" t="s">
        <v>1312</v>
      </c>
      <c r="Q1116" s="46" t="s">
        <v>31</v>
      </c>
      <c r="R1116" s="46" t="s">
        <v>31</v>
      </c>
      <c r="S1116" s="46" t="s">
        <v>31</v>
      </c>
      <c r="T1116" s="46" t="s">
        <v>31</v>
      </c>
      <c r="U1116" s="46" t="s">
        <v>49</v>
      </c>
    </row>
    <row r="1117" spans="1:21">
      <c r="A1117" s="46" t="s">
        <v>778</v>
      </c>
      <c r="B1117" s="46" t="s">
        <v>205</v>
      </c>
      <c r="C1117" s="46" t="s">
        <v>666</v>
      </c>
      <c r="D1117" s="46">
        <v>1</v>
      </c>
      <c r="E1117" s="46">
        <v>0</v>
      </c>
      <c r="F1117" s="46" t="s">
        <v>755</v>
      </c>
      <c r="G1117" s="46" t="s">
        <v>1305</v>
      </c>
      <c r="H1117" s="46" t="s">
        <v>3556</v>
      </c>
      <c r="I1117" s="46" t="str">
        <f ca="1">IFERROR(__xludf.DUMMYFUNCTION("CONCAT(A1117,REGEXREPLACE(H1117,"".*_L0"",""_L0""))"),"ILB_BN1836_MTG_snRNAseq_rep1_L003_R2_001.fastq.gz")</f>
        <v>ILB_BN1836_MTG_snRNAseq_rep1_L003_R2_001.fastq.gz</v>
      </c>
      <c r="J1117" s="46" t="str">
        <f t="shared" si="4"/>
        <v>/data/neurogen/ASAP/scRNAseq/data/batch21_ASAP_snRNA-seq_*/Raw_Data_and_Processing/cellranger_processing/cellranger_fastqs/outs/fastq_path/H*/BN1836_S3_L003_R2_001.fastq.gz</v>
      </c>
      <c r="K1117" s="46" t="s">
        <v>1344</v>
      </c>
      <c r="L1117" s="46" t="s">
        <v>3557</v>
      </c>
      <c r="M1117" s="46" t="s">
        <v>1309</v>
      </c>
      <c r="N1117" s="46" t="s">
        <v>1310</v>
      </c>
      <c r="O1117" s="46" t="s">
        <v>1311</v>
      </c>
      <c r="P1117" s="46" t="s">
        <v>1312</v>
      </c>
      <c r="Q1117" s="46" t="s">
        <v>31</v>
      </c>
      <c r="R1117" s="46" t="s">
        <v>31</v>
      </c>
      <c r="S1117" s="46" t="s">
        <v>31</v>
      </c>
      <c r="T1117" s="46" t="s">
        <v>31</v>
      </c>
      <c r="U1117" s="46" t="s">
        <v>49</v>
      </c>
    </row>
    <row r="1118" spans="1:21">
      <c r="A1118" s="46" t="s">
        <v>778</v>
      </c>
      <c r="B1118" s="46" t="s">
        <v>205</v>
      </c>
      <c r="C1118" s="46" t="s">
        <v>666</v>
      </c>
      <c r="D1118" s="46">
        <v>1</v>
      </c>
      <c r="E1118" s="46">
        <v>0</v>
      </c>
      <c r="F1118" s="46" t="s">
        <v>755</v>
      </c>
      <c r="G1118" s="46" t="s">
        <v>1305</v>
      </c>
      <c r="H1118" s="46" t="s">
        <v>3558</v>
      </c>
      <c r="I1118" s="46" t="str">
        <f ca="1">IFERROR(__xludf.DUMMYFUNCTION("CONCAT(A1118,REGEXREPLACE(H1118,"".*_L0"",""_L0""))"),"ILB_BN1836_MTG_snRNAseq_rep1_L004_I1_001.fastq.gz")</f>
        <v>ILB_BN1836_MTG_snRNAseq_rep1_L004_I1_001.fastq.gz</v>
      </c>
      <c r="J1118" s="46" t="str">
        <f t="shared" si="4"/>
        <v>/data/neurogen/ASAP/scRNAseq/data/batch21_ASAP_snRNA-seq_*/Raw_Data_and_Processing/cellranger_processing/cellranger_fastqs/outs/fastq_path/H*/BN1836_S3_L004_I1_001.fastq.gz</v>
      </c>
      <c r="K1118" s="46" t="s">
        <v>1347</v>
      </c>
      <c r="L1118" s="46" t="s">
        <v>3559</v>
      </c>
      <c r="M1118" s="46" t="s">
        <v>1309</v>
      </c>
      <c r="N1118" s="46" t="s">
        <v>1310</v>
      </c>
      <c r="O1118" s="46" t="s">
        <v>1311</v>
      </c>
      <c r="P1118" s="46" t="s">
        <v>1312</v>
      </c>
      <c r="Q1118" s="46" t="s">
        <v>31</v>
      </c>
      <c r="R1118" s="46" t="s">
        <v>31</v>
      </c>
      <c r="S1118" s="46" t="s">
        <v>31</v>
      </c>
      <c r="T1118" s="46" t="s">
        <v>31</v>
      </c>
      <c r="U1118" s="46" t="s">
        <v>49</v>
      </c>
    </row>
    <row r="1119" spans="1:21">
      <c r="A1119" s="46" t="s">
        <v>778</v>
      </c>
      <c r="B1119" s="46" t="s">
        <v>205</v>
      </c>
      <c r="C1119" s="46" t="s">
        <v>666</v>
      </c>
      <c r="D1119" s="46">
        <v>1</v>
      </c>
      <c r="E1119" s="46">
        <v>0</v>
      </c>
      <c r="F1119" s="46" t="s">
        <v>755</v>
      </c>
      <c r="G1119" s="46" t="s">
        <v>1305</v>
      </c>
      <c r="H1119" s="46" t="s">
        <v>3560</v>
      </c>
      <c r="I1119" s="46" t="str">
        <f ca="1">IFERROR(__xludf.DUMMYFUNCTION("CONCAT(A1119,REGEXREPLACE(H1119,"".*_L0"",""_L0""))"),"ILB_BN1836_MTG_snRNAseq_rep1_L004_I2_001.fastq.gz")</f>
        <v>ILB_BN1836_MTG_snRNAseq_rep1_L004_I2_001.fastq.gz</v>
      </c>
      <c r="J1119" s="46" t="str">
        <f t="shared" si="4"/>
        <v>/data/neurogen/ASAP/scRNAseq/data/batch21_ASAP_snRNA-seq_*/Raw_Data_and_Processing/cellranger_processing/cellranger_fastqs/outs/fastq_path/H*/BN1836_S3_L004_I2_001.fastq.gz</v>
      </c>
      <c r="K1119" s="46" t="s">
        <v>1350</v>
      </c>
      <c r="L1119" s="46" t="s">
        <v>3561</v>
      </c>
      <c r="M1119" s="46" t="s">
        <v>1309</v>
      </c>
      <c r="N1119" s="46" t="s">
        <v>1310</v>
      </c>
      <c r="O1119" s="46" t="s">
        <v>1311</v>
      </c>
      <c r="P1119" s="46" t="s">
        <v>1312</v>
      </c>
      <c r="Q1119" s="46" t="s">
        <v>31</v>
      </c>
      <c r="R1119" s="46" t="s">
        <v>31</v>
      </c>
      <c r="S1119" s="46" t="s">
        <v>31</v>
      </c>
      <c r="T1119" s="46" t="s">
        <v>31</v>
      </c>
      <c r="U1119" s="46" t="s">
        <v>49</v>
      </c>
    </row>
    <row r="1120" spans="1:21">
      <c r="A1120" s="46" t="s">
        <v>778</v>
      </c>
      <c r="B1120" s="46" t="s">
        <v>205</v>
      </c>
      <c r="C1120" s="46" t="s">
        <v>666</v>
      </c>
      <c r="D1120" s="46">
        <v>1</v>
      </c>
      <c r="E1120" s="46">
        <v>0</v>
      </c>
      <c r="F1120" s="46" t="s">
        <v>755</v>
      </c>
      <c r="G1120" s="46" t="s">
        <v>1305</v>
      </c>
      <c r="H1120" s="46" t="s">
        <v>3562</v>
      </c>
      <c r="I1120" s="46" t="str">
        <f ca="1">IFERROR(__xludf.DUMMYFUNCTION("CONCAT(A1120,REGEXREPLACE(H1120,"".*_L0"",""_L0""))"),"ILB_BN1836_MTG_snRNAseq_rep1_L004_R1_001.fastq.gz")</f>
        <v>ILB_BN1836_MTG_snRNAseq_rep1_L004_R1_001.fastq.gz</v>
      </c>
      <c r="J1120" s="46" t="str">
        <f t="shared" si="4"/>
        <v>/data/neurogen/ASAP/scRNAseq/data/batch21_ASAP_snRNA-seq_*/Raw_Data_and_Processing/cellranger_processing/cellranger_fastqs/outs/fastq_path/H*/BN1836_S3_L004_R1_001.fastq.gz</v>
      </c>
      <c r="K1120" s="46" t="s">
        <v>1353</v>
      </c>
      <c r="L1120" s="46" t="s">
        <v>3563</v>
      </c>
      <c r="M1120" s="46" t="s">
        <v>1309</v>
      </c>
      <c r="N1120" s="46" t="s">
        <v>1310</v>
      </c>
      <c r="O1120" s="46" t="s">
        <v>1311</v>
      </c>
      <c r="P1120" s="46" t="s">
        <v>1312</v>
      </c>
      <c r="Q1120" s="46" t="s">
        <v>31</v>
      </c>
      <c r="R1120" s="46" t="s">
        <v>31</v>
      </c>
      <c r="S1120" s="46" t="s">
        <v>31</v>
      </c>
      <c r="T1120" s="46" t="s">
        <v>31</v>
      </c>
      <c r="U1120" s="46" t="s">
        <v>49</v>
      </c>
    </row>
    <row r="1121" spans="1:21">
      <c r="A1121" s="46" t="s">
        <v>778</v>
      </c>
      <c r="B1121" s="46" t="s">
        <v>205</v>
      </c>
      <c r="C1121" s="46" t="s">
        <v>666</v>
      </c>
      <c r="D1121" s="46">
        <v>1</v>
      </c>
      <c r="E1121" s="46">
        <v>0</v>
      </c>
      <c r="F1121" s="46" t="s">
        <v>755</v>
      </c>
      <c r="G1121" s="46" t="s">
        <v>1305</v>
      </c>
      <c r="H1121" s="46" t="s">
        <v>3564</v>
      </c>
      <c r="I1121" s="46" t="str">
        <f ca="1">IFERROR(__xludf.DUMMYFUNCTION("CONCAT(A1121,REGEXREPLACE(H1121,"".*_L0"",""_L0""))"),"ILB_BN1836_MTG_snRNAseq_rep1_L004_R2_001.fastq.gz")</f>
        <v>ILB_BN1836_MTG_snRNAseq_rep1_L004_R2_001.fastq.gz</v>
      </c>
      <c r="J1121" s="46" t="str">
        <f t="shared" si="4"/>
        <v>/data/neurogen/ASAP/scRNAseq/data/batch21_ASAP_snRNA-seq_*/Raw_Data_and_Processing/cellranger_processing/cellranger_fastqs/outs/fastq_path/H*/BN1836_S3_L004_R2_001.fastq.gz</v>
      </c>
      <c r="K1121" s="46" t="s">
        <v>1356</v>
      </c>
      <c r="L1121" s="46" t="s">
        <v>3565</v>
      </c>
      <c r="M1121" s="46" t="s">
        <v>1309</v>
      </c>
      <c r="N1121" s="46" t="s">
        <v>1310</v>
      </c>
      <c r="O1121" s="46" t="s">
        <v>1311</v>
      </c>
      <c r="P1121" s="46" t="s">
        <v>1312</v>
      </c>
      <c r="Q1121" s="46" t="s">
        <v>31</v>
      </c>
      <c r="R1121" s="46" t="s">
        <v>31</v>
      </c>
      <c r="S1121" s="46" t="s">
        <v>31</v>
      </c>
      <c r="T1121" s="46" t="s">
        <v>31</v>
      </c>
      <c r="U1121" s="46" t="s">
        <v>49</v>
      </c>
    </row>
    <row r="1122" spans="1:21">
      <c r="A1122" s="46" t="s">
        <v>770</v>
      </c>
      <c r="B1122" s="46" t="s">
        <v>195</v>
      </c>
      <c r="C1122" s="46" t="s">
        <v>666</v>
      </c>
      <c r="D1122" s="46">
        <v>1</v>
      </c>
      <c r="E1122" s="46">
        <v>0</v>
      </c>
      <c r="F1122" s="46" t="s">
        <v>771</v>
      </c>
      <c r="G1122" s="46" t="s">
        <v>1305</v>
      </c>
      <c r="H1122" s="46" t="s">
        <v>3566</v>
      </c>
      <c r="I1122" s="46" t="str">
        <f ca="1">IFERROR(__xludf.DUMMYFUNCTION("CONCAT(A1122,REGEXREPLACE(H1122,"".*_L0"",""_L0""))"),"PD_BN1814_MTG_snRNAseq_rep1_L001_I1_001.fastq.gz")</f>
        <v>PD_BN1814_MTG_snRNAseq_rep1_L001_I1_001.fastq.gz</v>
      </c>
      <c r="J1122" s="46" t="str">
        <f t="shared" si="4"/>
        <v>/data/neurogen/ASAP/scRNAseq/data/batch22_ASAP_snRNA-seq_*/Raw_Data_and_Processing/cellranger_processing/cellranger_fastqs/outs/fastq_path/H*/BN1814_S1_L001_I1_001.fastq.gz</v>
      </c>
      <c r="K1122" s="46" t="s">
        <v>1307</v>
      </c>
      <c r="L1122" s="46" t="s">
        <v>3567</v>
      </c>
      <c r="M1122" s="46" t="s">
        <v>1309</v>
      </c>
      <c r="N1122" s="46" t="s">
        <v>1310</v>
      </c>
      <c r="O1122" s="46" t="s">
        <v>1311</v>
      </c>
      <c r="P1122" s="46" t="s">
        <v>1312</v>
      </c>
      <c r="Q1122" s="46" t="s">
        <v>31</v>
      </c>
      <c r="R1122" s="46" t="s">
        <v>31</v>
      </c>
      <c r="S1122" s="46" t="s">
        <v>31</v>
      </c>
      <c r="T1122" s="46" t="s">
        <v>31</v>
      </c>
      <c r="U1122" s="46" t="s">
        <v>49</v>
      </c>
    </row>
    <row r="1123" spans="1:21">
      <c r="A1123" s="46" t="s">
        <v>770</v>
      </c>
      <c r="B1123" s="46" t="s">
        <v>195</v>
      </c>
      <c r="C1123" s="46" t="s">
        <v>666</v>
      </c>
      <c r="D1123" s="46">
        <v>1</v>
      </c>
      <c r="E1123" s="46">
        <v>0</v>
      </c>
      <c r="F1123" s="46" t="s">
        <v>771</v>
      </c>
      <c r="G1123" s="46" t="s">
        <v>1305</v>
      </c>
      <c r="H1123" s="46" t="s">
        <v>3568</v>
      </c>
      <c r="I1123" s="46" t="str">
        <f ca="1">IFERROR(__xludf.DUMMYFUNCTION("CONCAT(A1123,REGEXREPLACE(H1123,"".*_L0"",""_L0""))"),"PD_BN1814_MTG_snRNAseq_rep1_L001_I2_001.fastq.gz")</f>
        <v>PD_BN1814_MTG_snRNAseq_rep1_L001_I2_001.fastq.gz</v>
      </c>
      <c r="J1123" s="46" t="str">
        <f t="shared" si="4"/>
        <v>/data/neurogen/ASAP/scRNAseq/data/batch22_ASAP_snRNA-seq_*/Raw_Data_and_Processing/cellranger_processing/cellranger_fastqs/outs/fastq_path/H*/BN1814_S1_L001_I2_001.fastq.gz</v>
      </c>
      <c r="K1123" s="46" t="s">
        <v>1314</v>
      </c>
      <c r="L1123" s="46" t="s">
        <v>3569</v>
      </c>
      <c r="M1123" s="46" t="s">
        <v>1309</v>
      </c>
      <c r="N1123" s="46" t="s">
        <v>1310</v>
      </c>
      <c r="O1123" s="46" t="s">
        <v>1311</v>
      </c>
      <c r="P1123" s="46" t="s">
        <v>1312</v>
      </c>
      <c r="Q1123" s="46" t="s">
        <v>31</v>
      </c>
      <c r="R1123" s="46" t="s">
        <v>31</v>
      </c>
      <c r="S1123" s="46" t="s">
        <v>31</v>
      </c>
      <c r="T1123" s="46" t="s">
        <v>31</v>
      </c>
      <c r="U1123" s="46" t="s">
        <v>49</v>
      </c>
    </row>
    <row r="1124" spans="1:21">
      <c r="A1124" s="46" t="s">
        <v>770</v>
      </c>
      <c r="B1124" s="46" t="s">
        <v>195</v>
      </c>
      <c r="C1124" s="46" t="s">
        <v>666</v>
      </c>
      <c r="D1124" s="46">
        <v>1</v>
      </c>
      <c r="E1124" s="46">
        <v>0</v>
      </c>
      <c r="F1124" s="46" t="s">
        <v>771</v>
      </c>
      <c r="G1124" s="46" t="s">
        <v>1305</v>
      </c>
      <c r="H1124" s="46" t="s">
        <v>3570</v>
      </c>
      <c r="I1124" s="46" t="str">
        <f ca="1">IFERROR(__xludf.DUMMYFUNCTION("CONCAT(A1124,REGEXREPLACE(H1124,"".*_L0"",""_L0""))"),"PD_BN1814_MTG_snRNAseq_rep1_L001_R1_001.fastq.gz")</f>
        <v>PD_BN1814_MTG_snRNAseq_rep1_L001_R1_001.fastq.gz</v>
      </c>
      <c r="J1124" s="46" t="str">
        <f t="shared" si="4"/>
        <v>/data/neurogen/ASAP/scRNAseq/data/batch22_ASAP_snRNA-seq_*/Raw_Data_and_Processing/cellranger_processing/cellranger_fastqs/outs/fastq_path/H*/BN1814_S1_L001_R1_001.fastq.gz</v>
      </c>
      <c r="K1124" s="46" t="s">
        <v>1317</v>
      </c>
      <c r="L1124" s="46" t="s">
        <v>3571</v>
      </c>
      <c r="M1124" s="46" t="s">
        <v>1309</v>
      </c>
      <c r="N1124" s="46" t="s">
        <v>1310</v>
      </c>
      <c r="O1124" s="46" t="s">
        <v>1311</v>
      </c>
      <c r="P1124" s="46" t="s">
        <v>1312</v>
      </c>
      <c r="Q1124" s="46" t="s">
        <v>31</v>
      </c>
      <c r="R1124" s="46" t="s">
        <v>31</v>
      </c>
      <c r="S1124" s="46" t="s">
        <v>31</v>
      </c>
      <c r="T1124" s="46" t="s">
        <v>31</v>
      </c>
      <c r="U1124" s="46" t="s">
        <v>49</v>
      </c>
    </row>
    <row r="1125" spans="1:21">
      <c r="A1125" s="46" t="s">
        <v>770</v>
      </c>
      <c r="B1125" s="46" t="s">
        <v>195</v>
      </c>
      <c r="C1125" s="46" t="s">
        <v>666</v>
      </c>
      <c r="D1125" s="46">
        <v>1</v>
      </c>
      <c r="E1125" s="46">
        <v>0</v>
      </c>
      <c r="F1125" s="46" t="s">
        <v>771</v>
      </c>
      <c r="G1125" s="46" t="s">
        <v>1305</v>
      </c>
      <c r="H1125" s="46" t="s">
        <v>3572</v>
      </c>
      <c r="I1125" s="46" t="str">
        <f ca="1">IFERROR(__xludf.DUMMYFUNCTION("CONCAT(A1125,REGEXREPLACE(H1125,"".*_L0"",""_L0""))"),"PD_BN1814_MTG_snRNAseq_rep1_L001_R2_001.fastq.gz")</f>
        <v>PD_BN1814_MTG_snRNAseq_rep1_L001_R2_001.fastq.gz</v>
      </c>
      <c r="J1125" s="46" t="str">
        <f t="shared" si="4"/>
        <v>/data/neurogen/ASAP/scRNAseq/data/batch22_ASAP_snRNA-seq_*/Raw_Data_and_Processing/cellranger_processing/cellranger_fastqs/outs/fastq_path/H*/BN1814_S1_L001_R2_001.fastq.gz</v>
      </c>
      <c r="K1125" s="46" t="s">
        <v>1320</v>
      </c>
      <c r="L1125" s="46" t="s">
        <v>3573</v>
      </c>
      <c r="M1125" s="46" t="s">
        <v>1309</v>
      </c>
      <c r="N1125" s="46" t="s">
        <v>1310</v>
      </c>
      <c r="O1125" s="46" t="s">
        <v>1311</v>
      </c>
      <c r="P1125" s="46" t="s">
        <v>1312</v>
      </c>
      <c r="Q1125" s="46" t="s">
        <v>31</v>
      </c>
      <c r="R1125" s="46" t="s">
        <v>31</v>
      </c>
      <c r="S1125" s="46" t="s">
        <v>31</v>
      </c>
      <c r="T1125" s="46" t="s">
        <v>31</v>
      </c>
      <c r="U1125" s="46" t="s">
        <v>49</v>
      </c>
    </row>
    <row r="1126" spans="1:21">
      <c r="A1126" s="46" t="s">
        <v>770</v>
      </c>
      <c r="B1126" s="46" t="s">
        <v>195</v>
      </c>
      <c r="C1126" s="46" t="s">
        <v>666</v>
      </c>
      <c r="D1126" s="46">
        <v>1</v>
      </c>
      <c r="E1126" s="46">
        <v>0</v>
      </c>
      <c r="F1126" s="46" t="s">
        <v>771</v>
      </c>
      <c r="G1126" s="46" t="s">
        <v>1305</v>
      </c>
      <c r="H1126" s="46" t="s">
        <v>3574</v>
      </c>
      <c r="I1126" s="46" t="str">
        <f ca="1">IFERROR(__xludf.DUMMYFUNCTION("CONCAT(A1126,REGEXREPLACE(H1126,"".*_L0"",""_L0""))"),"PD_BN1814_MTG_snRNAseq_rep1_L002_I1_001.fastq.gz")</f>
        <v>PD_BN1814_MTG_snRNAseq_rep1_L002_I1_001.fastq.gz</v>
      </c>
      <c r="J1126" s="46" t="str">
        <f t="shared" si="4"/>
        <v>/data/neurogen/ASAP/scRNAseq/data/batch22_ASAP_snRNA-seq_*/Raw_Data_and_Processing/cellranger_processing/cellranger_fastqs/outs/fastq_path/H*/BN1814_S1_L002_I1_001.fastq.gz</v>
      </c>
      <c r="K1126" s="46" t="s">
        <v>1323</v>
      </c>
      <c r="L1126" s="46" t="s">
        <v>3575</v>
      </c>
      <c r="M1126" s="46" t="s">
        <v>1309</v>
      </c>
      <c r="N1126" s="46" t="s">
        <v>1310</v>
      </c>
      <c r="O1126" s="46" t="s">
        <v>1311</v>
      </c>
      <c r="P1126" s="46" t="s">
        <v>1312</v>
      </c>
      <c r="Q1126" s="46" t="s">
        <v>31</v>
      </c>
      <c r="R1126" s="46" t="s">
        <v>31</v>
      </c>
      <c r="S1126" s="46" t="s">
        <v>31</v>
      </c>
      <c r="T1126" s="46" t="s">
        <v>31</v>
      </c>
      <c r="U1126" s="46" t="s">
        <v>49</v>
      </c>
    </row>
    <row r="1127" spans="1:21">
      <c r="A1127" s="46" t="s">
        <v>770</v>
      </c>
      <c r="B1127" s="46" t="s">
        <v>195</v>
      </c>
      <c r="C1127" s="46" t="s">
        <v>666</v>
      </c>
      <c r="D1127" s="46">
        <v>1</v>
      </c>
      <c r="E1127" s="46">
        <v>0</v>
      </c>
      <c r="F1127" s="46" t="s">
        <v>771</v>
      </c>
      <c r="G1127" s="46" t="s">
        <v>1305</v>
      </c>
      <c r="H1127" s="46" t="s">
        <v>3576</v>
      </c>
      <c r="I1127" s="46" t="str">
        <f ca="1">IFERROR(__xludf.DUMMYFUNCTION("CONCAT(A1127,REGEXREPLACE(H1127,"".*_L0"",""_L0""))"),"PD_BN1814_MTG_snRNAseq_rep1_L002_I2_001.fastq.gz")</f>
        <v>PD_BN1814_MTG_snRNAseq_rep1_L002_I2_001.fastq.gz</v>
      </c>
      <c r="J1127" s="46" t="str">
        <f t="shared" si="4"/>
        <v>/data/neurogen/ASAP/scRNAseq/data/batch22_ASAP_snRNA-seq_*/Raw_Data_and_Processing/cellranger_processing/cellranger_fastqs/outs/fastq_path/H*/BN1814_S1_L002_I2_001.fastq.gz</v>
      </c>
      <c r="K1127" s="46" t="s">
        <v>1326</v>
      </c>
      <c r="L1127" s="46" t="s">
        <v>3577</v>
      </c>
      <c r="M1127" s="46" t="s">
        <v>1309</v>
      </c>
      <c r="N1127" s="46" t="s">
        <v>1310</v>
      </c>
      <c r="O1127" s="46" t="s">
        <v>1311</v>
      </c>
      <c r="P1127" s="46" t="s">
        <v>1312</v>
      </c>
      <c r="Q1127" s="46" t="s">
        <v>31</v>
      </c>
      <c r="R1127" s="46" t="s">
        <v>31</v>
      </c>
      <c r="S1127" s="46" t="s">
        <v>31</v>
      </c>
      <c r="T1127" s="46" t="s">
        <v>31</v>
      </c>
      <c r="U1127" s="46" t="s">
        <v>49</v>
      </c>
    </row>
    <row r="1128" spans="1:21">
      <c r="A1128" s="46" t="s">
        <v>770</v>
      </c>
      <c r="B1128" s="46" t="s">
        <v>195</v>
      </c>
      <c r="C1128" s="46" t="s">
        <v>666</v>
      </c>
      <c r="D1128" s="46">
        <v>1</v>
      </c>
      <c r="E1128" s="46">
        <v>0</v>
      </c>
      <c r="F1128" s="46" t="s">
        <v>771</v>
      </c>
      <c r="G1128" s="46" t="s">
        <v>1305</v>
      </c>
      <c r="H1128" s="46" t="s">
        <v>3578</v>
      </c>
      <c r="I1128" s="46" t="str">
        <f ca="1">IFERROR(__xludf.DUMMYFUNCTION("CONCAT(A1128,REGEXREPLACE(H1128,"".*_L0"",""_L0""))"),"PD_BN1814_MTG_snRNAseq_rep1_L002_R1_001.fastq.gz")</f>
        <v>PD_BN1814_MTG_snRNAseq_rep1_L002_R1_001.fastq.gz</v>
      </c>
      <c r="J1128" s="46" t="str">
        <f t="shared" si="4"/>
        <v>/data/neurogen/ASAP/scRNAseq/data/batch22_ASAP_snRNA-seq_*/Raw_Data_and_Processing/cellranger_processing/cellranger_fastqs/outs/fastq_path/H*/BN1814_S1_L002_R1_001.fastq.gz</v>
      </c>
      <c r="K1128" s="46" t="s">
        <v>1329</v>
      </c>
      <c r="L1128" s="46" t="s">
        <v>3579</v>
      </c>
      <c r="M1128" s="46" t="s">
        <v>1309</v>
      </c>
      <c r="N1128" s="46" t="s">
        <v>1310</v>
      </c>
      <c r="O1128" s="46" t="s">
        <v>1311</v>
      </c>
      <c r="P1128" s="46" t="s">
        <v>1312</v>
      </c>
      <c r="Q1128" s="46" t="s">
        <v>31</v>
      </c>
      <c r="R1128" s="46" t="s">
        <v>31</v>
      </c>
      <c r="S1128" s="46" t="s">
        <v>31</v>
      </c>
      <c r="T1128" s="46" t="s">
        <v>31</v>
      </c>
      <c r="U1128" s="46" t="s">
        <v>49</v>
      </c>
    </row>
    <row r="1129" spans="1:21">
      <c r="A1129" s="46" t="s">
        <v>770</v>
      </c>
      <c r="B1129" s="46" t="s">
        <v>195</v>
      </c>
      <c r="C1129" s="46" t="s">
        <v>666</v>
      </c>
      <c r="D1129" s="46">
        <v>1</v>
      </c>
      <c r="E1129" s="46">
        <v>0</v>
      </c>
      <c r="F1129" s="46" t="s">
        <v>771</v>
      </c>
      <c r="G1129" s="46" t="s">
        <v>1305</v>
      </c>
      <c r="H1129" s="46" t="s">
        <v>3580</v>
      </c>
      <c r="I1129" s="46" t="str">
        <f ca="1">IFERROR(__xludf.DUMMYFUNCTION("CONCAT(A1129,REGEXREPLACE(H1129,"".*_L0"",""_L0""))"),"PD_BN1814_MTG_snRNAseq_rep1_L002_R2_001.fastq.gz")</f>
        <v>PD_BN1814_MTG_snRNAseq_rep1_L002_R2_001.fastq.gz</v>
      </c>
      <c r="J1129" s="46" t="str">
        <f t="shared" si="4"/>
        <v>/data/neurogen/ASAP/scRNAseq/data/batch22_ASAP_snRNA-seq_*/Raw_Data_and_Processing/cellranger_processing/cellranger_fastqs/outs/fastq_path/H*/BN1814_S1_L002_R2_001.fastq.gz</v>
      </c>
      <c r="K1129" s="46" t="s">
        <v>1332</v>
      </c>
      <c r="L1129" s="46" t="s">
        <v>3581</v>
      </c>
      <c r="M1129" s="46" t="s">
        <v>1309</v>
      </c>
      <c r="N1129" s="46" t="s">
        <v>1310</v>
      </c>
      <c r="O1129" s="46" t="s">
        <v>1311</v>
      </c>
      <c r="P1129" s="46" t="s">
        <v>1312</v>
      </c>
      <c r="Q1129" s="46" t="s">
        <v>31</v>
      </c>
      <c r="R1129" s="46" t="s">
        <v>31</v>
      </c>
      <c r="S1129" s="46" t="s">
        <v>31</v>
      </c>
      <c r="T1129" s="46" t="s">
        <v>31</v>
      </c>
      <c r="U1129" s="46" t="s">
        <v>49</v>
      </c>
    </row>
    <row r="1130" spans="1:21">
      <c r="A1130" s="46" t="s">
        <v>770</v>
      </c>
      <c r="B1130" s="46" t="s">
        <v>195</v>
      </c>
      <c r="C1130" s="46" t="s">
        <v>666</v>
      </c>
      <c r="D1130" s="46">
        <v>1</v>
      </c>
      <c r="E1130" s="46">
        <v>0</v>
      </c>
      <c r="F1130" s="46" t="s">
        <v>771</v>
      </c>
      <c r="G1130" s="46" t="s">
        <v>1305</v>
      </c>
      <c r="H1130" s="46" t="s">
        <v>3582</v>
      </c>
      <c r="I1130" s="46" t="str">
        <f ca="1">IFERROR(__xludf.DUMMYFUNCTION("CONCAT(A1130,REGEXREPLACE(H1130,"".*_L0"",""_L0""))"),"PD_BN1814_MTG_snRNAseq_rep1_L003_I1_001.fastq.gz")</f>
        <v>PD_BN1814_MTG_snRNAseq_rep1_L003_I1_001.fastq.gz</v>
      </c>
      <c r="J1130" s="46" t="str">
        <f t="shared" si="4"/>
        <v>/data/neurogen/ASAP/scRNAseq/data/batch22_ASAP_snRNA-seq_*/Raw_Data_and_Processing/cellranger_processing/cellranger_fastqs/outs/fastq_path/H*/BN1814_S1_L003_I1_001.fastq.gz</v>
      </c>
      <c r="K1130" s="46" t="s">
        <v>1335</v>
      </c>
      <c r="L1130" s="46" t="s">
        <v>3583</v>
      </c>
      <c r="M1130" s="46" t="s">
        <v>1309</v>
      </c>
      <c r="N1130" s="46" t="s">
        <v>1310</v>
      </c>
      <c r="O1130" s="46" t="s">
        <v>1311</v>
      </c>
      <c r="P1130" s="46" t="s">
        <v>1312</v>
      </c>
      <c r="Q1130" s="46" t="s">
        <v>31</v>
      </c>
      <c r="R1130" s="46" t="s">
        <v>31</v>
      </c>
      <c r="S1130" s="46" t="s">
        <v>31</v>
      </c>
      <c r="T1130" s="46" t="s">
        <v>31</v>
      </c>
      <c r="U1130" s="46" t="s">
        <v>49</v>
      </c>
    </row>
    <row r="1131" spans="1:21">
      <c r="A1131" s="46" t="s">
        <v>770</v>
      </c>
      <c r="B1131" s="46" t="s">
        <v>195</v>
      </c>
      <c r="C1131" s="46" t="s">
        <v>666</v>
      </c>
      <c r="D1131" s="46">
        <v>1</v>
      </c>
      <c r="E1131" s="46">
        <v>0</v>
      </c>
      <c r="F1131" s="46" t="s">
        <v>771</v>
      </c>
      <c r="G1131" s="46" t="s">
        <v>1305</v>
      </c>
      <c r="H1131" s="46" t="s">
        <v>3584</v>
      </c>
      <c r="I1131" s="46" t="str">
        <f ca="1">IFERROR(__xludf.DUMMYFUNCTION("CONCAT(A1131,REGEXREPLACE(H1131,"".*_L0"",""_L0""))"),"PD_BN1814_MTG_snRNAseq_rep1_L003_I2_001.fastq.gz")</f>
        <v>PD_BN1814_MTG_snRNAseq_rep1_L003_I2_001.fastq.gz</v>
      </c>
      <c r="J1131" s="46" t="str">
        <f t="shared" si="4"/>
        <v>/data/neurogen/ASAP/scRNAseq/data/batch22_ASAP_snRNA-seq_*/Raw_Data_and_Processing/cellranger_processing/cellranger_fastqs/outs/fastq_path/H*/BN1814_S1_L003_I2_001.fastq.gz</v>
      </c>
      <c r="K1131" s="46" t="s">
        <v>1338</v>
      </c>
      <c r="L1131" s="46" t="s">
        <v>3585</v>
      </c>
      <c r="M1131" s="46" t="s">
        <v>1309</v>
      </c>
      <c r="N1131" s="46" t="s">
        <v>1310</v>
      </c>
      <c r="O1131" s="46" t="s">
        <v>1311</v>
      </c>
      <c r="P1131" s="46" t="s">
        <v>1312</v>
      </c>
      <c r="Q1131" s="46" t="s">
        <v>31</v>
      </c>
      <c r="R1131" s="46" t="s">
        <v>31</v>
      </c>
      <c r="S1131" s="46" t="s">
        <v>31</v>
      </c>
      <c r="T1131" s="46" t="s">
        <v>31</v>
      </c>
      <c r="U1131" s="46" t="s">
        <v>49</v>
      </c>
    </row>
    <row r="1132" spans="1:21">
      <c r="A1132" s="46" t="s">
        <v>770</v>
      </c>
      <c r="B1132" s="46" t="s">
        <v>195</v>
      </c>
      <c r="C1132" s="46" t="s">
        <v>666</v>
      </c>
      <c r="D1132" s="46">
        <v>1</v>
      </c>
      <c r="E1132" s="46">
        <v>0</v>
      </c>
      <c r="F1132" s="46" t="s">
        <v>771</v>
      </c>
      <c r="G1132" s="46" t="s">
        <v>1305</v>
      </c>
      <c r="H1132" s="46" t="s">
        <v>3586</v>
      </c>
      <c r="I1132" s="46" t="str">
        <f ca="1">IFERROR(__xludf.DUMMYFUNCTION("CONCAT(A1132,REGEXREPLACE(H1132,"".*_L0"",""_L0""))"),"PD_BN1814_MTG_snRNAseq_rep1_L003_R1_001.fastq.gz")</f>
        <v>PD_BN1814_MTG_snRNAseq_rep1_L003_R1_001.fastq.gz</v>
      </c>
      <c r="J1132" s="46" t="str">
        <f t="shared" si="4"/>
        <v>/data/neurogen/ASAP/scRNAseq/data/batch22_ASAP_snRNA-seq_*/Raw_Data_and_Processing/cellranger_processing/cellranger_fastqs/outs/fastq_path/H*/BN1814_S1_L003_R1_001.fastq.gz</v>
      </c>
      <c r="K1132" s="46" t="s">
        <v>1341</v>
      </c>
      <c r="L1132" s="46" t="s">
        <v>3587</v>
      </c>
      <c r="M1132" s="46" t="s">
        <v>1309</v>
      </c>
      <c r="N1132" s="46" t="s">
        <v>1310</v>
      </c>
      <c r="O1132" s="46" t="s">
        <v>1311</v>
      </c>
      <c r="P1132" s="46" t="s">
        <v>1312</v>
      </c>
      <c r="Q1132" s="46" t="s">
        <v>31</v>
      </c>
      <c r="R1132" s="46" t="s">
        <v>31</v>
      </c>
      <c r="S1132" s="46" t="s">
        <v>31</v>
      </c>
      <c r="T1132" s="46" t="s">
        <v>31</v>
      </c>
      <c r="U1132" s="46" t="s">
        <v>49</v>
      </c>
    </row>
    <row r="1133" spans="1:21">
      <c r="A1133" s="46" t="s">
        <v>770</v>
      </c>
      <c r="B1133" s="46" t="s">
        <v>195</v>
      </c>
      <c r="C1133" s="46" t="s">
        <v>666</v>
      </c>
      <c r="D1133" s="46">
        <v>1</v>
      </c>
      <c r="E1133" s="46">
        <v>0</v>
      </c>
      <c r="F1133" s="46" t="s">
        <v>771</v>
      </c>
      <c r="G1133" s="46" t="s">
        <v>1305</v>
      </c>
      <c r="H1133" s="46" t="s">
        <v>3588</v>
      </c>
      <c r="I1133" s="46" t="str">
        <f ca="1">IFERROR(__xludf.DUMMYFUNCTION("CONCAT(A1133,REGEXREPLACE(H1133,"".*_L0"",""_L0""))"),"PD_BN1814_MTG_snRNAseq_rep1_L003_R2_001.fastq.gz")</f>
        <v>PD_BN1814_MTG_snRNAseq_rep1_L003_R2_001.fastq.gz</v>
      </c>
      <c r="J1133" s="46" t="str">
        <f t="shared" si="4"/>
        <v>/data/neurogen/ASAP/scRNAseq/data/batch22_ASAP_snRNA-seq_*/Raw_Data_and_Processing/cellranger_processing/cellranger_fastqs/outs/fastq_path/H*/BN1814_S1_L003_R2_001.fastq.gz</v>
      </c>
      <c r="K1133" s="46" t="s">
        <v>1344</v>
      </c>
      <c r="L1133" s="46" t="s">
        <v>3589</v>
      </c>
      <c r="M1133" s="46" t="s">
        <v>1309</v>
      </c>
      <c r="N1133" s="46" t="s">
        <v>1310</v>
      </c>
      <c r="O1133" s="46" t="s">
        <v>1311</v>
      </c>
      <c r="P1133" s="46" t="s">
        <v>1312</v>
      </c>
      <c r="Q1133" s="46" t="s">
        <v>31</v>
      </c>
      <c r="R1133" s="46" t="s">
        <v>31</v>
      </c>
      <c r="S1133" s="46" t="s">
        <v>31</v>
      </c>
      <c r="T1133" s="46" t="s">
        <v>31</v>
      </c>
      <c r="U1133" s="46" t="s">
        <v>49</v>
      </c>
    </row>
    <row r="1134" spans="1:21">
      <c r="A1134" s="46" t="s">
        <v>770</v>
      </c>
      <c r="B1134" s="46" t="s">
        <v>195</v>
      </c>
      <c r="C1134" s="46" t="s">
        <v>666</v>
      </c>
      <c r="D1134" s="46">
        <v>1</v>
      </c>
      <c r="E1134" s="46">
        <v>0</v>
      </c>
      <c r="F1134" s="46" t="s">
        <v>771</v>
      </c>
      <c r="G1134" s="46" t="s">
        <v>1305</v>
      </c>
      <c r="H1134" s="46" t="s">
        <v>3590</v>
      </c>
      <c r="I1134" s="46" t="str">
        <f ca="1">IFERROR(__xludf.DUMMYFUNCTION("CONCAT(A1134,REGEXREPLACE(H1134,"".*_L0"",""_L0""))"),"PD_BN1814_MTG_snRNAseq_rep1_L004_I1_001.fastq.gz")</f>
        <v>PD_BN1814_MTG_snRNAseq_rep1_L004_I1_001.fastq.gz</v>
      </c>
      <c r="J1134" s="46" t="str">
        <f t="shared" si="4"/>
        <v>/data/neurogen/ASAP/scRNAseq/data/batch22_ASAP_snRNA-seq_*/Raw_Data_and_Processing/cellranger_processing/cellranger_fastqs/outs/fastq_path/H*/BN1814_S1_L004_I1_001.fastq.gz</v>
      </c>
      <c r="K1134" s="46" t="s">
        <v>1347</v>
      </c>
      <c r="L1134" s="46" t="s">
        <v>3591</v>
      </c>
      <c r="M1134" s="46" t="s">
        <v>1309</v>
      </c>
      <c r="N1134" s="46" t="s">
        <v>1310</v>
      </c>
      <c r="O1134" s="46" t="s">
        <v>1311</v>
      </c>
      <c r="P1134" s="46" t="s">
        <v>1312</v>
      </c>
      <c r="Q1134" s="46" t="s">
        <v>31</v>
      </c>
      <c r="R1134" s="46" t="s">
        <v>31</v>
      </c>
      <c r="S1134" s="46" t="s">
        <v>31</v>
      </c>
      <c r="T1134" s="46" t="s">
        <v>31</v>
      </c>
      <c r="U1134" s="46" t="s">
        <v>49</v>
      </c>
    </row>
    <row r="1135" spans="1:21">
      <c r="A1135" s="46" t="s">
        <v>770</v>
      </c>
      <c r="B1135" s="46" t="s">
        <v>195</v>
      </c>
      <c r="C1135" s="46" t="s">
        <v>666</v>
      </c>
      <c r="D1135" s="46">
        <v>1</v>
      </c>
      <c r="E1135" s="46">
        <v>0</v>
      </c>
      <c r="F1135" s="46" t="s">
        <v>771</v>
      </c>
      <c r="G1135" s="46" t="s">
        <v>1305</v>
      </c>
      <c r="H1135" s="46" t="s">
        <v>3592</v>
      </c>
      <c r="I1135" s="46" t="str">
        <f ca="1">IFERROR(__xludf.DUMMYFUNCTION("CONCAT(A1135,REGEXREPLACE(H1135,"".*_L0"",""_L0""))"),"PD_BN1814_MTG_snRNAseq_rep1_L004_I2_001.fastq.gz")</f>
        <v>PD_BN1814_MTG_snRNAseq_rep1_L004_I2_001.fastq.gz</v>
      </c>
      <c r="J1135" s="46" t="str">
        <f t="shared" si="4"/>
        <v>/data/neurogen/ASAP/scRNAseq/data/batch22_ASAP_snRNA-seq_*/Raw_Data_and_Processing/cellranger_processing/cellranger_fastqs/outs/fastq_path/H*/BN1814_S1_L004_I2_001.fastq.gz</v>
      </c>
      <c r="K1135" s="46" t="s">
        <v>1350</v>
      </c>
      <c r="L1135" s="46" t="s">
        <v>3593</v>
      </c>
      <c r="M1135" s="46" t="s">
        <v>1309</v>
      </c>
      <c r="N1135" s="46" t="s">
        <v>1310</v>
      </c>
      <c r="O1135" s="46" t="s">
        <v>1311</v>
      </c>
      <c r="P1135" s="46" t="s">
        <v>1312</v>
      </c>
      <c r="Q1135" s="46" t="s">
        <v>31</v>
      </c>
      <c r="R1135" s="46" t="s">
        <v>31</v>
      </c>
      <c r="S1135" s="46" t="s">
        <v>31</v>
      </c>
      <c r="T1135" s="46" t="s">
        <v>31</v>
      </c>
      <c r="U1135" s="46" t="s">
        <v>49</v>
      </c>
    </row>
    <row r="1136" spans="1:21">
      <c r="A1136" s="46" t="s">
        <v>770</v>
      </c>
      <c r="B1136" s="46" t="s">
        <v>195</v>
      </c>
      <c r="C1136" s="46" t="s">
        <v>666</v>
      </c>
      <c r="D1136" s="46">
        <v>1</v>
      </c>
      <c r="E1136" s="46">
        <v>0</v>
      </c>
      <c r="F1136" s="46" t="s">
        <v>771</v>
      </c>
      <c r="G1136" s="46" t="s">
        <v>1305</v>
      </c>
      <c r="H1136" s="46" t="s">
        <v>3594</v>
      </c>
      <c r="I1136" s="46" t="str">
        <f ca="1">IFERROR(__xludf.DUMMYFUNCTION("CONCAT(A1136,REGEXREPLACE(H1136,"".*_L0"",""_L0""))"),"PD_BN1814_MTG_snRNAseq_rep1_L004_R1_001.fastq.gz")</f>
        <v>PD_BN1814_MTG_snRNAseq_rep1_L004_R1_001.fastq.gz</v>
      </c>
      <c r="J1136" s="46" t="str">
        <f t="shared" si="4"/>
        <v>/data/neurogen/ASAP/scRNAseq/data/batch22_ASAP_snRNA-seq_*/Raw_Data_and_Processing/cellranger_processing/cellranger_fastqs/outs/fastq_path/H*/BN1814_S1_L004_R1_001.fastq.gz</v>
      </c>
      <c r="K1136" s="46" t="s">
        <v>1353</v>
      </c>
      <c r="L1136" s="46" t="s">
        <v>3595</v>
      </c>
      <c r="M1136" s="46" t="s">
        <v>1309</v>
      </c>
      <c r="N1136" s="46" t="s">
        <v>1310</v>
      </c>
      <c r="O1136" s="46" t="s">
        <v>1311</v>
      </c>
      <c r="P1136" s="46" t="s">
        <v>1312</v>
      </c>
      <c r="Q1136" s="46" t="s">
        <v>31</v>
      </c>
      <c r="R1136" s="46" t="s">
        <v>31</v>
      </c>
      <c r="S1136" s="46" t="s">
        <v>31</v>
      </c>
      <c r="T1136" s="46" t="s">
        <v>31</v>
      </c>
      <c r="U1136" s="46" t="s">
        <v>49</v>
      </c>
    </row>
    <row r="1137" spans="1:21">
      <c r="A1137" s="46" t="s">
        <v>770</v>
      </c>
      <c r="B1137" s="46" t="s">
        <v>195</v>
      </c>
      <c r="C1137" s="46" t="s">
        <v>666</v>
      </c>
      <c r="D1137" s="46">
        <v>1</v>
      </c>
      <c r="E1137" s="46">
        <v>0</v>
      </c>
      <c r="F1137" s="46" t="s">
        <v>771</v>
      </c>
      <c r="G1137" s="46" t="s">
        <v>1305</v>
      </c>
      <c r="H1137" s="46" t="s">
        <v>3596</v>
      </c>
      <c r="I1137" s="46" t="str">
        <f ca="1">IFERROR(__xludf.DUMMYFUNCTION("CONCAT(A1137,REGEXREPLACE(H1137,"".*_L0"",""_L0""))"),"PD_BN1814_MTG_snRNAseq_rep1_L004_R2_001.fastq.gz")</f>
        <v>PD_BN1814_MTG_snRNAseq_rep1_L004_R2_001.fastq.gz</v>
      </c>
      <c r="J1137" s="46" t="str">
        <f t="shared" si="4"/>
        <v>/data/neurogen/ASAP/scRNAseq/data/batch22_ASAP_snRNA-seq_*/Raw_Data_and_Processing/cellranger_processing/cellranger_fastqs/outs/fastq_path/H*/BN1814_S1_L004_R2_001.fastq.gz</v>
      </c>
      <c r="K1137" s="46" t="s">
        <v>1356</v>
      </c>
      <c r="L1137" s="46" t="s">
        <v>3597</v>
      </c>
      <c r="M1137" s="46" t="s">
        <v>1309</v>
      </c>
      <c r="N1137" s="46" t="s">
        <v>1310</v>
      </c>
      <c r="O1137" s="46" t="s">
        <v>1311</v>
      </c>
      <c r="P1137" s="46" t="s">
        <v>1312</v>
      </c>
      <c r="Q1137" s="46" t="s">
        <v>31</v>
      </c>
      <c r="R1137" s="46" t="s">
        <v>31</v>
      </c>
      <c r="S1137" s="46" t="s">
        <v>31</v>
      </c>
      <c r="T1137" s="46" t="s">
        <v>31</v>
      </c>
      <c r="U1137" s="46" t="s">
        <v>49</v>
      </c>
    </row>
    <row r="1138" spans="1:21">
      <c r="A1138" s="46" t="s">
        <v>782</v>
      </c>
      <c r="B1138" s="46" t="s">
        <v>211</v>
      </c>
      <c r="C1138" s="46" t="s">
        <v>666</v>
      </c>
      <c r="D1138" s="46">
        <v>1</v>
      </c>
      <c r="E1138" s="46">
        <v>0</v>
      </c>
      <c r="F1138" s="46" t="s">
        <v>771</v>
      </c>
      <c r="G1138" s="46" t="s">
        <v>1305</v>
      </c>
      <c r="H1138" s="46" t="s">
        <v>3598</v>
      </c>
      <c r="I1138" s="46" t="str">
        <f ca="1">IFERROR(__xludf.DUMMYFUNCTION("CONCAT(A1138,REGEXREPLACE(H1138,"".*_L0"",""_L0""))"),"ILB_BN1848_MTG_snRNAseq_rep1_L001_I1_001.fastq.gz")</f>
        <v>ILB_BN1848_MTG_snRNAseq_rep1_L001_I1_001.fastq.gz</v>
      </c>
      <c r="J1138" s="46" t="str">
        <f t="shared" si="4"/>
        <v>/data/neurogen/ASAP/scRNAseq/data/batch22_ASAP_snRNA-seq_*/Raw_Data_and_Processing/cellranger_processing/cellranger_fastqs/outs/fastq_path/H*/BN1848_S2_L001_I1_001.fastq.gz</v>
      </c>
      <c r="K1138" s="46" t="s">
        <v>1307</v>
      </c>
      <c r="L1138" s="46" t="s">
        <v>3599</v>
      </c>
      <c r="M1138" s="46" t="s">
        <v>1309</v>
      </c>
      <c r="N1138" s="46" t="s">
        <v>1310</v>
      </c>
      <c r="O1138" s="46" t="s">
        <v>1311</v>
      </c>
      <c r="P1138" s="46" t="s">
        <v>1312</v>
      </c>
      <c r="Q1138" s="46" t="s">
        <v>31</v>
      </c>
      <c r="R1138" s="46" t="s">
        <v>31</v>
      </c>
      <c r="S1138" s="46" t="s">
        <v>31</v>
      </c>
      <c r="T1138" s="46" t="s">
        <v>31</v>
      </c>
      <c r="U1138" s="46" t="s">
        <v>49</v>
      </c>
    </row>
    <row r="1139" spans="1:21">
      <c r="A1139" s="46" t="s">
        <v>782</v>
      </c>
      <c r="B1139" s="46" t="s">
        <v>211</v>
      </c>
      <c r="C1139" s="46" t="s">
        <v>666</v>
      </c>
      <c r="D1139" s="46">
        <v>1</v>
      </c>
      <c r="E1139" s="46">
        <v>0</v>
      </c>
      <c r="F1139" s="46" t="s">
        <v>771</v>
      </c>
      <c r="G1139" s="46" t="s">
        <v>1305</v>
      </c>
      <c r="H1139" s="46" t="s">
        <v>3600</v>
      </c>
      <c r="I1139" s="46" t="str">
        <f ca="1">IFERROR(__xludf.DUMMYFUNCTION("CONCAT(A1139,REGEXREPLACE(H1139,"".*_L0"",""_L0""))"),"ILB_BN1848_MTG_snRNAseq_rep1_L001_I2_001.fastq.gz")</f>
        <v>ILB_BN1848_MTG_snRNAseq_rep1_L001_I2_001.fastq.gz</v>
      </c>
      <c r="J1139" s="46" t="str">
        <f t="shared" si="4"/>
        <v>/data/neurogen/ASAP/scRNAseq/data/batch22_ASAP_snRNA-seq_*/Raw_Data_and_Processing/cellranger_processing/cellranger_fastqs/outs/fastq_path/H*/BN1848_S2_L001_I2_001.fastq.gz</v>
      </c>
      <c r="K1139" s="46" t="s">
        <v>1314</v>
      </c>
      <c r="L1139" s="46" t="s">
        <v>3601</v>
      </c>
      <c r="M1139" s="46" t="s">
        <v>1309</v>
      </c>
      <c r="N1139" s="46" t="s">
        <v>1310</v>
      </c>
      <c r="O1139" s="46" t="s">
        <v>1311</v>
      </c>
      <c r="P1139" s="46" t="s">
        <v>1312</v>
      </c>
      <c r="Q1139" s="46" t="s">
        <v>31</v>
      </c>
      <c r="R1139" s="46" t="s">
        <v>31</v>
      </c>
      <c r="S1139" s="46" t="s">
        <v>31</v>
      </c>
      <c r="T1139" s="46" t="s">
        <v>31</v>
      </c>
      <c r="U1139" s="46" t="s">
        <v>49</v>
      </c>
    </row>
    <row r="1140" spans="1:21">
      <c r="A1140" s="46" t="s">
        <v>782</v>
      </c>
      <c r="B1140" s="46" t="s">
        <v>211</v>
      </c>
      <c r="C1140" s="46" t="s">
        <v>666</v>
      </c>
      <c r="D1140" s="46">
        <v>1</v>
      </c>
      <c r="E1140" s="46">
        <v>0</v>
      </c>
      <c r="F1140" s="46" t="s">
        <v>771</v>
      </c>
      <c r="G1140" s="46" t="s">
        <v>1305</v>
      </c>
      <c r="H1140" s="46" t="s">
        <v>3602</v>
      </c>
      <c r="I1140" s="46" t="str">
        <f ca="1">IFERROR(__xludf.DUMMYFUNCTION("CONCAT(A1140,REGEXREPLACE(H1140,"".*_L0"",""_L0""))"),"ILB_BN1848_MTG_snRNAseq_rep1_L001_R1_001.fastq.gz")</f>
        <v>ILB_BN1848_MTG_snRNAseq_rep1_L001_R1_001.fastq.gz</v>
      </c>
      <c r="J1140" s="46" t="str">
        <f t="shared" si="4"/>
        <v>/data/neurogen/ASAP/scRNAseq/data/batch22_ASAP_snRNA-seq_*/Raw_Data_and_Processing/cellranger_processing/cellranger_fastqs/outs/fastq_path/H*/BN1848_S2_L001_R1_001.fastq.gz</v>
      </c>
      <c r="K1140" s="46" t="s">
        <v>1317</v>
      </c>
      <c r="L1140" s="46" t="s">
        <v>3603</v>
      </c>
      <c r="M1140" s="46" t="s">
        <v>1309</v>
      </c>
      <c r="N1140" s="46" t="s">
        <v>1310</v>
      </c>
      <c r="O1140" s="46" t="s">
        <v>1311</v>
      </c>
      <c r="P1140" s="46" t="s">
        <v>1312</v>
      </c>
      <c r="Q1140" s="46" t="s">
        <v>31</v>
      </c>
      <c r="R1140" s="46" t="s">
        <v>31</v>
      </c>
      <c r="S1140" s="46" t="s">
        <v>31</v>
      </c>
      <c r="T1140" s="46" t="s">
        <v>31</v>
      </c>
      <c r="U1140" s="46" t="s">
        <v>49</v>
      </c>
    </row>
    <row r="1141" spans="1:21">
      <c r="A1141" s="46" t="s">
        <v>782</v>
      </c>
      <c r="B1141" s="46" t="s">
        <v>211</v>
      </c>
      <c r="C1141" s="46" t="s">
        <v>666</v>
      </c>
      <c r="D1141" s="46">
        <v>1</v>
      </c>
      <c r="E1141" s="46">
        <v>0</v>
      </c>
      <c r="F1141" s="46" t="s">
        <v>771</v>
      </c>
      <c r="G1141" s="46" t="s">
        <v>1305</v>
      </c>
      <c r="H1141" s="46" t="s">
        <v>3604</v>
      </c>
      <c r="I1141" s="46" t="str">
        <f ca="1">IFERROR(__xludf.DUMMYFUNCTION("CONCAT(A1141,REGEXREPLACE(H1141,"".*_L0"",""_L0""))"),"ILB_BN1848_MTG_snRNAseq_rep1_L001_R2_001.fastq.gz")</f>
        <v>ILB_BN1848_MTG_snRNAseq_rep1_L001_R2_001.fastq.gz</v>
      </c>
      <c r="J1141" s="46" t="str">
        <f t="shared" si="4"/>
        <v>/data/neurogen/ASAP/scRNAseq/data/batch22_ASAP_snRNA-seq_*/Raw_Data_and_Processing/cellranger_processing/cellranger_fastqs/outs/fastq_path/H*/BN1848_S2_L001_R2_001.fastq.gz</v>
      </c>
      <c r="K1141" s="46" t="s">
        <v>1320</v>
      </c>
      <c r="L1141" s="46" t="s">
        <v>3605</v>
      </c>
      <c r="M1141" s="46" t="s">
        <v>1309</v>
      </c>
      <c r="N1141" s="46" t="s">
        <v>1310</v>
      </c>
      <c r="O1141" s="46" t="s">
        <v>1311</v>
      </c>
      <c r="P1141" s="46" t="s">
        <v>1312</v>
      </c>
      <c r="Q1141" s="46" t="s">
        <v>31</v>
      </c>
      <c r="R1141" s="46" t="s">
        <v>31</v>
      </c>
      <c r="S1141" s="46" t="s">
        <v>31</v>
      </c>
      <c r="T1141" s="46" t="s">
        <v>31</v>
      </c>
      <c r="U1141" s="46" t="s">
        <v>49</v>
      </c>
    </row>
    <row r="1142" spans="1:21">
      <c r="A1142" s="46" t="s">
        <v>782</v>
      </c>
      <c r="B1142" s="46" t="s">
        <v>211</v>
      </c>
      <c r="C1142" s="46" t="s">
        <v>666</v>
      </c>
      <c r="D1142" s="46">
        <v>1</v>
      </c>
      <c r="E1142" s="46">
        <v>0</v>
      </c>
      <c r="F1142" s="46" t="s">
        <v>771</v>
      </c>
      <c r="G1142" s="46" t="s">
        <v>1305</v>
      </c>
      <c r="H1142" s="46" t="s">
        <v>3606</v>
      </c>
      <c r="I1142" s="46" t="str">
        <f ca="1">IFERROR(__xludf.DUMMYFUNCTION("CONCAT(A1142,REGEXREPLACE(H1142,"".*_L0"",""_L0""))"),"ILB_BN1848_MTG_snRNAseq_rep1_L002_I1_001.fastq.gz")</f>
        <v>ILB_BN1848_MTG_snRNAseq_rep1_L002_I1_001.fastq.gz</v>
      </c>
      <c r="J1142" s="46" t="str">
        <f t="shared" si="4"/>
        <v>/data/neurogen/ASAP/scRNAseq/data/batch22_ASAP_snRNA-seq_*/Raw_Data_and_Processing/cellranger_processing/cellranger_fastqs/outs/fastq_path/H*/BN1848_S2_L002_I1_001.fastq.gz</v>
      </c>
      <c r="K1142" s="46" t="s">
        <v>1323</v>
      </c>
      <c r="L1142" s="46" t="s">
        <v>3607</v>
      </c>
      <c r="M1142" s="46" t="s">
        <v>1309</v>
      </c>
      <c r="N1142" s="46" t="s">
        <v>1310</v>
      </c>
      <c r="O1142" s="46" t="s">
        <v>1311</v>
      </c>
      <c r="P1142" s="46" t="s">
        <v>1312</v>
      </c>
      <c r="Q1142" s="46" t="s">
        <v>31</v>
      </c>
      <c r="R1142" s="46" t="s">
        <v>31</v>
      </c>
      <c r="S1142" s="46" t="s">
        <v>31</v>
      </c>
      <c r="T1142" s="46" t="s">
        <v>31</v>
      </c>
      <c r="U1142" s="46" t="s">
        <v>49</v>
      </c>
    </row>
    <row r="1143" spans="1:21">
      <c r="A1143" s="46" t="s">
        <v>782</v>
      </c>
      <c r="B1143" s="46" t="s">
        <v>211</v>
      </c>
      <c r="C1143" s="46" t="s">
        <v>666</v>
      </c>
      <c r="D1143" s="46">
        <v>1</v>
      </c>
      <c r="E1143" s="46">
        <v>0</v>
      </c>
      <c r="F1143" s="46" t="s">
        <v>771</v>
      </c>
      <c r="G1143" s="46" t="s">
        <v>1305</v>
      </c>
      <c r="H1143" s="46" t="s">
        <v>3608</v>
      </c>
      <c r="I1143" s="46" t="str">
        <f ca="1">IFERROR(__xludf.DUMMYFUNCTION("CONCAT(A1143,REGEXREPLACE(H1143,"".*_L0"",""_L0""))"),"ILB_BN1848_MTG_snRNAseq_rep1_L002_I2_001.fastq.gz")</f>
        <v>ILB_BN1848_MTG_snRNAseq_rep1_L002_I2_001.fastq.gz</v>
      </c>
      <c r="J1143" s="46" t="str">
        <f t="shared" si="4"/>
        <v>/data/neurogen/ASAP/scRNAseq/data/batch22_ASAP_snRNA-seq_*/Raw_Data_and_Processing/cellranger_processing/cellranger_fastqs/outs/fastq_path/H*/BN1848_S2_L002_I2_001.fastq.gz</v>
      </c>
      <c r="K1143" s="46" t="s">
        <v>1326</v>
      </c>
      <c r="L1143" s="46" t="s">
        <v>3609</v>
      </c>
      <c r="M1143" s="46" t="s">
        <v>1309</v>
      </c>
      <c r="N1143" s="46" t="s">
        <v>1310</v>
      </c>
      <c r="O1143" s="46" t="s">
        <v>1311</v>
      </c>
      <c r="P1143" s="46" t="s">
        <v>1312</v>
      </c>
      <c r="Q1143" s="46" t="s">
        <v>31</v>
      </c>
      <c r="R1143" s="46" t="s">
        <v>31</v>
      </c>
      <c r="S1143" s="46" t="s">
        <v>31</v>
      </c>
      <c r="T1143" s="46" t="s">
        <v>31</v>
      </c>
      <c r="U1143" s="46" t="s">
        <v>49</v>
      </c>
    </row>
    <row r="1144" spans="1:21">
      <c r="A1144" s="46" t="s">
        <v>782</v>
      </c>
      <c r="B1144" s="46" t="s">
        <v>211</v>
      </c>
      <c r="C1144" s="46" t="s">
        <v>666</v>
      </c>
      <c r="D1144" s="46">
        <v>1</v>
      </c>
      <c r="E1144" s="46">
        <v>0</v>
      </c>
      <c r="F1144" s="46" t="s">
        <v>771</v>
      </c>
      <c r="G1144" s="46" t="s">
        <v>1305</v>
      </c>
      <c r="H1144" s="46" t="s">
        <v>3610</v>
      </c>
      <c r="I1144" s="46" t="str">
        <f ca="1">IFERROR(__xludf.DUMMYFUNCTION("CONCAT(A1144,REGEXREPLACE(H1144,"".*_L0"",""_L0""))"),"ILB_BN1848_MTG_snRNAseq_rep1_L002_R1_001.fastq.gz")</f>
        <v>ILB_BN1848_MTG_snRNAseq_rep1_L002_R1_001.fastq.gz</v>
      </c>
      <c r="J1144" s="46" t="str">
        <f t="shared" si="4"/>
        <v>/data/neurogen/ASAP/scRNAseq/data/batch22_ASAP_snRNA-seq_*/Raw_Data_and_Processing/cellranger_processing/cellranger_fastqs/outs/fastq_path/H*/BN1848_S2_L002_R1_001.fastq.gz</v>
      </c>
      <c r="K1144" s="46" t="s">
        <v>1329</v>
      </c>
      <c r="L1144" s="46" t="s">
        <v>3611</v>
      </c>
      <c r="M1144" s="46" t="s">
        <v>1309</v>
      </c>
      <c r="N1144" s="46" t="s">
        <v>1310</v>
      </c>
      <c r="O1144" s="46" t="s">
        <v>1311</v>
      </c>
      <c r="P1144" s="46" t="s">
        <v>1312</v>
      </c>
      <c r="Q1144" s="46" t="s">
        <v>31</v>
      </c>
      <c r="R1144" s="46" t="s">
        <v>31</v>
      </c>
      <c r="S1144" s="46" t="s">
        <v>31</v>
      </c>
      <c r="T1144" s="46" t="s">
        <v>31</v>
      </c>
      <c r="U1144" s="46" t="s">
        <v>49</v>
      </c>
    </row>
    <row r="1145" spans="1:21">
      <c r="A1145" s="46" t="s">
        <v>782</v>
      </c>
      <c r="B1145" s="46" t="s">
        <v>211</v>
      </c>
      <c r="C1145" s="46" t="s">
        <v>666</v>
      </c>
      <c r="D1145" s="46">
        <v>1</v>
      </c>
      <c r="E1145" s="46">
        <v>0</v>
      </c>
      <c r="F1145" s="46" t="s">
        <v>771</v>
      </c>
      <c r="G1145" s="46" t="s">
        <v>1305</v>
      </c>
      <c r="H1145" s="46" t="s">
        <v>3612</v>
      </c>
      <c r="I1145" s="46" t="str">
        <f ca="1">IFERROR(__xludf.DUMMYFUNCTION("CONCAT(A1145,REGEXREPLACE(H1145,"".*_L0"",""_L0""))"),"ILB_BN1848_MTG_snRNAseq_rep1_L002_R2_001.fastq.gz")</f>
        <v>ILB_BN1848_MTG_snRNAseq_rep1_L002_R2_001.fastq.gz</v>
      </c>
      <c r="J1145" s="46" t="str">
        <f t="shared" si="4"/>
        <v>/data/neurogen/ASAP/scRNAseq/data/batch22_ASAP_snRNA-seq_*/Raw_Data_and_Processing/cellranger_processing/cellranger_fastqs/outs/fastq_path/H*/BN1848_S2_L002_R2_001.fastq.gz</v>
      </c>
      <c r="K1145" s="46" t="s">
        <v>1332</v>
      </c>
      <c r="L1145" s="46" t="s">
        <v>3613</v>
      </c>
      <c r="M1145" s="46" t="s">
        <v>1309</v>
      </c>
      <c r="N1145" s="46" t="s">
        <v>1310</v>
      </c>
      <c r="O1145" s="46" t="s">
        <v>1311</v>
      </c>
      <c r="P1145" s="46" t="s">
        <v>1312</v>
      </c>
      <c r="Q1145" s="46" t="s">
        <v>31</v>
      </c>
      <c r="R1145" s="46" t="s">
        <v>31</v>
      </c>
      <c r="S1145" s="46" t="s">
        <v>31</v>
      </c>
      <c r="T1145" s="46" t="s">
        <v>31</v>
      </c>
      <c r="U1145" s="46" t="s">
        <v>49</v>
      </c>
    </row>
    <row r="1146" spans="1:21">
      <c r="A1146" s="46" t="s">
        <v>782</v>
      </c>
      <c r="B1146" s="46" t="s">
        <v>211</v>
      </c>
      <c r="C1146" s="46" t="s">
        <v>666</v>
      </c>
      <c r="D1146" s="46">
        <v>1</v>
      </c>
      <c r="E1146" s="46">
        <v>0</v>
      </c>
      <c r="F1146" s="46" t="s">
        <v>771</v>
      </c>
      <c r="G1146" s="46" t="s">
        <v>1305</v>
      </c>
      <c r="H1146" s="46" t="s">
        <v>3614</v>
      </c>
      <c r="I1146" s="46" t="str">
        <f ca="1">IFERROR(__xludf.DUMMYFUNCTION("CONCAT(A1146,REGEXREPLACE(H1146,"".*_L0"",""_L0""))"),"ILB_BN1848_MTG_snRNAseq_rep1_L003_I1_001.fastq.gz")</f>
        <v>ILB_BN1848_MTG_snRNAseq_rep1_L003_I1_001.fastq.gz</v>
      </c>
      <c r="J1146" s="46" t="str">
        <f t="shared" si="4"/>
        <v>/data/neurogen/ASAP/scRNAseq/data/batch22_ASAP_snRNA-seq_*/Raw_Data_and_Processing/cellranger_processing/cellranger_fastqs/outs/fastq_path/H*/BN1848_S2_L003_I1_001.fastq.gz</v>
      </c>
      <c r="K1146" s="46" t="s">
        <v>1335</v>
      </c>
      <c r="L1146" s="46" t="s">
        <v>3615</v>
      </c>
      <c r="M1146" s="46" t="s">
        <v>1309</v>
      </c>
      <c r="N1146" s="46" t="s">
        <v>1310</v>
      </c>
      <c r="O1146" s="46" t="s">
        <v>1311</v>
      </c>
      <c r="P1146" s="46" t="s">
        <v>1312</v>
      </c>
      <c r="Q1146" s="46" t="s">
        <v>31</v>
      </c>
      <c r="R1146" s="46" t="s">
        <v>31</v>
      </c>
      <c r="S1146" s="46" t="s">
        <v>31</v>
      </c>
      <c r="T1146" s="46" t="s">
        <v>31</v>
      </c>
      <c r="U1146" s="46" t="s">
        <v>49</v>
      </c>
    </row>
    <row r="1147" spans="1:21">
      <c r="A1147" s="46" t="s">
        <v>782</v>
      </c>
      <c r="B1147" s="46" t="s">
        <v>211</v>
      </c>
      <c r="C1147" s="46" t="s">
        <v>666</v>
      </c>
      <c r="D1147" s="46">
        <v>1</v>
      </c>
      <c r="E1147" s="46">
        <v>0</v>
      </c>
      <c r="F1147" s="46" t="s">
        <v>771</v>
      </c>
      <c r="G1147" s="46" t="s">
        <v>1305</v>
      </c>
      <c r="H1147" s="46" t="s">
        <v>3616</v>
      </c>
      <c r="I1147" s="46" t="str">
        <f ca="1">IFERROR(__xludf.DUMMYFUNCTION("CONCAT(A1147,REGEXREPLACE(H1147,"".*_L0"",""_L0""))"),"ILB_BN1848_MTG_snRNAseq_rep1_L003_I2_001.fastq.gz")</f>
        <v>ILB_BN1848_MTG_snRNAseq_rep1_L003_I2_001.fastq.gz</v>
      </c>
      <c r="J1147" s="46" t="str">
        <f t="shared" si="4"/>
        <v>/data/neurogen/ASAP/scRNAseq/data/batch22_ASAP_snRNA-seq_*/Raw_Data_and_Processing/cellranger_processing/cellranger_fastqs/outs/fastq_path/H*/BN1848_S2_L003_I2_001.fastq.gz</v>
      </c>
      <c r="K1147" s="46" t="s">
        <v>1338</v>
      </c>
      <c r="L1147" s="46" t="s">
        <v>3617</v>
      </c>
      <c r="M1147" s="46" t="s">
        <v>1309</v>
      </c>
      <c r="N1147" s="46" t="s">
        <v>1310</v>
      </c>
      <c r="O1147" s="46" t="s">
        <v>1311</v>
      </c>
      <c r="P1147" s="46" t="s">
        <v>1312</v>
      </c>
      <c r="Q1147" s="46" t="s">
        <v>31</v>
      </c>
      <c r="R1147" s="46" t="s">
        <v>31</v>
      </c>
      <c r="S1147" s="46" t="s">
        <v>31</v>
      </c>
      <c r="T1147" s="46" t="s">
        <v>31</v>
      </c>
      <c r="U1147" s="46" t="s">
        <v>49</v>
      </c>
    </row>
    <row r="1148" spans="1:21">
      <c r="A1148" s="46" t="s">
        <v>782</v>
      </c>
      <c r="B1148" s="46" t="s">
        <v>211</v>
      </c>
      <c r="C1148" s="46" t="s">
        <v>666</v>
      </c>
      <c r="D1148" s="46">
        <v>1</v>
      </c>
      <c r="E1148" s="46">
        <v>0</v>
      </c>
      <c r="F1148" s="46" t="s">
        <v>771</v>
      </c>
      <c r="G1148" s="46" t="s">
        <v>1305</v>
      </c>
      <c r="H1148" s="46" t="s">
        <v>3618</v>
      </c>
      <c r="I1148" s="46" t="str">
        <f ca="1">IFERROR(__xludf.DUMMYFUNCTION("CONCAT(A1148,REGEXREPLACE(H1148,"".*_L0"",""_L0""))"),"ILB_BN1848_MTG_snRNAseq_rep1_L003_R1_001.fastq.gz")</f>
        <v>ILB_BN1848_MTG_snRNAseq_rep1_L003_R1_001.fastq.gz</v>
      </c>
      <c r="J1148" s="46" t="str">
        <f t="shared" si="4"/>
        <v>/data/neurogen/ASAP/scRNAseq/data/batch22_ASAP_snRNA-seq_*/Raw_Data_and_Processing/cellranger_processing/cellranger_fastqs/outs/fastq_path/H*/BN1848_S2_L003_R1_001.fastq.gz</v>
      </c>
      <c r="K1148" s="46" t="s">
        <v>1341</v>
      </c>
      <c r="L1148" s="46" t="s">
        <v>3619</v>
      </c>
      <c r="M1148" s="46" t="s">
        <v>1309</v>
      </c>
      <c r="N1148" s="46" t="s">
        <v>1310</v>
      </c>
      <c r="O1148" s="46" t="s">
        <v>1311</v>
      </c>
      <c r="P1148" s="46" t="s">
        <v>1312</v>
      </c>
      <c r="Q1148" s="46" t="s">
        <v>31</v>
      </c>
      <c r="R1148" s="46" t="s">
        <v>31</v>
      </c>
      <c r="S1148" s="46" t="s">
        <v>31</v>
      </c>
      <c r="T1148" s="46" t="s">
        <v>31</v>
      </c>
      <c r="U1148" s="46" t="s">
        <v>49</v>
      </c>
    </row>
    <row r="1149" spans="1:21">
      <c r="A1149" s="46" t="s">
        <v>782</v>
      </c>
      <c r="B1149" s="46" t="s">
        <v>211</v>
      </c>
      <c r="C1149" s="46" t="s">
        <v>666</v>
      </c>
      <c r="D1149" s="46">
        <v>1</v>
      </c>
      <c r="E1149" s="46">
        <v>0</v>
      </c>
      <c r="F1149" s="46" t="s">
        <v>771</v>
      </c>
      <c r="G1149" s="46" t="s">
        <v>1305</v>
      </c>
      <c r="H1149" s="46" t="s">
        <v>3620</v>
      </c>
      <c r="I1149" s="46" t="str">
        <f ca="1">IFERROR(__xludf.DUMMYFUNCTION("CONCAT(A1149,REGEXREPLACE(H1149,"".*_L0"",""_L0""))"),"ILB_BN1848_MTG_snRNAseq_rep1_L003_R2_001.fastq.gz")</f>
        <v>ILB_BN1848_MTG_snRNAseq_rep1_L003_R2_001.fastq.gz</v>
      </c>
      <c r="J1149" s="46" t="str">
        <f t="shared" si="4"/>
        <v>/data/neurogen/ASAP/scRNAseq/data/batch22_ASAP_snRNA-seq_*/Raw_Data_and_Processing/cellranger_processing/cellranger_fastqs/outs/fastq_path/H*/BN1848_S2_L003_R2_001.fastq.gz</v>
      </c>
      <c r="K1149" s="46" t="s">
        <v>1344</v>
      </c>
      <c r="L1149" s="46" t="s">
        <v>3621</v>
      </c>
      <c r="M1149" s="46" t="s">
        <v>1309</v>
      </c>
      <c r="N1149" s="46" t="s">
        <v>1310</v>
      </c>
      <c r="O1149" s="46" t="s">
        <v>1311</v>
      </c>
      <c r="P1149" s="46" t="s">
        <v>1312</v>
      </c>
      <c r="Q1149" s="46" t="s">
        <v>31</v>
      </c>
      <c r="R1149" s="46" t="s">
        <v>31</v>
      </c>
      <c r="S1149" s="46" t="s">
        <v>31</v>
      </c>
      <c r="T1149" s="46" t="s">
        <v>31</v>
      </c>
      <c r="U1149" s="46" t="s">
        <v>49</v>
      </c>
    </row>
    <row r="1150" spans="1:21">
      <c r="A1150" s="46" t="s">
        <v>782</v>
      </c>
      <c r="B1150" s="46" t="s">
        <v>211</v>
      </c>
      <c r="C1150" s="46" t="s">
        <v>666</v>
      </c>
      <c r="D1150" s="46">
        <v>1</v>
      </c>
      <c r="E1150" s="46">
        <v>0</v>
      </c>
      <c r="F1150" s="46" t="s">
        <v>771</v>
      </c>
      <c r="G1150" s="46" t="s">
        <v>1305</v>
      </c>
      <c r="H1150" s="46" t="s">
        <v>3622</v>
      </c>
      <c r="I1150" s="46" t="str">
        <f ca="1">IFERROR(__xludf.DUMMYFUNCTION("CONCAT(A1150,REGEXREPLACE(H1150,"".*_L0"",""_L0""))"),"ILB_BN1848_MTG_snRNAseq_rep1_L004_I1_001.fastq.gz")</f>
        <v>ILB_BN1848_MTG_snRNAseq_rep1_L004_I1_001.fastq.gz</v>
      </c>
      <c r="J1150" s="46" t="str">
        <f t="shared" si="4"/>
        <v>/data/neurogen/ASAP/scRNAseq/data/batch22_ASAP_snRNA-seq_*/Raw_Data_and_Processing/cellranger_processing/cellranger_fastqs/outs/fastq_path/H*/BN1848_S2_L004_I1_001.fastq.gz</v>
      </c>
      <c r="K1150" s="46" t="s">
        <v>1347</v>
      </c>
      <c r="L1150" s="46" t="s">
        <v>3623</v>
      </c>
      <c r="M1150" s="46" t="s">
        <v>1309</v>
      </c>
      <c r="N1150" s="46" t="s">
        <v>1310</v>
      </c>
      <c r="O1150" s="46" t="s">
        <v>1311</v>
      </c>
      <c r="P1150" s="46" t="s">
        <v>1312</v>
      </c>
      <c r="Q1150" s="46" t="s">
        <v>31</v>
      </c>
      <c r="R1150" s="46" t="s">
        <v>31</v>
      </c>
      <c r="S1150" s="46" t="s">
        <v>31</v>
      </c>
      <c r="T1150" s="46" t="s">
        <v>31</v>
      </c>
      <c r="U1150" s="46" t="s">
        <v>49</v>
      </c>
    </row>
    <row r="1151" spans="1:21">
      <c r="A1151" s="46" t="s">
        <v>782</v>
      </c>
      <c r="B1151" s="46" t="s">
        <v>211</v>
      </c>
      <c r="C1151" s="46" t="s">
        <v>666</v>
      </c>
      <c r="D1151" s="46">
        <v>1</v>
      </c>
      <c r="E1151" s="46">
        <v>0</v>
      </c>
      <c r="F1151" s="46" t="s">
        <v>771</v>
      </c>
      <c r="G1151" s="46" t="s">
        <v>1305</v>
      </c>
      <c r="H1151" s="46" t="s">
        <v>3624</v>
      </c>
      <c r="I1151" s="46" t="str">
        <f ca="1">IFERROR(__xludf.DUMMYFUNCTION("CONCAT(A1151,REGEXREPLACE(H1151,"".*_L0"",""_L0""))"),"ILB_BN1848_MTG_snRNAseq_rep1_L004_I2_001.fastq.gz")</f>
        <v>ILB_BN1848_MTG_snRNAseq_rep1_L004_I2_001.fastq.gz</v>
      </c>
      <c r="J1151" s="46" t="str">
        <f t="shared" si="4"/>
        <v>/data/neurogen/ASAP/scRNAseq/data/batch22_ASAP_snRNA-seq_*/Raw_Data_and_Processing/cellranger_processing/cellranger_fastqs/outs/fastq_path/H*/BN1848_S2_L004_I2_001.fastq.gz</v>
      </c>
      <c r="K1151" s="46" t="s">
        <v>1350</v>
      </c>
      <c r="L1151" s="46" t="s">
        <v>3625</v>
      </c>
      <c r="M1151" s="46" t="s">
        <v>1309</v>
      </c>
      <c r="N1151" s="46" t="s">
        <v>1310</v>
      </c>
      <c r="O1151" s="46" t="s">
        <v>1311</v>
      </c>
      <c r="P1151" s="46" t="s">
        <v>1312</v>
      </c>
      <c r="Q1151" s="46" t="s">
        <v>31</v>
      </c>
      <c r="R1151" s="46" t="s">
        <v>31</v>
      </c>
      <c r="S1151" s="46" t="s">
        <v>31</v>
      </c>
      <c r="T1151" s="46" t="s">
        <v>31</v>
      </c>
      <c r="U1151" s="46" t="s">
        <v>49</v>
      </c>
    </row>
    <row r="1152" spans="1:21">
      <c r="A1152" s="46" t="s">
        <v>782</v>
      </c>
      <c r="B1152" s="46" t="s">
        <v>211</v>
      </c>
      <c r="C1152" s="46" t="s">
        <v>666</v>
      </c>
      <c r="D1152" s="46">
        <v>1</v>
      </c>
      <c r="E1152" s="46">
        <v>0</v>
      </c>
      <c r="F1152" s="46" t="s">
        <v>771</v>
      </c>
      <c r="G1152" s="46" t="s">
        <v>1305</v>
      </c>
      <c r="H1152" s="46" t="s">
        <v>3626</v>
      </c>
      <c r="I1152" s="46" t="str">
        <f ca="1">IFERROR(__xludf.DUMMYFUNCTION("CONCAT(A1152,REGEXREPLACE(H1152,"".*_L0"",""_L0""))"),"ILB_BN1848_MTG_snRNAseq_rep1_L004_R1_001.fastq.gz")</f>
        <v>ILB_BN1848_MTG_snRNAseq_rep1_L004_R1_001.fastq.gz</v>
      </c>
      <c r="J1152" s="46" t="str">
        <f t="shared" si="4"/>
        <v>/data/neurogen/ASAP/scRNAseq/data/batch22_ASAP_snRNA-seq_*/Raw_Data_and_Processing/cellranger_processing/cellranger_fastqs/outs/fastq_path/H*/BN1848_S2_L004_R1_001.fastq.gz</v>
      </c>
      <c r="K1152" s="46" t="s">
        <v>1353</v>
      </c>
      <c r="L1152" s="46" t="s">
        <v>3627</v>
      </c>
      <c r="M1152" s="46" t="s">
        <v>1309</v>
      </c>
      <c r="N1152" s="46" t="s">
        <v>1310</v>
      </c>
      <c r="O1152" s="46" t="s">
        <v>1311</v>
      </c>
      <c r="P1152" s="46" t="s">
        <v>1312</v>
      </c>
      <c r="Q1152" s="46" t="s">
        <v>31</v>
      </c>
      <c r="R1152" s="46" t="s">
        <v>31</v>
      </c>
      <c r="S1152" s="46" t="s">
        <v>31</v>
      </c>
      <c r="T1152" s="46" t="s">
        <v>31</v>
      </c>
      <c r="U1152" s="46" t="s">
        <v>49</v>
      </c>
    </row>
    <row r="1153" spans="1:21">
      <c r="A1153" s="46" t="s">
        <v>782</v>
      </c>
      <c r="B1153" s="46" t="s">
        <v>211</v>
      </c>
      <c r="C1153" s="46" t="s">
        <v>666</v>
      </c>
      <c r="D1153" s="46">
        <v>1</v>
      </c>
      <c r="E1153" s="46">
        <v>0</v>
      </c>
      <c r="F1153" s="46" t="s">
        <v>771</v>
      </c>
      <c r="G1153" s="46" t="s">
        <v>1305</v>
      </c>
      <c r="H1153" s="46" t="s">
        <v>3628</v>
      </c>
      <c r="I1153" s="46" t="str">
        <f ca="1">IFERROR(__xludf.DUMMYFUNCTION("CONCAT(A1153,REGEXREPLACE(H1153,"".*_L0"",""_L0""))"),"ILB_BN1848_MTG_snRNAseq_rep1_L004_R2_001.fastq.gz")</f>
        <v>ILB_BN1848_MTG_snRNAseq_rep1_L004_R2_001.fastq.gz</v>
      </c>
      <c r="J1153" s="46" t="str">
        <f t="shared" si="4"/>
        <v>/data/neurogen/ASAP/scRNAseq/data/batch22_ASAP_snRNA-seq_*/Raw_Data_and_Processing/cellranger_processing/cellranger_fastqs/outs/fastq_path/H*/BN1848_S2_L004_R2_001.fastq.gz</v>
      </c>
      <c r="K1153" s="46" t="s">
        <v>1356</v>
      </c>
      <c r="L1153" s="46" t="s">
        <v>3629</v>
      </c>
      <c r="M1153" s="46" t="s">
        <v>1309</v>
      </c>
      <c r="N1153" s="46" t="s">
        <v>1310</v>
      </c>
      <c r="O1153" s="46" t="s">
        <v>1311</v>
      </c>
      <c r="P1153" s="46" t="s">
        <v>1312</v>
      </c>
      <c r="Q1153" s="46" t="s">
        <v>31</v>
      </c>
      <c r="R1153" s="46" t="s">
        <v>31</v>
      </c>
      <c r="S1153" s="46" t="s">
        <v>31</v>
      </c>
      <c r="T1153" s="46" t="s">
        <v>31</v>
      </c>
      <c r="U1153" s="46" t="s">
        <v>49</v>
      </c>
    </row>
    <row r="1154" spans="1:21">
      <c r="A1154" s="46" t="s">
        <v>783</v>
      </c>
      <c r="B1154" s="46" t="s">
        <v>213</v>
      </c>
      <c r="C1154" s="46" t="s">
        <v>666</v>
      </c>
      <c r="D1154" s="46">
        <v>1</v>
      </c>
      <c r="E1154" s="46">
        <v>0</v>
      </c>
      <c r="F1154" s="46" t="s">
        <v>771</v>
      </c>
      <c r="G1154" s="46" t="s">
        <v>1305</v>
      </c>
      <c r="H1154" s="46" t="s">
        <v>3630</v>
      </c>
      <c r="I1154" s="46" t="str">
        <f ca="1">IFERROR(__xludf.DUMMYFUNCTION("CONCAT(A1154,REGEXREPLACE(H1154,"".*_L0"",""_L0""))"),"ILB_BN1849_MTG_snRNAseq_rep1_L001_I1_001.fastq.gz")</f>
        <v>ILB_BN1849_MTG_snRNAseq_rep1_L001_I1_001.fastq.gz</v>
      </c>
      <c r="J1154" s="46" t="str">
        <f t="shared" si="4"/>
        <v>/data/neurogen/ASAP/scRNAseq/data/batch22_ASAP_snRNA-seq_*/Raw_Data_and_Processing/cellranger_processing/cellranger_fastqs/outs/fastq_path/H*/BN1849_S3_L001_I1_001.fastq.gz</v>
      </c>
      <c r="K1154" s="46" t="s">
        <v>1307</v>
      </c>
      <c r="L1154" s="46" t="s">
        <v>3631</v>
      </c>
      <c r="M1154" s="46" t="s">
        <v>1309</v>
      </c>
      <c r="N1154" s="46" t="s">
        <v>1310</v>
      </c>
      <c r="O1154" s="46" t="s">
        <v>1311</v>
      </c>
      <c r="P1154" s="46" t="s">
        <v>1312</v>
      </c>
      <c r="Q1154" s="46" t="s">
        <v>31</v>
      </c>
      <c r="R1154" s="46" t="s">
        <v>31</v>
      </c>
      <c r="S1154" s="46" t="s">
        <v>31</v>
      </c>
      <c r="T1154" s="46" t="s">
        <v>31</v>
      </c>
      <c r="U1154" s="46" t="s">
        <v>49</v>
      </c>
    </row>
    <row r="1155" spans="1:21">
      <c r="A1155" s="46" t="s">
        <v>783</v>
      </c>
      <c r="B1155" s="46" t="s">
        <v>213</v>
      </c>
      <c r="C1155" s="46" t="s">
        <v>666</v>
      </c>
      <c r="D1155" s="46">
        <v>1</v>
      </c>
      <c r="E1155" s="46">
        <v>0</v>
      </c>
      <c r="F1155" s="46" t="s">
        <v>771</v>
      </c>
      <c r="G1155" s="46" t="s">
        <v>1305</v>
      </c>
      <c r="H1155" s="46" t="s">
        <v>3632</v>
      </c>
      <c r="I1155" s="46" t="str">
        <f ca="1">IFERROR(__xludf.DUMMYFUNCTION("CONCAT(A1155,REGEXREPLACE(H1155,"".*_L0"",""_L0""))"),"ILB_BN1849_MTG_snRNAseq_rep1_L001_I2_001.fastq.gz")</f>
        <v>ILB_BN1849_MTG_snRNAseq_rep1_L001_I2_001.fastq.gz</v>
      </c>
      <c r="J1155" s="46" t="str">
        <f t="shared" si="4"/>
        <v>/data/neurogen/ASAP/scRNAseq/data/batch22_ASAP_snRNA-seq_*/Raw_Data_and_Processing/cellranger_processing/cellranger_fastqs/outs/fastq_path/H*/BN1849_S3_L001_I2_001.fastq.gz</v>
      </c>
      <c r="K1155" s="46" t="s">
        <v>1314</v>
      </c>
      <c r="L1155" s="46" t="s">
        <v>3633</v>
      </c>
      <c r="M1155" s="46" t="s">
        <v>1309</v>
      </c>
      <c r="N1155" s="46" t="s">
        <v>1310</v>
      </c>
      <c r="O1155" s="46" t="s">
        <v>1311</v>
      </c>
      <c r="P1155" s="46" t="s">
        <v>1312</v>
      </c>
      <c r="Q1155" s="46" t="s">
        <v>31</v>
      </c>
      <c r="R1155" s="46" t="s">
        <v>31</v>
      </c>
      <c r="S1155" s="46" t="s">
        <v>31</v>
      </c>
      <c r="T1155" s="46" t="s">
        <v>31</v>
      </c>
      <c r="U1155" s="46" t="s">
        <v>49</v>
      </c>
    </row>
    <row r="1156" spans="1:21">
      <c r="A1156" s="46" t="s">
        <v>783</v>
      </c>
      <c r="B1156" s="46" t="s">
        <v>213</v>
      </c>
      <c r="C1156" s="46" t="s">
        <v>666</v>
      </c>
      <c r="D1156" s="46">
        <v>1</v>
      </c>
      <c r="E1156" s="46">
        <v>0</v>
      </c>
      <c r="F1156" s="46" t="s">
        <v>771</v>
      </c>
      <c r="G1156" s="46" t="s">
        <v>1305</v>
      </c>
      <c r="H1156" s="46" t="s">
        <v>3634</v>
      </c>
      <c r="I1156" s="46" t="str">
        <f ca="1">IFERROR(__xludf.DUMMYFUNCTION("CONCAT(A1156,REGEXREPLACE(H1156,"".*_L0"",""_L0""))"),"ILB_BN1849_MTG_snRNAseq_rep1_L001_R1_001.fastq.gz")</f>
        <v>ILB_BN1849_MTG_snRNAseq_rep1_L001_R1_001.fastq.gz</v>
      </c>
      <c r="J1156" s="46" t="str">
        <f t="shared" si="4"/>
        <v>/data/neurogen/ASAP/scRNAseq/data/batch22_ASAP_snRNA-seq_*/Raw_Data_and_Processing/cellranger_processing/cellranger_fastqs/outs/fastq_path/H*/BN1849_S3_L001_R1_001.fastq.gz</v>
      </c>
      <c r="K1156" s="46" t="s">
        <v>1317</v>
      </c>
      <c r="L1156" s="46" t="s">
        <v>3635</v>
      </c>
      <c r="M1156" s="46" t="s">
        <v>1309</v>
      </c>
      <c r="N1156" s="46" t="s">
        <v>1310</v>
      </c>
      <c r="O1156" s="46" t="s">
        <v>1311</v>
      </c>
      <c r="P1156" s="46" t="s">
        <v>1312</v>
      </c>
      <c r="Q1156" s="46" t="s">
        <v>31</v>
      </c>
      <c r="R1156" s="46" t="s">
        <v>31</v>
      </c>
      <c r="S1156" s="46" t="s">
        <v>31</v>
      </c>
      <c r="T1156" s="46" t="s">
        <v>31</v>
      </c>
      <c r="U1156" s="46" t="s">
        <v>49</v>
      </c>
    </row>
    <row r="1157" spans="1:21">
      <c r="A1157" s="46" t="s">
        <v>783</v>
      </c>
      <c r="B1157" s="46" t="s">
        <v>213</v>
      </c>
      <c r="C1157" s="46" t="s">
        <v>666</v>
      </c>
      <c r="D1157" s="46">
        <v>1</v>
      </c>
      <c r="E1157" s="46">
        <v>0</v>
      </c>
      <c r="F1157" s="46" t="s">
        <v>771</v>
      </c>
      <c r="G1157" s="46" t="s">
        <v>1305</v>
      </c>
      <c r="H1157" s="46" t="s">
        <v>3636</v>
      </c>
      <c r="I1157" s="46" t="str">
        <f ca="1">IFERROR(__xludf.DUMMYFUNCTION("CONCAT(A1157,REGEXREPLACE(H1157,"".*_L0"",""_L0""))"),"ILB_BN1849_MTG_snRNAseq_rep1_L001_R2_001.fastq.gz")</f>
        <v>ILB_BN1849_MTG_snRNAseq_rep1_L001_R2_001.fastq.gz</v>
      </c>
      <c r="J1157" s="46" t="str">
        <f t="shared" si="4"/>
        <v>/data/neurogen/ASAP/scRNAseq/data/batch22_ASAP_snRNA-seq_*/Raw_Data_and_Processing/cellranger_processing/cellranger_fastqs/outs/fastq_path/H*/BN1849_S3_L001_R2_001.fastq.gz</v>
      </c>
      <c r="K1157" s="46" t="s">
        <v>1320</v>
      </c>
      <c r="L1157" s="46" t="s">
        <v>3637</v>
      </c>
      <c r="M1157" s="46" t="s">
        <v>1309</v>
      </c>
      <c r="N1157" s="46" t="s">
        <v>1310</v>
      </c>
      <c r="O1157" s="46" t="s">
        <v>1311</v>
      </c>
      <c r="P1157" s="46" t="s">
        <v>1312</v>
      </c>
      <c r="Q1157" s="46" t="s">
        <v>31</v>
      </c>
      <c r="R1157" s="46" t="s">
        <v>31</v>
      </c>
      <c r="S1157" s="46" t="s">
        <v>31</v>
      </c>
      <c r="T1157" s="46" t="s">
        <v>31</v>
      </c>
      <c r="U1157" s="46" t="s">
        <v>49</v>
      </c>
    </row>
    <row r="1158" spans="1:21">
      <c r="A1158" s="46" t="s">
        <v>783</v>
      </c>
      <c r="B1158" s="46" t="s">
        <v>213</v>
      </c>
      <c r="C1158" s="46" t="s">
        <v>666</v>
      </c>
      <c r="D1158" s="46">
        <v>1</v>
      </c>
      <c r="E1158" s="46">
        <v>0</v>
      </c>
      <c r="F1158" s="46" t="s">
        <v>771</v>
      </c>
      <c r="G1158" s="46" t="s">
        <v>1305</v>
      </c>
      <c r="H1158" s="46" t="s">
        <v>3638</v>
      </c>
      <c r="I1158" s="46" t="str">
        <f ca="1">IFERROR(__xludf.DUMMYFUNCTION("CONCAT(A1158,REGEXREPLACE(H1158,"".*_L0"",""_L0""))"),"ILB_BN1849_MTG_snRNAseq_rep1_L002_I1_001.fastq.gz")</f>
        <v>ILB_BN1849_MTG_snRNAseq_rep1_L002_I1_001.fastq.gz</v>
      </c>
      <c r="J1158" s="46" t="str">
        <f t="shared" si="4"/>
        <v>/data/neurogen/ASAP/scRNAseq/data/batch22_ASAP_snRNA-seq_*/Raw_Data_and_Processing/cellranger_processing/cellranger_fastqs/outs/fastq_path/H*/BN1849_S3_L002_I1_001.fastq.gz</v>
      </c>
      <c r="K1158" s="46" t="s">
        <v>1323</v>
      </c>
      <c r="L1158" s="46" t="s">
        <v>3639</v>
      </c>
      <c r="M1158" s="46" t="s">
        <v>1309</v>
      </c>
      <c r="N1158" s="46" t="s">
        <v>1310</v>
      </c>
      <c r="O1158" s="46" t="s">
        <v>1311</v>
      </c>
      <c r="P1158" s="46" t="s">
        <v>1312</v>
      </c>
      <c r="Q1158" s="46" t="s">
        <v>31</v>
      </c>
      <c r="R1158" s="46" t="s">
        <v>31</v>
      </c>
      <c r="S1158" s="46" t="s">
        <v>31</v>
      </c>
      <c r="T1158" s="46" t="s">
        <v>31</v>
      </c>
      <c r="U1158" s="46" t="s">
        <v>49</v>
      </c>
    </row>
    <row r="1159" spans="1:21">
      <c r="A1159" s="46" t="s">
        <v>783</v>
      </c>
      <c r="B1159" s="46" t="s">
        <v>213</v>
      </c>
      <c r="C1159" s="46" t="s">
        <v>666</v>
      </c>
      <c r="D1159" s="46">
        <v>1</v>
      </c>
      <c r="E1159" s="46">
        <v>0</v>
      </c>
      <c r="F1159" s="46" t="s">
        <v>771</v>
      </c>
      <c r="G1159" s="46" t="s">
        <v>1305</v>
      </c>
      <c r="H1159" s="46" t="s">
        <v>3640</v>
      </c>
      <c r="I1159" s="46" t="str">
        <f ca="1">IFERROR(__xludf.DUMMYFUNCTION("CONCAT(A1159,REGEXREPLACE(H1159,"".*_L0"",""_L0""))"),"ILB_BN1849_MTG_snRNAseq_rep1_L002_I2_001.fastq.gz")</f>
        <v>ILB_BN1849_MTG_snRNAseq_rep1_L002_I2_001.fastq.gz</v>
      </c>
      <c r="J1159" s="46" t="str">
        <f t="shared" si="4"/>
        <v>/data/neurogen/ASAP/scRNAseq/data/batch22_ASAP_snRNA-seq_*/Raw_Data_and_Processing/cellranger_processing/cellranger_fastqs/outs/fastq_path/H*/BN1849_S3_L002_I2_001.fastq.gz</v>
      </c>
      <c r="K1159" s="46" t="s">
        <v>1326</v>
      </c>
      <c r="L1159" s="46" t="s">
        <v>3641</v>
      </c>
      <c r="M1159" s="46" t="s">
        <v>1309</v>
      </c>
      <c r="N1159" s="46" t="s">
        <v>1310</v>
      </c>
      <c r="O1159" s="46" t="s">
        <v>1311</v>
      </c>
      <c r="P1159" s="46" t="s">
        <v>1312</v>
      </c>
      <c r="Q1159" s="46" t="s">
        <v>31</v>
      </c>
      <c r="R1159" s="46" t="s">
        <v>31</v>
      </c>
      <c r="S1159" s="46" t="s">
        <v>31</v>
      </c>
      <c r="T1159" s="46" t="s">
        <v>31</v>
      </c>
      <c r="U1159" s="46" t="s">
        <v>49</v>
      </c>
    </row>
    <row r="1160" spans="1:21">
      <c r="A1160" s="46" t="s">
        <v>783</v>
      </c>
      <c r="B1160" s="46" t="s">
        <v>213</v>
      </c>
      <c r="C1160" s="46" t="s">
        <v>666</v>
      </c>
      <c r="D1160" s="46">
        <v>1</v>
      </c>
      <c r="E1160" s="46">
        <v>0</v>
      </c>
      <c r="F1160" s="46" t="s">
        <v>771</v>
      </c>
      <c r="G1160" s="46" t="s">
        <v>1305</v>
      </c>
      <c r="H1160" s="46" t="s">
        <v>3642</v>
      </c>
      <c r="I1160" s="46" t="str">
        <f ca="1">IFERROR(__xludf.DUMMYFUNCTION("CONCAT(A1160,REGEXREPLACE(H1160,"".*_L0"",""_L0""))"),"ILB_BN1849_MTG_snRNAseq_rep1_L002_R1_001.fastq.gz")</f>
        <v>ILB_BN1849_MTG_snRNAseq_rep1_L002_R1_001.fastq.gz</v>
      </c>
      <c r="J1160" s="46" t="str">
        <f t="shared" si="4"/>
        <v>/data/neurogen/ASAP/scRNAseq/data/batch22_ASAP_snRNA-seq_*/Raw_Data_and_Processing/cellranger_processing/cellranger_fastqs/outs/fastq_path/H*/BN1849_S3_L002_R1_001.fastq.gz</v>
      </c>
      <c r="K1160" s="46" t="s">
        <v>1329</v>
      </c>
      <c r="L1160" s="46" t="s">
        <v>3643</v>
      </c>
      <c r="M1160" s="46" t="s">
        <v>1309</v>
      </c>
      <c r="N1160" s="46" t="s">
        <v>1310</v>
      </c>
      <c r="O1160" s="46" t="s">
        <v>1311</v>
      </c>
      <c r="P1160" s="46" t="s">
        <v>1312</v>
      </c>
      <c r="Q1160" s="46" t="s">
        <v>31</v>
      </c>
      <c r="R1160" s="46" t="s">
        <v>31</v>
      </c>
      <c r="S1160" s="46" t="s">
        <v>31</v>
      </c>
      <c r="T1160" s="46" t="s">
        <v>31</v>
      </c>
      <c r="U1160" s="46" t="s">
        <v>49</v>
      </c>
    </row>
    <row r="1161" spans="1:21">
      <c r="A1161" s="46" t="s">
        <v>783</v>
      </c>
      <c r="B1161" s="46" t="s">
        <v>213</v>
      </c>
      <c r="C1161" s="46" t="s">
        <v>666</v>
      </c>
      <c r="D1161" s="46">
        <v>1</v>
      </c>
      <c r="E1161" s="46">
        <v>0</v>
      </c>
      <c r="F1161" s="46" t="s">
        <v>771</v>
      </c>
      <c r="G1161" s="46" t="s">
        <v>1305</v>
      </c>
      <c r="H1161" s="46" t="s">
        <v>3644</v>
      </c>
      <c r="I1161" s="46" t="str">
        <f ca="1">IFERROR(__xludf.DUMMYFUNCTION("CONCAT(A1161,REGEXREPLACE(H1161,"".*_L0"",""_L0""))"),"ILB_BN1849_MTG_snRNAseq_rep1_L002_R2_001.fastq.gz")</f>
        <v>ILB_BN1849_MTG_snRNAseq_rep1_L002_R2_001.fastq.gz</v>
      </c>
      <c r="J1161" s="46" t="str">
        <f t="shared" si="4"/>
        <v>/data/neurogen/ASAP/scRNAseq/data/batch22_ASAP_snRNA-seq_*/Raw_Data_and_Processing/cellranger_processing/cellranger_fastqs/outs/fastq_path/H*/BN1849_S3_L002_R2_001.fastq.gz</v>
      </c>
      <c r="K1161" s="46" t="s">
        <v>1332</v>
      </c>
      <c r="L1161" s="46" t="s">
        <v>3645</v>
      </c>
      <c r="M1161" s="46" t="s">
        <v>1309</v>
      </c>
      <c r="N1161" s="46" t="s">
        <v>1310</v>
      </c>
      <c r="O1161" s="46" t="s">
        <v>1311</v>
      </c>
      <c r="P1161" s="46" t="s">
        <v>1312</v>
      </c>
      <c r="Q1161" s="46" t="s">
        <v>31</v>
      </c>
      <c r="R1161" s="46" t="s">
        <v>31</v>
      </c>
      <c r="S1161" s="46" t="s">
        <v>31</v>
      </c>
      <c r="T1161" s="46" t="s">
        <v>31</v>
      </c>
      <c r="U1161" s="46" t="s">
        <v>49</v>
      </c>
    </row>
    <row r="1162" spans="1:21">
      <c r="A1162" s="46" t="s">
        <v>783</v>
      </c>
      <c r="B1162" s="46" t="s">
        <v>213</v>
      </c>
      <c r="C1162" s="46" t="s">
        <v>666</v>
      </c>
      <c r="D1162" s="46">
        <v>1</v>
      </c>
      <c r="E1162" s="46">
        <v>0</v>
      </c>
      <c r="F1162" s="46" t="s">
        <v>771</v>
      </c>
      <c r="G1162" s="46" t="s">
        <v>1305</v>
      </c>
      <c r="H1162" s="46" t="s">
        <v>3646</v>
      </c>
      <c r="I1162" s="46" t="str">
        <f ca="1">IFERROR(__xludf.DUMMYFUNCTION("CONCAT(A1162,REGEXREPLACE(H1162,"".*_L0"",""_L0""))"),"ILB_BN1849_MTG_snRNAseq_rep1_L003_I1_001.fastq.gz")</f>
        <v>ILB_BN1849_MTG_snRNAseq_rep1_L003_I1_001.fastq.gz</v>
      </c>
      <c r="J1162" s="46" t="str">
        <f t="shared" si="4"/>
        <v>/data/neurogen/ASAP/scRNAseq/data/batch22_ASAP_snRNA-seq_*/Raw_Data_and_Processing/cellranger_processing/cellranger_fastqs/outs/fastq_path/H*/BN1849_S3_L003_I1_001.fastq.gz</v>
      </c>
      <c r="K1162" s="46" t="s">
        <v>1335</v>
      </c>
      <c r="L1162" s="46" t="s">
        <v>3647</v>
      </c>
      <c r="M1162" s="46" t="s">
        <v>1309</v>
      </c>
      <c r="N1162" s="46" t="s">
        <v>1310</v>
      </c>
      <c r="O1162" s="46" t="s">
        <v>1311</v>
      </c>
      <c r="P1162" s="46" t="s">
        <v>1312</v>
      </c>
      <c r="Q1162" s="46" t="s">
        <v>31</v>
      </c>
      <c r="R1162" s="46" t="s">
        <v>31</v>
      </c>
      <c r="S1162" s="46" t="s">
        <v>31</v>
      </c>
      <c r="T1162" s="46" t="s">
        <v>31</v>
      </c>
      <c r="U1162" s="46" t="s">
        <v>49</v>
      </c>
    </row>
    <row r="1163" spans="1:21">
      <c r="A1163" s="46" t="s">
        <v>783</v>
      </c>
      <c r="B1163" s="46" t="s">
        <v>213</v>
      </c>
      <c r="C1163" s="46" t="s">
        <v>666</v>
      </c>
      <c r="D1163" s="46">
        <v>1</v>
      </c>
      <c r="E1163" s="46">
        <v>0</v>
      </c>
      <c r="F1163" s="46" t="s">
        <v>771</v>
      </c>
      <c r="G1163" s="46" t="s">
        <v>1305</v>
      </c>
      <c r="H1163" s="46" t="s">
        <v>3648</v>
      </c>
      <c r="I1163" s="46" t="str">
        <f ca="1">IFERROR(__xludf.DUMMYFUNCTION("CONCAT(A1163,REGEXREPLACE(H1163,"".*_L0"",""_L0""))"),"ILB_BN1849_MTG_snRNAseq_rep1_L003_I2_001.fastq.gz")</f>
        <v>ILB_BN1849_MTG_snRNAseq_rep1_L003_I2_001.fastq.gz</v>
      </c>
      <c r="J1163" s="46" t="str">
        <f t="shared" si="4"/>
        <v>/data/neurogen/ASAP/scRNAseq/data/batch22_ASAP_snRNA-seq_*/Raw_Data_and_Processing/cellranger_processing/cellranger_fastqs/outs/fastq_path/H*/BN1849_S3_L003_I2_001.fastq.gz</v>
      </c>
      <c r="K1163" s="46" t="s">
        <v>1338</v>
      </c>
      <c r="L1163" s="47" t="s">
        <v>3649</v>
      </c>
      <c r="M1163" s="46" t="s">
        <v>1309</v>
      </c>
      <c r="N1163" s="46" t="s">
        <v>1310</v>
      </c>
      <c r="O1163" s="46" t="s">
        <v>1311</v>
      </c>
      <c r="P1163" s="46" t="s">
        <v>1312</v>
      </c>
      <c r="Q1163" s="46" t="s">
        <v>31</v>
      </c>
      <c r="R1163" s="46" t="s">
        <v>31</v>
      </c>
      <c r="S1163" s="46" t="s">
        <v>31</v>
      </c>
      <c r="T1163" s="46" t="s">
        <v>31</v>
      </c>
      <c r="U1163" s="46" t="s">
        <v>49</v>
      </c>
    </row>
    <row r="1164" spans="1:21">
      <c r="A1164" s="46" t="s">
        <v>783</v>
      </c>
      <c r="B1164" s="46" t="s">
        <v>213</v>
      </c>
      <c r="C1164" s="46" t="s">
        <v>666</v>
      </c>
      <c r="D1164" s="46">
        <v>1</v>
      </c>
      <c r="E1164" s="46">
        <v>0</v>
      </c>
      <c r="F1164" s="46" t="s">
        <v>771</v>
      </c>
      <c r="G1164" s="46" t="s">
        <v>1305</v>
      </c>
      <c r="H1164" s="46" t="s">
        <v>3650</v>
      </c>
      <c r="I1164" s="46" t="str">
        <f ca="1">IFERROR(__xludf.DUMMYFUNCTION("CONCAT(A1164,REGEXREPLACE(H1164,"".*_L0"",""_L0""))"),"ILB_BN1849_MTG_snRNAseq_rep1_L003_R1_001.fastq.gz")</f>
        <v>ILB_BN1849_MTG_snRNAseq_rep1_L003_R1_001.fastq.gz</v>
      </c>
      <c r="J1164" s="46" t="str">
        <f t="shared" si="4"/>
        <v>/data/neurogen/ASAP/scRNAseq/data/batch22_ASAP_snRNA-seq_*/Raw_Data_and_Processing/cellranger_processing/cellranger_fastqs/outs/fastq_path/H*/BN1849_S3_L003_R1_001.fastq.gz</v>
      </c>
      <c r="K1164" s="46" t="s">
        <v>1341</v>
      </c>
      <c r="L1164" s="46" t="s">
        <v>3651</v>
      </c>
      <c r="M1164" s="46" t="s">
        <v>1309</v>
      </c>
      <c r="N1164" s="46" t="s">
        <v>1310</v>
      </c>
      <c r="O1164" s="46" t="s">
        <v>1311</v>
      </c>
      <c r="P1164" s="46" t="s">
        <v>1312</v>
      </c>
      <c r="Q1164" s="46" t="s">
        <v>31</v>
      </c>
      <c r="R1164" s="46" t="s">
        <v>31</v>
      </c>
      <c r="S1164" s="46" t="s">
        <v>31</v>
      </c>
      <c r="T1164" s="46" t="s">
        <v>31</v>
      </c>
      <c r="U1164" s="46" t="s">
        <v>49</v>
      </c>
    </row>
    <row r="1165" spans="1:21">
      <c r="A1165" s="46" t="s">
        <v>783</v>
      </c>
      <c r="B1165" s="46" t="s">
        <v>213</v>
      </c>
      <c r="C1165" s="46" t="s">
        <v>666</v>
      </c>
      <c r="D1165" s="46">
        <v>1</v>
      </c>
      <c r="E1165" s="46">
        <v>0</v>
      </c>
      <c r="F1165" s="46" t="s">
        <v>771</v>
      </c>
      <c r="G1165" s="46" t="s">
        <v>1305</v>
      </c>
      <c r="H1165" s="46" t="s">
        <v>3652</v>
      </c>
      <c r="I1165" s="46" t="str">
        <f ca="1">IFERROR(__xludf.DUMMYFUNCTION("CONCAT(A1165,REGEXREPLACE(H1165,"".*_L0"",""_L0""))"),"ILB_BN1849_MTG_snRNAseq_rep1_L003_R2_001.fastq.gz")</f>
        <v>ILB_BN1849_MTG_snRNAseq_rep1_L003_R2_001.fastq.gz</v>
      </c>
      <c r="J1165" s="46" t="str">
        <f t="shared" si="4"/>
        <v>/data/neurogen/ASAP/scRNAseq/data/batch22_ASAP_snRNA-seq_*/Raw_Data_and_Processing/cellranger_processing/cellranger_fastqs/outs/fastq_path/H*/BN1849_S3_L003_R2_001.fastq.gz</v>
      </c>
      <c r="K1165" s="46" t="s">
        <v>1344</v>
      </c>
      <c r="L1165" s="46" t="s">
        <v>3653</v>
      </c>
      <c r="M1165" s="46" t="s">
        <v>1309</v>
      </c>
      <c r="N1165" s="46" t="s">
        <v>1310</v>
      </c>
      <c r="O1165" s="46" t="s">
        <v>1311</v>
      </c>
      <c r="P1165" s="46" t="s">
        <v>1312</v>
      </c>
      <c r="Q1165" s="46" t="s">
        <v>31</v>
      </c>
      <c r="R1165" s="46" t="s">
        <v>31</v>
      </c>
      <c r="S1165" s="46" t="s">
        <v>31</v>
      </c>
      <c r="T1165" s="46" t="s">
        <v>31</v>
      </c>
      <c r="U1165" s="46" t="s">
        <v>49</v>
      </c>
    </row>
    <row r="1166" spans="1:21">
      <c r="A1166" s="46" t="s">
        <v>783</v>
      </c>
      <c r="B1166" s="46" t="s">
        <v>213</v>
      </c>
      <c r="C1166" s="46" t="s">
        <v>666</v>
      </c>
      <c r="D1166" s="46">
        <v>1</v>
      </c>
      <c r="E1166" s="46">
        <v>0</v>
      </c>
      <c r="F1166" s="46" t="s">
        <v>771</v>
      </c>
      <c r="G1166" s="46" t="s">
        <v>1305</v>
      </c>
      <c r="H1166" s="46" t="s">
        <v>3654</v>
      </c>
      <c r="I1166" s="46" t="str">
        <f ca="1">IFERROR(__xludf.DUMMYFUNCTION("CONCAT(A1166,REGEXREPLACE(H1166,"".*_L0"",""_L0""))"),"ILB_BN1849_MTG_snRNAseq_rep1_L004_I1_001.fastq.gz")</f>
        <v>ILB_BN1849_MTG_snRNAseq_rep1_L004_I1_001.fastq.gz</v>
      </c>
      <c r="J1166" s="46" t="str">
        <f t="shared" si="4"/>
        <v>/data/neurogen/ASAP/scRNAseq/data/batch22_ASAP_snRNA-seq_*/Raw_Data_and_Processing/cellranger_processing/cellranger_fastqs/outs/fastq_path/H*/BN1849_S3_L004_I1_001.fastq.gz</v>
      </c>
      <c r="K1166" s="46" t="s">
        <v>1347</v>
      </c>
      <c r="L1166" s="46" t="s">
        <v>3655</v>
      </c>
      <c r="M1166" s="46" t="s">
        <v>1309</v>
      </c>
      <c r="N1166" s="46" t="s">
        <v>1310</v>
      </c>
      <c r="O1166" s="46" t="s">
        <v>1311</v>
      </c>
      <c r="P1166" s="46" t="s">
        <v>1312</v>
      </c>
      <c r="Q1166" s="46" t="s">
        <v>31</v>
      </c>
      <c r="R1166" s="46" t="s">
        <v>31</v>
      </c>
      <c r="S1166" s="46" t="s">
        <v>31</v>
      </c>
      <c r="T1166" s="46" t="s">
        <v>31</v>
      </c>
      <c r="U1166" s="46" t="s">
        <v>49</v>
      </c>
    </row>
    <row r="1167" spans="1:21">
      <c r="A1167" s="46" t="s">
        <v>783</v>
      </c>
      <c r="B1167" s="46" t="s">
        <v>213</v>
      </c>
      <c r="C1167" s="46" t="s">
        <v>666</v>
      </c>
      <c r="D1167" s="46">
        <v>1</v>
      </c>
      <c r="E1167" s="46">
        <v>0</v>
      </c>
      <c r="F1167" s="46" t="s">
        <v>771</v>
      </c>
      <c r="G1167" s="46" t="s">
        <v>1305</v>
      </c>
      <c r="H1167" s="46" t="s">
        <v>3656</v>
      </c>
      <c r="I1167" s="46" t="str">
        <f ca="1">IFERROR(__xludf.DUMMYFUNCTION("CONCAT(A1167,REGEXREPLACE(H1167,"".*_L0"",""_L0""))"),"ILB_BN1849_MTG_snRNAseq_rep1_L004_I2_001.fastq.gz")</f>
        <v>ILB_BN1849_MTG_snRNAseq_rep1_L004_I2_001.fastq.gz</v>
      </c>
      <c r="J1167" s="46" t="str">
        <f t="shared" si="4"/>
        <v>/data/neurogen/ASAP/scRNAseq/data/batch22_ASAP_snRNA-seq_*/Raw_Data_and_Processing/cellranger_processing/cellranger_fastqs/outs/fastq_path/H*/BN1849_S3_L004_I2_001.fastq.gz</v>
      </c>
      <c r="K1167" s="46" t="s">
        <v>1350</v>
      </c>
      <c r="L1167" s="46" t="s">
        <v>3657</v>
      </c>
      <c r="M1167" s="46" t="s">
        <v>1309</v>
      </c>
      <c r="N1167" s="46" t="s">
        <v>1310</v>
      </c>
      <c r="O1167" s="46" t="s">
        <v>1311</v>
      </c>
      <c r="P1167" s="46" t="s">
        <v>1312</v>
      </c>
      <c r="Q1167" s="46" t="s">
        <v>31</v>
      </c>
      <c r="R1167" s="46" t="s">
        <v>31</v>
      </c>
      <c r="S1167" s="46" t="s">
        <v>31</v>
      </c>
      <c r="T1167" s="46" t="s">
        <v>31</v>
      </c>
      <c r="U1167" s="46" t="s">
        <v>49</v>
      </c>
    </row>
    <row r="1168" spans="1:21">
      <c r="A1168" s="46" t="s">
        <v>783</v>
      </c>
      <c r="B1168" s="46" t="s">
        <v>213</v>
      </c>
      <c r="C1168" s="46" t="s">
        <v>666</v>
      </c>
      <c r="D1168" s="46">
        <v>1</v>
      </c>
      <c r="E1168" s="46">
        <v>0</v>
      </c>
      <c r="F1168" s="46" t="s">
        <v>771</v>
      </c>
      <c r="G1168" s="46" t="s">
        <v>1305</v>
      </c>
      <c r="H1168" s="46" t="s">
        <v>3658</v>
      </c>
      <c r="I1168" s="46" t="str">
        <f ca="1">IFERROR(__xludf.DUMMYFUNCTION("CONCAT(A1168,REGEXREPLACE(H1168,"".*_L0"",""_L0""))"),"ILB_BN1849_MTG_snRNAseq_rep1_L004_R1_001.fastq.gz")</f>
        <v>ILB_BN1849_MTG_snRNAseq_rep1_L004_R1_001.fastq.gz</v>
      </c>
      <c r="J1168" s="46" t="str">
        <f t="shared" si="4"/>
        <v>/data/neurogen/ASAP/scRNAseq/data/batch22_ASAP_snRNA-seq_*/Raw_Data_and_Processing/cellranger_processing/cellranger_fastqs/outs/fastq_path/H*/BN1849_S3_L004_R1_001.fastq.gz</v>
      </c>
      <c r="K1168" s="46" t="s">
        <v>1353</v>
      </c>
      <c r="L1168" s="46" t="s">
        <v>3659</v>
      </c>
      <c r="M1168" s="46" t="s">
        <v>1309</v>
      </c>
      <c r="N1168" s="46" t="s">
        <v>1310</v>
      </c>
      <c r="O1168" s="46" t="s">
        <v>1311</v>
      </c>
      <c r="P1168" s="46" t="s">
        <v>1312</v>
      </c>
      <c r="Q1168" s="46" t="s">
        <v>31</v>
      </c>
      <c r="R1168" s="46" t="s">
        <v>31</v>
      </c>
      <c r="S1168" s="46" t="s">
        <v>31</v>
      </c>
      <c r="T1168" s="46" t="s">
        <v>31</v>
      </c>
      <c r="U1168" s="46" t="s">
        <v>49</v>
      </c>
    </row>
    <row r="1169" spans="1:21">
      <c r="A1169" s="46" t="s">
        <v>783</v>
      </c>
      <c r="B1169" s="46" t="s">
        <v>213</v>
      </c>
      <c r="C1169" s="46" t="s">
        <v>666</v>
      </c>
      <c r="D1169" s="46">
        <v>1</v>
      </c>
      <c r="E1169" s="46">
        <v>0</v>
      </c>
      <c r="F1169" s="46" t="s">
        <v>771</v>
      </c>
      <c r="G1169" s="46" t="s">
        <v>1305</v>
      </c>
      <c r="H1169" s="46" t="s">
        <v>3660</v>
      </c>
      <c r="I1169" s="46" t="str">
        <f ca="1">IFERROR(__xludf.DUMMYFUNCTION("CONCAT(A1169,REGEXREPLACE(H1169,"".*_L0"",""_L0""))"),"ILB_BN1849_MTG_snRNAseq_rep1_L004_R2_001.fastq.gz")</f>
        <v>ILB_BN1849_MTG_snRNAseq_rep1_L004_R2_001.fastq.gz</v>
      </c>
      <c r="J1169" s="46" t="str">
        <f t="shared" si="4"/>
        <v>/data/neurogen/ASAP/scRNAseq/data/batch22_ASAP_snRNA-seq_*/Raw_Data_and_Processing/cellranger_processing/cellranger_fastqs/outs/fastq_path/H*/BN1849_S3_L004_R2_001.fastq.gz</v>
      </c>
      <c r="K1169" s="46" t="s">
        <v>1356</v>
      </c>
      <c r="L1169" s="46" t="s">
        <v>3661</v>
      </c>
      <c r="M1169" s="46" t="s">
        <v>1309</v>
      </c>
      <c r="N1169" s="46" t="s">
        <v>1310</v>
      </c>
      <c r="O1169" s="46" t="s">
        <v>1311</v>
      </c>
      <c r="P1169" s="46" t="s">
        <v>1312</v>
      </c>
      <c r="Q1169" s="46" t="s">
        <v>31</v>
      </c>
      <c r="R1169" s="46" t="s">
        <v>31</v>
      </c>
      <c r="S1169" s="46" t="s">
        <v>31</v>
      </c>
      <c r="T1169" s="46" t="s">
        <v>31</v>
      </c>
      <c r="U1169" s="46" t="s">
        <v>49</v>
      </c>
    </row>
    <row r="1170" spans="1:21">
      <c r="A1170" s="46" t="s">
        <v>774</v>
      </c>
      <c r="B1170" s="46" t="s">
        <v>201</v>
      </c>
      <c r="C1170" s="46" t="s">
        <v>666</v>
      </c>
      <c r="D1170" s="46">
        <v>1</v>
      </c>
      <c r="E1170" s="46">
        <v>0</v>
      </c>
      <c r="F1170" s="46" t="s">
        <v>775</v>
      </c>
      <c r="G1170" s="46" t="s">
        <v>1305</v>
      </c>
      <c r="H1170" s="46" t="s">
        <v>3662</v>
      </c>
      <c r="I1170" s="46" t="str">
        <f ca="1">IFERROR(__xludf.DUMMYFUNCTION("CONCAT(A1170,REGEXREPLACE(H1170,"".*_L0"",""_L0""))"),"HC_BN1822_MTG_snRNAseq_rep1_L001_I1_001.fastq.gz")</f>
        <v>HC_BN1822_MTG_snRNAseq_rep1_L001_I1_001.fastq.gz</v>
      </c>
      <c r="J1170" s="46" t="str">
        <f t="shared" si="4"/>
        <v>/data/neurogen/ASAP/scRNAseq/data/batch23_ASAP_snRNA-seq_*/Raw_Data_and_Processing/cellranger_processing/cellranger_fastqs/outs/fastq_path/H*/BN1822_S2_L001_I1_001.fastq.gz</v>
      </c>
      <c r="K1170" s="46" t="s">
        <v>1307</v>
      </c>
      <c r="L1170" s="46" t="s">
        <v>3663</v>
      </c>
      <c r="M1170" s="46" t="s">
        <v>1309</v>
      </c>
      <c r="N1170" s="46" t="s">
        <v>1310</v>
      </c>
      <c r="O1170" s="46" t="s">
        <v>1311</v>
      </c>
      <c r="P1170" s="46" t="s">
        <v>1312</v>
      </c>
      <c r="Q1170" s="46" t="s">
        <v>31</v>
      </c>
      <c r="R1170" s="46" t="s">
        <v>31</v>
      </c>
      <c r="S1170" s="46" t="s">
        <v>31</v>
      </c>
      <c r="T1170" s="46" t="s">
        <v>31</v>
      </c>
      <c r="U1170" s="46" t="s">
        <v>49</v>
      </c>
    </row>
    <row r="1171" spans="1:21">
      <c r="A1171" s="46" t="s">
        <v>774</v>
      </c>
      <c r="B1171" s="46" t="s">
        <v>201</v>
      </c>
      <c r="C1171" s="46" t="s">
        <v>666</v>
      </c>
      <c r="D1171" s="46">
        <v>1</v>
      </c>
      <c r="E1171" s="46">
        <v>0</v>
      </c>
      <c r="F1171" s="46" t="s">
        <v>775</v>
      </c>
      <c r="G1171" s="46" t="s">
        <v>1305</v>
      </c>
      <c r="H1171" s="46" t="s">
        <v>3664</v>
      </c>
      <c r="I1171" s="46" t="str">
        <f ca="1">IFERROR(__xludf.DUMMYFUNCTION("CONCAT(A1171,REGEXREPLACE(H1171,"".*_L0"",""_L0""))"),"HC_BN1822_MTG_snRNAseq_rep1_L001_I2_001.fastq.gz")</f>
        <v>HC_BN1822_MTG_snRNAseq_rep1_L001_I2_001.fastq.gz</v>
      </c>
      <c r="J1171" s="46" t="str">
        <f t="shared" si="4"/>
        <v>/data/neurogen/ASAP/scRNAseq/data/batch23_ASAP_snRNA-seq_*/Raw_Data_and_Processing/cellranger_processing/cellranger_fastqs/outs/fastq_path/H*/BN1822_S2_L001_I2_001.fastq.gz</v>
      </c>
      <c r="K1171" s="46" t="s">
        <v>1314</v>
      </c>
      <c r="L1171" s="46" t="s">
        <v>3665</v>
      </c>
      <c r="M1171" s="46" t="s">
        <v>1309</v>
      </c>
      <c r="N1171" s="46" t="s">
        <v>1310</v>
      </c>
      <c r="O1171" s="46" t="s">
        <v>1311</v>
      </c>
      <c r="P1171" s="46" t="s">
        <v>1312</v>
      </c>
      <c r="Q1171" s="46" t="s">
        <v>31</v>
      </c>
      <c r="R1171" s="46" t="s">
        <v>31</v>
      </c>
      <c r="S1171" s="46" t="s">
        <v>31</v>
      </c>
      <c r="T1171" s="46" t="s">
        <v>31</v>
      </c>
      <c r="U1171" s="46" t="s">
        <v>49</v>
      </c>
    </row>
    <row r="1172" spans="1:21">
      <c r="A1172" s="46" t="s">
        <v>774</v>
      </c>
      <c r="B1172" s="46" t="s">
        <v>201</v>
      </c>
      <c r="C1172" s="46" t="s">
        <v>666</v>
      </c>
      <c r="D1172" s="46">
        <v>1</v>
      </c>
      <c r="E1172" s="46">
        <v>0</v>
      </c>
      <c r="F1172" s="46" t="s">
        <v>775</v>
      </c>
      <c r="G1172" s="46" t="s">
        <v>1305</v>
      </c>
      <c r="H1172" s="46" t="s">
        <v>3666</v>
      </c>
      <c r="I1172" s="46" t="str">
        <f ca="1">IFERROR(__xludf.DUMMYFUNCTION("CONCAT(A1172,REGEXREPLACE(H1172,"".*_L0"",""_L0""))"),"HC_BN1822_MTG_snRNAseq_rep1_L001_R1_001.fastq.gz")</f>
        <v>HC_BN1822_MTG_snRNAseq_rep1_L001_R1_001.fastq.gz</v>
      </c>
      <c r="J1172" s="46" t="str">
        <f t="shared" si="4"/>
        <v>/data/neurogen/ASAP/scRNAseq/data/batch23_ASAP_snRNA-seq_*/Raw_Data_and_Processing/cellranger_processing/cellranger_fastqs/outs/fastq_path/H*/BN1822_S2_L001_R1_001.fastq.gz</v>
      </c>
      <c r="K1172" s="46" t="s">
        <v>1317</v>
      </c>
      <c r="L1172" s="46" t="s">
        <v>3667</v>
      </c>
      <c r="M1172" s="46" t="s">
        <v>1309</v>
      </c>
      <c r="N1172" s="46" t="s">
        <v>1310</v>
      </c>
      <c r="O1172" s="46" t="s">
        <v>1311</v>
      </c>
      <c r="P1172" s="46" t="s">
        <v>1312</v>
      </c>
      <c r="Q1172" s="46" t="s">
        <v>31</v>
      </c>
      <c r="R1172" s="46" t="s">
        <v>31</v>
      </c>
      <c r="S1172" s="46" t="s">
        <v>31</v>
      </c>
      <c r="T1172" s="46" t="s">
        <v>31</v>
      </c>
      <c r="U1172" s="46" t="s">
        <v>49</v>
      </c>
    </row>
    <row r="1173" spans="1:21">
      <c r="A1173" s="46" t="s">
        <v>774</v>
      </c>
      <c r="B1173" s="46" t="s">
        <v>201</v>
      </c>
      <c r="C1173" s="46" t="s">
        <v>666</v>
      </c>
      <c r="D1173" s="46">
        <v>1</v>
      </c>
      <c r="E1173" s="46">
        <v>0</v>
      </c>
      <c r="F1173" s="46" t="s">
        <v>775</v>
      </c>
      <c r="G1173" s="46" t="s">
        <v>1305</v>
      </c>
      <c r="H1173" s="46" t="s">
        <v>3668</v>
      </c>
      <c r="I1173" s="46" t="str">
        <f ca="1">IFERROR(__xludf.DUMMYFUNCTION("CONCAT(A1173,REGEXREPLACE(H1173,"".*_L0"",""_L0""))"),"HC_BN1822_MTG_snRNAseq_rep1_L001_R2_001.fastq.gz")</f>
        <v>HC_BN1822_MTG_snRNAseq_rep1_L001_R2_001.fastq.gz</v>
      </c>
      <c r="J1173" s="46" t="str">
        <f t="shared" si="4"/>
        <v>/data/neurogen/ASAP/scRNAseq/data/batch23_ASAP_snRNA-seq_*/Raw_Data_and_Processing/cellranger_processing/cellranger_fastqs/outs/fastq_path/H*/BN1822_S2_L001_R2_001.fastq.gz</v>
      </c>
      <c r="K1173" s="46" t="s">
        <v>1320</v>
      </c>
      <c r="L1173" s="46" t="s">
        <v>3669</v>
      </c>
      <c r="M1173" s="46" t="s">
        <v>1309</v>
      </c>
      <c r="N1173" s="46" t="s">
        <v>1310</v>
      </c>
      <c r="O1173" s="46" t="s">
        <v>1311</v>
      </c>
      <c r="P1173" s="46" t="s">
        <v>1312</v>
      </c>
      <c r="Q1173" s="46" t="s">
        <v>31</v>
      </c>
      <c r="R1173" s="46" t="s">
        <v>31</v>
      </c>
      <c r="S1173" s="46" t="s">
        <v>31</v>
      </c>
      <c r="T1173" s="46" t="s">
        <v>31</v>
      </c>
      <c r="U1173" s="46" t="s">
        <v>49</v>
      </c>
    </row>
    <row r="1174" spans="1:21">
      <c r="A1174" s="46" t="s">
        <v>774</v>
      </c>
      <c r="B1174" s="46" t="s">
        <v>201</v>
      </c>
      <c r="C1174" s="46" t="s">
        <v>666</v>
      </c>
      <c r="D1174" s="46">
        <v>1</v>
      </c>
      <c r="E1174" s="46">
        <v>0</v>
      </c>
      <c r="F1174" s="46" t="s">
        <v>775</v>
      </c>
      <c r="G1174" s="46" t="s">
        <v>1305</v>
      </c>
      <c r="H1174" s="46" t="s">
        <v>3670</v>
      </c>
      <c r="I1174" s="46" t="str">
        <f ca="1">IFERROR(__xludf.DUMMYFUNCTION("CONCAT(A1174,REGEXREPLACE(H1174,"".*_L0"",""_L0""))"),"HC_BN1822_MTG_snRNAseq_rep1_L002_I1_001.fastq.gz")</f>
        <v>HC_BN1822_MTG_snRNAseq_rep1_L002_I1_001.fastq.gz</v>
      </c>
      <c r="J1174" s="46" t="str">
        <f t="shared" si="4"/>
        <v>/data/neurogen/ASAP/scRNAseq/data/batch23_ASAP_snRNA-seq_*/Raw_Data_and_Processing/cellranger_processing/cellranger_fastqs/outs/fastq_path/H*/BN1822_S2_L002_I1_001.fastq.gz</v>
      </c>
      <c r="K1174" s="46" t="s">
        <v>1323</v>
      </c>
      <c r="L1174" s="46" t="s">
        <v>3671</v>
      </c>
      <c r="M1174" s="46" t="s">
        <v>1309</v>
      </c>
      <c r="N1174" s="46" t="s">
        <v>1310</v>
      </c>
      <c r="O1174" s="46" t="s">
        <v>1311</v>
      </c>
      <c r="P1174" s="46" t="s">
        <v>1312</v>
      </c>
      <c r="Q1174" s="46" t="s">
        <v>31</v>
      </c>
      <c r="R1174" s="46" t="s">
        <v>31</v>
      </c>
      <c r="S1174" s="46" t="s">
        <v>31</v>
      </c>
      <c r="T1174" s="46" t="s">
        <v>31</v>
      </c>
      <c r="U1174" s="46" t="s">
        <v>49</v>
      </c>
    </row>
    <row r="1175" spans="1:21">
      <c r="A1175" s="46" t="s">
        <v>774</v>
      </c>
      <c r="B1175" s="46" t="s">
        <v>201</v>
      </c>
      <c r="C1175" s="46" t="s">
        <v>666</v>
      </c>
      <c r="D1175" s="46">
        <v>1</v>
      </c>
      <c r="E1175" s="46">
        <v>0</v>
      </c>
      <c r="F1175" s="46" t="s">
        <v>775</v>
      </c>
      <c r="G1175" s="46" t="s">
        <v>1305</v>
      </c>
      <c r="H1175" s="46" t="s">
        <v>3672</v>
      </c>
      <c r="I1175" s="46" t="str">
        <f ca="1">IFERROR(__xludf.DUMMYFUNCTION("CONCAT(A1175,REGEXREPLACE(H1175,"".*_L0"",""_L0""))"),"HC_BN1822_MTG_snRNAseq_rep1_L002_I2_001.fastq.gz")</f>
        <v>HC_BN1822_MTG_snRNAseq_rep1_L002_I2_001.fastq.gz</v>
      </c>
      <c r="J1175" s="46" t="str">
        <f t="shared" si="4"/>
        <v>/data/neurogen/ASAP/scRNAseq/data/batch23_ASAP_snRNA-seq_*/Raw_Data_and_Processing/cellranger_processing/cellranger_fastqs/outs/fastq_path/H*/BN1822_S2_L002_I2_001.fastq.gz</v>
      </c>
      <c r="K1175" s="46" t="s">
        <v>1326</v>
      </c>
      <c r="L1175" s="46" t="s">
        <v>3673</v>
      </c>
      <c r="M1175" s="46" t="s">
        <v>1309</v>
      </c>
      <c r="N1175" s="46" t="s">
        <v>1310</v>
      </c>
      <c r="O1175" s="46" t="s">
        <v>1311</v>
      </c>
      <c r="P1175" s="46" t="s">
        <v>1312</v>
      </c>
      <c r="Q1175" s="46" t="s">
        <v>31</v>
      </c>
      <c r="R1175" s="46" t="s">
        <v>31</v>
      </c>
      <c r="S1175" s="46" t="s">
        <v>31</v>
      </c>
      <c r="T1175" s="46" t="s">
        <v>31</v>
      </c>
      <c r="U1175" s="46" t="s">
        <v>49</v>
      </c>
    </row>
    <row r="1176" spans="1:21">
      <c r="A1176" s="46" t="s">
        <v>774</v>
      </c>
      <c r="B1176" s="46" t="s">
        <v>201</v>
      </c>
      <c r="C1176" s="46" t="s">
        <v>666</v>
      </c>
      <c r="D1176" s="46">
        <v>1</v>
      </c>
      <c r="E1176" s="46">
        <v>0</v>
      </c>
      <c r="F1176" s="46" t="s">
        <v>775</v>
      </c>
      <c r="G1176" s="46" t="s">
        <v>1305</v>
      </c>
      <c r="H1176" s="46" t="s">
        <v>3674</v>
      </c>
      <c r="I1176" s="46" t="str">
        <f ca="1">IFERROR(__xludf.DUMMYFUNCTION("CONCAT(A1176,REGEXREPLACE(H1176,"".*_L0"",""_L0""))"),"HC_BN1822_MTG_snRNAseq_rep1_L002_R1_001.fastq.gz")</f>
        <v>HC_BN1822_MTG_snRNAseq_rep1_L002_R1_001.fastq.gz</v>
      </c>
      <c r="J1176" s="46" t="str">
        <f t="shared" si="4"/>
        <v>/data/neurogen/ASAP/scRNAseq/data/batch23_ASAP_snRNA-seq_*/Raw_Data_and_Processing/cellranger_processing/cellranger_fastqs/outs/fastq_path/H*/BN1822_S2_L002_R1_001.fastq.gz</v>
      </c>
      <c r="K1176" s="46" t="s">
        <v>1329</v>
      </c>
      <c r="L1176" s="46" t="s">
        <v>3675</v>
      </c>
      <c r="M1176" s="46" t="s">
        <v>1309</v>
      </c>
      <c r="N1176" s="46" t="s">
        <v>1310</v>
      </c>
      <c r="O1176" s="46" t="s">
        <v>1311</v>
      </c>
      <c r="P1176" s="46" t="s">
        <v>1312</v>
      </c>
      <c r="Q1176" s="46" t="s">
        <v>31</v>
      </c>
      <c r="R1176" s="46" t="s">
        <v>31</v>
      </c>
      <c r="S1176" s="46" t="s">
        <v>31</v>
      </c>
      <c r="T1176" s="46" t="s">
        <v>31</v>
      </c>
      <c r="U1176" s="46" t="s">
        <v>49</v>
      </c>
    </row>
    <row r="1177" spans="1:21">
      <c r="A1177" s="46" t="s">
        <v>774</v>
      </c>
      <c r="B1177" s="46" t="s">
        <v>201</v>
      </c>
      <c r="C1177" s="46" t="s">
        <v>666</v>
      </c>
      <c r="D1177" s="46">
        <v>1</v>
      </c>
      <c r="E1177" s="46">
        <v>0</v>
      </c>
      <c r="F1177" s="46" t="s">
        <v>775</v>
      </c>
      <c r="G1177" s="46" t="s">
        <v>1305</v>
      </c>
      <c r="H1177" s="46" t="s">
        <v>3676</v>
      </c>
      <c r="I1177" s="46" t="str">
        <f ca="1">IFERROR(__xludf.DUMMYFUNCTION("CONCAT(A1177,REGEXREPLACE(H1177,"".*_L0"",""_L0""))"),"HC_BN1822_MTG_snRNAseq_rep1_L002_R2_001.fastq.gz")</f>
        <v>HC_BN1822_MTG_snRNAseq_rep1_L002_R2_001.fastq.gz</v>
      </c>
      <c r="J1177" s="46" t="str">
        <f t="shared" si="4"/>
        <v>/data/neurogen/ASAP/scRNAseq/data/batch23_ASAP_snRNA-seq_*/Raw_Data_and_Processing/cellranger_processing/cellranger_fastqs/outs/fastq_path/H*/BN1822_S2_L002_R2_001.fastq.gz</v>
      </c>
      <c r="K1177" s="46" t="s">
        <v>1332</v>
      </c>
      <c r="L1177" s="46" t="s">
        <v>3677</v>
      </c>
      <c r="M1177" s="46" t="s">
        <v>1309</v>
      </c>
      <c r="N1177" s="46" t="s">
        <v>1310</v>
      </c>
      <c r="O1177" s="46" t="s">
        <v>1311</v>
      </c>
      <c r="P1177" s="46" t="s">
        <v>1312</v>
      </c>
      <c r="Q1177" s="46" t="s">
        <v>31</v>
      </c>
      <c r="R1177" s="46" t="s">
        <v>31</v>
      </c>
      <c r="S1177" s="46" t="s">
        <v>31</v>
      </c>
      <c r="T1177" s="46" t="s">
        <v>31</v>
      </c>
      <c r="U1177" s="46" t="s">
        <v>49</v>
      </c>
    </row>
    <row r="1178" spans="1:21">
      <c r="A1178" s="46" t="s">
        <v>774</v>
      </c>
      <c r="B1178" s="46" t="s">
        <v>201</v>
      </c>
      <c r="C1178" s="46" t="s">
        <v>666</v>
      </c>
      <c r="D1178" s="46">
        <v>1</v>
      </c>
      <c r="E1178" s="46">
        <v>0</v>
      </c>
      <c r="F1178" s="46" t="s">
        <v>775</v>
      </c>
      <c r="G1178" s="46" t="s">
        <v>1305</v>
      </c>
      <c r="H1178" s="46" t="s">
        <v>3678</v>
      </c>
      <c r="I1178" s="46" t="str">
        <f ca="1">IFERROR(__xludf.DUMMYFUNCTION("CONCAT(A1178,REGEXREPLACE(H1178,"".*_L0"",""_L0""))"),"HC_BN1822_MTG_snRNAseq_rep1_L003_I1_001.fastq.gz")</f>
        <v>HC_BN1822_MTG_snRNAseq_rep1_L003_I1_001.fastq.gz</v>
      </c>
      <c r="J1178" s="46" t="str">
        <f t="shared" si="4"/>
        <v>/data/neurogen/ASAP/scRNAseq/data/batch23_ASAP_snRNA-seq_*/Raw_Data_and_Processing/cellranger_processing/cellranger_fastqs/outs/fastq_path/H*/BN1822_S2_L003_I1_001.fastq.gz</v>
      </c>
      <c r="K1178" s="46" t="s">
        <v>1335</v>
      </c>
      <c r="L1178" s="46" t="s">
        <v>3679</v>
      </c>
      <c r="M1178" s="46" t="s">
        <v>1309</v>
      </c>
      <c r="N1178" s="46" t="s">
        <v>1310</v>
      </c>
      <c r="O1178" s="46" t="s">
        <v>1311</v>
      </c>
      <c r="P1178" s="46" t="s">
        <v>1312</v>
      </c>
      <c r="Q1178" s="46" t="s">
        <v>31</v>
      </c>
      <c r="R1178" s="46" t="s">
        <v>31</v>
      </c>
      <c r="S1178" s="46" t="s">
        <v>31</v>
      </c>
      <c r="T1178" s="46" t="s">
        <v>31</v>
      </c>
      <c r="U1178" s="46" t="s">
        <v>49</v>
      </c>
    </row>
    <row r="1179" spans="1:21">
      <c r="A1179" s="46" t="s">
        <v>774</v>
      </c>
      <c r="B1179" s="46" t="s">
        <v>201</v>
      </c>
      <c r="C1179" s="46" t="s">
        <v>666</v>
      </c>
      <c r="D1179" s="46">
        <v>1</v>
      </c>
      <c r="E1179" s="46">
        <v>0</v>
      </c>
      <c r="F1179" s="46" t="s">
        <v>775</v>
      </c>
      <c r="G1179" s="46" t="s">
        <v>1305</v>
      </c>
      <c r="H1179" s="46" t="s">
        <v>3680</v>
      </c>
      <c r="I1179" s="46" t="str">
        <f ca="1">IFERROR(__xludf.DUMMYFUNCTION("CONCAT(A1179,REGEXREPLACE(H1179,"".*_L0"",""_L0""))"),"HC_BN1822_MTG_snRNAseq_rep1_L003_I2_001.fastq.gz")</f>
        <v>HC_BN1822_MTG_snRNAseq_rep1_L003_I2_001.fastq.gz</v>
      </c>
      <c r="J1179" s="46" t="str">
        <f t="shared" si="4"/>
        <v>/data/neurogen/ASAP/scRNAseq/data/batch23_ASAP_snRNA-seq_*/Raw_Data_and_Processing/cellranger_processing/cellranger_fastqs/outs/fastq_path/H*/BN1822_S2_L003_I2_001.fastq.gz</v>
      </c>
      <c r="K1179" s="46" t="s">
        <v>1338</v>
      </c>
      <c r="L1179" s="46" t="s">
        <v>3681</v>
      </c>
      <c r="M1179" s="46" t="s">
        <v>1309</v>
      </c>
      <c r="N1179" s="46" t="s">
        <v>1310</v>
      </c>
      <c r="O1179" s="46" t="s">
        <v>1311</v>
      </c>
      <c r="P1179" s="46" t="s">
        <v>1312</v>
      </c>
      <c r="Q1179" s="46" t="s">
        <v>31</v>
      </c>
      <c r="R1179" s="46" t="s">
        <v>31</v>
      </c>
      <c r="S1179" s="46" t="s">
        <v>31</v>
      </c>
      <c r="T1179" s="46" t="s">
        <v>31</v>
      </c>
      <c r="U1179" s="46" t="s">
        <v>49</v>
      </c>
    </row>
    <row r="1180" spans="1:21">
      <c r="A1180" s="46" t="s">
        <v>774</v>
      </c>
      <c r="B1180" s="46" t="s">
        <v>201</v>
      </c>
      <c r="C1180" s="46" t="s">
        <v>666</v>
      </c>
      <c r="D1180" s="46">
        <v>1</v>
      </c>
      <c r="E1180" s="46">
        <v>0</v>
      </c>
      <c r="F1180" s="46" t="s">
        <v>775</v>
      </c>
      <c r="G1180" s="46" t="s">
        <v>1305</v>
      </c>
      <c r="H1180" s="46" t="s">
        <v>3682</v>
      </c>
      <c r="I1180" s="46" t="str">
        <f ca="1">IFERROR(__xludf.DUMMYFUNCTION("CONCAT(A1180,REGEXREPLACE(H1180,"".*_L0"",""_L0""))"),"HC_BN1822_MTG_snRNAseq_rep1_L003_R1_001.fastq.gz")</f>
        <v>HC_BN1822_MTG_snRNAseq_rep1_L003_R1_001.fastq.gz</v>
      </c>
      <c r="J1180" s="46" t="str">
        <f t="shared" si="4"/>
        <v>/data/neurogen/ASAP/scRNAseq/data/batch23_ASAP_snRNA-seq_*/Raw_Data_and_Processing/cellranger_processing/cellranger_fastqs/outs/fastq_path/H*/BN1822_S2_L003_R1_001.fastq.gz</v>
      </c>
      <c r="K1180" s="46" t="s">
        <v>1341</v>
      </c>
      <c r="L1180" s="46" t="s">
        <v>3683</v>
      </c>
      <c r="M1180" s="46" t="s">
        <v>1309</v>
      </c>
      <c r="N1180" s="46" t="s">
        <v>1310</v>
      </c>
      <c r="O1180" s="46" t="s">
        <v>1311</v>
      </c>
      <c r="P1180" s="46" t="s">
        <v>1312</v>
      </c>
      <c r="Q1180" s="46" t="s">
        <v>31</v>
      </c>
      <c r="R1180" s="46" t="s">
        <v>31</v>
      </c>
      <c r="S1180" s="46" t="s">
        <v>31</v>
      </c>
      <c r="T1180" s="46" t="s">
        <v>31</v>
      </c>
      <c r="U1180" s="46" t="s">
        <v>49</v>
      </c>
    </row>
    <row r="1181" spans="1:21">
      <c r="A1181" s="46" t="s">
        <v>774</v>
      </c>
      <c r="B1181" s="46" t="s">
        <v>201</v>
      </c>
      <c r="C1181" s="46" t="s">
        <v>666</v>
      </c>
      <c r="D1181" s="46">
        <v>1</v>
      </c>
      <c r="E1181" s="46">
        <v>0</v>
      </c>
      <c r="F1181" s="46" t="s">
        <v>775</v>
      </c>
      <c r="G1181" s="46" t="s">
        <v>1305</v>
      </c>
      <c r="H1181" s="46" t="s">
        <v>3684</v>
      </c>
      <c r="I1181" s="46" t="str">
        <f ca="1">IFERROR(__xludf.DUMMYFUNCTION("CONCAT(A1181,REGEXREPLACE(H1181,"".*_L0"",""_L0""))"),"HC_BN1822_MTG_snRNAseq_rep1_L003_R2_001.fastq.gz")</f>
        <v>HC_BN1822_MTG_snRNAseq_rep1_L003_R2_001.fastq.gz</v>
      </c>
      <c r="J1181" s="46" t="str">
        <f t="shared" si="4"/>
        <v>/data/neurogen/ASAP/scRNAseq/data/batch23_ASAP_snRNA-seq_*/Raw_Data_and_Processing/cellranger_processing/cellranger_fastqs/outs/fastq_path/H*/BN1822_S2_L003_R2_001.fastq.gz</v>
      </c>
      <c r="K1181" s="46" t="s">
        <v>1344</v>
      </c>
      <c r="L1181" s="46" t="s">
        <v>3685</v>
      </c>
      <c r="M1181" s="46" t="s">
        <v>1309</v>
      </c>
      <c r="N1181" s="46" t="s">
        <v>1310</v>
      </c>
      <c r="O1181" s="46" t="s">
        <v>1311</v>
      </c>
      <c r="P1181" s="46" t="s">
        <v>1312</v>
      </c>
      <c r="Q1181" s="46" t="s">
        <v>31</v>
      </c>
      <c r="R1181" s="46" t="s">
        <v>31</v>
      </c>
      <c r="S1181" s="46" t="s">
        <v>31</v>
      </c>
      <c r="T1181" s="46" t="s">
        <v>31</v>
      </c>
      <c r="U1181" s="46" t="s">
        <v>49</v>
      </c>
    </row>
    <row r="1182" spans="1:21">
      <c r="A1182" s="46" t="s">
        <v>774</v>
      </c>
      <c r="B1182" s="46" t="s">
        <v>201</v>
      </c>
      <c r="C1182" s="46" t="s">
        <v>666</v>
      </c>
      <c r="D1182" s="46">
        <v>1</v>
      </c>
      <c r="E1182" s="46">
        <v>0</v>
      </c>
      <c r="F1182" s="46" t="s">
        <v>775</v>
      </c>
      <c r="G1182" s="46" t="s">
        <v>1305</v>
      </c>
      <c r="H1182" s="46" t="s">
        <v>3686</v>
      </c>
      <c r="I1182" s="46" t="str">
        <f ca="1">IFERROR(__xludf.DUMMYFUNCTION("CONCAT(A1182,REGEXREPLACE(H1182,"".*_L0"",""_L0""))"),"HC_BN1822_MTG_snRNAseq_rep1_L004_I1_001.fastq.gz")</f>
        <v>HC_BN1822_MTG_snRNAseq_rep1_L004_I1_001.fastq.gz</v>
      </c>
      <c r="J1182" s="46" t="str">
        <f t="shared" si="4"/>
        <v>/data/neurogen/ASAP/scRNAseq/data/batch23_ASAP_snRNA-seq_*/Raw_Data_and_Processing/cellranger_processing/cellranger_fastqs/outs/fastq_path/H*/BN1822_S2_L004_I1_001.fastq.gz</v>
      </c>
      <c r="K1182" s="46" t="s">
        <v>1347</v>
      </c>
      <c r="L1182" s="46" t="s">
        <v>3687</v>
      </c>
      <c r="M1182" s="46" t="s">
        <v>1309</v>
      </c>
      <c r="N1182" s="46" t="s">
        <v>1310</v>
      </c>
      <c r="O1182" s="46" t="s">
        <v>1311</v>
      </c>
      <c r="P1182" s="46" t="s">
        <v>1312</v>
      </c>
      <c r="Q1182" s="46" t="s">
        <v>31</v>
      </c>
      <c r="R1182" s="46" t="s">
        <v>31</v>
      </c>
      <c r="S1182" s="46" t="s">
        <v>31</v>
      </c>
      <c r="T1182" s="46" t="s">
        <v>31</v>
      </c>
      <c r="U1182" s="46" t="s">
        <v>49</v>
      </c>
    </row>
    <row r="1183" spans="1:21">
      <c r="A1183" s="46" t="s">
        <v>774</v>
      </c>
      <c r="B1183" s="46" t="s">
        <v>201</v>
      </c>
      <c r="C1183" s="46" t="s">
        <v>666</v>
      </c>
      <c r="D1183" s="46">
        <v>1</v>
      </c>
      <c r="E1183" s="46">
        <v>0</v>
      </c>
      <c r="F1183" s="46" t="s">
        <v>775</v>
      </c>
      <c r="G1183" s="46" t="s">
        <v>1305</v>
      </c>
      <c r="H1183" s="46" t="s">
        <v>3688</v>
      </c>
      <c r="I1183" s="46" t="str">
        <f ca="1">IFERROR(__xludf.DUMMYFUNCTION("CONCAT(A1183,REGEXREPLACE(H1183,"".*_L0"",""_L0""))"),"HC_BN1822_MTG_snRNAseq_rep1_L004_I2_001.fastq.gz")</f>
        <v>HC_BN1822_MTG_snRNAseq_rep1_L004_I2_001.fastq.gz</v>
      </c>
      <c r="J1183" s="46" t="str">
        <f t="shared" si="4"/>
        <v>/data/neurogen/ASAP/scRNAseq/data/batch23_ASAP_snRNA-seq_*/Raw_Data_and_Processing/cellranger_processing/cellranger_fastqs/outs/fastq_path/H*/BN1822_S2_L004_I2_001.fastq.gz</v>
      </c>
      <c r="K1183" s="46" t="s">
        <v>1350</v>
      </c>
      <c r="L1183" s="46" t="s">
        <v>3689</v>
      </c>
      <c r="M1183" s="46" t="s">
        <v>1309</v>
      </c>
      <c r="N1183" s="46" t="s">
        <v>1310</v>
      </c>
      <c r="O1183" s="46" t="s">
        <v>1311</v>
      </c>
      <c r="P1183" s="46" t="s">
        <v>1312</v>
      </c>
      <c r="Q1183" s="46" t="s">
        <v>31</v>
      </c>
      <c r="R1183" s="46" t="s">
        <v>31</v>
      </c>
      <c r="S1183" s="46" t="s">
        <v>31</v>
      </c>
      <c r="T1183" s="46" t="s">
        <v>31</v>
      </c>
      <c r="U1183" s="46" t="s">
        <v>49</v>
      </c>
    </row>
    <row r="1184" spans="1:21">
      <c r="A1184" s="46" t="s">
        <v>774</v>
      </c>
      <c r="B1184" s="46" t="s">
        <v>201</v>
      </c>
      <c r="C1184" s="46" t="s">
        <v>666</v>
      </c>
      <c r="D1184" s="46">
        <v>1</v>
      </c>
      <c r="E1184" s="46">
        <v>0</v>
      </c>
      <c r="F1184" s="46" t="s">
        <v>775</v>
      </c>
      <c r="G1184" s="46" t="s">
        <v>1305</v>
      </c>
      <c r="H1184" s="46" t="s">
        <v>3690</v>
      </c>
      <c r="I1184" s="46" t="str">
        <f ca="1">IFERROR(__xludf.DUMMYFUNCTION("CONCAT(A1184,REGEXREPLACE(H1184,"".*_L0"",""_L0""))"),"HC_BN1822_MTG_snRNAseq_rep1_L004_R1_001.fastq.gz")</f>
        <v>HC_BN1822_MTG_snRNAseq_rep1_L004_R1_001.fastq.gz</v>
      </c>
      <c r="J1184" s="46" t="str">
        <f t="shared" si="4"/>
        <v>/data/neurogen/ASAP/scRNAseq/data/batch23_ASAP_snRNA-seq_*/Raw_Data_and_Processing/cellranger_processing/cellranger_fastqs/outs/fastq_path/H*/BN1822_S2_L004_R1_001.fastq.gz</v>
      </c>
      <c r="K1184" s="46" t="s">
        <v>1353</v>
      </c>
      <c r="L1184" s="46" t="s">
        <v>3691</v>
      </c>
      <c r="M1184" s="46" t="s">
        <v>1309</v>
      </c>
      <c r="N1184" s="46" t="s">
        <v>1310</v>
      </c>
      <c r="O1184" s="46" t="s">
        <v>1311</v>
      </c>
      <c r="P1184" s="46" t="s">
        <v>1312</v>
      </c>
      <c r="Q1184" s="46" t="s">
        <v>31</v>
      </c>
      <c r="R1184" s="46" t="s">
        <v>31</v>
      </c>
      <c r="S1184" s="46" t="s">
        <v>31</v>
      </c>
      <c r="T1184" s="46" t="s">
        <v>31</v>
      </c>
      <c r="U1184" s="46" t="s">
        <v>49</v>
      </c>
    </row>
    <row r="1185" spans="1:21">
      <c r="A1185" s="46" t="s">
        <v>774</v>
      </c>
      <c r="B1185" s="46" t="s">
        <v>201</v>
      </c>
      <c r="C1185" s="46" t="s">
        <v>666</v>
      </c>
      <c r="D1185" s="46">
        <v>1</v>
      </c>
      <c r="E1185" s="46">
        <v>0</v>
      </c>
      <c r="F1185" s="46" t="s">
        <v>775</v>
      </c>
      <c r="G1185" s="46" t="s">
        <v>1305</v>
      </c>
      <c r="H1185" s="46" t="s">
        <v>3692</v>
      </c>
      <c r="I1185" s="46" t="str">
        <f ca="1">IFERROR(__xludf.DUMMYFUNCTION("CONCAT(A1185,REGEXREPLACE(H1185,"".*_L0"",""_L0""))"),"HC_BN1822_MTG_snRNAseq_rep1_L004_R2_001.fastq.gz")</f>
        <v>HC_BN1822_MTG_snRNAseq_rep1_L004_R2_001.fastq.gz</v>
      </c>
      <c r="J1185" s="46" t="str">
        <f t="shared" si="4"/>
        <v>/data/neurogen/ASAP/scRNAseq/data/batch23_ASAP_snRNA-seq_*/Raw_Data_and_Processing/cellranger_processing/cellranger_fastqs/outs/fastq_path/H*/BN1822_S2_L004_R2_001.fastq.gz</v>
      </c>
      <c r="K1185" s="46" t="s">
        <v>1356</v>
      </c>
      <c r="L1185" s="46" t="s">
        <v>3693</v>
      </c>
      <c r="M1185" s="46" t="s">
        <v>1309</v>
      </c>
      <c r="N1185" s="46" t="s">
        <v>1310</v>
      </c>
      <c r="O1185" s="46" t="s">
        <v>1311</v>
      </c>
      <c r="P1185" s="46" t="s">
        <v>1312</v>
      </c>
      <c r="Q1185" s="46" t="s">
        <v>31</v>
      </c>
      <c r="R1185" s="46" t="s">
        <v>31</v>
      </c>
      <c r="S1185" s="46" t="s">
        <v>31</v>
      </c>
      <c r="T1185" s="46" t="s">
        <v>31</v>
      </c>
      <c r="U1185" s="46" t="s">
        <v>49</v>
      </c>
    </row>
    <row r="1186" spans="1:21">
      <c r="A1186" s="46" t="s">
        <v>787</v>
      </c>
      <c r="B1186" s="46" t="s">
        <v>221</v>
      </c>
      <c r="C1186" s="46" t="s">
        <v>666</v>
      </c>
      <c r="D1186" s="46">
        <v>1</v>
      </c>
      <c r="E1186" s="46">
        <v>0</v>
      </c>
      <c r="F1186" s="46" t="s">
        <v>775</v>
      </c>
      <c r="G1186" s="46" t="s">
        <v>1305</v>
      </c>
      <c r="H1186" s="46" t="s">
        <v>3694</v>
      </c>
      <c r="I1186" s="46" t="str">
        <f ca="1">IFERROR(__xludf.DUMMYFUNCTION("CONCAT(A1186,REGEXREPLACE(H1186,"".*_L0"",""_L0""))"),"PD_BN1872_MTG_snRNAseq_rep1_L001_I1_001.fastq.gz")</f>
        <v>PD_BN1872_MTG_snRNAseq_rep1_L001_I1_001.fastq.gz</v>
      </c>
      <c r="J1186" s="46" t="str">
        <f t="shared" si="4"/>
        <v>/data/neurogen/ASAP/scRNAseq/data/batch23_ASAP_snRNA-seq_*/Raw_Data_and_Processing/cellranger_processing/cellranger_fastqs/outs/fastq_path/H*/BN1872_S3_L001_I1_001.fastq.gz</v>
      </c>
      <c r="K1186" s="46" t="s">
        <v>1307</v>
      </c>
      <c r="L1186" s="46" t="s">
        <v>3695</v>
      </c>
      <c r="M1186" s="46" t="s">
        <v>1309</v>
      </c>
      <c r="N1186" s="46" t="s">
        <v>1310</v>
      </c>
      <c r="O1186" s="46" t="s">
        <v>1311</v>
      </c>
      <c r="P1186" s="46" t="s">
        <v>1312</v>
      </c>
      <c r="Q1186" s="46" t="s">
        <v>31</v>
      </c>
      <c r="R1186" s="46" t="s">
        <v>31</v>
      </c>
      <c r="S1186" s="46" t="s">
        <v>31</v>
      </c>
      <c r="T1186" s="46" t="s">
        <v>31</v>
      </c>
      <c r="U1186" s="46" t="s">
        <v>49</v>
      </c>
    </row>
    <row r="1187" spans="1:21">
      <c r="A1187" s="46" t="s">
        <v>787</v>
      </c>
      <c r="B1187" s="46" t="s">
        <v>221</v>
      </c>
      <c r="C1187" s="46" t="s">
        <v>666</v>
      </c>
      <c r="D1187" s="46">
        <v>1</v>
      </c>
      <c r="E1187" s="46">
        <v>0</v>
      </c>
      <c r="F1187" s="46" t="s">
        <v>775</v>
      </c>
      <c r="G1187" s="46" t="s">
        <v>1305</v>
      </c>
      <c r="H1187" s="46" t="s">
        <v>3696</v>
      </c>
      <c r="I1187" s="46" t="str">
        <f ca="1">IFERROR(__xludf.DUMMYFUNCTION("CONCAT(A1187,REGEXREPLACE(H1187,"".*_L0"",""_L0""))"),"PD_BN1872_MTG_snRNAseq_rep1_L001_I2_001.fastq.gz")</f>
        <v>PD_BN1872_MTG_snRNAseq_rep1_L001_I2_001.fastq.gz</v>
      </c>
      <c r="J1187" s="46" t="str">
        <f t="shared" si="4"/>
        <v>/data/neurogen/ASAP/scRNAseq/data/batch23_ASAP_snRNA-seq_*/Raw_Data_and_Processing/cellranger_processing/cellranger_fastqs/outs/fastq_path/H*/BN1872_S3_L001_I2_001.fastq.gz</v>
      </c>
      <c r="K1187" s="46" t="s">
        <v>1314</v>
      </c>
      <c r="L1187" s="46" t="s">
        <v>3697</v>
      </c>
      <c r="M1187" s="46" t="s">
        <v>1309</v>
      </c>
      <c r="N1187" s="46" t="s">
        <v>1310</v>
      </c>
      <c r="O1187" s="46" t="s">
        <v>1311</v>
      </c>
      <c r="P1187" s="46" t="s">
        <v>1312</v>
      </c>
      <c r="Q1187" s="46" t="s">
        <v>31</v>
      </c>
      <c r="R1187" s="46" t="s">
        <v>31</v>
      </c>
      <c r="S1187" s="46" t="s">
        <v>31</v>
      </c>
      <c r="T1187" s="46" t="s">
        <v>31</v>
      </c>
      <c r="U1187" s="46" t="s">
        <v>49</v>
      </c>
    </row>
    <row r="1188" spans="1:21">
      <c r="A1188" s="46" t="s">
        <v>787</v>
      </c>
      <c r="B1188" s="46" t="s">
        <v>221</v>
      </c>
      <c r="C1188" s="46" t="s">
        <v>666</v>
      </c>
      <c r="D1188" s="46">
        <v>1</v>
      </c>
      <c r="E1188" s="46">
        <v>0</v>
      </c>
      <c r="F1188" s="46" t="s">
        <v>775</v>
      </c>
      <c r="G1188" s="46" t="s">
        <v>1305</v>
      </c>
      <c r="H1188" s="46" t="s">
        <v>3698</v>
      </c>
      <c r="I1188" s="46" t="str">
        <f ca="1">IFERROR(__xludf.DUMMYFUNCTION("CONCAT(A1188,REGEXREPLACE(H1188,"".*_L0"",""_L0""))"),"PD_BN1872_MTG_snRNAseq_rep1_L001_R1_001.fastq.gz")</f>
        <v>PD_BN1872_MTG_snRNAseq_rep1_L001_R1_001.fastq.gz</v>
      </c>
      <c r="J1188" s="46" t="str">
        <f t="shared" si="4"/>
        <v>/data/neurogen/ASAP/scRNAseq/data/batch23_ASAP_snRNA-seq_*/Raw_Data_and_Processing/cellranger_processing/cellranger_fastqs/outs/fastq_path/H*/BN1872_S3_L001_R1_001.fastq.gz</v>
      </c>
      <c r="K1188" s="46" t="s">
        <v>1317</v>
      </c>
      <c r="L1188" s="46" t="s">
        <v>3699</v>
      </c>
      <c r="M1188" s="46" t="s">
        <v>1309</v>
      </c>
      <c r="N1188" s="46" t="s">
        <v>1310</v>
      </c>
      <c r="O1188" s="46" t="s">
        <v>1311</v>
      </c>
      <c r="P1188" s="46" t="s">
        <v>1312</v>
      </c>
      <c r="Q1188" s="46" t="s">
        <v>31</v>
      </c>
      <c r="R1188" s="46" t="s">
        <v>31</v>
      </c>
      <c r="S1188" s="46" t="s">
        <v>31</v>
      </c>
      <c r="T1188" s="46" t="s">
        <v>31</v>
      </c>
      <c r="U1188" s="46" t="s">
        <v>49</v>
      </c>
    </row>
    <row r="1189" spans="1:21">
      <c r="A1189" s="46" t="s">
        <v>787</v>
      </c>
      <c r="B1189" s="46" t="s">
        <v>221</v>
      </c>
      <c r="C1189" s="46" t="s">
        <v>666</v>
      </c>
      <c r="D1189" s="46">
        <v>1</v>
      </c>
      <c r="E1189" s="46">
        <v>0</v>
      </c>
      <c r="F1189" s="46" t="s">
        <v>775</v>
      </c>
      <c r="G1189" s="46" t="s">
        <v>1305</v>
      </c>
      <c r="H1189" s="46" t="s">
        <v>3700</v>
      </c>
      <c r="I1189" s="46" t="str">
        <f ca="1">IFERROR(__xludf.DUMMYFUNCTION("CONCAT(A1189,REGEXREPLACE(H1189,"".*_L0"",""_L0""))"),"PD_BN1872_MTG_snRNAseq_rep1_L001_R2_001.fastq.gz")</f>
        <v>PD_BN1872_MTG_snRNAseq_rep1_L001_R2_001.fastq.gz</v>
      </c>
      <c r="J1189" s="46" t="str">
        <f t="shared" si="4"/>
        <v>/data/neurogen/ASAP/scRNAseq/data/batch23_ASAP_snRNA-seq_*/Raw_Data_and_Processing/cellranger_processing/cellranger_fastqs/outs/fastq_path/H*/BN1872_S3_L001_R2_001.fastq.gz</v>
      </c>
      <c r="K1189" s="46" t="s">
        <v>1320</v>
      </c>
      <c r="L1189" s="46" t="s">
        <v>3701</v>
      </c>
      <c r="M1189" s="46" t="s">
        <v>1309</v>
      </c>
      <c r="N1189" s="46" t="s">
        <v>1310</v>
      </c>
      <c r="O1189" s="46" t="s">
        <v>1311</v>
      </c>
      <c r="P1189" s="46" t="s">
        <v>1312</v>
      </c>
      <c r="Q1189" s="46" t="s">
        <v>31</v>
      </c>
      <c r="R1189" s="46" t="s">
        <v>31</v>
      </c>
      <c r="S1189" s="46" t="s">
        <v>31</v>
      </c>
      <c r="T1189" s="46" t="s">
        <v>31</v>
      </c>
      <c r="U1189" s="46" t="s">
        <v>49</v>
      </c>
    </row>
    <row r="1190" spans="1:21">
      <c r="A1190" s="46" t="s">
        <v>787</v>
      </c>
      <c r="B1190" s="46" t="s">
        <v>221</v>
      </c>
      <c r="C1190" s="46" t="s">
        <v>666</v>
      </c>
      <c r="D1190" s="46">
        <v>1</v>
      </c>
      <c r="E1190" s="46">
        <v>0</v>
      </c>
      <c r="F1190" s="46" t="s">
        <v>775</v>
      </c>
      <c r="G1190" s="46" t="s">
        <v>1305</v>
      </c>
      <c r="H1190" s="46" t="s">
        <v>3702</v>
      </c>
      <c r="I1190" s="46" t="str">
        <f ca="1">IFERROR(__xludf.DUMMYFUNCTION("CONCAT(A1190,REGEXREPLACE(H1190,"".*_L0"",""_L0""))"),"PD_BN1872_MTG_snRNAseq_rep1_L002_I1_001.fastq.gz")</f>
        <v>PD_BN1872_MTG_snRNAseq_rep1_L002_I1_001.fastq.gz</v>
      </c>
      <c r="J1190" s="46" t="str">
        <f t="shared" si="4"/>
        <v>/data/neurogen/ASAP/scRNAseq/data/batch23_ASAP_snRNA-seq_*/Raw_Data_and_Processing/cellranger_processing/cellranger_fastqs/outs/fastq_path/H*/BN1872_S3_L002_I1_001.fastq.gz</v>
      </c>
      <c r="K1190" s="46" t="s">
        <v>1323</v>
      </c>
      <c r="L1190" s="46" t="s">
        <v>3703</v>
      </c>
      <c r="M1190" s="46" t="s">
        <v>1309</v>
      </c>
      <c r="N1190" s="46" t="s">
        <v>1310</v>
      </c>
      <c r="O1190" s="46" t="s">
        <v>1311</v>
      </c>
      <c r="P1190" s="46" t="s">
        <v>1312</v>
      </c>
      <c r="Q1190" s="46" t="s">
        <v>31</v>
      </c>
      <c r="R1190" s="46" t="s">
        <v>31</v>
      </c>
      <c r="S1190" s="46" t="s">
        <v>31</v>
      </c>
      <c r="T1190" s="46" t="s">
        <v>31</v>
      </c>
      <c r="U1190" s="46" t="s">
        <v>49</v>
      </c>
    </row>
    <row r="1191" spans="1:21">
      <c r="A1191" s="46" t="s">
        <v>787</v>
      </c>
      <c r="B1191" s="46" t="s">
        <v>221</v>
      </c>
      <c r="C1191" s="46" t="s">
        <v>666</v>
      </c>
      <c r="D1191" s="46">
        <v>1</v>
      </c>
      <c r="E1191" s="46">
        <v>0</v>
      </c>
      <c r="F1191" s="46" t="s">
        <v>775</v>
      </c>
      <c r="G1191" s="46" t="s">
        <v>1305</v>
      </c>
      <c r="H1191" s="46" t="s">
        <v>3704</v>
      </c>
      <c r="I1191" s="46" t="str">
        <f ca="1">IFERROR(__xludf.DUMMYFUNCTION("CONCAT(A1191,REGEXREPLACE(H1191,"".*_L0"",""_L0""))"),"PD_BN1872_MTG_snRNAseq_rep1_L002_I2_001.fastq.gz")</f>
        <v>PD_BN1872_MTG_snRNAseq_rep1_L002_I2_001.fastq.gz</v>
      </c>
      <c r="J1191" s="46" t="str">
        <f t="shared" si="4"/>
        <v>/data/neurogen/ASAP/scRNAseq/data/batch23_ASAP_snRNA-seq_*/Raw_Data_and_Processing/cellranger_processing/cellranger_fastqs/outs/fastq_path/H*/BN1872_S3_L002_I2_001.fastq.gz</v>
      </c>
      <c r="K1191" s="46" t="s">
        <v>1326</v>
      </c>
      <c r="L1191" s="46" t="s">
        <v>3705</v>
      </c>
      <c r="M1191" s="46" t="s">
        <v>1309</v>
      </c>
      <c r="N1191" s="46" t="s">
        <v>1310</v>
      </c>
      <c r="O1191" s="46" t="s">
        <v>1311</v>
      </c>
      <c r="P1191" s="46" t="s">
        <v>1312</v>
      </c>
      <c r="Q1191" s="46" t="s">
        <v>31</v>
      </c>
      <c r="R1191" s="46" t="s">
        <v>31</v>
      </c>
      <c r="S1191" s="46" t="s">
        <v>31</v>
      </c>
      <c r="T1191" s="46" t="s">
        <v>31</v>
      </c>
      <c r="U1191" s="46" t="s">
        <v>49</v>
      </c>
    </row>
    <row r="1192" spans="1:21">
      <c r="A1192" s="46" t="s">
        <v>787</v>
      </c>
      <c r="B1192" s="46" t="s">
        <v>221</v>
      </c>
      <c r="C1192" s="46" t="s">
        <v>666</v>
      </c>
      <c r="D1192" s="46">
        <v>1</v>
      </c>
      <c r="E1192" s="46">
        <v>0</v>
      </c>
      <c r="F1192" s="46" t="s">
        <v>775</v>
      </c>
      <c r="G1192" s="46" t="s">
        <v>1305</v>
      </c>
      <c r="H1192" s="46" t="s">
        <v>3706</v>
      </c>
      <c r="I1192" s="46" t="str">
        <f ca="1">IFERROR(__xludf.DUMMYFUNCTION("CONCAT(A1192,REGEXREPLACE(H1192,"".*_L0"",""_L0""))"),"PD_BN1872_MTG_snRNAseq_rep1_L002_R1_001.fastq.gz")</f>
        <v>PD_BN1872_MTG_snRNAseq_rep1_L002_R1_001.fastq.gz</v>
      </c>
      <c r="J1192" s="46" t="str">
        <f t="shared" si="4"/>
        <v>/data/neurogen/ASAP/scRNAseq/data/batch23_ASAP_snRNA-seq_*/Raw_Data_and_Processing/cellranger_processing/cellranger_fastqs/outs/fastq_path/H*/BN1872_S3_L002_R1_001.fastq.gz</v>
      </c>
      <c r="K1192" s="46" t="s">
        <v>1329</v>
      </c>
      <c r="L1192" s="46" t="s">
        <v>3707</v>
      </c>
      <c r="M1192" s="46" t="s">
        <v>1309</v>
      </c>
      <c r="N1192" s="46" t="s">
        <v>1310</v>
      </c>
      <c r="O1192" s="46" t="s">
        <v>1311</v>
      </c>
      <c r="P1192" s="46" t="s">
        <v>1312</v>
      </c>
      <c r="Q1192" s="46" t="s">
        <v>31</v>
      </c>
      <c r="R1192" s="46" t="s">
        <v>31</v>
      </c>
      <c r="S1192" s="46" t="s">
        <v>31</v>
      </c>
      <c r="T1192" s="46" t="s">
        <v>31</v>
      </c>
      <c r="U1192" s="46" t="s">
        <v>49</v>
      </c>
    </row>
    <row r="1193" spans="1:21">
      <c r="A1193" s="46" t="s">
        <v>787</v>
      </c>
      <c r="B1193" s="46" t="s">
        <v>221</v>
      </c>
      <c r="C1193" s="46" t="s">
        <v>666</v>
      </c>
      <c r="D1193" s="46">
        <v>1</v>
      </c>
      <c r="E1193" s="46">
        <v>0</v>
      </c>
      <c r="F1193" s="46" t="s">
        <v>775</v>
      </c>
      <c r="G1193" s="46" t="s">
        <v>1305</v>
      </c>
      <c r="H1193" s="46" t="s">
        <v>3708</v>
      </c>
      <c r="I1193" s="46" t="str">
        <f ca="1">IFERROR(__xludf.DUMMYFUNCTION("CONCAT(A1193,REGEXREPLACE(H1193,"".*_L0"",""_L0""))"),"PD_BN1872_MTG_snRNAseq_rep1_L002_R2_001.fastq.gz")</f>
        <v>PD_BN1872_MTG_snRNAseq_rep1_L002_R2_001.fastq.gz</v>
      </c>
      <c r="J1193" s="46" t="str">
        <f t="shared" si="4"/>
        <v>/data/neurogen/ASAP/scRNAseq/data/batch23_ASAP_snRNA-seq_*/Raw_Data_and_Processing/cellranger_processing/cellranger_fastqs/outs/fastq_path/H*/BN1872_S3_L002_R2_001.fastq.gz</v>
      </c>
      <c r="K1193" s="46" t="s">
        <v>1332</v>
      </c>
      <c r="L1193" s="46" t="s">
        <v>3709</v>
      </c>
      <c r="M1193" s="46" t="s">
        <v>1309</v>
      </c>
      <c r="N1193" s="46" t="s">
        <v>1310</v>
      </c>
      <c r="O1193" s="46" t="s">
        <v>1311</v>
      </c>
      <c r="P1193" s="46" t="s">
        <v>1312</v>
      </c>
      <c r="Q1193" s="46" t="s">
        <v>31</v>
      </c>
      <c r="R1193" s="46" t="s">
        <v>31</v>
      </c>
      <c r="S1193" s="46" t="s">
        <v>31</v>
      </c>
      <c r="T1193" s="46" t="s">
        <v>31</v>
      </c>
      <c r="U1193" s="46" t="s">
        <v>49</v>
      </c>
    </row>
    <row r="1194" spans="1:21">
      <c r="A1194" s="46" t="s">
        <v>787</v>
      </c>
      <c r="B1194" s="46" t="s">
        <v>221</v>
      </c>
      <c r="C1194" s="46" t="s">
        <v>666</v>
      </c>
      <c r="D1194" s="46">
        <v>1</v>
      </c>
      <c r="E1194" s="46">
        <v>0</v>
      </c>
      <c r="F1194" s="46" t="s">
        <v>775</v>
      </c>
      <c r="G1194" s="46" t="s">
        <v>1305</v>
      </c>
      <c r="H1194" s="46" t="s">
        <v>3710</v>
      </c>
      <c r="I1194" s="46" t="str">
        <f ca="1">IFERROR(__xludf.DUMMYFUNCTION("CONCAT(A1194,REGEXREPLACE(H1194,"".*_L0"",""_L0""))"),"PD_BN1872_MTG_snRNAseq_rep1_L003_I1_001.fastq.gz")</f>
        <v>PD_BN1872_MTG_snRNAseq_rep1_L003_I1_001.fastq.gz</v>
      </c>
      <c r="J1194" s="46" t="str">
        <f t="shared" si="4"/>
        <v>/data/neurogen/ASAP/scRNAseq/data/batch23_ASAP_snRNA-seq_*/Raw_Data_and_Processing/cellranger_processing/cellranger_fastqs/outs/fastq_path/H*/BN1872_S3_L003_I1_001.fastq.gz</v>
      </c>
      <c r="K1194" s="46" t="s">
        <v>1335</v>
      </c>
      <c r="L1194" s="46" t="s">
        <v>3711</v>
      </c>
      <c r="M1194" s="46" t="s">
        <v>1309</v>
      </c>
      <c r="N1194" s="46" t="s">
        <v>1310</v>
      </c>
      <c r="O1194" s="46" t="s">
        <v>1311</v>
      </c>
      <c r="P1194" s="46" t="s">
        <v>1312</v>
      </c>
      <c r="Q1194" s="46" t="s">
        <v>31</v>
      </c>
      <c r="R1194" s="46" t="s">
        <v>31</v>
      </c>
      <c r="S1194" s="46" t="s">
        <v>31</v>
      </c>
      <c r="T1194" s="46" t="s">
        <v>31</v>
      </c>
      <c r="U1194" s="46" t="s">
        <v>49</v>
      </c>
    </row>
    <row r="1195" spans="1:21">
      <c r="A1195" s="46" t="s">
        <v>787</v>
      </c>
      <c r="B1195" s="46" t="s">
        <v>221</v>
      </c>
      <c r="C1195" s="46" t="s">
        <v>666</v>
      </c>
      <c r="D1195" s="46">
        <v>1</v>
      </c>
      <c r="E1195" s="46">
        <v>0</v>
      </c>
      <c r="F1195" s="46" t="s">
        <v>775</v>
      </c>
      <c r="G1195" s="46" t="s">
        <v>1305</v>
      </c>
      <c r="H1195" s="46" t="s">
        <v>3712</v>
      </c>
      <c r="I1195" s="46" t="str">
        <f ca="1">IFERROR(__xludf.DUMMYFUNCTION("CONCAT(A1195,REGEXREPLACE(H1195,"".*_L0"",""_L0""))"),"PD_BN1872_MTG_snRNAseq_rep1_L003_I2_001.fastq.gz")</f>
        <v>PD_BN1872_MTG_snRNAseq_rep1_L003_I2_001.fastq.gz</v>
      </c>
      <c r="J1195" s="46" t="str">
        <f t="shared" si="4"/>
        <v>/data/neurogen/ASAP/scRNAseq/data/batch23_ASAP_snRNA-seq_*/Raw_Data_and_Processing/cellranger_processing/cellranger_fastqs/outs/fastq_path/H*/BN1872_S3_L003_I2_001.fastq.gz</v>
      </c>
      <c r="K1195" s="46" t="s">
        <v>1338</v>
      </c>
      <c r="L1195" s="46" t="s">
        <v>3713</v>
      </c>
      <c r="M1195" s="46" t="s">
        <v>1309</v>
      </c>
      <c r="N1195" s="46" t="s">
        <v>1310</v>
      </c>
      <c r="O1195" s="46" t="s">
        <v>1311</v>
      </c>
      <c r="P1195" s="46" t="s">
        <v>1312</v>
      </c>
      <c r="Q1195" s="46" t="s">
        <v>31</v>
      </c>
      <c r="R1195" s="46" t="s">
        <v>31</v>
      </c>
      <c r="S1195" s="46" t="s">
        <v>31</v>
      </c>
      <c r="T1195" s="46" t="s">
        <v>31</v>
      </c>
      <c r="U1195" s="46" t="s">
        <v>49</v>
      </c>
    </row>
    <row r="1196" spans="1:21">
      <c r="A1196" s="46" t="s">
        <v>787</v>
      </c>
      <c r="B1196" s="46" t="s">
        <v>221</v>
      </c>
      <c r="C1196" s="46" t="s">
        <v>666</v>
      </c>
      <c r="D1196" s="46">
        <v>1</v>
      </c>
      <c r="E1196" s="46">
        <v>0</v>
      </c>
      <c r="F1196" s="46" t="s">
        <v>775</v>
      </c>
      <c r="G1196" s="46" t="s">
        <v>1305</v>
      </c>
      <c r="H1196" s="46" t="s">
        <v>3714</v>
      </c>
      <c r="I1196" s="46" t="str">
        <f ca="1">IFERROR(__xludf.DUMMYFUNCTION("CONCAT(A1196,REGEXREPLACE(H1196,"".*_L0"",""_L0""))"),"PD_BN1872_MTG_snRNAseq_rep1_L003_R1_001.fastq.gz")</f>
        <v>PD_BN1872_MTG_snRNAseq_rep1_L003_R1_001.fastq.gz</v>
      </c>
      <c r="J1196" s="46" t="str">
        <f t="shared" si="4"/>
        <v>/data/neurogen/ASAP/scRNAseq/data/batch23_ASAP_snRNA-seq_*/Raw_Data_and_Processing/cellranger_processing/cellranger_fastqs/outs/fastq_path/H*/BN1872_S3_L003_R1_001.fastq.gz</v>
      </c>
      <c r="K1196" s="46" t="s">
        <v>1341</v>
      </c>
      <c r="L1196" s="46" t="s">
        <v>3715</v>
      </c>
      <c r="M1196" s="46" t="s">
        <v>1309</v>
      </c>
      <c r="N1196" s="46" t="s">
        <v>1310</v>
      </c>
      <c r="O1196" s="46" t="s">
        <v>1311</v>
      </c>
      <c r="P1196" s="46" t="s">
        <v>1312</v>
      </c>
      <c r="Q1196" s="46" t="s">
        <v>31</v>
      </c>
      <c r="R1196" s="46" t="s">
        <v>31</v>
      </c>
      <c r="S1196" s="46" t="s">
        <v>31</v>
      </c>
      <c r="T1196" s="46" t="s">
        <v>31</v>
      </c>
      <c r="U1196" s="46" t="s">
        <v>49</v>
      </c>
    </row>
    <row r="1197" spans="1:21">
      <c r="A1197" s="46" t="s">
        <v>787</v>
      </c>
      <c r="B1197" s="46" t="s">
        <v>221</v>
      </c>
      <c r="C1197" s="46" t="s">
        <v>666</v>
      </c>
      <c r="D1197" s="46">
        <v>1</v>
      </c>
      <c r="E1197" s="46">
        <v>0</v>
      </c>
      <c r="F1197" s="46" t="s">
        <v>775</v>
      </c>
      <c r="G1197" s="46" t="s">
        <v>1305</v>
      </c>
      <c r="H1197" s="46" t="s">
        <v>3716</v>
      </c>
      <c r="I1197" s="46" t="str">
        <f ca="1">IFERROR(__xludf.DUMMYFUNCTION("CONCAT(A1197,REGEXREPLACE(H1197,"".*_L0"",""_L0""))"),"PD_BN1872_MTG_snRNAseq_rep1_L003_R2_001.fastq.gz")</f>
        <v>PD_BN1872_MTG_snRNAseq_rep1_L003_R2_001.fastq.gz</v>
      </c>
      <c r="J1197" s="46" t="str">
        <f t="shared" si="4"/>
        <v>/data/neurogen/ASAP/scRNAseq/data/batch23_ASAP_snRNA-seq_*/Raw_Data_and_Processing/cellranger_processing/cellranger_fastqs/outs/fastq_path/H*/BN1872_S3_L003_R2_001.fastq.gz</v>
      </c>
      <c r="K1197" s="46" t="s">
        <v>1344</v>
      </c>
      <c r="L1197" s="46" t="s">
        <v>3717</v>
      </c>
      <c r="M1197" s="46" t="s">
        <v>1309</v>
      </c>
      <c r="N1197" s="46" t="s">
        <v>1310</v>
      </c>
      <c r="O1197" s="46" t="s">
        <v>1311</v>
      </c>
      <c r="P1197" s="46" t="s">
        <v>1312</v>
      </c>
      <c r="Q1197" s="46" t="s">
        <v>31</v>
      </c>
      <c r="R1197" s="46" t="s">
        <v>31</v>
      </c>
      <c r="S1197" s="46" t="s">
        <v>31</v>
      </c>
      <c r="T1197" s="46" t="s">
        <v>31</v>
      </c>
      <c r="U1197" s="46" t="s">
        <v>49</v>
      </c>
    </row>
    <row r="1198" spans="1:21">
      <c r="A1198" s="46" t="s">
        <v>787</v>
      </c>
      <c r="B1198" s="46" t="s">
        <v>221</v>
      </c>
      <c r="C1198" s="46" t="s">
        <v>666</v>
      </c>
      <c r="D1198" s="46">
        <v>1</v>
      </c>
      <c r="E1198" s="46">
        <v>0</v>
      </c>
      <c r="F1198" s="46" t="s">
        <v>775</v>
      </c>
      <c r="G1198" s="46" t="s">
        <v>1305</v>
      </c>
      <c r="H1198" s="46" t="s">
        <v>3718</v>
      </c>
      <c r="I1198" s="46" t="str">
        <f ca="1">IFERROR(__xludf.DUMMYFUNCTION("CONCAT(A1198,REGEXREPLACE(H1198,"".*_L0"",""_L0""))"),"PD_BN1872_MTG_snRNAseq_rep1_L004_I1_001.fastq.gz")</f>
        <v>PD_BN1872_MTG_snRNAseq_rep1_L004_I1_001.fastq.gz</v>
      </c>
      <c r="J1198" s="46" t="str">
        <f t="shared" si="4"/>
        <v>/data/neurogen/ASAP/scRNAseq/data/batch23_ASAP_snRNA-seq_*/Raw_Data_and_Processing/cellranger_processing/cellranger_fastqs/outs/fastq_path/H*/BN1872_S3_L004_I1_001.fastq.gz</v>
      </c>
      <c r="K1198" s="46" t="s">
        <v>1347</v>
      </c>
      <c r="L1198" s="46" t="s">
        <v>3719</v>
      </c>
      <c r="M1198" s="46" t="s">
        <v>1309</v>
      </c>
      <c r="N1198" s="46" t="s">
        <v>1310</v>
      </c>
      <c r="O1198" s="46" t="s">
        <v>1311</v>
      </c>
      <c r="P1198" s="46" t="s">
        <v>1312</v>
      </c>
      <c r="Q1198" s="46" t="s">
        <v>31</v>
      </c>
      <c r="R1198" s="46" t="s">
        <v>31</v>
      </c>
      <c r="S1198" s="46" t="s">
        <v>31</v>
      </c>
      <c r="T1198" s="46" t="s">
        <v>31</v>
      </c>
      <c r="U1198" s="46" t="s">
        <v>49</v>
      </c>
    </row>
    <row r="1199" spans="1:21">
      <c r="A1199" s="46" t="s">
        <v>787</v>
      </c>
      <c r="B1199" s="46" t="s">
        <v>221</v>
      </c>
      <c r="C1199" s="46" t="s">
        <v>666</v>
      </c>
      <c r="D1199" s="46">
        <v>1</v>
      </c>
      <c r="E1199" s="46">
        <v>0</v>
      </c>
      <c r="F1199" s="46" t="s">
        <v>775</v>
      </c>
      <c r="G1199" s="46" t="s">
        <v>1305</v>
      </c>
      <c r="H1199" s="46" t="s">
        <v>3720</v>
      </c>
      <c r="I1199" s="46" t="str">
        <f ca="1">IFERROR(__xludf.DUMMYFUNCTION("CONCAT(A1199,REGEXREPLACE(H1199,"".*_L0"",""_L0""))"),"PD_BN1872_MTG_snRNAseq_rep1_L004_I2_001.fastq.gz")</f>
        <v>PD_BN1872_MTG_snRNAseq_rep1_L004_I2_001.fastq.gz</v>
      </c>
      <c r="J1199" s="46" t="str">
        <f t="shared" si="4"/>
        <v>/data/neurogen/ASAP/scRNAseq/data/batch23_ASAP_snRNA-seq_*/Raw_Data_and_Processing/cellranger_processing/cellranger_fastqs/outs/fastq_path/H*/BN1872_S3_L004_I2_001.fastq.gz</v>
      </c>
      <c r="K1199" s="46" t="s">
        <v>1350</v>
      </c>
      <c r="L1199" s="46" t="s">
        <v>3721</v>
      </c>
      <c r="M1199" s="46" t="s">
        <v>1309</v>
      </c>
      <c r="N1199" s="46" t="s">
        <v>1310</v>
      </c>
      <c r="O1199" s="46" t="s">
        <v>1311</v>
      </c>
      <c r="P1199" s="46" t="s">
        <v>1312</v>
      </c>
      <c r="Q1199" s="46" t="s">
        <v>31</v>
      </c>
      <c r="R1199" s="46" t="s">
        <v>31</v>
      </c>
      <c r="S1199" s="46" t="s">
        <v>31</v>
      </c>
      <c r="T1199" s="46" t="s">
        <v>31</v>
      </c>
      <c r="U1199" s="46" t="s">
        <v>49</v>
      </c>
    </row>
    <row r="1200" spans="1:21">
      <c r="A1200" s="46" t="s">
        <v>787</v>
      </c>
      <c r="B1200" s="46" t="s">
        <v>221</v>
      </c>
      <c r="C1200" s="46" t="s">
        <v>666</v>
      </c>
      <c r="D1200" s="46">
        <v>1</v>
      </c>
      <c r="E1200" s="46">
        <v>0</v>
      </c>
      <c r="F1200" s="46" t="s">
        <v>775</v>
      </c>
      <c r="G1200" s="46" t="s">
        <v>1305</v>
      </c>
      <c r="H1200" s="46" t="s">
        <v>3722</v>
      </c>
      <c r="I1200" s="46" t="str">
        <f ca="1">IFERROR(__xludf.DUMMYFUNCTION("CONCAT(A1200,REGEXREPLACE(H1200,"".*_L0"",""_L0""))"),"PD_BN1872_MTG_snRNAseq_rep1_L004_R1_001.fastq.gz")</f>
        <v>PD_BN1872_MTG_snRNAseq_rep1_L004_R1_001.fastq.gz</v>
      </c>
      <c r="J1200" s="46" t="str">
        <f t="shared" si="4"/>
        <v>/data/neurogen/ASAP/scRNAseq/data/batch23_ASAP_snRNA-seq_*/Raw_Data_and_Processing/cellranger_processing/cellranger_fastqs/outs/fastq_path/H*/BN1872_S3_L004_R1_001.fastq.gz</v>
      </c>
      <c r="K1200" s="46" t="s">
        <v>1353</v>
      </c>
      <c r="L1200" s="46" t="s">
        <v>3723</v>
      </c>
      <c r="M1200" s="46" t="s">
        <v>1309</v>
      </c>
      <c r="N1200" s="46" t="s">
        <v>1310</v>
      </c>
      <c r="O1200" s="46" t="s">
        <v>1311</v>
      </c>
      <c r="P1200" s="46" t="s">
        <v>1312</v>
      </c>
      <c r="Q1200" s="46" t="s">
        <v>31</v>
      </c>
      <c r="R1200" s="46" t="s">
        <v>31</v>
      </c>
      <c r="S1200" s="46" t="s">
        <v>31</v>
      </c>
      <c r="T1200" s="46" t="s">
        <v>31</v>
      </c>
      <c r="U1200" s="46" t="s">
        <v>49</v>
      </c>
    </row>
    <row r="1201" spans="1:21">
      <c r="A1201" s="46" t="s">
        <v>787</v>
      </c>
      <c r="B1201" s="46" t="s">
        <v>221</v>
      </c>
      <c r="C1201" s="46" t="s">
        <v>666</v>
      </c>
      <c r="D1201" s="46">
        <v>1</v>
      </c>
      <c r="E1201" s="46">
        <v>0</v>
      </c>
      <c r="F1201" s="46" t="s">
        <v>775</v>
      </c>
      <c r="G1201" s="46" t="s">
        <v>1305</v>
      </c>
      <c r="H1201" s="46" t="s">
        <v>3724</v>
      </c>
      <c r="I1201" s="46" t="str">
        <f ca="1">IFERROR(__xludf.DUMMYFUNCTION("CONCAT(A1201,REGEXREPLACE(H1201,"".*_L0"",""_L0""))"),"PD_BN1872_MTG_snRNAseq_rep1_L004_R2_001.fastq.gz")</f>
        <v>PD_BN1872_MTG_snRNAseq_rep1_L004_R2_001.fastq.gz</v>
      </c>
      <c r="J1201" s="46" t="str">
        <f t="shared" si="4"/>
        <v>/data/neurogen/ASAP/scRNAseq/data/batch23_ASAP_snRNA-seq_*/Raw_Data_and_Processing/cellranger_processing/cellranger_fastqs/outs/fastq_path/H*/BN1872_S3_L004_R2_001.fastq.gz</v>
      </c>
      <c r="K1201" s="46" t="s">
        <v>1356</v>
      </c>
      <c r="L1201" s="46" t="s">
        <v>3725</v>
      </c>
      <c r="M1201" s="46" t="s">
        <v>1309</v>
      </c>
      <c r="N1201" s="46" t="s">
        <v>1310</v>
      </c>
      <c r="O1201" s="46" t="s">
        <v>1311</v>
      </c>
      <c r="P1201" s="46" t="s">
        <v>1312</v>
      </c>
      <c r="Q1201" s="46" t="s">
        <v>31</v>
      </c>
      <c r="R1201" s="46" t="s">
        <v>31</v>
      </c>
      <c r="S1201" s="46" t="s">
        <v>31</v>
      </c>
      <c r="T1201" s="46" t="s">
        <v>31</v>
      </c>
      <c r="U1201" s="46" t="s">
        <v>49</v>
      </c>
    </row>
    <row r="1202" spans="1:21">
      <c r="A1202" s="46" t="s">
        <v>794</v>
      </c>
      <c r="B1202" s="46" t="s">
        <v>231</v>
      </c>
      <c r="C1202" s="46" t="s">
        <v>666</v>
      </c>
      <c r="D1202" s="46">
        <v>1</v>
      </c>
      <c r="E1202" s="46">
        <v>0</v>
      </c>
      <c r="F1202" s="46" t="s">
        <v>775</v>
      </c>
      <c r="G1202" s="46" t="s">
        <v>1305</v>
      </c>
      <c r="H1202" s="46" t="s">
        <v>3726</v>
      </c>
      <c r="I1202" s="46" t="str">
        <f ca="1">IFERROR(__xludf.DUMMYFUNCTION("CONCAT(A1202,REGEXREPLACE(H1202,"".*_L0"",""_L0""))"),"ILB_BN1939_MTG_snRNAseq_rep1_L001_I1_001.fastq.gz")</f>
        <v>ILB_BN1939_MTG_snRNAseq_rep1_L001_I1_001.fastq.gz</v>
      </c>
      <c r="J1202" s="46" t="str">
        <f t="shared" si="4"/>
        <v>/data/neurogen/ASAP/scRNAseq/data/batch23_ASAP_snRNA-seq_*/Raw_Data_and_Processing/cellranger_processing/cellranger_fastqs/outs/fastq_path/H*/BN1939_S1_L001_I1_001.fastq.gz</v>
      </c>
      <c r="K1202" s="46" t="s">
        <v>1307</v>
      </c>
      <c r="L1202" s="46" t="s">
        <v>3727</v>
      </c>
      <c r="M1202" s="46" t="s">
        <v>1309</v>
      </c>
      <c r="N1202" s="46" t="s">
        <v>1310</v>
      </c>
      <c r="O1202" s="46" t="s">
        <v>1311</v>
      </c>
      <c r="P1202" s="46" t="s">
        <v>1312</v>
      </c>
      <c r="Q1202" s="46" t="s">
        <v>31</v>
      </c>
      <c r="R1202" s="46" t="s">
        <v>31</v>
      </c>
      <c r="S1202" s="46" t="s">
        <v>31</v>
      </c>
      <c r="T1202" s="46" t="s">
        <v>31</v>
      </c>
      <c r="U1202" s="46" t="s">
        <v>49</v>
      </c>
    </row>
    <row r="1203" spans="1:21">
      <c r="A1203" s="46" t="s">
        <v>794</v>
      </c>
      <c r="B1203" s="46" t="s">
        <v>231</v>
      </c>
      <c r="C1203" s="46" t="s">
        <v>666</v>
      </c>
      <c r="D1203" s="46">
        <v>1</v>
      </c>
      <c r="E1203" s="46">
        <v>0</v>
      </c>
      <c r="F1203" s="46" t="s">
        <v>775</v>
      </c>
      <c r="G1203" s="46" t="s">
        <v>1305</v>
      </c>
      <c r="H1203" s="46" t="s">
        <v>3728</v>
      </c>
      <c r="I1203" s="46" t="str">
        <f ca="1">IFERROR(__xludf.DUMMYFUNCTION("CONCAT(A1203,REGEXREPLACE(H1203,"".*_L0"",""_L0""))"),"ILB_BN1939_MTG_snRNAseq_rep1_L001_I2_001.fastq.gz")</f>
        <v>ILB_BN1939_MTG_snRNAseq_rep1_L001_I2_001.fastq.gz</v>
      </c>
      <c r="J1203" s="46" t="str">
        <f t="shared" si="4"/>
        <v>/data/neurogen/ASAP/scRNAseq/data/batch23_ASAP_snRNA-seq_*/Raw_Data_and_Processing/cellranger_processing/cellranger_fastqs/outs/fastq_path/H*/BN1939_S1_L001_I2_001.fastq.gz</v>
      </c>
      <c r="K1203" s="46" t="s">
        <v>1314</v>
      </c>
      <c r="L1203" s="46" t="s">
        <v>3729</v>
      </c>
      <c r="M1203" s="46" t="s">
        <v>1309</v>
      </c>
      <c r="N1203" s="46" t="s">
        <v>1310</v>
      </c>
      <c r="O1203" s="46" t="s">
        <v>1311</v>
      </c>
      <c r="P1203" s="46" t="s">
        <v>1312</v>
      </c>
      <c r="Q1203" s="46" t="s">
        <v>31</v>
      </c>
      <c r="R1203" s="46" t="s">
        <v>31</v>
      </c>
      <c r="S1203" s="46" t="s">
        <v>31</v>
      </c>
      <c r="T1203" s="46" t="s">
        <v>31</v>
      </c>
      <c r="U1203" s="46" t="s">
        <v>49</v>
      </c>
    </row>
    <row r="1204" spans="1:21">
      <c r="A1204" s="46" t="s">
        <v>794</v>
      </c>
      <c r="B1204" s="46" t="s">
        <v>231</v>
      </c>
      <c r="C1204" s="46" t="s">
        <v>666</v>
      </c>
      <c r="D1204" s="46">
        <v>1</v>
      </c>
      <c r="E1204" s="46">
        <v>0</v>
      </c>
      <c r="F1204" s="46" t="s">
        <v>775</v>
      </c>
      <c r="G1204" s="46" t="s">
        <v>1305</v>
      </c>
      <c r="H1204" s="46" t="s">
        <v>3730</v>
      </c>
      <c r="I1204" s="46" t="str">
        <f ca="1">IFERROR(__xludf.DUMMYFUNCTION("CONCAT(A1204,REGEXREPLACE(H1204,"".*_L0"",""_L0""))"),"ILB_BN1939_MTG_snRNAseq_rep1_L001_R1_001.fastq.gz")</f>
        <v>ILB_BN1939_MTG_snRNAseq_rep1_L001_R1_001.fastq.gz</v>
      </c>
      <c r="J1204" s="46" t="str">
        <f t="shared" si="4"/>
        <v>/data/neurogen/ASAP/scRNAseq/data/batch23_ASAP_snRNA-seq_*/Raw_Data_and_Processing/cellranger_processing/cellranger_fastqs/outs/fastq_path/H*/BN1939_S1_L001_R1_001.fastq.gz</v>
      </c>
      <c r="K1204" s="46" t="s">
        <v>1317</v>
      </c>
      <c r="L1204" s="46" t="s">
        <v>3731</v>
      </c>
      <c r="M1204" s="46" t="s">
        <v>1309</v>
      </c>
      <c r="N1204" s="46" t="s">
        <v>1310</v>
      </c>
      <c r="O1204" s="46" t="s">
        <v>1311</v>
      </c>
      <c r="P1204" s="46" t="s">
        <v>1312</v>
      </c>
      <c r="Q1204" s="46" t="s">
        <v>31</v>
      </c>
      <c r="R1204" s="46" t="s">
        <v>31</v>
      </c>
      <c r="S1204" s="46" t="s">
        <v>31</v>
      </c>
      <c r="T1204" s="46" t="s">
        <v>31</v>
      </c>
      <c r="U1204" s="46" t="s">
        <v>49</v>
      </c>
    </row>
    <row r="1205" spans="1:21">
      <c r="A1205" s="46" t="s">
        <v>794</v>
      </c>
      <c r="B1205" s="46" t="s">
        <v>231</v>
      </c>
      <c r="C1205" s="46" t="s">
        <v>666</v>
      </c>
      <c r="D1205" s="46">
        <v>1</v>
      </c>
      <c r="E1205" s="46">
        <v>0</v>
      </c>
      <c r="F1205" s="46" t="s">
        <v>775</v>
      </c>
      <c r="G1205" s="46" t="s">
        <v>1305</v>
      </c>
      <c r="H1205" s="46" t="s">
        <v>3732</v>
      </c>
      <c r="I1205" s="46" t="str">
        <f ca="1">IFERROR(__xludf.DUMMYFUNCTION("CONCAT(A1205,REGEXREPLACE(H1205,"".*_L0"",""_L0""))"),"ILB_BN1939_MTG_snRNAseq_rep1_L001_R2_001.fastq.gz")</f>
        <v>ILB_BN1939_MTG_snRNAseq_rep1_L001_R2_001.fastq.gz</v>
      </c>
      <c r="J1205" s="46" t="str">
        <f t="shared" si="4"/>
        <v>/data/neurogen/ASAP/scRNAseq/data/batch23_ASAP_snRNA-seq_*/Raw_Data_and_Processing/cellranger_processing/cellranger_fastqs/outs/fastq_path/H*/BN1939_S1_L001_R2_001.fastq.gz</v>
      </c>
      <c r="K1205" s="46" t="s">
        <v>1320</v>
      </c>
      <c r="L1205" s="46" t="s">
        <v>3733</v>
      </c>
      <c r="M1205" s="46" t="s">
        <v>1309</v>
      </c>
      <c r="N1205" s="46" t="s">
        <v>1310</v>
      </c>
      <c r="O1205" s="46" t="s">
        <v>1311</v>
      </c>
      <c r="P1205" s="46" t="s">
        <v>1312</v>
      </c>
      <c r="Q1205" s="46" t="s">
        <v>31</v>
      </c>
      <c r="R1205" s="46" t="s">
        <v>31</v>
      </c>
      <c r="S1205" s="46" t="s">
        <v>31</v>
      </c>
      <c r="T1205" s="46" t="s">
        <v>31</v>
      </c>
      <c r="U1205" s="46" t="s">
        <v>49</v>
      </c>
    </row>
    <row r="1206" spans="1:21">
      <c r="A1206" s="46" t="s">
        <v>794</v>
      </c>
      <c r="B1206" s="46" t="s">
        <v>231</v>
      </c>
      <c r="C1206" s="46" t="s">
        <v>666</v>
      </c>
      <c r="D1206" s="46">
        <v>1</v>
      </c>
      <c r="E1206" s="46">
        <v>0</v>
      </c>
      <c r="F1206" s="46" t="s">
        <v>775</v>
      </c>
      <c r="G1206" s="46" t="s">
        <v>1305</v>
      </c>
      <c r="H1206" s="46" t="s">
        <v>3734</v>
      </c>
      <c r="I1206" s="46" t="str">
        <f ca="1">IFERROR(__xludf.DUMMYFUNCTION("CONCAT(A1206,REGEXREPLACE(H1206,"".*_L0"",""_L0""))"),"ILB_BN1939_MTG_snRNAseq_rep1_L002_I1_001.fastq.gz")</f>
        <v>ILB_BN1939_MTG_snRNAseq_rep1_L002_I1_001.fastq.gz</v>
      </c>
      <c r="J1206" s="46" t="str">
        <f t="shared" si="4"/>
        <v>/data/neurogen/ASAP/scRNAseq/data/batch23_ASAP_snRNA-seq_*/Raw_Data_and_Processing/cellranger_processing/cellranger_fastqs/outs/fastq_path/H*/BN1939_S1_L002_I1_001.fastq.gz</v>
      </c>
      <c r="K1206" s="46" t="s">
        <v>1323</v>
      </c>
      <c r="L1206" s="46" t="s">
        <v>3735</v>
      </c>
      <c r="M1206" s="46" t="s">
        <v>1309</v>
      </c>
      <c r="N1206" s="46" t="s">
        <v>1310</v>
      </c>
      <c r="O1206" s="46" t="s">
        <v>1311</v>
      </c>
      <c r="P1206" s="46" t="s">
        <v>1312</v>
      </c>
      <c r="Q1206" s="46" t="s">
        <v>31</v>
      </c>
      <c r="R1206" s="46" t="s">
        <v>31</v>
      </c>
      <c r="S1206" s="46" t="s">
        <v>31</v>
      </c>
      <c r="T1206" s="46" t="s">
        <v>31</v>
      </c>
      <c r="U1206" s="46" t="s">
        <v>49</v>
      </c>
    </row>
    <row r="1207" spans="1:21">
      <c r="A1207" s="46" t="s">
        <v>794</v>
      </c>
      <c r="B1207" s="46" t="s">
        <v>231</v>
      </c>
      <c r="C1207" s="46" t="s">
        <v>666</v>
      </c>
      <c r="D1207" s="46">
        <v>1</v>
      </c>
      <c r="E1207" s="46">
        <v>0</v>
      </c>
      <c r="F1207" s="46" t="s">
        <v>775</v>
      </c>
      <c r="G1207" s="46" t="s">
        <v>1305</v>
      </c>
      <c r="H1207" s="46" t="s">
        <v>3736</v>
      </c>
      <c r="I1207" s="46" t="str">
        <f ca="1">IFERROR(__xludf.DUMMYFUNCTION("CONCAT(A1207,REGEXREPLACE(H1207,"".*_L0"",""_L0""))"),"ILB_BN1939_MTG_snRNAseq_rep1_L002_I2_001.fastq.gz")</f>
        <v>ILB_BN1939_MTG_snRNAseq_rep1_L002_I2_001.fastq.gz</v>
      </c>
      <c r="J1207" s="46" t="str">
        <f t="shared" si="4"/>
        <v>/data/neurogen/ASAP/scRNAseq/data/batch23_ASAP_snRNA-seq_*/Raw_Data_and_Processing/cellranger_processing/cellranger_fastqs/outs/fastq_path/H*/BN1939_S1_L002_I2_001.fastq.gz</v>
      </c>
      <c r="K1207" s="46" t="s">
        <v>1326</v>
      </c>
      <c r="L1207" s="46" t="s">
        <v>3737</v>
      </c>
      <c r="M1207" s="46" t="s">
        <v>1309</v>
      </c>
      <c r="N1207" s="46" t="s">
        <v>1310</v>
      </c>
      <c r="O1207" s="46" t="s">
        <v>1311</v>
      </c>
      <c r="P1207" s="46" t="s">
        <v>1312</v>
      </c>
      <c r="Q1207" s="46" t="s">
        <v>31</v>
      </c>
      <c r="R1207" s="46" t="s">
        <v>31</v>
      </c>
      <c r="S1207" s="46" t="s">
        <v>31</v>
      </c>
      <c r="T1207" s="46" t="s">
        <v>31</v>
      </c>
      <c r="U1207" s="46" t="s">
        <v>49</v>
      </c>
    </row>
    <row r="1208" spans="1:21">
      <c r="A1208" s="46" t="s">
        <v>794</v>
      </c>
      <c r="B1208" s="46" t="s">
        <v>231</v>
      </c>
      <c r="C1208" s="46" t="s">
        <v>666</v>
      </c>
      <c r="D1208" s="46">
        <v>1</v>
      </c>
      <c r="E1208" s="46">
        <v>0</v>
      </c>
      <c r="F1208" s="46" t="s">
        <v>775</v>
      </c>
      <c r="G1208" s="46" t="s">
        <v>1305</v>
      </c>
      <c r="H1208" s="46" t="s">
        <v>3738</v>
      </c>
      <c r="I1208" s="46" t="str">
        <f ca="1">IFERROR(__xludf.DUMMYFUNCTION("CONCAT(A1208,REGEXREPLACE(H1208,"".*_L0"",""_L0""))"),"ILB_BN1939_MTG_snRNAseq_rep1_L002_R1_001.fastq.gz")</f>
        <v>ILB_BN1939_MTG_snRNAseq_rep1_L002_R1_001.fastq.gz</v>
      </c>
      <c r="J1208" s="46" t="str">
        <f t="shared" si="4"/>
        <v>/data/neurogen/ASAP/scRNAseq/data/batch23_ASAP_snRNA-seq_*/Raw_Data_and_Processing/cellranger_processing/cellranger_fastqs/outs/fastq_path/H*/BN1939_S1_L002_R1_001.fastq.gz</v>
      </c>
      <c r="K1208" s="46" t="s">
        <v>1329</v>
      </c>
      <c r="L1208" s="47" t="s">
        <v>3739</v>
      </c>
      <c r="M1208" s="46" t="s">
        <v>1309</v>
      </c>
      <c r="N1208" s="46" t="s">
        <v>1310</v>
      </c>
      <c r="O1208" s="46" t="s">
        <v>1311</v>
      </c>
      <c r="P1208" s="46" t="s">
        <v>1312</v>
      </c>
      <c r="Q1208" s="46" t="s">
        <v>31</v>
      </c>
      <c r="R1208" s="46" t="s">
        <v>31</v>
      </c>
      <c r="S1208" s="46" t="s">
        <v>31</v>
      </c>
      <c r="T1208" s="46" t="s">
        <v>31</v>
      </c>
      <c r="U1208" s="46" t="s">
        <v>49</v>
      </c>
    </row>
    <row r="1209" spans="1:21">
      <c r="A1209" s="46" t="s">
        <v>794</v>
      </c>
      <c r="B1209" s="46" t="s">
        <v>231</v>
      </c>
      <c r="C1209" s="46" t="s">
        <v>666</v>
      </c>
      <c r="D1209" s="46">
        <v>1</v>
      </c>
      <c r="E1209" s="46">
        <v>0</v>
      </c>
      <c r="F1209" s="46" t="s">
        <v>775</v>
      </c>
      <c r="G1209" s="46" t="s">
        <v>1305</v>
      </c>
      <c r="H1209" s="46" t="s">
        <v>3740</v>
      </c>
      <c r="I1209" s="46" t="str">
        <f ca="1">IFERROR(__xludf.DUMMYFUNCTION("CONCAT(A1209,REGEXREPLACE(H1209,"".*_L0"",""_L0""))"),"ILB_BN1939_MTG_snRNAseq_rep1_L002_R2_001.fastq.gz")</f>
        <v>ILB_BN1939_MTG_snRNAseq_rep1_L002_R2_001.fastq.gz</v>
      </c>
      <c r="J1209" s="46" t="str">
        <f t="shared" si="4"/>
        <v>/data/neurogen/ASAP/scRNAseq/data/batch23_ASAP_snRNA-seq_*/Raw_Data_and_Processing/cellranger_processing/cellranger_fastqs/outs/fastq_path/H*/BN1939_S1_L002_R2_001.fastq.gz</v>
      </c>
      <c r="K1209" s="46" t="s">
        <v>1332</v>
      </c>
      <c r="L1209" s="46" t="s">
        <v>3741</v>
      </c>
      <c r="M1209" s="46" t="s">
        <v>1309</v>
      </c>
      <c r="N1209" s="46" t="s">
        <v>1310</v>
      </c>
      <c r="O1209" s="46" t="s">
        <v>1311</v>
      </c>
      <c r="P1209" s="46" t="s">
        <v>1312</v>
      </c>
      <c r="Q1209" s="46" t="s">
        <v>31</v>
      </c>
      <c r="R1209" s="46" t="s">
        <v>31</v>
      </c>
      <c r="S1209" s="46" t="s">
        <v>31</v>
      </c>
      <c r="T1209" s="46" t="s">
        <v>31</v>
      </c>
      <c r="U1209" s="46" t="s">
        <v>49</v>
      </c>
    </row>
    <row r="1210" spans="1:21">
      <c r="A1210" s="46" t="s">
        <v>794</v>
      </c>
      <c r="B1210" s="46" t="s">
        <v>231</v>
      </c>
      <c r="C1210" s="46" t="s">
        <v>666</v>
      </c>
      <c r="D1210" s="46">
        <v>1</v>
      </c>
      <c r="E1210" s="46">
        <v>0</v>
      </c>
      <c r="F1210" s="46" t="s">
        <v>775</v>
      </c>
      <c r="G1210" s="46" t="s">
        <v>1305</v>
      </c>
      <c r="H1210" s="46" t="s">
        <v>3742</v>
      </c>
      <c r="I1210" s="46" t="str">
        <f ca="1">IFERROR(__xludf.DUMMYFUNCTION("CONCAT(A1210,REGEXREPLACE(H1210,"".*_L0"",""_L0""))"),"ILB_BN1939_MTG_snRNAseq_rep1_L003_I1_001.fastq.gz")</f>
        <v>ILB_BN1939_MTG_snRNAseq_rep1_L003_I1_001.fastq.gz</v>
      </c>
      <c r="J1210" s="46" t="str">
        <f t="shared" si="4"/>
        <v>/data/neurogen/ASAP/scRNAseq/data/batch23_ASAP_snRNA-seq_*/Raw_Data_and_Processing/cellranger_processing/cellranger_fastqs/outs/fastq_path/H*/BN1939_S1_L003_I1_001.fastq.gz</v>
      </c>
      <c r="K1210" s="46" t="s">
        <v>1335</v>
      </c>
      <c r="L1210" s="46" t="s">
        <v>3743</v>
      </c>
      <c r="M1210" s="46" t="s">
        <v>1309</v>
      </c>
      <c r="N1210" s="46" t="s">
        <v>1310</v>
      </c>
      <c r="O1210" s="46" t="s">
        <v>1311</v>
      </c>
      <c r="P1210" s="46" t="s">
        <v>1312</v>
      </c>
      <c r="Q1210" s="46" t="s">
        <v>31</v>
      </c>
      <c r="R1210" s="46" t="s">
        <v>31</v>
      </c>
      <c r="S1210" s="46" t="s">
        <v>31</v>
      </c>
      <c r="T1210" s="46" t="s">
        <v>31</v>
      </c>
      <c r="U1210" s="46" t="s">
        <v>49</v>
      </c>
    </row>
    <row r="1211" spans="1:21">
      <c r="A1211" s="46" t="s">
        <v>794</v>
      </c>
      <c r="B1211" s="46" t="s">
        <v>231</v>
      </c>
      <c r="C1211" s="46" t="s">
        <v>666</v>
      </c>
      <c r="D1211" s="46">
        <v>1</v>
      </c>
      <c r="E1211" s="46">
        <v>0</v>
      </c>
      <c r="F1211" s="46" t="s">
        <v>775</v>
      </c>
      <c r="G1211" s="46" t="s">
        <v>1305</v>
      </c>
      <c r="H1211" s="46" t="s">
        <v>3744</v>
      </c>
      <c r="I1211" s="46" t="str">
        <f ca="1">IFERROR(__xludf.DUMMYFUNCTION("CONCAT(A1211,REGEXREPLACE(H1211,"".*_L0"",""_L0""))"),"ILB_BN1939_MTG_snRNAseq_rep1_L003_I2_001.fastq.gz")</f>
        <v>ILB_BN1939_MTG_snRNAseq_rep1_L003_I2_001.fastq.gz</v>
      </c>
      <c r="J1211" s="46" t="str">
        <f t="shared" si="4"/>
        <v>/data/neurogen/ASAP/scRNAseq/data/batch23_ASAP_snRNA-seq_*/Raw_Data_and_Processing/cellranger_processing/cellranger_fastqs/outs/fastq_path/H*/BN1939_S1_L003_I2_001.fastq.gz</v>
      </c>
      <c r="K1211" s="46" t="s">
        <v>1338</v>
      </c>
      <c r="L1211" s="46" t="s">
        <v>3745</v>
      </c>
      <c r="M1211" s="46" t="s">
        <v>1309</v>
      </c>
      <c r="N1211" s="46" t="s">
        <v>1310</v>
      </c>
      <c r="O1211" s="46" t="s">
        <v>1311</v>
      </c>
      <c r="P1211" s="46" t="s">
        <v>1312</v>
      </c>
      <c r="Q1211" s="46" t="s">
        <v>31</v>
      </c>
      <c r="R1211" s="46" t="s">
        <v>31</v>
      </c>
      <c r="S1211" s="46" t="s">
        <v>31</v>
      </c>
      <c r="T1211" s="46" t="s">
        <v>31</v>
      </c>
      <c r="U1211" s="46" t="s">
        <v>49</v>
      </c>
    </row>
    <row r="1212" spans="1:21">
      <c r="A1212" s="46" t="s">
        <v>794</v>
      </c>
      <c r="B1212" s="46" t="s">
        <v>231</v>
      </c>
      <c r="C1212" s="46" t="s">
        <v>666</v>
      </c>
      <c r="D1212" s="46">
        <v>1</v>
      </c>
      <c r="E1212" s="46">
        <v>0</v>
      </c>
      <c r="F1212" s="46" t="s">
        <v>775</v>
      </c>
      <c r="G1212" s="46" t="s">
        <v>1305</v>
      </c>
      <c r="H1212" s="46" t="s">
        <v>3746</v>
      </c>
      <c r="I1212" s="46" t="str">
        <f ca="1">IFERROR(__xludf.DUMMYFUNCTION("CONCAT(A1212,REGEXREPLACE(H1212,"".*_L0"",""_L0""))"),"ILB_BN1939_MTG_snRNAseq_rep1_L003_R1_001.fastq.gz")</f>
        <v>ILB_BN1939_MTG_snRNAseq_rep1_L003_R1_001.fastq.gz</v>
      </c>
      <c r="J1212" s="46" t="str">
        <f t="shared" si="4"/>
        <v>/data/neurogen/ASAP/scRNAseq/data/batch23_ASAP_snRNA-seq_*/Raw_Data_and_Processing/cellranger_processing/cellranger_fastqs/outs/fastq_path/H*/BN1939_S1_L003_R1_001.fastq.gz</v>
      </c>
      <c r="K1212" s="46" t="s">
        <v>1341</v>
      </c>
      <c r="L1212" s="46" t="s">
        <v>3747</v>
      </c>
      <c r="M1212" s="46" t="s">
        <v>1309</v>
      </c>
      <c r="N1212" s="46" t="s">
        <v>1310</v>
      </c>
      <c r="O1212" s="46" t="s">
        <v>1311</v>
      </c>
      <c r="P1212" s="46" t="s">
        <v>1312</v>
      </c>
      <c r="Q1212" s="46" t="s">
        <v>31</v>
      </c>
      <c r="R1212" s="46" t="s">
        <v>31</v>
      </c>
      <c r="S1212" s="46" t="s">
        <v>31</v>
      </c>
      <c r="T1212" s="46" t="s">
        <v>31</v>
      </c>
      <c r="U1212" s="46" t="s">
        <v>49</v>
      </c>
    </row>
    <row r="1213" spans="1:21">
      <c r="A1213" s="46" t="s">
        <v>794</v>
      </c>
      <c r="B1213" s="46" t="s">
        <v>231</v>
      </c>
      <c r="C1213" s="46" t="s">
        <v>666</v>
      </c>
      <c r="D1213" s="46">
        <v>1</v>
      </c>
      <c r="E1213" s="46">
        <v>0</v>
      </c>
      <c r="F1213" s="46" t="s">
        <v>775</v>
      </c>
      <c r="G1213" s="46" t="s">
        <v>1305</v>
      </c>
      <c r="H1213" s="46" t="s">
        <v>3748</v>
      </c>
      <c r="I1213" s="46" t="str">
        <f ca="1">IFERROR(__xludf.DUMMYFUNCTION("CONCAT(A1213,REGEXREPLACE(H1213,"".*_L0"",""_L0""))"),"ILB_BN1939_MTG_snRNAseq_rep1_L003_R2_001.fastq.gz")</f>
        <v>ILB_BN1939_MTG_snRNAseq_rep1_L003_R2_001.fastq.gz</v>
      </c>
      <c r="J1213" s="46" t="str">
        <f t="shared" si="4"/>
        <v>/data/neurogen/ASAP/scRNAseq/data/batch23_ASAP_snRNA-seq_*/Raw_Data_and_Processing/cellranger_processing/cellranger_fastqs/outs/fastq_path/H*/BN1939_S1_L003_R2_001.fastq.gz</v>
      </c>
      <c r="K1213" s="46" t="s">
        <v>1344</v>
      </c>
      <c r="L1213" s="46" t="s">
        <v>3749</v>
      </c>
      <c r="M1213" s="46" t="s">
        <v>1309</v>
      </c>
      <c r="N1213" s="46" t="s">
        <v>1310</v>
      </c>
      <c r="O1213" s="46" t="s">
        <v>1311</v>
      </c>
      <c r="P1213" s="46" t="s">
        <v>1312</v>
      </c>
      <c r="Q1213" s="46" t="s">
        <v>31</v>
      </c>
      <c r="R1213" s="46" t="s">
        <v>31</v>
      </c>
      <c r="S1213" s="46" t="s">
        <v>31</v>
      </c>
      <c r="T1213" s="46" t="s">
        <v>31</v>
      </c>
      <c r="U1213" s="46" t="s">
        <v>49</v>
      </c>
    </row>
    <row r="1214" spans="1:21">
      <c r="A1214" s="46" t="s">
        <v>794</v>
      </c>
      <c r="B1214" s="46" t="s">
        <v>231</v>
      </c>
      <c r="C1214" s="46" t="s">
        <v>666</v>
      </c>
      <c r="D1214" s="46">
        <v>1</v>
      </c>
      <c r="E1214" s="46">
        <v>0</v>
      </c>
      <c r="F1214" s="46" t="s">
        <v>775</v>
      </c>
      <c r="G1214" s="46" t="s">
        <v>1305</v>
      </c>
      <c r="H1214" s="46" t="s">
        <v>3750</v>
      </c>
      <c r="I1214" s="46" t="str">
        <f ca="1">IFERROR(__xludf.DUMMYFUNCTION("CONCAT(A1214,REGEXREPLACE(H1214,"".*_L0"",""_L0""))"),"ILB_BN1939_MTG_snRNAseq_rep1_L004_I1_001.fastq.gz")</f>
        <v>ILB_BN1939_MTG_snRNAseq_rep1_L004_I1_001.fastq.gz</v>
      </c>
      <c r="J1214" s="46" t="str">
        <f t="shared" si="4"/>
        <v>/data/neurogen/ASAP/scRNAseq/data/batch23_ASAP_snRNA-seq_*/Raw_Data_and_Processing/cellranger_processing/cellranger_fastqs/outs/fastq_path/H*/BN1939_S1_L004_I1_001.fastq.gz</v>
      </c>
      <c r="K1214" s="46" t="s">
        <v>1347</v>
      </c>
      <c r="L1214" s="46" t="s">
        <v>3751</v>
      </c>
      <c r="M1214" s="46" t="s">
        <v>1309</v>
      </c>
      <c r="N1214" s="46" t="s">
        <v>1310</v>
      </c>
      <c r="O1214" s="46" t="s">
        <v>1311</v>
      </c>
      <c r="P1214" s="46" t="s">
        <v>1312</v>
      </c>
      <c r="Q1214" s="46" t="s">
        <v>31</v>
      </c>
      <c r="R1214" s="46" t="s">
        <v>31</v>
      </c>
      <c r="S1214" s="46" t="s">
        <v>31</v>
      </c>
      <c r="T1214" s="46" t="s">
        <v>31</v>
      </c>
      <c r="U1214" s="46" t="s">
        <v>49</v>
      </c>
    </row>
    <row r="1215" spans="1:21">
      <c r="A1215" s="46" t="s">
        <v>794</v>
      </c>
      <c r="B1215" s="46" t="s">
        <v>231</v>
      </c>
      <c r="C1215" s="46" t="s">
        <v>666</v>
      </c>
      <c r="D1215" s="46">
        <v>1</v>
      </c>
      <c r="E1215" s="46">
        <v>0</v>
      </c>
      <c r="F1215" s="46" t="s">
        <v>775</v>
      </c>
      <c r="G1215" s="46" t="s">
        <v>1305</v>
      </c>
      <c r="H1215" s="46" t="s">
        <v>3752</v>
      </c>
      <c r="I1215" s="46" t="str">
        <f ca="1">IFERROR(__xludf.DUMMYFUNCTION("CONCAT(A1215,REGEXREPLACE(H1215,"".*_L0"",""_L0""))"),"ILB_BN1939_MTG_snRNAseq_rep1_L004_I2_001.fastq.gz")</f>
        <v>ILB_BN1939_MTG_snRNAseq_rep1_L004_I2_001.fastq.gz</v>
      </c>
      <c r="J1215" s="46" t="str">
        <f t="shared" si="4"/>
        <v>/data/neurogen/ASAP/scRNAseq/data/batch23_ASAP_snRNA-seq_*/Raw_Data_and_Processing/cellranger_processing/cellranger_fastqs/outs/fastq_path/H*/BN1939_S1_L004_I2_001.fastq.gz</v>
      </c>
      <c r="K1215" s="46" t="s">
        <v>1350</v>
      </c>
      <c r="L1215" s="46" t="s">
        <v>3753</v>
      </c>
      <c r="M1215" s="46" t="s">
        <v>1309</v>
      </c>
      <c r="N1215" s="46" t="s">
        <v>1310</v>
      </c>
      <c r="O1215" s="46" t="s">
        <v>1311</v>
      </c>
      <c r="P1215" s="46" t="s">
        <v>1312</v>
      </c>
      <c r="Q1215" s="46" t="s">
        <v>31</v>
      </c>
      <c r="R1215" s="46" t="s">
        <v>31</v>
      </c>
      <c r="S1215" s="46" t="s">
        <v>31</v>
      </c>
      <c r="T1215" s="46" t="s">
        <v>31</v>
      </c>
      <c r="U1215" s="46" t="s">
        <v>49</v>
      </c>
    </row>
    <row r="1216" spans="1:21">
      <c r="A1216" s="46" t="s">
        <v>794</v>
      </c>
      <c r="B1216" s="46" t="s">
        <v>231</v>
      </c>
      <c r="C1216" s="46" t="s">
        <v>666</v>
      </c>
      <c r="D1216" s="46">
        <v>1</v>
      </c>
      <c r="E1216" s="46">
        <v>0</v>
      </c>
      <c r="F1216" s="46" t="s">
        <v>775</v>
      </c>
      <c r="G1216" s="46" t="s">
        <v>1305</v>
      </c>
      <c r="H1216" s="46" t="s">
        <v>3754</v>
      </c>
      <c r="I1216" s="46" t="str">
        <f ca="1">IFERROR(__xludf.DUMMYFUNCTION("CONCAT(A1216,REGEXREPLACE(H1216,"".*_L0"",""_L0""))"),"ILB_BN1939_MTG_snRNAseq_rep1_L004_R1_001.fastq.gz")</f>
        <v>ILB_BN1939_MTG_snRNAseq_rep1_L004_R1_001.fastq.gz</v>
      </c>
      <c r="J1216" s="46" t="str">
        <f t="shared" si="4"/>
        <v>/data/neurogen/ASAP/scRNAseq/data/batch23_ASAP_snRNA-seq_*/Raw_Data_and_Processing/cellranger_processing/cellranger_fastqs/outs/fastq_path/H*/BN1939_S1_L004_R1_001.fastq.gz</v>
      </c>
      <c r="K1216" s="46" t="s">
        <v>1353</v>
      </c>
      <c r="L1216" s="46" t="s">
        <v>3755</v>
      </c>
      <c r="M1216" s="46" t="s">
        <v>1309</v>
      </c>
      <c r="N1216" s="46" t="s">
        <v>1310</v>
      </c>
      <c r="O1216" s="46" t="s">
        <v>1311</v>
      </c>
      <c r="P1216" s="46" t="s">
        <v>1312</v>
      </c>
      <c r="Q1216" s="46" t="s">
        <v>31</v>
      </c>
      <c r="R1216" s="46" t="s">
        <v>31</v>
      </c>
      <c r="S1216" s="46" t="s">
        <v>31</v>
      </c>
      <c r="T1216" s="46" t="s">
        <v>31</v>
      </c>
      <c r="U1216" s="46" t="s">
        <v>49</v>
      </c>
    </row>
    <row r="1217" spans="1:21">
      <c r="A1217" s="46" t="s">
        <v>794</v>
      </c>
      <c r="B1217" s="46" t="s">
        <v>231</v>
      </c>
      <c r="C1217" s="46" t="s">
        <v>666</v>
      </c>
      <c r="D1217" s="46">
        <v>1</v>
      </c>
      <c r="E1217" s="46">
        <v>0</v>
      </c>
      <c r="F1217" s="46" t="s">
        <v>775</v>
      </c>
      <c r="G1217" s="46" t="s">
        <v>1305</v>
      </c>
      <c r="H1217" s="46" t="s">
        <v>3756</v>
      </c>
      <c r="I1217" s="46" t="str">
        <f ca="1">IFERROR(__xludf.DUMMYFUNCTION("CONCAT(A1217,REGEXREPLACE(H1217,"".*_L0"",""_L0""))"),"ILB_BN1939_MTG_snRNAseq_rep1_L004_R2_001.fastq.gz")</f>
        <v>ILB_BN1939_MTG_snRNAseq_rep1_L004_R2_001.fastq.gz</v>
      </c>
      <c r="J1217" s="46" t="str">
        <f t="shared" si="4"/>
        <v>/data/neurogen/ASAP/scRNAseq/data/batch23_ASAP_snRNA-seq_*/Raw_Data_and_Processing/cellranger_processing/cellranger_fastqs/outs/fastq_path/H*/BN1939_S1_L004_R2_001.fastq.gz</v>
      </c>
      <c r="K1217" s="46" t="s">
        <v>1356</v>
      </c>
      <c r="L1217" s="46" t="s">
        <v>3757</v>
      </c>
      <c r="M1217" s="46" t="s">
        <v>1309</v>
      </c>
      <c r="N1217" s="46" t="s">
        <v>1310</v>
      </c>
      <c r="O1217" s="46" t="s">
        <v>1311</v>
      </c>
      <c r="P1217" s="46" t="s">
        <v>1312</v>
      </c>
      <c r="Q1217" s="46" t="s">
        <v>31</v>
      </c>
      <c r="R1217" s="46" t="s">
        <v>31</v>
      </c>
      <c r="S1217" s="46" t="s">
        <v>31</v>
      </c>
      <c r="T1217" s="46" t="s">
        <v>31</v>
      </c>
      <c r="U1217" s="46" t="s">
        <v>49</v>
      </c>
    </row>
    <row r="1218" spans="1:21">
      <c r="A1218" s="46" t="s">
        <v>780</v>
      </c>
      <c r="B1218" s="46" t="s">
        <v>209</v>
      </c>
      <c r="C1218" s="46" t="s">
        <v>666</v>
      </c>
      <c r="D1218" s="46">
        <v>1</v>
      </c>
      <c r="E1218" s="46">
        <v>0</v>
      </c>
      <c r="F1218" s="46" t="s">
        <v>781</v>
      </c>
      <c r="G1218" s="46" t="s">
        <v>1305</v>
      </c>
      <c r="H1218" s="46" t="s">
        <v>3758</v>
      </c>
      <c r="I1218" s="46" t="str">
        <f ca="1">IFERROR(__xludf.DUMMYFUNCTION("CONCAT(A1218,REGEXREPLACE(H1218,"".*_L0"",""_L0""))"),"HC_BN1842_MTG_snRNAseq_rep1_L001_I1_001.fastq.gz")</f>
        <v>HC_BN1842_MTG_snRNAseq_rep1_L001_I1_001.fastq.gz</v>
      </c>
      <c r="J1218" s="46" t="str">
        <f t="shared" si="4"/>
        <v>/data/neurogen/ASAP/scRNAseq/data/batch24_ASAP_snRNA-seq_*/Raw_Data_and_Processing/cellranger_processing/cellranger_fastqs/outs/fastq_path/H*/BN1842_S1_L001_I1_001.fastq.gz</v>
      </c>
      <c r="K1218" s="46" t="s">
        <v>1307</v>
      </c>
      <c r="L1218" s="46" t="s">
        <v>3759</v>
      </c>
      <c r="M1218" s="46" t="s">
        <v>1309</v>
      </c>
      <c r="N1218" s="46" t="s">
        <v>1310</v>
      </c>
      <c r="O1218" s="46" t="s">
        <v>1311</v>
      </c>
      <c r="P1218" s="46" t="s">
        <v>1312</v>
      </c>
      <c r="Q1218" s="46" t="s">
        <v>31</v>
      </c>
      <c r="R1218" s="46" t="s">
        <v>31</v>
      </c>
      <c r="S1218" s="46" t="s">
        <v>31</v>
      </c>
      <c r="T1218" s="46" t="s">
        <v>31</v>
      </c>
      <c r="U1218" s="46" t="s">
        <v>49</v>
      </c>
    </row>
    <row r="1219" spans="1:21">
      <c r="A1219" s="46" t="s">
        <v>780</v>
      </c>
      <c r="B1219" s="46" t="s">
        <v>209</v>
      </c>
      <c r="C1219" s="46" t="s">
        <v>666</v>
      </c>
      <c r="D1219" s="46">
        <v>1</v>
      </c>
      <c r="E1219" s="46">
        <v>0</v>
      </c>
      <c r="F1219" s="46" t="s">
        <v>781</v>
      </c>
      <c r="G1219" s="46" t="s">
        <v>1305</v>
      </c>
      <c r="H1219" s="46" t="s">
        <v>3760</v>
      </c>
      <c r="I1219" s="46" t="str">
        <f ca="1">IFERROR(__xludf.DUMMYFUNCTION("CONCAT(A1219,REGEXREPLACE(H1219,"".*_L0"",""_L0""))"),"HC_BN1842_MTG_snRNAseq_rep1_L001_I2_001.fastq.gz")</f>
        <v>HC_BN1842_MTG_snRNAseq_rep1_L001_I2_001.fastq.gz</v>
      </c>
      <c r="J1219" s="46" t="str">
        <f t="shared" si="4"/>
        <v>/data/neurogen/ASAP/scRNAseq/data/batch24_ASAP_snRNA-seq_*/Raw_Data_and_Processing/cellranger_processing/cellranger_fastqs/outs/fastq_path/H*/BN1842_S1_L001_I2_001.fastq.gz</v>
      </c>
      <c r="K1219" s="46" t="s">
        <v>1314</v>
      </c>
      <c r="L1219" s="46" t="s">
        <v>3761</v>
      </c>
      <c r="M1219" s="46" t="s">
        <v>1309</v>
      </c>
      <c r="N1219" s="46" t="s">
        <v>1310</v>
      </c>
      <c r="O1219" s="46" t="s">
        <v>1311</v>
      </c>
      <c r="P1219" s="46" t="s">
        <v>1312</v>
      </c>
      <c r="Q1219" s="46" t="s">
        <v>31</v>
      </c>
      <c r="R1219" s="46" t="s">
        <v>31</v>
      </c>
      <c r="S1219" s="46" t="s">
        <v>31</v>
      </c>
      <c r="T1219" s="46" t="s">
        <v>31</v>
      </c>
      <c r="U1219" s="46" t="s">
        <v>49</v>
      </c>
    </row>
    <row r="1220" spans="1:21">
      <c r="A1220" s="46" t="s">
        <v>780</v>
      </c>
      <c r="B1220" s="46" t="s">
        <v>209</v>
      </c>
      <c r="C1220" s="46" t="s">
        <v>666</v>
      </c>
      <c r="D1220" s="46">
        <v>1</v>
      </c>
      <c r="E1220" s="46">
        <v>0</v>
      </c>
      <c r="F1220" s="46" t="s">
        <v>781</v>
      </c>
      <c r="G1220" s="46" t="s">
        <v>1305</v>
      </c>
      <c r="H1220" s="46" t="s">
        <v>3762</v>
      </c>
      <c r="I1220" s="46" t="str">
        <f ca="1">IFERROR(__xludf.DUMMYFUNCTION("CONCAT(A1220,REGEXREPLACE(H1220,"".*_L0"",""_L0""))"),"HC_BN1842_MTG_snRNAseq_rep1_L001_R1_001.fastq.gz")</f>
        <v>HC_BN1842_MTG_snRNAseq_rep1_L001_R1_001.fastq.gz</v>
      </c>
      <c r="J1220" s="46" t="str">
        <f t="shared" si="4"/>
        <v>/data/neurogen/ASAP/scRNAseq/data/batch24_ASAP_snRNA-seq_*/Raw_Data_and_Processing/cellranger_processing/cellranger_fastqs/outs/fastq_path/H*/BN1842_S1_L001_R1_001.fastq.gz</v>
      </c>
      <c r="K1220" s="46" t="s">
        <v>1317</v>
      </c>
      <c r="L1220" s="46" t="s">
        <v>3763</v>
      </c>
      <c r="M1220" s="46" t="s">
        <v>1309</v>
      </c>
      <c r="N1220" s="46" t="s">
        <v>1310</v>
      </c>
      <c r="O1220" s="46" t="s">
        <v>1311</v>
      </c>
      <c r="P1220" s="46" t="s">
        <v>1312</v>
      </c>
      <c r="Q1220" s="46" t="s">
        <v>31</v>
      </c>
      <c r="R1220" s="46" t="s">
        <v>31</v>
      </c>
      <c r="S1220" s="46" t="s">
        <v>31</v>
      </c>
      <c r="T1220" s="46" t="s">
        <v>31</v>
      </c>
      <c r="U1220" s="46" t="s">
        <v>49</v>
      </c>
    </row>
    <row r="1221" spans="1:21">
      <c r="A1221" s="46" t="s">
        <v>780</v>
      </c>
      <c r="B1221" s="46" t="s">
        <v>209</v>
      </c>
      <c r="C1221" s="46" t="s">
        <v>666</v>
      </c>
      <c r="D1221" s="46">
        <v>1</v>
      </c>
      <c r="E1221" s="46">
        <v>0</v>
      </c>
      <c r="F1221" s="46" t="s">
        <v>781</v>
      </c>
      <c r="G1221" s="46" t="s">
        <v>1305</v>
      </c>
      <c r="H1221" s="46" t="s">
        <v>3764</v>
      </c>
      <c r="I1221" s="46" t="str">
        <f ca="1">IFERROR(__xludf.DUMMYFUNCTION("CONCAT(A1221,REGEXREPLACE(H1221,"".*_L0"",""_L0""))"),"HC_BN1842_MTG_snRNAseq_rep1_L001_R2_001.fastq.gz")</f>
        <v>HC_BN1842_MTG_snRNAseq_rep1_L001_R2_001.fastq.gz</v>
      </c>
      <c r="J1221" s="46" t="str">
        <f t="shared" si="4"/>
        <v>/data/neurogen/ASAP/scRNAseq/data/batch24_ASAP_snRNA-seq_*/Raw_Data_and_Processing/cellranger_processing/cellranger_fastqs/outs/fastq_path/H*/BN1842_S1_L001_R2_001.fastq.gz</v>
      </c>
      <c r="K1221" s="46" t="s">
        <v>1320</v>
      </c>
      <c r="L1221" s="46" t="s">
        <v>3765</v>
      </c>
      <c r="M1221" s="46" t="s">
        <v>1309</v>
      </c>
      <c r="N1221" s="46" t="s">
        <v>1310</v>
      </c>
      <c r="O1221" s="46" t="s">
        <v>1311</v>
      </c>
      <c r="P1221" s="46" t="s">
        <v>1312</v>
      </c>
      <c r="Q1221" s="46" t="s">
        <v>31</v>
      </c>
      <c r="R1221" s="46" t="s">
        <v>31</v>
      </c>
      <c r="S1221" s="46" t="s">
        <v>31</v>
      </c>
      <c r="T1221" s="46" t="s">
        <v>31</v>
      </c>
      <c r="U1221" s="46" t="s">
        <v>49</v>
      </c>
    </row>
    <row r="1222" spans="1:21">
      <c r="A1222" s="46" t="s">
        <v>780</v>
      </c>
      <c r="B1222" s="46" t="s">
        <v>209</v>
      </c>
      <c r="C1222" s="46" t="s">
        <v>666</v>
      </c>
      <c r="D1222" s="46">
        <v>1</v>
      </c>
      <c r="E1222" s="46">
        <v>0</v>
      </c>
      <c r="F1222" s="46" t="s">
        <v>781</v>
      </c>
      <c r="G1222" s="46" t="s">
        <v>1305</v>
      </c>
      <c r="H1222" s="46" t="s">
        <v>3766</v>
      </c>
      <c r="I1222" s="46" t="str">
        <f ca="1">IFERROR(__xludf.DUMMYFUNCTION("CONCAT(A1222,REGEXREPLACE(H1222,"".*_L0"",""_L0""))"),"HC_BN1842_MTG_snRNAseq_rep1_L002_I1_001.fastq.gz")</f>
        <v>HC_BN1842_MTG_snRNAseq_rep1_L002_I1_001.fastq.gz</v>
      </c>
      <c r="J1222" s="46" t="str">
        <f t="shared" si="4"/>
        <v>/data/neurogen/ASAP/scRNAseq/data/batch24_ASAP_snRNA-seq_*/Raw_Data_and_Processing/cellranger_processing/cellranger_fastqs/outs/fastq_path/H*/BN1842_S1_L002_I1_001.fastq.gz</v>
      </c>
      <c r="K1222" s="46" t="s">
        <v>1323</v>
      </c>
      <c r="L1222" s="46" t="s">
        <v>3767</v>
      </c>
      <c r="M1222" s="46" t="s">
        <v>1309</v>
      </c>
      <c r="N1222" s="46" t="s">
        <v>1310</v>
      </c>
      <c r="O1222" s="46" t="s">
        <v>1311</v>
      </c>
      <c r="P1222" s="46" t="s">
        <v>1312</v>
      </c>
      <c r="Q1222" s="46" t="s">
        <v>31</v>
      </c>
      <c r="R1222" s="46" t="s">
        <v>31</v>
      </c>
      <c r="S1222" s="46" t="s">
        <v>31</v>
      </c>
      <c r="T1222" s="46" t="s">
        <v>31</v>
      </c>
      <c r="U1222" s="46" t="s">
        <v>49</v>
      </c>
    </row>
    <row r="1223" spans="1:21">
      <c r="A1223" s="46" t="s">
        <v>780</v>
      </c>
      <c r="B1223" s="46" t="s">
        <v>209</v>
      </c>
      <c r="C1223" s="46" t="s">
        <v>666</v>
      </c>
      <c r="D1223" s="46">
        <v>1</v>
      </c>
      <c r="E1223" s="46">
        <v>0</v>
      </c>
      <c r="F1223" s="46" t="s">
        <v>781</v>
      </c>
      <c r="G1223" s="46" t="s">
        <v>1305</v>
      </c>
      <c r="H1223" s="46" t="s">
        <v>3768</v>
      </c>
      <c r="I1223" s="46" t="str">
        <f ca="1">IFERROR(__xludf.DUMMYFUNCTION("CONCAT(A1223,REGEXREPLACE(H1223,"".*_L0"",""_L0""))"),"HC_BN1842_MTG_snRNAseq_rep1_L002_I2_001.fastq.gz")</f>
        <v>HC_BN1842_MTG_snRNAseq_rep1_L002_I2_001.fastq.gz</v>
      </c>
      <c r="J1223" s="46" t="str">
        <f t="shared" si="4"/>
        <v>/data/neurogen/ASAP/scRNAseq/data/batch24_ASAP_snRNA-seq_*/Raw_Data_and_Processing/cellranger_processing/cellranger_fastqs/outs/fastq_path/H*/BN1842_S1_L002_I2_001.fastq.gz</v>
      </c>
      <c r="K1223" s="46" t="s">
        <v>1326</v>
      </c>
      <c r="L1223" s="46" t="s">
        <v>3769</v>
      </c>
      <c r="M1223" s="46" t="s">
        <v>1309</v>
      </c>
      <c r="N1223" s="46" t="s">
        <v>1310</v>
      </c>
      <c r="O1223" s="46" t="s">
        <v>1311</v>
      </c>
      <c r="P1223" s="46" t="s">
        <v>1312</v>
      </c>
      <c r="Q1223" s="46" t="s">
        <v>31</v>
      </c>
      <c r="R1223" s="46" t="s">
        <v>31</v>
      </c>
      <c r="S1223" s="46" t="s">
        <v>31</v>
      </c>
      <c r="T1223" s="46" t="s">
        <v>31</v>
      </c>
      <c r="U1223" s="46" t="s">
        <v>49</v>
      </c>
    </row>
    <row r="1224" spans="1:21">
      <c r="A1224" s="46" t="s">
        <v>780</v>
      </c>
      <c r="B1224" s="46" t="s">
        <v>209</v>
      </c>
      <c r="C1224" s="46" t="s">
        <v>666</v>
      </c>
      <c r="D1224" s="46">
        <v>1</v>
      </c>
      <c r="E1224" s="46">
        <v>0</v>
      </c>
      <c r="F1224" s="46" t="s">
        <v>781</v>
      </c>
      <c r="G1224" s="46" t="s">
        <v>1305</v>
      </c>
      <c r="H1224" s="46" t="s">
        <v>3770</v>
      </c>
      <c r="I1224" s="46" t="str">
        <f ca="1">IFERROR(__xludf.DUMMYFUNCTION("CONCAT(A1224,REGEXREPLACE(H1224,"".*_L0"",""_L0""))"),"HC_BN1842_MTG_snRNAseq_rep1_L002_R1_001.fastq.gz")</f>
        <v>HC_BN1842_MTG_snRNAseq_rep1_L002_R1_001.fastq.gz</v>
      </c>
      <c r="J1224" s="46" t="str">
        <f t="shared" si="4"/>
        <v>/data/neurogen/ASAP/scRNAseq/data/batch24_ASAP_snRNA-seq_*/Raw_Data_and_Processing/cellranger_processing/cellranger_fastqs/outs/fastq_path/H*/BN1842_S1_L002_R1_001.fastq.gz</v>
      </c>
      <c r="K1224" s="46" t="s">
        <v>1329</v>
      </c>
      <c r="L1224" s="46" t="s">
        <v>3771</v>
      </c>
      <c r="M1224" s="46" t="s">
        <v>1309</v>
      </c>
      <c r="N1224" s="46" t="s">
        <v>1310</v>
      </c>
      <c r="O1224" s="46" t="s">
        <v>1311</v>
      </c>
      <c r="P1224" s="46" t="s">
        <v>1312</v>
      </c>
      <c r="Q1224" s="46" t="s">
        <v>31</v>
      </c>
      <c r="R1224" s="46" t="s">
        <v>31</v>
      </c>
      <c r="S1224" s="46" t="s">
        <v>31</v>
      </c>
      <c r="T1224" s="46" t="s">
        <v>31</v>
      </c>
      <c r="U1224" s="46" t="s">
        <v>49</v>
      </c>
    </row>
    <row r="1225" spans="1:21">
      <c r="A1225" s="46" t="s">
        <v>780</v>
      </c>
      <c r="B1225" s="46" t="s">
        <v>209</v>
      </c>
      <c r="C1225" s="46" t="s">
        <v>666</v>
      </c>
      <c r="D1225" s="46">
        <v>1</v>
      </c>
      <c r="E1225" s="46">
        <v>0</v>
      </c>
      <c r="F1225" s="46" t="s">
        <v>781</v>
      </c>
      <c r="G1225" s="46" t="s">
        <v>1305</v>
      </c>
      <c r="H1225" s="46" t="s">
        <v>3772</v>
      </c>
      <c r="I1225" s="46" t="str">
        <f ca="1">IFERROR(__xludf.DUMMYFUNCTION("CONCAT(A1225,REGEXREPLACE(H1225,"".*_L0"",""_L0""))"),"HC_BN1842_MTG_snRNAseq_rep1_L002_R2_001.fastq.gz")</f>
        <v>HC_BN1842_MTG_snRNAseq_rep1_L002_R2_001.fastq.gz</v>
      </c>
      <c r="J1225" s="46" t="str">
        <f t="shared" si="4"/>
        <v>/data/neurogen/ASAP/scRNAseq/data/batch24_ASAP_snRNA-seq_*/Raw_Data_and_Processing/cellranger_processing/cellranger_fastqs/outs/fastq_path/H*/BN1842_S1_L002_R2_001.fastq.gz</v>
      </c>
      <c r="K1225" s="46" t="s">
        <v>1332</v>
      </c>
      <c r="L1225" s="46" t="s">
        <v>3773</v>
      </c>
      <c r="M1225" s="46" t="s">
        <v>1309</v>
      </c>
      <c r="N1225" s="46" t="s">
        <v>1310</v>
      </c>
      <c r="O1225" s="46" t="s">
        <v>1311</v>
      </c>
      <c r="P1225" s="46" t="s">
        <v>1312</v>
      </c>
      <c r="Q1225" s="46" t="s">
        <v>31</v>
      </c>
      <c r="R1225" s="46" t="s">
        <v>31</v>
      </c>
      <c r="S1225" s="46" t="s">
        <v>31</v>
      </c>
      <c r="T1225" s="46" t="s">
        <v>31</v>
      </c>
      <c r="U1225" s="46" t="s">
        <v>49</v>
      </c>
    </row>
    <row r="1226" spans="1:21">
      <c r="A1226" s="46" t="s">
        <v>780</v>
      </c>
      <c r="B1226" s="46" t="s">
        <v>209</v>
      </c>
      <c r="C1226" s="46" t="s">
        <v>666</v>
      </c>
      <c r="D1226" s="46">
        <v>1</v>
      </c>
      <c r="E1226" s="46">
        <v>0</v>
      </c>
      <c r="F1226" s="46" t="s">
        <v>781</v>
      </c>
      <c r="G1226" s="46" t="s">
        <v>1305</v>
      </c>
      <c r="H1226" s="46" t="s">
        <v>3774</v>
      </c>
      <c r="I1226" s="46" t="str">
        <f ca="1">IFERROR(__xludf.DUMMYFUNCTION("CONCAT(A1226,REGEXREPLACE(H1226,"".*_L0"",""_L0""))"),"HC_BN1842_MTG_snRNAseq_rep1_L003_I1_001.fastq.gz")</f>
        <v>HC_BN1842_MTG_snRNAseq_rep1_L003_I1_001.fastq.gz</v>
      </c>
      <c r="J1226" s="46" t="str">
        <f t="shared" si="4"/>
        <v>/data/neurogen/ASAP/scRNAseq/data/batch24_ASAP_snRNA-seq_*/Raw_Data_and_Processing/cellranger_processing/cellranger_fastqs/outs/fastq_path/H*/BN1842_S1_L003_I1_001.fastq.gz</v>
      </c>
      <c r="K1226" s="46" t="s">
        <v>1335</v>
      </c>
      <c r="L1226" s="46" t="s">
        <v>3775</v>
      </c>
      <c r="M1226" s="46" t="s">
        <v>1309</v>
      </c>
      <c r="N1226" s="46" t="s">
        <v>1310</v>
      </c>
      <c r="O1226" s="46" t="s">
        <v>1311</v>
      </c>
      <c r="P1226" s="46" t="s">
        <v>1312</v>
      </c>
      <c r="Q1226" s="46" t="s">
        <v>31</v>
      </c>
      <c r="R1226" s="46" t="s">
        <v>31</v>
      </c>
      <c r="S1226" s="46" t="s">
        <v>31</v>
      </c>
      <c r="T1226" s="46" t="s">
        <v>31</v>
      </c>
      <c r="U1226" s="46" t="s">
        <v>49</v>
      </c>
    </row>
    <row r="1227" spans="1:21">
      <c r="A1227" s="46" t="s">
        <v>780</v>
      </c>
      <c r="B1227" s="46" t="s">
        <v>209</v>
      </c>
      <c r="C1227" s="46" t="s">
        <v>666</v>
      </c>
      <c r="D1227" s="46">
        <v>1</v>
      </c>
      <c r="E1227" s="46">
        <v>0</v>
      </c>
      <c r="F1227" s="46" t="s">
        <v>781</v>
      </c>
      <c r="G1227" s="46" t="s">
        <v>1305</v>
      </c>
      <c r="H1227" s="46" t="s">
        <v>3776</v>
      </c>
      <c r="I1227" s="46" t="str">
        <f ca="1">IFERROR(__xludf.DUMMYFUNCTION("CONCAT(A1227,REGEXREPLACE(H1227,"".*_L0"",""_L0""))"),"HC_BN1842_MTG_snRNAseq_rep1_L003_I2_001.fastq.gz")</f>
        <v>HC_BN1842_MTG_snRNAseq_rep1_L003_I2_001.fastq.gz</v>
      </c>
      <c r="J1227" s="46" t="str">
        <f t="shared" si="4"/>
        <v>/data/neurogen/ASAP/scRNAseq/data/batch24_ASAP_snRNA-seq_*/Raw_Data_and_Processing/cellranger_processing/cellranger_fastqs/outs/fastq_path/H*/BN1842_S1_L003_I2_001.fastq.gz</v>
      </c>
      <c r="K1227" s="46" t="s">
        <v>1338</v>
      </c>
      <c r="L1227" s="46" t="s">
        <v>3777</v>
      </c>
      <c r="M1227" s="46" t="s">
        <v>1309</v>
      </c>
      <c r="N1227" s="46" t="s">
        <v>1310</v>
      </c>
      <c r="O1227" s="46" t="s">
        <v>1311</v>
      </c>
      <c r="P1227" s="46" t="s">
        <v>1312</v>
      </c>
      <c r="Q1227" s="46" t="s">
        <v>31</v>
      </c>
      <c r="R1227" s="46" t="s">
        <v>31</v>
      </c>
      <c r="S1227" s="46" t="s">
        <v>31</v>
      </c>
      <c r="T1227" s="46" t="s">
        <v>31</v>
      </c>
      <c r="U1227" s="46" t="s">
        <v>49</v>
      </c>
    </row>
    <row r="1228" spans="1:21">
      <c r="A1228" s="46" t="s">
        <v>780</v>
      </c>
      <c r="B1228" s="46" t="s">
        <v>209</v>
      </c>
      <c r="C1228" s="46" t="s">
        <v>666</v>
      </c>
      <c r="D1228" s="46">
        <v>1</v>
      </c>
      <c r="E1228" s="46">
        <v>0</v>
      </c>
      <c r="F1228" s="46" t="s">
        <v>781</v>
      </c>
      <c r="G1228" s="46" t="s">
        <v>1305</v>
      </c>
      <c r="H1228" s="46" t="s">
        <v>3778</v>
      </c>
      <c r="I1228" s="46" t="str">
        <f ca="1">IFERROR(__xludf.DUMMYFUNCTION("CONCAT(A1228,REGEXREPLACE(H1228,"".*_L0"",""_L0""))"),"HC_BN1842_MTG_snRNAseq_rep1_L003_R1_001.fastq.gz")</f>
        <v>HC_BN1842_MTG_snRNAseq_rep1_L003_R1_001.fastq.gz</v>
      </c>
      <c r="J1228" s="46" t="str">
        <f t="shared" si="4"/>
        <v>/data/neurogen/ASAP/scRNAseq/data/batch24_ASAP_snRNA-seq_*/Raw_Data_and_Processing/cellranger_processing/cellranger_fastqs/outs/fastq_path/H*/BN1842_S1_L003_R1_001.fastq.gz</v>
      </c>
      <c r="K1228" s="46" t="s">
        <v>1341</v>
      </c>
      <c r="L1228" s="46" t="s">
        <v>3779</v>
      </c>
      <c r="M1228" s="46" t="s">
        <v>1309</v>
      </c>
      <c r="N1228" s="46" t="s">
        <v>1310</v>
      </c>
      <c r="O1228" s="46" t="s">
        <v>1311</v>
      </c>
      <c r="P1228" s="46" t="s">
        <v>1312</v>
      </c>
      <c r="Q1228" s="46" t="s">
        <v>31</v>
      </c>
      <c r="R1228" s="46" t="s">
        <v>31</v>
      </c>
      <c r="S1228" s="46" t="s">
        <v>31</v>
      </c>
      <c r="T1228" s="46" t="s">
        <v>31</v>
      </c>
      <c r="U1228" s="46" t="s">
        <v>49</v>
      </c>
    </row>
    <row r="1229" spans="1:21">
      <c r="A1229" s="46" t="s">
        <v>780</v>
      </c>
      <c r="B1229" s="46" t="s">
        <v>209</v>
      </c>
      <c r="C1229" s="46" t="s">
        <v>666</v>
      </c>
      <c r="D1229" s="46">
        <v>1</v>
      </c>
      <c r="E1229" s="46">
        <v>0</v>
      </c>
      <c r="F1229" s="46" t="s">
        <v>781</v>
      </c>
      <c r="G1229" s="46" t="s">
        <v>1305</v>
      </c>
      <c r="H1229" s="46" t="s">
        <v>3780</v>
      </c>
      <c r="I1229" s="46" t="str">
        <f ca="1">IFERROR(__xludf.DUMMYFUNCTION("CONCAT(A1229,REGEXREPLACE(H1229,"".*_L0"",""_L0""))"),"HC_BN1842_MTG_snRNAseq_rep1_L003_R2_001.fastq.gz")</f>
        <v>HC_BN1842_MTG_snRNAseq_rep1_L003_R2_001.fastq.gz</v>
      </c>
      <c r="J1229" s="46" t="str">
        <f t="shared" si="4"/>
        <v>/data/neurogen/ASAP/scRNAseq/data/batch24_ASAP_snRNA-seq_*/Raw_Data_and_Processing/cellranger_processing/cellranger_fastqs/outs/fastq_path/H*/BN1842_S1_L003_R2_001.fastq.gz</v>
      </c>
      <c r="K1229" s="46" t="s">
        <v>1344</v>
      </c>
      <c r="L1229" s="46" t="s">
        <v>3781</v>
      </c>
      <c r="M1229" s="46" t="s">
        <v>1309</v>
      </c>
      <c r="N1229" s="46" t="s">
        <v>1310</v>
      </c>
      <c r="O1229" s="46" t="s">
        <v>1311</v>
      </c>
      <c r="P1229" s="46" t="s">
        <v>1312</v>
      </c>
      <c r="Q1229" s="46" t="s">
        <v>31</v>
      </c>
      <c r="R1229" s="46" t="s">
        <v>31</v>
      </c>
      <c r="S1229" s="46" t="s">
        <v>31</v>
      </c>
      <c r="T1229" s="46" t="s">
        <v>31</v>
      </c>
      <c r="U1229" s="46" t="s">
        <v>49</v>
      </c>
    </row>
    <row r="1230" spans="1:21">
      <c r="A1230" s="46" t="s">
        <v>780</v>
      </c>
      <c r="B1230" s="46" t="s">
        <v>209</v>
      </c>
      <c r="C1230" s="46" t="s">
        <v>666</v>
      </c>
      <c r="D1230" s="46">
        <v>1</v>
      </c>
      <c r="E1230" s="46">
        <v>0</v>
      </c>
      <c r="F1230" s="46" t="s">
        <v>781</v>
      </c>
      <c r="G1230" s="46" t="s">
        <v>1305</v>
      </c>
      <c r="H1230" s="46" t="s">
        <v>3782</v>
      </c>
      <c r="I1230" s="46" t="str">
        <f ca="1">IFERROR(__xludf.DUMMYFUNCTION("CONCAT(A1230,REGEXREPLACE(H1230,"".*_L0"",""_L0""))"),"HC_BN1842_MTG_snRNAseq_rep1_L004_I1_001.fastq.gz")</f>
        <v>HC_BN1842_MTG_snRNAseq_rep1_L004_I1_001.fastq.gz</v>
      </c>
      <c r="J1230" s="46" t="str">
        <f t="shared" si="4"/>
        <v>/data/neurogen/ASAP/scRNAseq/data/batch24_ASAP_snRNA-seq_*/Raw_Data_and_Processing/cellranger_processing/cellranger_fastqs/outs/fastq_path/H*/BN1842_S1_L004_I1_001.fastq.gz</v>
      </c>
      <c r="K1230" s="46" t="s">
        <v>1347</v>
      </c>
      <c r="L1230" s="46" t="s">
        <v>3783</v>
      </c>
      <c r="M1230" s="46" t="s">
        <v>1309</v>
      </c>
      <c r="N1230" s="46" t="s">
        <v>1310</v>
      </c>
      <c r="O1230" s="46" t="s">
        <v>1311</v>
      </c>
      <c r="P1230" s="46" t="s">
        <v>1312</v>
      </c>
      <c r="Q1230" s="46" t="s">
        <v>31</v>
      </c>
      <c r="R1230" s="46" t="s">
        <v>31</v>
      </c>
      <c r="S1230" s="46" t="s">
        <v>31</v>
      </c>
      <c r="T1230" s="46" t="s">
        <v>31</v>
      </c>
      <c r="U1230" s="46" t="s">
        <v>49</v>
      </c>
    </row>
    <row r="1231" spans="1:21">
      <c r="A1231" s="46" t="s">
        <v>780</v>
      </c>
      <c r="B1231" s="46" t="s">
        <v>209</v>
      </c>
      <c r="C1231" s="46" t="s">
        <v>666</v>
      </c>
      <c r="D1231" s="46">
        <v>1</v>
      </c>
      <c r="E1231" s="46">
        <v>0</v>
      </c>
      <c r="F1231" s="46" t="s">
        <v>781</v>
      </c>
      <c r="G1231" s="46" t="s">
        <v>1305</v>
      </c>
      <c r="H1231" s="46" t="s">
        <v>3784</v>
      </c>
      <c r="I1231" s="46" t="str">
        <f ca="1">IFERROR(__xludf.DUMMYFUNCTION("CONCAT(A1231,REGEXREPLACE(H1231,"".*_L0"",""_L0""))"),"HC_BN1842_MTG_snRNAseq_rep1_L004_I2_001.fastq.gz")</f>
        <v>HC_BN1842_MTG_snRNAseq_rep1_L004_I2_001.fastq.gz</v>
      </c>
      <c r="J1231" s="46" t="str">
        <f t="shared" si="4"/>
        <v>/data/neurogen/ASAP/scRNAseq/data/batch24_ASAP_snRNA-seq_*/Raw_Data_and_Processing/cellranger_processing/cellranger_fastqs/outs/fastq_path/H*/BN1842_S1_L004_I2_001.fastq.gz</v>
      </c>
      <c r="K1231" s="46" t="s">
        <v>1350</v>
      </c>
      <c r="L1231" s="46" t="s">
        <v>3785</v>
      </c>
      <c r="M1231" s="46" t="s">
        <v>1309</v>
      </c>
      <c r="N1231" s="46" t="s">
        <v>1310</v>
      </c>
      <c r="O1231" s="46" t="s">
        <v>1311</v>
      </c>
      <c r="P1231" s="46" t="s">
        <v>1312</v>
      </c>
      <c r="Q1231" s="46" t="s">
        <v>31</v>
      </c>
      <c r="R1231" s="46" t="s">
        <v>31</v>
      </c>
      <c r="S1231" s="46" t="s">
        <v>31</v>
      </c>
      <c r="T1231" s="46" t="s">
        <v>31</v>
      </c>
      <c r="U1231" s="46" t="s">
        <v>49</v>
      </c>
    </row>
    <row r="1232" spans="1:21">
      <c r="A1232" s="46" t="s">
        <v>780</v>
      </c>
      <c r="B1232" s="46" t="s">
        <v>209</v>
      </c>
      <c r="C1232" s="46" t="s">
        <v>666</v>
      </c>
      <c r="D1232" s="46">
        <v>1</v>
      </c>
      <c r="E1232" s="46">
        <v>0</v>
      </c>
      <c r="F1232" s="46" t="s">
        <v>781</v>
      </c>
      <c r="G1232" s="46" t="s">
        <v>1305</v>
      </c>
      <c r="H1232" s="46" t="s">
        <v>3786</v>
      </c>
      <c r="I1232" s="46" t="str">
        <f ca="1">IFERROR(__xludf.DUMMYFUNCTION("CONCAT(A1232,REGEXREPLACE(H1232,"".*_L0"",""_L0""))"),"HC_BN1842_MTG_snRNAseq_rep1_L004_R1_001.fastq.gz")</f>
        <v>HC_BN1842_MTG_snRNAseq_rep1_L004_R1_001.fastq.gz</v>
      </c>
      <c r="J1232" s="46" t="str">
        <f t="shared" si="4"/>
        <v>/data/neurogen/ASAP/scRNAseq/data/batch24_ASAP_snRNA-seq_*/Raw_Data_and_Processing/cellranger_processing/cellranger_fastqs/outs/fastq_path/H*/BN1842_S1_L004_R1_001.fastq.gz</v>
      </c>
      <c r="K1232" s="46" t="s">
        <v>1353</v>
      </c>
      <c r="L1232" s="46" t="s">
        <v>3787</v>
      </c>
      <c r="M1232" s="46" t="s">
        <v>1309</v>
      </c>
      <c r="N1232" s="46" t="s">
        <v>1310</v>
      </c>
      <c r="O1232" s="46" t="s">
        <v>1311</v>
      </c>
      <c r="P1232" s="46" t="s">
        <v>1312</v>
      </c>
      <c r="Q1232" s="46" t="s">
        <v>31</v>
      </c>
      <c r="R1232" s="46" t="s">
        <v>31</v>
      </c>
      <c r="S1232" s="46" t="s">
        <v>31</v>
      </c>
      <c r="T1232" s="46" t="s">
        <v>31</v>
      </c>
      <c r="U1232" s="46" t="s">
        <v>49</v>
      </c>
    </row>
    <row r="1233" spans="1:21">
      <c r="A1233" s="46" t="s">
        <v>780</v>
      </c>
      <c r="B1233" s="46" t="s">
        <v>209</v>
      </c>
      <c r="C1233" s="46" t="s">
        <v>666</v>
      </c>
      <c r="D1233" s="46">
        <v>1</v>
      </c>
      <c r="E1233" s="46">
        <v>0</v>
      </c>
      <c r="F1233" s="46" t="s">
        <v>781</v>
      </c>
      <c r="G1233" s="46" t="s">
        <v>1305</v>
      </c>
      <c r="H1233" s="46" t="s">
        <v>3788</v>
      </c>
      <c r="I1233" s="46" t="str">
        <f ca="1">IFERROR(__xludf.DUMMYFUNCTION("CONCAT(A1233,REGEXREPLACE(H1233,"".*_L0"",""_L0""))"),"HC_BN1842_MTG_snRNAseq_rep1_L004_R2_001.fastq.gz")</f>
        <v>HC_BN1842_MTG_snRNAseq_rep1_L004_R2_001.fastq.gz</v>
      </c>
      <c r="J1233" s="46" t="str">
        <f t="shared" si="4"/>
        <v>/data/neurogen/ASAP/scRNAseq/data/batch24_ASAP_snRNA-seq_*/Raw_Data_and_Processing/cellranger_processing/cellranger_fastqs/outs/fastq_path/H*/BN1842_S1_L004_R2_001.fastq.gz</v>
      </c>
      <c r="K1233" s="46" t="s">
        <v>1356</v>
      </c>
      <c r="L1233" s="46" t="s">
        <v>3789</v>
      </c>
      <c r="M1233" s="46" t="s">
        <v>1309</v>
      </c>
      <c r="N1233" s="46" t="s">
        <v>1310</v>
      </c>
      <c r="O1233" s="46" t="s">
        <v>1311</v>
      </c>
      <c r="P1233" s="46" t="s">
        <v>1312</v>
      </c>
      <c r="Q1233" s="46" t="s">
        <v>31</v>
      </c>
      <c r="R1233" s="46" t="s">
        <v>31</v>
      </c>
      <c r="S1233" s="46" t="s">
        <v>31</v>
      </c>
      <c r="T1233" s="46" t="s">
        <v>31</v>
      </c>
      <c r="U1233" s="46" t="s">
        <v>49</v>
      </c>
    </row>
    <row r="1234" spans="1:21">
      <c r="A1234" s="46" t="s">
        <v>795</v>
      </c>
      <c r="B1234" s="46" t="s">
        <v>233</v>
      </c>
      <c r="C1234" s="46" t="s">
        <v>666</v>
      </c>
      <c r="D1234" s="46">
        <v>1</v>
      </c>
      <c r="E1234" s="46">
        <v>0</v>
      </c>
      <c r="F1234" s="46" t="s">
        <v>781</v>
      </c>
      <c r="G1234" s="46" t="s">
        <v>1305</v>
      </c>
      <c r="H1234" s="46" t="s">
        <v>3790</v>
      </c>
      <c r="I1234" s="46" t="str">
        <f ca="1">IFERROR(__xludf.DUMMYFUNCTION("CONCAT(A1234,REGEXREPLACE(H1234,"".*_L0"",""_L0""))"),"PD_BN1957_MTG_snRNAseq_rep1_L001_I1_001.fastq.gz")</f>
        <v>PD_BN1957_MTG_snRNAseq_rep1_L001_I1_001.fastq.gz</v>
      </c>
      <c r="J1234" s="46" t="str">
        <f t="shared" si="4"/>
        <v>/data/neurogen/ASAP/scRNAseq/data/batch24_ASAP_snRNA-seq_*/Raw_Data_and_Processing/cellranger_processing/cellranger_fastqs/outs/fastq_path/H*/BN157_S3_L001_I1_001.fastq.gz</v>
      </c>
      <c r="K1234" s="46" t="s">
        <v>1307</v>
      </c>
      <c r="L1234" s="46" t="s">
        <v>3791</v>
      </c>
      <c r="M1234" s="46" t="s">
        <v>1309</v>
      </c>
      <c r="N1234" s="46" t="s">
        <v>1310</v>
      </c>
      <c r="O1234" s="46" t="s">
        <v>1311</v>
      </c>
      <c r="P1234" s="46" t="s">
        <v>1312</v>
      </c>
      <c r="Q1234" s="46" t="s">
        <v>31</v>
      </c>
      <c r="R1234" s="46" t="s">
        <v>31</v>
      </c>
      <c r="S1234" s="46" t="s">
        <v>31</v>
      </c>
      <c r="T1234" s="46" t="s">
        <v>31</v>
      </c>
      <c r="U1234" s="46" t="s">
        <v>49</v>
      </c>
    </row>
    <row r="1235" spans="1:21">
      <c r="A1235" s="46" t="s">
        <v>795</v>
      </c>
      <c r="B1235" s="46" t="s">
        <v>233</v>
      </c>
      <c r="C1235" s="46" t="s">
        <v>666</v>
      </c>
      <c r="D1235" s="46">
        <v>1</v>
      </c>
      <c r="E1235" s="46">
        <v>0</v>
      </c>
      <c r="F1235" s="46" t="s">
        <v>781</v>
      </c>
      <c r="G1235" s="46" t="s">
        <v>1305</v>
      </c>
      <c r="H1235" s="46" t="s">
        <v>3792</v>
      </c>
      <c r="I1235" s="46" t="str">
        <f ca="1">IFERROR(__xludf.DUMMYFUNCTION("CONCAT(A1235,REGEXREPLACE(H1235,"".*_L0"",""_L0""))"),"PD_BN1957_MTG_snRNAseq_rep1_L001_I2_001.fastq.gz")</f>
        <v>PD_BN1957_MTG_snRNAseq_rep1_L001_I2_001.fastq.gz</v>
      </c>
      <c r="J1235" s="46" t="str">
        <f t="shared" si="4"/>
        <v>/data/neurogen/ASAP/scRNAseq/data/batch24_ASAP_snRNA-seq_*/Raw_Data_and_Processing/cellranger_processing/cellranger_fastqs/outs/fastq_path/H*/BN157_S3_L001_I2_001.fastq.gz</v>
      </c>
      <c r="K1235" s="46" t="s">
        <v>1314</v>
      </c>
      <c r="L1235" s="46" t="s">
        <v>3793</v>
      </c>
      <c r="M1235" s="46" t="s">
        <v>1309</v>
      </c>
      <c r="N1235" s="46" t="s">
        <v>1310</v>
      </c>
      <c r="O1235" s="46" t="s">
        <v>1311</v>
      </c>
      <c r="P1235" s="46" t="s">
        <v>1312</v>
      </c>
      <c r="Q1235" s="46" t="s">
        <v>31</v>
      </c>
      <c r="R1235" s="46" t="s">
        <v>31</v>
      </c>
      <c r="S1235" s="46" t="s">
        <v>31</v>
      </c>
      <c r="T1235" s="46" t="s">
        <v>31</v>
      </c>
      <c r="U1235" s="46" t="s">
        <v>49</v>
      </c>
    </row>
    <row r="1236" spans="1:21">
      <c r="A1236" s="46" t="s">
        <v>795</v>
      </c>
      <c r="B1236" s="46" t="s">
        <v>233</v>
      </c>
      <c r="C1236" s="46" t="s">
        <v>666</v>
      </c>
      <c r="D1236" s="46">
        <v>1</v>
      </c>
      <c r="E1236" s="46">
        <v>0</v>
      </c>
      <c r="F1236" s="46" t="s">
        <v>781</v>
      </c>
      <c r="G1236" s="46" t="s">
        <v>1305</v>
      </c>
      <c r="H1236" s="46" t="s">
        <v>3794</v>
      </c>
      <c r="I1236" s="46" t="str">
        <f ca="1">IFERROR(__xludf.DUMMYFUNCTION("CONCAT(A1236,REGEXREPLACE(H1236,"".*_L0"",""_L0""))"),"PD_BN1957_MTG_snRNAseq_rep1_L001_R1_001.fastq.gz")</f>
        <v>PD_BN1957_MTG_snRNAseq_rep1_L001_R1_001.fastq.gz</v>
      </c>
      <c r="J1236" s="46" t="str">
        <f t="shared" si="4"/>
        <v>/data/neurogen/ASAP/scRNAseq/data/batch24_ASAP_snRNA-seq_*/Raw_Data_and_Processing/cellranger_processing/cellranger_fastqs/outs/fastq_path/H*/BN157_S3_L001_R1_001.fastq.gz</v>
      </c>
      <c r="K1236" s="46" t="s">
        <v>1317</v>
      </c>
      <c r="L1236" s="46" t="s">
        <v>3795</v>
      </c>
      <c r="M1236" s="46" t="s">
        <v>1309</v>
      </c>
      <c r="N1236" s="46" t="s">
        <v>1310</v>
      </c>
      <c r="O1236" s="46" t="s">
        <v>1311</v>
      </c>
      <c r="P1236" s="46" t="s">
        <v>1312</v>
      </c>
      <c r="Q1236" s="46" t="s">
        <v>31</v>
      </c>
      <c r="R1236" s="46" t="s">
        <v>31</v>
      </c>
      <c r="S1236" s="46" t="s">
        <v>31</v>
      </c>
      <c r="T1236" s="46" t="s">
        <v>31</v>
      </c>
      <c r="U1236" s="46" t="s">
        <v>49</v>
      </c>
    </row>
    <row r="1237" spans="1:21">
      <c r="A1237" s="46" t="s">
        <v>795</v>
      </c>
      <c r="B1237" s="46" t="s">
        <v>233</v>
      </c>
      <c r="C1237" s="46" t="s">
        <v>666</v>
      </c>
      <c r="D1237" s="46">
        <v>1</v>
      </c>
      <c r="E1237" s="46">
        <v>0</v>
      </c>
      <c r="F1237" s="46" t="s">
        <v>781</v>
      </c>
      <c r="G1237" s="46" t="s">
        <v>1305</v>
      </c>
      <c r="H1237" s="46" t="s">
        <v>3796</v>
      </c>
      <c r="I1237" s="46" t="str">
        <f ca="1">IFERROR(__xludf.DUMMYFUNCTION("CONCAT(A1237,REGEXREPLACE(H1237,"".*_L0"",""_L0""))"),"PD_BN1957_MTG_snRNAseq_rep1_L001_R2_001.fastq.gz")</f>
        <v>PD_BN1957_MTG_snRNAseq_rep1_L001_R2_001.fastq.gz</v>
      </c>
      <c r="J1237" s="46" t="str">
        <f t="shared" si="4"/>
        <v>/data/neurogen/ASAP/scRNAseq/data/batch24_ASAP_snRNA-seq_*/Raw_Data_and_Processing/cellranger_processing/cellranger_fastqs/outs/fastq_path/H*/BN157_S3_L001_R2_001.fastq.gz</v>
      </c>
      <c r="K1237" s="46" t="s">
        <v>1320</v>
      </c>
      <c r="L1237" s="46" t="s">
        <v>3797</v>
      </c>
      <c r="M1237" s="46" t="s">
        <v>1309</v>
      </c>
      <c r="N1237" s="46" t="s">
        <v>1310</v>
      </c>
      <c r="O1237" s="46" t="s">
        <v>1311</v>
      </c>
      <c r="P1237" s="46" t="s">
        <v>1312</v>
      </c>
      <c r="Q1237" s="46" t="s">
        <v>31</v>
      </c>
      <c r="R1237" s="46" t="s">
        <v>31</v>
      </c>
      <c r="S1237" s="46" t="s">
        <v>31</v>
      </c>
      <c r="T1237" s="46" t="s">
        <v>31</v>
      </c>
      <c r="U1237" s="46" t="s">
        <v>49</v>
      </c>
    </row>
    <row r="1238" spans="1:21">
      <c r="A1238" s="46" t="s">
        <v>795</v>
      </c>
      <c r="B1238" s="46" t="s">
        <v>233</v>
      </c>
      <c r="C1238" s="46" t="s">
        <v>666</v>
      </c>
      <c r="D1238" s="46">
        <v>1</v>
      </c>
      <c r="E1238" s="46">
        <v>0</v>
      </c>
      <c r="F1238" s="46" t="s">
        <v>781</v>
      </c>
      <c r="G1238" s="46" t="s">
        <v>1305</v>
      </c>
      <c r="H1238" s="46" t="s">
        <v>3798</v>
      </c>
      <c r="I1238" s="46" t="str">
        <f ca="1">IFERROR(__xludf.DUMMYFUNCTION("CONCAT(A1238,REGEXREPLACE(H1238,"".*_L0"",""_L0""))"),"PD_BN1957_MTG_snRNAseq_rep1_L002_I1_001.fastq.gz")</f>
        <v>PD_BN1957_MTG_snRNAseq_rep1_L002_I1_001.fastq.gz</v>
      </c>
      <c r="J1238" s="46" t="str">
        <f t="shared" si="4"/>
        <v>/data/neurogen/ASAP/scRNAseq/data/batch24_ASAP_snRNA-seq_*/Raw_Data_and_Processing/cellranger_processing/cellranger_fastqs/outs/fastq_path/H*/BN157_S3_L002_I1_001.fastq.gz</v>
      </c>
      <c r="K1238" s="46" t="s">
        <v>1323</v>
      </c>
      <c r="L1238" s="46" t="s">
        <v>3799</v>
      </c>
      <c r="M1238" s="46" t="s">
        <v>1309</v>
      </c>
      <c r="N1238" s="46" t="s">
        <v>1310</v>
      </c>
      <c r="O1238" s="46" t="s">
        <v>1311</v>
      </c>
      <c r="P1238" s="46" t="s">
        <v>1312</v>
      </c>
      <c r="Q1238" s="46" t="s">
        <v>31</v>
      </c>
      <c r="R1238" s="46" t="s">
        <v>31</v>
      </c>
      <c r="S1238" s="46" t="s">
        <v>31</v>
      </c>
      <c r="T1238" s="46" t="s">
        <v>31</v>
      </c>
      <c r="U1238" s="46" t="s">
        <v>49</v>
      </c>
    </row>
    <row r="1239" spans="1:21">
      <c r="A1239" s="46" t="s">
        <v>795</v>
      </c>
      <c r="B1239" s="46" t="s">
        <v>233</v>
      </c>
      <c r="C1239" s="46" t="s">
        <v>666</v>
      </c>
      <c r="D1239" s="46">
        <v>1</v>
      </c>
      <c r="E1239" s="46">
        <v>0</v>
      </c>
      <c r="F1239" s="46" t="s">
        <v>781</v>
      </c>
      <c r="G1239" s="46" t="s">
        <v>1305</v>
      </c>
      <c r="H1239" s="46" t="s">
        <v>3800</v>
      </c>
      <c r="I1239" s="46" t="str">
        <f ca="1">IFERROR(__xludf.DUMMYFUNCTION("CONCAT(A1239,REGEXREPLACE(H1239,"".*_L0"",""_L0""))"),"PD_BN1957_MTG_snRNAseq_rep1_L002_I2_001.fastq.gz")</f>
        <v>PD_BN1957_MTG_snRNAseq_rep1_L002_I2_001.fastq.gz</v>
      </c>
      <c r="J1239" s="46" t="str">
        <f t="shared" si="4"/>
        <v>/data/neurogen/ASAP/scRNAseq/data/batch24_ASAP_snRNA-seq_*/Raw_Data_and_Processing/cellranger_processing/cellranger_fastqs/outs/fastq_path/H*/BN157_S3_L002_I2_001.fastq.gz</v>
      </c>
      <c r="K1239" s="46" t="s">
        <v>1326</v>
      </c>
      <c r="L1239" s="46" t="s">
        <v>3801</v>
      </c>
      <c r="M1239" s="46" t="s">
        <v>1309</v>
      </c>
      <c r="N1239" s="46" t="s">
        <v>1310</v>
      </c>
      <c r="O1239" s="46" t="s">
        <v>1311</v>
      </c>
      <c r="P1239" s="46" t="s">
        <v>1312</v>
      </c>
      <c r="Q1239" s="46" t="s">
        <v>31</v>
      </c>
      <c r="R1239" s="46" t="s">
        <v>31</v>
      </c>
      <c r="S1239" s="46" t="s">
        <v>31</v>
      </c>
      <c r="T1239" s="46" t="s">
        <v>31</v>
      </c>
      <c r="U1239" s="46" t="s">
        <v>49</v>
      </c>
    </row>
    <row r="1240" spans="1:21">
      <c r="A1240" s="46" t="s">
        <v>795</v>
      </c>
      <c r="B1240" s="46" t="s">
        <v>233</v>
      </c>
      <c r="C1240" s="46" t="s">
        <v>666</v>
      </c>
      <c r="D1240" s="46">
        <v>1</v>
      </c>
      <c r="E1240" s="46">
        <v>0</v>
      </c>
      <c r="F1240" s="46" t="s">
        <v>781</v>
      </c>
      <c r="G1240" s="46" t="s">
        <v>1305</v>
      </c>
      <c r="H1240" s="46" t="s">
        <v>3802</v>
      </c>
      <c r="I1240" s="46" t="str">
        <f ca="1">IFERROR(__xludf.DUMMYFUNCTION("CONCAT(A1240,REGEXREPLACE(H1240,"".*_L0"",""_L0""))"),"PD_BN1957_MTG_snRNAseq_rep1_L002_R1_001.fastq.gz")</f>
        <v>PD_BN1957_MTG_snRNAseq_rep1_L002_R1_001.fastq.gz</v>
      </c>
      <c r="J1240" s="46" t="str">
        <f t="shared" si="4"/>
        <v>/data/neurogen/ASAP/scRNAseq/data/batch24_ASAP_snRNA-seq_*/Raw_Data_and_Processing/cellranger_processing/cellranger_fastqs/outs/fastq_path/H*/BN157_S3_L002_R1_001.fastq.gz</v>
      </c>
      <c r="K1240" s="46" t="s">
        <v>1329</v>
      </c>
      <c r="L1240" s="46" t="s">
        <v>3803</v>
      </c>
      <c r="M1240" s="46" t="s">
        <v>1309</v>
      </c>
      <c r="N1240" s="46" t="s">
        <v>1310</v>
      </c>
      <c r="O1240" s="46" t="s">
        <v>1311</v>
      </c>
      <c r="P1240" s="46" t="s">
        <v>1312</v>
      </c>
      <c r="Q1240" s="46" t="s">
        <v>31</v>
      </c>
      <c r="R1240" s="46" t="s">
        <v>31</v>
      </c>
      <c r="S1240" s="46" t="s">
        <v>31</v>
      </c>
      <c r="T1240" s="46" t="s">
        <v>31</v>
      </c>
      <c r="U1240" s="46" t="s">
        <v>49</v>
      </c>
    </row>
    <row r="1241" spans="1:21">
      <c r="A1241" s="46" t="s">
        <v>795</v>
      </c>
      <c r="B1241" s="46" t="s">
        <v>233</v>
      </c>
      <c r="C1241" s="46" t="s">
        <v>666</v>
      </c>
      <c r="D1241" s="46">
        <v>1</v>
      </c>
      <c r="E1241" s="46">
        <v>0</v>
      </c>
      <c r="F1241" s="46" t="s">
        <v>781</v>
      </c>
      <c r="G1241" s="46" t="s">
        <v>1305</v>
      </c>
      <c r="H1241" s="46" t="s">
        <v>3804</v>
      </c>
      <c r="I1241" s="46" t="str">
        <f ca="1">IFERROR(__xludf.DUMMYFUNCTION("CONCAT(A1241,REGEXREPLACE(H1241,"".*_L0"",""_L0""))"),"PD_BN1957_MTG_snRNAseq_rep1_L002_R2_001.fastq.gz")</f>
        <v>PD_BN1957_MTG_snRNAseq_rep1_L002_R2_001.fastq.gz</v>
      </c>
      <c r="J1241" s="46" t="str">
        <f t="shared" si="4"/>
        <v>/data/neurogen/ASAP/scRNAseq/data/batch24_ASAP_snRNA-seq_*/Raw_Data_and_Processing/cellranger_processing/cellranger_fastqs/outs/fastq_path/H*/BN157_S3_L002_R2_001.fastq.gz</v>
      </c>
      <c r="K1241" s="46" t="s">
        <v>1332</v>
      </c>
      <c r="L1241" s="46" t="s">
        <v>3805</v>
      </c>
      <c r="M1241" s="46" t="s">
        <v>1309</v>
      </c>
      <c r="N1241" s="46" t="s">
        <v>1310</v>
      </c>
      <c r="O1241" s="46" t="s">
        <v>1311</v>
      </c>
      <c r="P1241" s="46" t="s">
        <v>1312</v>
      </c>
      <c r="Q1241" s="46" t="s">
        <v>31</v>
      </c>
      <c r="R1241" s="46" t="s">
        <v>31</v>
      </c>
      <c r="S1241" s="46" t="s">
        <v>31</v>
      </c>
      <c r="T1241" s="46" t="s">
        <v>31</v>
      </c>
      <c r="U1241" s="46" t="s">
        <v>49</v>
      </c>
    </row>
    <row r="1242" spans="1:21">
      <c r="A1242" s="46" t="s">
        <v>795</v>
      </c>
      <c r="B1242" s="46" t="s">
        <v>233</v>
      </c>
      <c r="C1242" s="46" t="s">
        <v>666</v>
      </c>
      <c r="D1242" s="46">
        <v>1</v>
      </c>
      <c r="E1242" s="46">
        <v>0</v>
      </c>
      <c r="F1242" s="46" t="s">
        <v>781</v>
      </c>
      <c r="G1242" s="46" t="s">
        <v>1305</v>
      </c>
      <c r="H1242" s="46" t="s">
        <v>3806</v>
      </c>
      <c r="I1242" s="46" t="str">
        <f ca="1">IFERROR(__xludf.DUMMYFUNCTION("CONCAT(A1242,REGEXREPLACE(H1242,"".*_L0"",""_L0""))"),"PD_BN1957_MTG_snRNAseq_rep1_L003_I1_001.fastq.gz")</f>
        <v>PD_BN1957_MTG_snRNAseq_rep1_L003_I1_001.fastq.gz</v>
      </c>
      <c r="J1242" s="46" t="str">
        <f t="shared" si="4"/>
        <v>/data/neurogen/ASAP/scRNAseq/data/batch24_ASAP_snRNA-seq_*/Raw_Data_and_Processing/cellranger_processing/cellranger_fastqs/outs/fastq_path/H*/BN157_S3_L003_I1_001.fastq.gz</v>
      </c>
      <c r="K1242" s="46" t="s">
        <v>1335</v>
      </c>
      <c r="L1242" s="46" t="s">
        <v>3807</v>
      </c>
      <c r="M1242" s="46" t="s">
        <v>1309</v>
      </c>
      <c r="N1242" s="46" t="s">
        <v>1310</v>
      </c>
      <c r="O1242" s="46" t="s">
        <v>1311</v>
      </c>
      <c r="P1242" s="46" t="s">
        <v>1312</v>
      </c>
      <c r="Q1242" s="46" t="s">
        <v>31</v>
      </c>
      <c r="R1242" s="46" t="s">
        <v>31</v>
      </c>
      <c r="S1242" s="46" t="s">
        <v>31</v>
      </c>
      <c r="T1242" s="46" t="s">
        <v>31</v>
      </c>
      <c r="U1242" s="46" t="s">
        <v>49</v>
      </c>
    </row>
    <row r="1243" spans="1:21">
      <c r="A1243" s="46" t="s">
        <v>795</v>
      </c>
      <c r="B1243" s="46" t="s">
        <v>233</v>
      </c>
      <c r="C1243" s="46" t="s">
        <v>666</v>
      </c>
      <c r="D1243" s="46">
        <v>1</v>
      </c>
      <c r="E1243" s="46">
        <v>0</v>
      </c>
      <c r="F1243" s="46" t="s">
        <v>781</v>
      </c>
      <c r="G1243" s="46" t="s">
        <v>1305</v>
      </c>
      <c r="H1243" s="46" t="s">
        <v>3808</v>
      </c>
      <c r="I1243" s="46" t="str">
        <f ca="1">IFERROR(__xludf.DUMMYFUNCTION("CONCAT(A1243,REGEXREPLACE(H1243,"".*_L0"",""_L0""))"),"PD_BN1957_MTG_snRNAseq_rep1_L003_I2_001.fastq.gz")</f>
        <v>PD_BN1957_MTG_snRNAseq_rep1_L003_I2_001.fastq.gz</v>
      </c>
      <c r="J1243" s="46" t="str">
        <f t="shared" si="4"/>
        <v>/data/neurogen/ASAP/scRNAseq/data/batch24_ASAP_snRNA-seq_*/Raw_Data_and_Processing/cellranger_processing/cellranger_fastqs/outs/fastq_path/H*/BN157_S3_L003_I2_001.fastq.gz</v>
      </c>
      <c r="K1243" s="46" t="s">
        <v>1338</v>
      </c>
      <c r="L1243" s="46" t="s">
        <v>3809</v>
      </c>
      <c r="M1243" s="46" t="s">
        <v>1309</v>
      </c>
      <c r="N1243" s="46" t="s">
        <v>1310</v>
      </c>
      <c r="O1243" s="46" t="s">
        <v>1311</v>
      </c>
      <c r="P1243" s="46" t="s">
        <v>1312</v>
      </c>
      <c r="Q1243" s="46" t="s">
        <v>31</v>
      </c>
      <c r="R1243" s="46" t="s">
        <v>31</v>
      </c>
      <c r="S1243" s="46" t="s">
        <v>31</v>
      </c>
      <c r="T1243" s="46" t="s">
        <v>31</v>
      </c>
      <c r="U1243" s="46" t="s">
        <v>49</v>
      </c>
    </row>
    <row r="1244" spans="1:21">
      <c r="A1244" s="46" t="s">
        <v>795</v>
      </c>
      <c r="B1244" s="46" t="s">
        <v>233</v>
      </c>
      <c r="C1244" s="46" t="s">
        <v>666</v>
      </c>
      <c r="D1244" s="46">
        <v>1</v>
      </c>
      <c r="E1244" s="46">
        <v>0</v>
      </c>
      <c r="F1244" s="46" t="s">
        <v>781</v>
      </c>
      <c r="G1244" s="46" t="s">
        <v>1305</v>
      </c>
      <c r="H1244" s="46" t="s">
        <v>3810</v>
      </c>
      <c r="I1244" s="46" t="str">
        <f ca="1">IFERROR(__xludf.DUMMYFUNCTION("CONCAT(A1244,REGEXREPLACE(H1244,"".*_L0"",""_L0""))"),"PD_BN1957_MTG_snRNAseq_rep1_L003_R1_001.fastq.gz")</f>
        <v>PD_BN1957_MTG_snRNAseq_rep1_L003_R1_001.fastq.gz</v>
      </c>
      <c r="J1244" s="46" t="str">
        <f t="shared" si="4"/>
        <v>/data/neurogen/ASAP/scRNAseq/data/batch24_ASAP_snRNA-seq_*/Raw_Data_and_Processing/cellranger_processing/cellranger_fastqs/outs/fastq_path/H*/BN157_S3_L003_R1_001.fastq.gz</v>
      </c>
      <c r="K1244" s="46" t="s">
        <v>1341</v>
      </c>
      <c r="L1244" s="46" t="s">
        <v>3811</v>
      </c>
      <c r="M1244" s="46" t="s">
        <v>1309</v>
      </c>
      <c r="N1244" s="46" t="s">
        <v>1310</v>
      </c>
      <c r="O1244" s="46" t="s">
        <v>1311</v>
      </c>
      <c r="P1244" s="46" t="s">
        <v>1312</v>
      </c>
      <c r="Q1244" s="46" t="s">
        <v>31</v>
      </c>
      <c r="R1244" s="46" t="s">
        <v>31</v>
      </c>
      <c r="S1244" s="46" t="s">
        <v>31</v>
      </c>
      <c r="T1244" s="46" t="s">
        <v>31</v>
      </c>
      <c r="U1244" s="46" t="s">
        <v>49</v>
      </c>
    </row>
    <row r="1245" spans="1:21">
      <c r="A1245" s="46" t="s">
        <v>795</v>
      </c>
      <c r="B1245" s="46" t="s">
        <v>233</v>
      </c>
      <c r="C1245" s="46" t="s">
        <v>666</v>
      </c>
      <c r="D1245" s="46">
        <v>1</v>
      </c>
      <c r="E1245" s="46">
        <v>0</v>
      </c>
      <c r="F1245" s="46" t="s">
        <v>781</v>
      </c>
      <c r="G1245" s="46" t="s">
        <v>1305</v>
      </c>
      <c r="H1245" s="46" t="s">
        <v>3812</v>
      </c>
      <c r="I1245" s="46" t="str">
        <f ca="1">IFERROR(__xludf.DUMMYFUNCTION("CONCAT(A1245,REGEXREPLACE(H1245,"".*_L0"",""_L0""))"),"PD_BN1957_MTG_snRNAseq_rep1_L003_R2_001.fastq.gz")</f>
        <v>PD_BN1957_MTG_snRNAseq_rep1_L003_R2_001.fastq.gz</v>
      </c>
      <c r="J1245" s="46" t="str">
        <f t="shared" si="4"/>
        <v>/data/neurogen/ASAP/scRNAseq/data/batch24_ASAP_snRNA-seq_*/Raw_Data_and_Processing/cellranger_processing/cellranger_fastqs/outs/fastq_path/H*/BN157_S3_L003_R2_001.fastq.gz</v>
      </c>
      <c r="K1245" s="46" t="s">
        <v>1344</v>
      </c>
      <c r="L1245" s="46" t="s">
        <v>3813</v>
      </c>
      <c r="M1245" s="46" t="s">
        <v>1309</v>
      </c>
      <c r="N1245" s="46" t="s">
        <v>1310</v>
      </c>
      <c r="O1245" s="46" t="s">
        <v>1311</v>
      </c>
      <c r="P1245" s="46" t="s">
        <v>1312</v>
      </c>
      <c r="Q1245" s="46" t="s">
        <v>31</v>
      </c>
      <c r="R1245" s="46" t="s">
        <v>31</v>
      </c>
      <c r="S1245" s="46" t="s">
        <v>31</v>
      </c>
      <c r="T1245" s="46" t="s">
        <v>31</v>
      </c>
      <c r="U1245" s="46" t="s">
        <v>49</v>
      </c>
    </row>
    <row r="1246" spans="1:21">
      <c r="A1246" s="46" t="s">
        <v>795</v>
      </c>
      <c r="B1246" s="46" t="s">
        <v>233</v>
      </c>
      <c r="C1246" s="46" t="s">
        <v>666</v>
      </c>
      <c r="D1246" s="46">
        <v>1</v>
      </c>
      <c r="E1246" s="46">
        <v>0</v>
      </c>
      <c r="F1246" s="46" t="s">
        <v>781</v>
      </c>
      <c r="G1246" s="46" t="s">
        <v>1305</v>
      </c>
      <c r="H1246" s="46" t="s">
        <v>3814</v>
      </c>
      <c r="I1246" s="46" t="str">
        <f ca="1">IFERROR(__xludf.DUMMYFUNCTION("CONCAT(A1246,REGEXREPLACE(H1246,"".*_L0"",""_L0""))"),"PD_BN1957_MTG_snRNAseq_rep1_L004_I1_001.fastq.gz")</f>
        <v>PD_BN1957_MTG_snRNAseq_rep1_L004_I1_001.fastq.gz</v>
      </c>
      <c r="J1246" s="46" t="str">
        <f t="shared" si="4"/>
        <v>/data/neurogen/ASAP/scRNAseq/data/batch24_ASAP_snRNA-seq_*/Raw_Data_and_Processing/cellranger_processing/cellranger_fastqs/outs/fastq_path/H*/BN157_S3_L004_I1_001.fastq.gz</v>
      </c>
      <c r="K1246" s="46" t="s">
        <v>1347</v>
      </c>
      <c r="L1246" s="46" t="s">
        <v>3815</v>
      </c>
      <c r="M1246" s="46" t="s">
        <v>1309</v>
      </c>
      <c r="N1246" s="46" t="s">
        <v>1310</v>
      </c>
      <c r="O1246" s="46" t="s">
        <v>1311</v>
      </c>
      <c r="P1246" s="46" t="s">
        <v>1312</v>
      </c>
      <c r="Q1246" s="46" t="s">
        <v>31</v>
      </c>
      <c r="R1246" s="46" t="s">
        <v>31</v>
      </c>
      <c r="S1246" s="46" t="s">
        <v>31</v>
      </c>
      <c r="T1246" s="46" t="s">
        <v>31</v>
      </c>
      <c r="U1246" s="46" t="s">
        <v>49</v>
      </c>
    </row>
    <row r="1247" spans="1:21">
      <c r="A1247" s="46" t="s">
        <v>795</v>
      </c>
      <c r="B1247" s="46" t="s">
        <v>233</v>
      </c>
      <c r="C1247" s="46" t="s">
        <v>666</v>
      </c>
      <c r="D1247" s="46">
        <v>1</v>
      </c>
      <c r="E1247" s="46">
        <v>0</v>
      </c>
      <c r="F1247" s="46" t="s">
        <v>781</v>
      </c>
      <c r="G1247" s="46" t="s">
        <v>1305</v>
      </c>
      <c r="H1247" s="46" t="s">
        <v>3816</v>
      </c>
      <c r="I1247" s="46" t="str">
        <f ca="1">IFERROR(__xludf.DUMMYFUNCTION("CONCAT(A1247,REGEXREPLACE(H1247,"".*_L0"",""_L0""))"),"PD_BN1957_MTG_snRNAseq_rep1_L004_I2_001.fastq.gz")</f>
        <v>PD_BN1957_MTG_snRNAseq_rep1_L004_I2_001.fastq.gz</v>
      </c>
      <c r="J1247" s="46" t="str">
        <f t="shared" si="4"/>
        <v>/data/neurogen/ASAP/scRNAseq/data/batch24_ASAP_snRNA-seq_*/Raw_Data_and_Processing/cellranger_processing/cellranger_fastqs/outs/fastq_path/H*/BN157_S3_L004_I2_001.fastq.gz</v>
      </c>
      <c r="K1247" s="46" t="s">
        <v>1350</v>
      </c>
      <c r="L1247" s="46" t="s">
        <v>3817</v>
      </c>
      <c r="M1247" s="46" t="s">
        <v>1309</v>
      </c>
      <c r="N1247" s="46" t="s">
        <v>1310</v>
      </c>
      <c r="O1247" s="46" t="s">
        <v>1311</v>
      </c>
      <c r="P1247" s="46" t="s">
        <v>1312</v>
      </c>
      <c r="Q1247" s="46" t="s">
        <v>31</v>
      </c>
      <c r="R1247" s="46" t="s">
        <v>31</v>
      </c>
      <c r="S1247" s="46" t="s">
        <v>31</v>
      </c>
      <c r="T1247" s="46" t="s">
        <v>31</v>
      </c>
      <c r="U1247" s="46" t="s">
        <v>49</v>
      </c>
    </row>
    <row r="1248" spans="1:21">
      <c r="A1248" s="46" t="s">
        <v>795</v>
      </c>
      <c r="B1248" s="46" t="s">
        <v>233</v>
      </c>
      <c r="C1248" s="46" t="s">
        <v>666</v>
      </c>
      <c r="D1248" s="46">
        <v>1</v>
      </c>
      <c r="E1248" s="46">
        <v>0</v>
      </c>
      <c r="F1248" s="46" t="s">
        <v>781</v>
      </c>
      <c r="G1248" s="46" t="s">
        <v>1305</v>
      </c>
      <c r="H1248" s="46" t="s">
        <v>3818</v>
      </c>
      <c r="I1248" s="46" t="str">
        <f ca="1">IFERROR(__xludf.DUMMYFUNCTION("CONCAT(A1248,REGEXREPLACE(H1248,"".*_L0"",""_L0""))"),"PD_BN1957_MTG_snRNAseq_rep1_L004_R1_001.fastq.gz")</f>
        <v>PD_BN1957_MTG_snRNAseq_rep1_L004_R1_001.fastq.gz</v>
      </c>
      <c r="J1248" s="46" t="str">
        <f t="shared" si="4"/>
        <v>/data/neurogen/ASAP/scRNAseq/data/batch24_ASAP_snRNA-seq_*/Raw_Data_and_Processing/cellranger_processing/cellranger_fastqs/outs/fastq_path/H*/BN157_S3_L004_R1_001.fastq.gz</v>
      </c>
      <c r="K1248" s="46" t="s">
        <v>1353</v>
      </c>
      <c r="L1248" s="46" t="s">
        <v>3819</v>
      </c>
      <c r="M1248" s="46" t="s">
        <v>1309</v>
      </c>
      <c r="N1248" s="46" t="s">
        <v>1310</v>
      </c>
      <c r="O1248" s="46" t="s">
        <v>1311</v>
      </c>
      <c r="P1248" s="46" t="s">
        <v>1312</v>
      </c>
      <c r="Q1248" s="46" t="s">
        <v>31</v>
      </c>
      <c r="R1248" s="46" t="s">
        <v>31</v>
      </c>
      <c r="S1248" s="46" t="s">
        <v>31</v>
      </c>
      <c r="T1248" s="46" t="s">
        <v>31</v>
      </c>
      <c r="U1248" s="46" t="s">
        <v>49</v>
      </c>
    </row>
    <row r="1249" spans="1:21">
      <c r="A1249" s="46" t="s">
        <v>795</v>
      </c>
      <c r="B1249" s="46" t="s">
        <v>233</v>
      </c>
      <c r="C1249" s="46" t="s">
        <v>666</v>
      </c>
      <c r="D1249" s="46">
        <v>1</v>
      </c>
      <c r="E1249" s="46">
        <v>0</v>
      </c>
      <c r="F1249" s="46" t="s">
        <v>781</v>
      </c>
      <c r="G1249" s="46" t="s">
        <v>1305</v>
      </c>
      <c r="H1249" s="46" t="s">
        <v>3820</v>
      </c>
      <c r="I1249" s="46" t="str">
        <f ca="1">IFERROR(__xludf.DUMMYFUNCTION("CONCAT(A1249,REGEXREPLACE(H1249,"".*_L0"",""_L0""))"),"PD_BN1957_MTG_snRNAseq_rep1_L004_R2_001.fastq.gz")</f>
        <v>PD_BN1957_MTG_snRNAseq_rep1_L004_R2_001.fastq.gz</v>
      </c>
      <c r="J1249" s="46" t="str">
        <f t="shared" si="4"/>
        <v>/data/neurogen/ASAP/scRNAseq/data/batch24_ASAP_snRNA-seq_*/Raw_Data_and_Processing/cellranger_processing/cellranger_fastqs/outs/fastq_path/H*/BN157_S3_L004_R2_001.fastq.gz</v>
      </c>
      <c r="K1249" s="46" t="s">
        <v>1356</v>
      </c>
      <c r="L1249" s="46" t="s">
        <v>3821</v>
      </c>
      <c r="M1249" s="46" t="s">
        <v>1309</v>
      </c>
      <c r="N1249" s="46" t="s">
        <v>1310</v>
      </c>
      <c r="O1249" s="46" t="s">
        <v>1311</v>
      </c>
      <c r="P1249" s="46" t="s">
        <v>1312</v>
      </c>
      <c r="Q1249" s="46" t="s">
        <v>31</v>
      </c>
      <c r="R1249" s="46" t="s">
        <v>31</v>
      </c>
      <c r="S1249" s="46" t="s">
        <v>31</v>
      </c>
      <c r="T1249" s="46" t="s">
        <v>31</v>
      </c>
      <c r="U1249" s="46" t="s">
        <v>49</v>
      </c>
    </row>
    <row r="1250" spans="1:21">
      <c r="A1250" s="46" t="s">
        <v>803</v>
      </c>
      <c r="B1250" s="46" t="s">
        <v>249</v>
      </c>
      <c r="C1250" s="46" t="s">
        <v>666</v>
      </c>
      <c r="D1250" s="46">
        <v>1</v>
      </c>
      <c r="E1250" s="46">
        <v>0</v>
      </c>
      <c r="F1250" s="46" t="s">
        <v>804</v>
      </c>
      <c r="G1250" s="46" t="s">
        <v>1305</v>
      </c>
      <c r="H1250" s="46" t="s">
        <v>3822</v>
      </c>
      <c r="I1250" s="46" t="str">
        <f ca="1">IFERROR(__xludf.DUMMYFUNCTION("CONCAT(A1250,REGEXREPLACE(H1250,"".*_L0"",""_L0""))"),"ILB_BN9966_MTG_snRNAseq_rep1_L001_I1_001.fastq.gz")</f>
        <v>ILB_BN9966_MTG_snRNAseq_rep1_L001_I1_001.fastq.gz</v>
      </c>
      <c r="J1250" s="46" t="str">
        <f t="shared" si="4"/>
        <v>/data/neurogen/ASAP/scRNAseq/data/batch25_ASAP_snRNA-seq_*/Raw_Data_and_Processing/cellranger_processing/cellranger_fastqs/outs/fastq_path/H*/BN9966_S1_L001_I1_001.fastq.gz</v>
      </c>
      <c r="K1250" s="46" t="s">
        <v>1307</v>
      </c>
      <c r="L1250" s="46" t="s">
        <v>3823</v>
      </c>
      <c r="M1250" s="46" t="s">
        <v>1309</v>
      </c>
      <c r="N1250" s="46" t="s">
        <v>1310</v>
      </c>
      <c r="O1250" s="46" t="s">
        <v>1311</v>
      </c>
      <c r="P1250" s="46" t="s">
        <v>1312</v>
      </c>
      <c r="Q1250" s="46" t="s">
        <v>31</v>
      </c>
      <c r="R1250" s="46" t="s">
        <v>31</v>
      </c>
      <c r="S1250" s="46" t="s">
        <v>31</v>
      </c>
      <c r="T1250" s="46" t="s">
        <v>31</v>
      </c>
      <c r="U1250" s="46" t="s">
        <v>49</v>
      </c>
    </row>
    <row r="1251" spans="1:21">
      <c r="A1251" s="46" t="s">
        <v>803</v>
      </c>
      <c r="B1251" s="46" t="s">
        <v>249</v>
      </c>
      <c r="C1251" s="46" t="s">
        <v>666</v>
      </c>
      <c r="D1251" s="46">
        <v>1</v>
      </c>
      <c r="E1251" s="46">
        <v>0</v>
      </c>
      <c r="F1251" s="46" t="s">
        <v>804</v>
      </c>
      <c r="G1251" s="46" t="s">
        <v>1305</v>
      </c>
      <c r="H1251" s="46" t="s">
        <v>3824</v>
      </c>
      <c r="I1251" s="46" t="str">
        <f ca="1">IFERROR(__xludf.DUMMYFUNCTION("CONCAT(A1251,REGEXREPLACE(H1251,"".*_L0"",""_L0""))"),"ILB_BN9966_MTG_snRNAseq_rep1_L001_I2_001.fastq.gz")</f>
        <v>ILB_BN9966_MTG_snRNAseq_rep1_L001_I2_001.fastq.gz</v>
      </c>
      <c r="J1251" s="46" t="str">
        <f t="shared" si="4"/>
        <v>/data/neurogen/ASAP/scRNAseq/data/batch25_ASAP_snRNA-seq_*/Raw_Data_and_Processing/cellranger_processing/cellranger_fastqs/outs/fastq_path/H*/BN9966_S1_L001_I2_001.fastq.gz</v>
      </c>
      <c r="K1251" s="46" t="s">
        <v>1314</v>
      </c>
      <c r="L1251" s="46" t="s">
        <v>3825</v>
      </c>
      <c r="M1251" s="46" t="s">
        <v>1309</v>
      </c>
      <c r="N1251" s="46" t="s">
        <v>1310</v>
      </c>
      <c r="O1251" s="46" t="s">
        <v>1311</v>
      </c>
      <c r="P1251" s="46" t="s">
        <v>1312</v>
      </c>
      <c r="Q1251" s="46" t="s">
        <v>31</v>
      </c>
      <c r="R1251" s="46" t="s">
        <v>31</v>
      </c>
      <c r="S1251" s="46" t="s">
        <v>31</v>
      </c>
      <c r="T1251" s="46" t="s">
        <v>31</v>
      </c>
      <c r="U1251" s="46" t="s">
        <v>49</v>
      </c>
    </row>
    <row r="1252" spans="1:21">
      <c r="A1252" s="46" t="s">
        <v>803</v>
      </c>
      <c r="B1252" s="46" t="s">
        <v>249</v>
      </c>
      <c r="C1252" s="46" t="s">
        <v>666</v>
      </c>
      <c r="D1252" s="46">
        <v>1</v>
      </c>
      <c r="E1252" s="46">
        <v>0</v>
      </c>
      <c r="F1252" s="46" t="s">
        <v>804</v>
      </c>
      <c r="G1252" s="46" t="s">
        <v>1305</v>
      </c>
      <c r="H1252" s="46" t="s">
        <v>3826</v>
      </c>
      <c r="I1252" s="46" t="str">
        <f ca="1">IFERROR(__xludf.DUMMYFUNCTION("CONCAT(A1252,REGEXREPLACE(H1252,"".*_L0"",""_L0""))"),"ILB_BN9966_MTG_snRNAseq_rep1_L001_R1_001.fastq.gz")</f>
        <v>ILB_BN9966_MTG_snRNAseq_rep1_L001_R1_001.fastq.gz</v>
      </c>
      <c r="J1252" s="46" t="str">
        <f t="shared" si="4"/>
        <v>/data/neurogen/ASAP/scRNAseq/data/batch25_ASAP_snRNA-seq_*/Raw_Data_and_Processing/cellranger_processing/cellranger_fastqs/outs/fastq_path/H*/BN9966_S1_L001_R1_001.fastq.gz</v>
      </c>
      <c r="K1252" s="46" t="s">
        <v>1317</v>
      </c>
      <c r="L1252" s="46" t="s">
        <v>3827</v>
      </c>
      <c r="M1252" s="46" t="s">
        <v>1309</v>
      </c>
      <c r="N1252" s="46" t="s">
        <v>1310</v>
      </c>
      <c r="O1252" s="46" t="s">
        <v>1311</v>
      </c>
      <c r="P1252" s="46" t="s">
        <v>1312</v>
      </c>
      <c r="Q1252" s="46" t="s">
        <v>31</v>
      </c>
      <c r="R1252" s="46" t="s">
        <v>31</v>
      </c>
      <c r="S1252" s="46" t="s">
        <v>31</v>
      </c>
      <c r="T1252" s="46" t="s">
        <v>31</v>
      </c>
      <c r="U1252" s="46" t="s">
        <v>49</v>
      </c>
    </row>
    <row r="1253" spans="1:21">
      <c r="A1253" s="46" t="s">
        <v>803</v>
      </c>
      <c r="B1253" s="46" t="s">
        <v>249</v>
      </c>
      <c r="C1253" s="46" t="s">
        <v>666</v>
      </c>
      <c r="D1253" s="46">
        <v>1</v>
      </c>
      <c r="E1253" s="46">
        <v>0</v>
      </c>
      <c r="F1253" s="46" t="s">
        <v>804</v>
      </c>
      <c r="G1253" s="46" t="s">
        <v>1305</v>
      </c>
      <c r="H1253" s="46" t="s">
        <v>3828</v>
      </c>
      <c r="I1253" s="46" t="str">
        <f ca="1">IFERROR(__xludf.DUMMYFUNCTION("CONCAT(A1253,REGEXREPLACE(H1253,"".*_L0"",""_L0""))"),"ILB_BN9966_MTG_snRNAseq_rep1_L001_R2_001.fastq.gz")</f>
        <v>ILB_BN9966_MTG_snRNAseq_rep1_L001_R2_001.fastq.gz</v>
      </c>
      <c r="J1253" s="46" t="str">
        <f t="shared" si="4"/>
        <v>/data/neurogen/ASAP/scRNAseq/data/batch25_ASAP_snRNA-seq_*/Raw_Data_and_Processing/cellranger_processing/cellranger_fastqs/outs/fastq_path/H*/BN9966_S1_L001_R2_001.fastq.gz</v>
      </c>
      <c r="K1253" s="46" t="s">
        <v>1320</v>
      </c>
      <c r="L1253" s="46" t="s">
        <v>3829</v>
      </c>
      <c r="M1253" s="46" t="s">
        <v>1309</v>
      </c>
      <c r="N1253" s="46" t="s">
        <v>1310</v>
      </c>
      <c r="O1253" s="46" t="s">
        <v>1311</v>
      </c>
      <c r="P1253" s="46" t="s">
        <v>1312</v>
      </c>
      <c r="Q1253" s="46" t="s">
        <v>31</v>
      </c>
      <c r="R1253" s="46" t="s">
        <v>31</v>
      </c>
      <c r="S1253" s="46" t="s">
        <v>31</v>
      </c>
      <c r="T1253" s="46" t="s">
        <v>31</v>
      </c>
      <c r="U1253" s="46" t="s">
        <v>49</v>
      </c>
    </row>
    <row r="1254" spans="1:21">
      <c r="A1254" s="46" t="s">
        <v>803</v>
      </c>
      <c r="B1254" s="46" t="s">
        <v>249</v>
      </c>
      <c r="C1254" s="46" t="s">
        <v>666</v>
      </c>
      <c r="D1254" s="46">
        <v>1</v>
      </c>
      <c r="E1254" s="46">
        <v>0</v>
      </c>
      <c r="F1254" s="46" t="s">
        <v>804</v>
      </c>
      <c r="G1254" s="46" t="s">
        <v>1305</v>
      </c>
      <c r="H1254" s="46" t="s">
        <v>3830</v>
      </c>
      <c r="I1254" s="46" t="str">
        <f ca="1">IFERROR(__xludf.DUMMYFUNCTION("CONCAT(A1254,REGEXREPLACE(H1254,"".*_L0"",""_L0""))"),"ILB_BN9966_MTG_snRNAseq_rep1_L002_I1_001.fastq.gz")</f>
        <v>ILB_BN9966_MTG_snRNAseq_rep1_L002_I1_001.fastq.gz</v>
      </c>
      <c r="J1254" s="46" t="str">
        <f t="shared" si="4"/>
        <v>/data/neurogen/ASAP/scRNAseq/data/batch25_ASAP_snRNA-seq_*/Raw_Data_and_Processing/cellranger_processing/cellranger_fastqs/outs/fastq_path/H*/BN9966_S1_L002_I1_001.fastq.gz</v>
      </c>
      <c r="K1254" s="46" t="s">
        <v>1323</v>
      </c>
      <c r="L1254" s="46" t="s">
        <v>3831</v>
      </c>
      <c r="M1254" s="46" t="s">
        <v>1309</v>
      </c>
      <c r="N1254" s="46" t="s">
        <v>1310</v>
      </c>
      <c r="O1254" s="46" t="s">
        <v>1311</v>
      </c>
      <c r="P1254" s="46" t="s">
        <v>1312</v>
      </c>
      <c r="Q1254" s="46" t="s">
        <v>31</v>
      </c>
      <c r="R1254" s="46" t="s">
        <v>31</v>
      </c>
      <c r="S1254" s="46" t="s">
        <v>31</v>
      </c>
      <c r="T1254" s="46" t="s">
        <v>31</v>
      </c>
      <c r="U1254" s="46" t="s">
        <v>49</v>
      </c>
    </row>
    <row r="1255" spans="1:21">
      <c r="A1255" s="46" t="s">
        <v>803</v>
      </c>
      <c r="B1255" s="46" t="s">
        <v>249</v>
      </c>
      <c r="C1255" s="46" t="s">
        <v>666</v>
      </c>
      <c r="D1255" s="46">
        <v>1</v>
      </c>
      <c r="E1255" s="46">
        <v>0</v>
      </c>
      <c r="F1255" s="46" t="s">
        <v>804</v>
      </c>
      <c r="G1255" s="46" t="s">
        <v>1305</v>
      </c>
      <c r="H1255" s="46" t="s">
        <v>3832</v>
      </c>
      <c r="I1255" s="46" t="str">
        <f ca="1">IFERROR(__xludf.DUMMYFUNCTION("CONCAT(A1255,REGEXREPLACE(H1255,"".*_L0"",""_L0""))"),"ILB_BN9966_MTG_snRNAseq_rep1_L002_I2_001.fastq.gz")</f>
        <v>ILB_BN9966_MTG_snRNAseq_rep1_L002_I2_001.fastq.gz</v>
      </c>
      <c r="J1255" s="46" t="str">
        <f t="shared" si="4"/>
        <v>/data/neurogen/ASAP/scRNAseq/data/batch25_ASAP_snRNA-seq_*/Raw_Data_and_Processing/cellranger_processing/cellranger_fastqs/outs/fastq_path/H*/BN9966_S1_L002_I2_001.fastq.gz</v>
      </c>
      <c r="K1255" s="46" t="s">
        <v>1326</v>
      </c>
      <c r="L1255" s="46" t="s">
        <v>3833</v>
      </c>
      <c r="M1255" s="46" t="s">
        <v>1309</v>
      </c>
      <c r="N1255" s="46" t="s">
        <v>1310</v>
      </c>
      <c r="O1255" s="46" t="s">
        <v>1311</v>
      </c>
      <c r="P1255" s="46" t="s">
        <v>1312</v>
      </c>
      <c r="Q1255" s="46" t="s">
        <v>31</v>
      </c>
      <c r="R1255" s="46" t="s">
        <v>31</v>
      </c>
      <c r="S1255" s="46" t="s">
        <v>31</v>
      </c>
      <c r="T1255" s="46" t="s">
        <v>31</v>
      </c>
      <c r="U1255" s="46" t="s">
        <v>49</v>
      </c>
    </row>
    <row r="1256" spans="1:21">
      <c r="A1256" s="46" t="s">
        <v>803</v>
      </c>
      <c r="B1256" s="46" t="s">
        <v>249</v>
      </c>
      <c r="C1256" s="46" t="s">
        <v>666</v>
      </c>
      <c r="D1256" s="46">
        <v>1</v>
      </c>
      <c r="E1256" s="46">
        <v>0</v>
      </c>
      <c r="F1256" s="46" t="s">
        <v>804</v>
      </c>
      <c r="G1256" s="46" t="s">
        <v>1305</v>
      </c>
      <c r="H1256" s="46" t="s">
        <v>3834</v>
      </c>
      <c r="I1256" s="46" t="str">
        <f ca="1">IFERROR(__xludf.DUMMYFUNCTION("CONCAT(A1256,REGEXREPLACE(H1256,"".*_L0"",""_L0""))"),"ILB_BN9966_MTG_snRNAseq_rep1_L002_R1_001.fastq.gz")</f>
        <v>ILB_BN9966_MTG_snRNAseq_rep1_L002_R1_001.fastq.gz</v>
      </c>
      <c r="J1256" s="46" t="str">
        <f t="shared" si="4"/>
        <v>/data/neurogen/ASAP/scRNAseq/data/batch25_ASAP_snRNA-seq_*/Raw_Data_and_Processing/cellranger_processing/cellranger_fastqs/outs/fastq_path/H*/BN9966_S1_L002_R1_001.fastq.gz</v>
      </c>
      <c r="K1256" s="46" t="s">
        <v>1329</v>
      </c>
      <c r="L1256" s="46" t="s">
        <v>3835</v>
      </c>
      <c r="M1256" s="46" t="s">
        <v>1309</v>
      </c>
      <c r="N1256" s="46" t="s">
        <v>1310</v>
      </c>
      <c r="O1256" s="46" t="s">
        <v>1311</v>
      </c>
      <c r="P1256" s="46" t="s">
        <v>1312</v>
      </c>
      <c r="Q1256" s="46" t="s">
        <v>31</v>
      </c>
      <c r="R1256" s="46" t="s">
        <v>31</v>
      </c>
      <c r="S1256" s="46" t="s">
        <v>31</v>
      </c>
      <c r="T1256" s="46" t="s">
        <v>31</v>
      </c>
      <c r="U1256" s="46" t="s">
        <v>49</v>
      </c>
    </row>
    <row r="1257" spans="1:21">
      <c r="A1257" s="46" t="s">
        <v>803</v>
      </c>
      <c r="B1257" s="46" t="s">
        <v>249</v>
      </c>
      <c r="C1257" s="46" t="s">
        <v>666</v>
      </c>
      <c r="D1257" s="46">
        <v>1</v>
      </c>
      <c r="E1257" s="46">
        <v>0</v>
      </c>
      <c r="F1257" s="46" t="s">
        <v>804</v>
      </c>
      <c r="G1257" s="46" t="s">
        <v>1305</v>
      </c>
      <c r="H1257" s="46" t="s">
        <v>3836</v>
      </c>
      <c r="I1257" s="46" t="str">
        <f ca="1">IFERROR(__xludf.DUMMYFUNCTION("CONCAT(A1257,REGEXREPLACE(H1257,"".*_L0"",""_L0""))"),"ILB_BN9966_MTG_snRNAseq_rep1_L002_R2_001.fastq.gz")</f>
        <v>ILB_BN9966_MTG_snRNAseq_rep1_L002_R2_001.fastq.gz</v>
      </c>
      <c r="J1257" s="46" t="str">
        <f t="shared" si="4"/>
        <v>/data/neurogen/ASAP/scRNAseq/data/batch25_ASAP_snRNA-seq_*/Raw_Data_and_Processing/cellranger_processing/cellranger_fastqs/outs/fastq_path/H*/BN9966_S1_L002_R2_001.fastq.gz</v>
      </c>
      <c r="K1257" s="46" t="s">
        <v>1332</v>
      </c>
      <c r="L1257" s="46" t="s">
        <v>3837</v>
      </c>
      <c r="M1257" s="46" t="s">
        <v>1309</v>
      </c>
      <c r="N1257" s="46" t="s">
        <v>1310</v>
      </c>
      <c r="O1257" s="46" t="s">
        <v>1311</v>
      </c>
      <c r="P1257" s="46" t="s">
        <v>1312</v>
      </c>
      <c r="Q1257" s="46" t="s">
        <v>31</v>
      </c>
      <c r="R1257" s="46" t="s">
        <v>31</v>
      </c>
      <c r="S1257" s="46" t="s">
        <v>31</v>
      </c>
      <c r="T1257" s="46" t="s">
        <v>31</v>
      </c>
      <c r="U1257" s="46" t="s">
        <v>49</v>
      </c>
    </row>
    <row r="1258" spans="1:21">
      <c r="A1258" s="46" t="s">
        <v>803</v>
      </c>
      <c r="B1258" s="46" t="s">
        <v>249</v>
      </c>
      <c r="C1258" s="46" t="s">
        <v>666</v>
      </c>
      <c r="D1258" s="46">
        <v>1</v>
      </c>
      <c r="E1258" s="46">
        <v>0</v>
      </c>
      <c r="F1258" s="46" t="s">
        <v>804</v>
      </c>
      <c r="G1258" s="46" t="s">
        <v>1305</v>
      </c>
      <c r="H1258" s="46" t="s">
        <v>3838</v>
      </c>
      <c r="I1258" s="46" t="str">
        <f ca="1">IFERROR(__xludf.DUMMYFUNCTION("CONCAT(A1258,REGEXREPLACE(H1258,"".*_L0"",""_L0""))"),"ILB_BN9966_MTG_snRNAseq_rep1_L003_I1_001.fastq.gz")</f>
        <v>ILB_BN9966_MTG_snRNAseq_rep1_L003_I1_001.fastq.gz</v>
      </c>
      <c r="J1258" s="46" t="str">
        <f t="shared" si="4"/>
        <v>/data/neurogen/ASAP/scRNAseq/data/batch25_ASAP_snRNA-seq_*/Raw_Data_and_Processing/cellranger_processing/cellranger_fastqs/outs/fastq_path/H*/BN9966_S1_L003_I1_001.fastq.gz</v>
      </c>
      <c r="K1258" s="46" t="s">
        <v>1335</v>
      </c>
      <c r="L1258" s="46" t="s">
        <v>3839</v>
      </c>
      <c r="M1258" s="46" t="s">
        <v>1309</v>
      </c>
      <c r="N1258" s="46" t="s">
        <v>1310</v>
      </c>
      <c r="O1258" s="46" t="s">
        <v>1311</v>
      </c>
      <c r="P1258" s="46" t="s">
        <v>1312</v>
      </c>
      <c r="Q1258" s="46" t="s">
        <v>31</v>
      </c>
      <c r="R1258" s="46" t="s">
        <v>31</v>
      </c>
      <c r="S1258" s="46" t="s">
        <v>31</v>
      </c>
      <c r="T1258" s="46" t="s">
        <v>31</v>
      </c>
      <c r="U1258" s="46" t="s">
        <v>49</v>
      </c>
    </row>
    <row r="1259" spans="1:21">
      <c r="A1259" s="46" t="s">
        <v>803</v>
      </c>
      <c r="B1259" s="46" t="s">
        <v>249</v>
      </c>
      <c r="C1259" s="46" t="s">
        <v>666</v>
      </c>
      <c r="D1259" s="46">
        <v>1</v>
      </c>
      <c r="E1259" s="46">
        <v>0</v>
      </c>
      <c r="F1259" s="46" t="s">
        <v>804</v>
      </c>
      <c r="G1259" s="46" t="s">
        <v>1305</v>
      </c>
      <c r="H1259" s="46" t="s">
        <v>3840</v>
      </c>
      <c r="I1259" s="46" t="str">
        <f ca="1">IFERROR(__xludf.DUMMYFUNCTION("CONCAT(A1259,REGEXREPLACE(H1259,"".*_L0"",""_L0""))"),"ILB_BN9966_MTG_snRNAseq_rep1_L003_I2_001.fastq.gz")</f>
        <v>ILB_BN9966_MTG_snRNAseq_rep1_L003_I2_001.fastq.gz</v>
      </c>
      <c r="J1259" s="46" t="str">
        <f t="shared" si="4"/>
        <v>/data/neurogen/ASAP/scRNAseq/data/batch25_ASAP_snRNA-seq_*/Raw_Data_and_Processing/cellranger_processing/cellranger_fastqs/outs/fastq_path/H*/BN9966_S1_L003_I2_001.fastq.gz</v>
      </c>
      <c r="K1259" s="46" t="s">
        <v>1338</v>
      </c>
      <c r="L1259" s="46" t="s">
        <v>3841</v>
      </c>
      <c r="M1259" s="46" t="s">
        <v>1309</v>
      </c>
      <c r="N1259" s="46" t="s">
        <v>1310</v>
      </c>
      <c r="O1259" s="46" t="s">
        <v>1311</v>
      </c>
      <c r="P1259" s="46" t="s">
        <v>1312</v>
      </c>
      <c r="Q1259" s="46" t="s">
        <v>31</v>
      </c>
      <c r="R1259" s="46" t="s">
        <v>31</v>
      </c>
      <c r="S1259" s="46" t="s">
        <v>31</v>
      </c>
      <c r="T1259" s="46" t="s">
        <v>31</v>
      </c>
      <c r="U1259" s="46" t="s">
        <v>49</v>
      </c>
    </row>
    <row r="1260" spans="1:21">
      <c r="A1260" s="46" t="s">
        <v>803</v>
      </c>
      <c r="B1260" s="46" t="s">
        <v>249</v>
      </c>
      <c r="C1260" s="46" t="s">
        <v>666</v>
      </c>
      <c r="D1260" s="46">
        <v>1</v>
      </c>
      <c r="E1260" s="46">
        <v>0</v>
      </c>
      <c r="F1260" s="46" t="s">
        <v>804</v>
      </c>
      <c r="G1260" s="46" t="s">
        <v>1305</v>
      </c>
      <c r="H1260" s="46" t="s">
        <v>3842</v>
      </c>
      <c r="I1260" s="46" t="str">
        <f ca="1">IFERROR(__xludf.DUMMYFUNCTION("CONCAT(A1260,REGEXREPLACE(H1260,"".*_L0"",""_L0""))"),"ILB_BN9966_MTG_snRNAseq_rep1_L003_R1_001.fastq.gz")</f>
        <v>ILB_BN9966_MTG_snRNAseq_rep1_L003_R1_001.fastq.gz</v>
      </c>
      <c r="J1260" s="46" t="str">
        <f t="shared" si="4"/>
        <v>/data/neurogen/ASAP/scRNAseq/data/batch25_ASAP_snRNA-seq_*/Raw_Data_and_Processing/cellranger_processing/cellranger_fastqs/outs/fastq_path/H*/BN9966_S1_L003_R1_001.fastq.gz</v>
      </c>
      <c r="K1260" s="46" t="s">
        <v>1341</v>
      </c>
      <c r="L1260" s="46" t="s">
        <v>3843</v>
      </c>
      <c r="M1260" s="46" t="s">
        <v>1309</v>
      </c>
      <c r="N1260" s="46" t="s">
        <v>1310</v>
      </c>
      <c r="O1260" s="46" t="s">
        <v>1311</v>
      </c>
      <c r="P1260" s="46" t="s">
        <v>1312</v>
      </c>
      <c r="Q1260" s="46" t="s">
        <v>31</v>
      </c>
      <c r="R1260" s="46" t="s">
        <v>31</v>
      </c>
      <c r="S1260" s="46" t="s">
        <v>31</v>
      </c>
      <c r="T1260" s="46" t="s">
        <v>31</v>
      </c>
      <c r="U1260" s="46" t="s">
        <v>49</v>
      </c>
    </row>
    <row r="1261" spans="1:21">
      <c r="A1261" s="46" t="s">
        <v>803</v>
      </c>
      <c r="B1261" s="46" t="s">
        <v>249</v>
      </c>
      <c r="C1261" s="46" t="s">
        <v>666</v>
      </c>
      <c r="D1261" s="46">
        <v>1</v>
      </c>
      <c r="E1261" s="46">
        <v>0</v>
      </c>
      <c r="F1261" s="46" t="s">
        <v>804</v>
      </c>
      <c r="G1261" s="46" t="s">
        <v>1305</v>
      </c>
      <c r="H1261" s="46" t="s">
        <v>3844</v>
      </c>
      <c r="I1261" s="46" t="str">
        <f ca="1">IFERROR(__xludf.DUMMYFUNCTION("CONCAT(A1261,REGEXREPLACE(H1261,"".*_L0"",""_L0""))"),"ILB_BN9966_MTG_snRNAseq_rep1_L003_R2_001.fastq.gz")</f>
        <v>ILB_BN9966_MTG_snRNAseq_rep1_L003_R2_001.fastq.gz</v>
      </c>
      <c r="J1261" s="46" t="str">
        <f t="shared" si="4"/>
        <v>/data/neurogen/ASAP/scRNAseq/data/batch25_ASAP_snRNA-seq_*/Raw_Data_and_Processing/cellranger_processing/cellranger_fastqs/outs/fastq_path/H*/BN9966_S1_L003_R2_001.fastq.gz</v>
      </c>
      <c r="K1261" s="46" t="s">
        <v>1344</v>
      </c>
      <c r="L1261" s="46" t="s">
        <v>3845</v>
      </c>
      <c r="M1261" s="46" t="s">
        <v>1309</v>
      </c>
      <c r="N1261" s="46" t="s">
        <v>1310</v>
      </c>
      <c r="O1261" s="46" t="s">
        <v>1311</v>
      </c>
      <c r="P1261" s="46" t="s">
        <v>1312</v>
      </c>
      <c r="Q1261" s="46" t="s">
        <v>31</v>
      </c>
      <c r="R1261" s="46" t="s">
        <v>31</v>
      </c>
      <c r="S1261" s="46" t="s">
        <v>31</v>
      </c>
      <c r="T1261" s="46" t="s">
        <v>31</v>
      </c>
      <c r="U1261" s="46" t="s">
        <v>49</v>
      </c>
    </row>
    <row r="1262" spans="1:21">
      <c r="A1262" s="46" t="s">
        <v>803</v>
      </c>
      <c r="B1262" s="46" t="s">
        <v>249</v>
      </c>
      <c r="C1262" s="46" t="s">
        <v>666</v>
      </c>
      <c r="D1262" s="46">
        <v>1</v>
      </c>
      <c r="E1262" s="46">
        <v>0</v>
      </c>
      <c r="F1262" s="46" t="s">
        <v>804</v>
      </c>
      <c r="G1262" s="46" t="s">
        <v>1305</v>
      </c>
      <c r="H1262" s="46" t="s">
        <v>3846</v>
      </c>
      <c r="I1262" s="46" t="str">
        <f ca="1">IFERROR(__xludf.DUMMYFUNCTION("CONCAT(A1262,REGEXREPLACE(H1262,"".*_L0"",""_L0""))"),"ILB_BN9966_MTG_snRNAseq_rep1_L004_I1_001.fastq.gz")</f>
        <v>ILB_BN9966_MTG_snRNAseq_rep1_L004_I1_001.fastq.gz</v>
      </c>
      <c r="J1262" s="46" t="str">
        <f t="shared" si="4"/>
        <v>/data/neurogen/ASAP/scRNAseq/data/batch25_ASAP_snRNA-seq_*/Raw_Data_and_Processing/cellranger_processing/cellranger_fastqs/outs/fastq_path/H*/BN9966_S1_L004_I1_001.fastq.gz</v>
      </c>
      <c r="K1262" s="46" t="s">
        <v>1347</v>
      </c>
      <c r="L1262" s="46" t="s">
        <v>3847</v>
      </c>
      <c r="M1262" s="46" t="s">
        <v>1309</v>
      </c>
      <c r="N1262" s="46" t="s">
        <v>1310</v>
      </c>
      <c r="O1262" s="46" t="s">
        <v>1311</v>
      </c>
      <c r="P1262" s="46" t="s">
        <v>1312</v>
      </c>
      <c r="Q1262" s="46" t="s">
        <v>31</v>
      </c>
      <c r="R1262" s="46" t="s">
        <v>31</v>
      </c>
      <c r="S1262" s="46" t="s">
        <v>31</v>
      </c>
      <c r="T1262" s="46" t="s">
        <v>31</v>
      </c>
      <c r="U1262" s="46" t="s">
        <v>49</v>
      </c>
    </row>
    <row r="1263" spans="1:21">
      <c r="A1263" s="46" t="s">
        <v>803</v>
      </c>
      <c r="B1263" s="46" t="s">
        <v>249</v>
      </c>
      <c r="C1263" s="46" t="s">
        <v>666</v>
      </c>
      <c r="D1263" s="46">
        <v>1</v>
      </c>
      <c r="E1263" s="46">
        <v>0</v>
      </c>
      <c r="F1263" s="46" t="s">
        <v>804</v>
      </c>
      <c r="G1263" s="46" t="s">
        <v>1305</v>
      </c>
      <c r="H1263" s="46" t="s">
        <v>3848</v>
      </c>
      <c r="I1263" s="46" t="str">
        <f ca="1">IFERROR(__xludf.DUMMYFUNCTION("CONCAT(A1263,REGEXREPLACE(H1263,"".*_L0"",""_L0""))"),"ILB_BN9966_MTG_snRNAseq_rep1_L004_I2_001.fastq.gz")</f>
        <v>ILB_BN9966_MTG_snRNAseq_rep1_L004_I2_001.fastq.gz</v>
      </c>
      <c r="J1263" s="46" t="str">
        <f t="shared" si="4"/>
        <v>/data/neurogen/ASAP/scRNAseq/data/batch25_ASAP_snRNA-seq_*/Raw_Data_and_Processing/cellranger_processing/cellranger_fastqs/outs/fastq_path/H*/BN9966_S1_L004_I2_001.fastq.gz</v>
      </c>
      <c r="K1263" s="46" t="s">
        <v>1350</v>
      </c>
      <c r="L1263" s="46" t="s">
        <v>3849</v>
      </c>
      <c r="M1263" s="46" t="s">
        <v>1309</v>
      </c>
      <c r="N1263" s="46" t="s">
        <v>1310</v>
      </c>
      <c r="O1263" s="46" t="s">
        <v>1311</v>
      </c>
      <c r="P1263" s="46" t="s">
        <v>1312</v>
      </c>
      <c r="Q1263" s="46" t="s">
        <v>31</v>
      </c>
      <c r="R1263" s="46" t="s">
        <v>31</v>
      </c>
      <c r="S1263" s="46" t="s">
        <v>31</v>
      </c>
      <c r="T1263" s="46" t="s">
        <v>31</v>
      </c>
      <c r="U1263" s="46" t="s">
        <v>49</v>
      </c>
    </row>
    <row r="1264" spans="1:21">
      <c r="A1264" s="46" t="s">
        <v>803</v>
      </c>
      <c r="B1264" s="46" t="s">
        <v>249</v>
      </c>
      <c r="C1264" s="46" t="s">
        <v>666</v>
      </c>
      <c r="D1264" s="46">
        <v>1</v>
      </c>
      <c r="E1264" s="46">
        <v>0</v>
      </c>
      <c r="F1264" s="46" t="s">
        <v>804</v>
      </c>
      <c r="G1264" s="46" t="s">
        <v>1305</v>
      </c>
      <c r="H1264" s="46" t="s">
        <v>3850</v>
      </c>
      <c r="I1264" s="46" t="str">
        <f ca="1">IFERROR(__xludf.DUMMYFUNCTION("CONCAT(A1264,REGEXREPLACE(H1264,"".*_L0"",""_L0""))"),"ILB_BN9966_MTG_snRNAseq_rep1_L004_R1_001.fastq.gz")</f>
        <v>ILB_BN9966_MTG_snRNAseq_rep1_L004_R1_001.fastq.gz</v>
      </c>
      <c r="J1264" s="46" t="str">
        <f t="shared" si="4"/>
        <v>/data/neurogen/ASAP/scRNAseq/data/batch25_ASAP_snRNA-seq_*/Raw_Data_and_Processing/cellranger_processing/cellranger_fastqs/outs/fastq_path/H*/BN9966_S1_L004_R1_001.fastq.gz</v>
      </c>
      <c r="K1264" s="46" t="s">
        <v>1353</v>
      </c>
      <c r="L1264" s="46" t="s">
        <v>3851</v>
      </c>
      <c r="M1264" s="46" t="s">
        <v>1309</v>
      </c>
      <c r="N1264" s="46" t="s">
        <v>1310</v>
      </c>
      <c r="O1264" s="46" t="s">
        <v>1311</v>
      </c>
      <c r="P1264" s="46" t="s">
        <v>1312</v>
      </c>
      <c r="Q1264" s="46" t="s">
        <v>31</v>
      </c>
      <c r="R1264" s="46" t="s">
        <v>31</v>
      </c>
      <c r="S1264" s="46" t="s">
        <v>31</v>
      </c>
      <c r="T1264" s="46" t="s">
        <v>31</v>
      </c>
      <c r="U1264" s="46" t="s">
        <v>49</v>
      </c>
    </row>
    <row r="1265" spans="1:21">
      <c r="A1265" s="46" t="s">
        <v>803</v>
      </c>
      <c r="B1265" s="46" t="s">
        <v>249</v>
      </c>
      <c r="C1265" s="46" t="s">
        <v>666</v>
      </c>
      <c r="D1265" s="46">
        <v>1</v>
      </c>
      <c r="E1265" s="46">
        <v>0</v>
      </c>
      <c r="F1265" s="46" t="s">
        <v>804</v>
      </c>
      <c r="G1265" s="46" t="s">
        <v>1305</v>
      </c>
      <c r="H1265" s="46" t="s">
        <v>3852</v>
      </c>
      <c r="I1265" s="46" t="str">
        <f ca="1">IFERROR(__xludf.DUMMYFUNCTION("CONCAT(A1265,REGEXREPLACE(H1265,"".*_L0"",""_L0""))"),"ILB_BN9966_MTG_snRNAseq_rep1_L004_R2_001.fastq.gz")</f>
        <v>ILB_BN9966_MTG_snRNAseq_rep1_L004_R2_001.fastq.gz</v>
      </c>
      <c r="J1265" s="46" t="str">
        <f t="shared" si="4"/>
        <v>/data/neurogen/ASAP/scRNAseq/data/batch25_ASAP_snRNA-seq_*/Raw_Data_and_Processing/cellranger_processing/cellranger_fastqs/outs/fastq_path/H*/BN9966_S1_L004_R2_001.fastq.gz</v>
      </c>
      <c r="K1265" s="46" t="s">
        <v>1356</v>
      </c>
      <c r="L1265" s="46" t="s">
        <v>3853</v>
      </c>
      <c r="M1265" s="46" t="s">
        <v>1309</v>
      </c>
      <c r="N1265" s="46" t="s">
        <v>1310</v>
      </c>
      <c r="O1265" s="46" t="s">
        <v>1311</v>
      </c>
      <c r="P1265" s="46" t="s">
        <v>1312</v>
      </c>
      <c r="Q1265" s="46" t="s">
        <v>31</v>
      </c>
      <c r="R1265" s="46" t="s">
        <v>31</v>
      </c>
      <c r="S1265" s="46" t="s">
        <v>31</v>
      </c>
      <c r="T1265" s="46" t="s">
        <v>31</v>
      </c>
      <c r="U1265" s="46" t="s">
        <v>49</v>
      </c>
    </row>
    <row r="1266" spans="1:21">
      <c r="A1266" s="46" t="s">
        <v>688</v>
      </c>
      <c r="B1266" s="46" t="s">
        <v>85</v>
      </c>
      <c r="C1266" s="46" t="s">
        <v>689</v>
      </c>
      <c r="D1266" s="46">
        <v>2</v>
      </c>
      <c r="E1266" s="46">
        <v>1</v>
      </c>
      <c r="F1266" s="46" t="s">
        <v>690</v>
      </c>
      <c r="G1266" s="46" t="s">
        <v>1305</v>
      </c>
      <c r="H1266" s="46" t="s">
        <v>3854</v>
      </c>
      <c r="I1266" s="46" t="str">
        <f ca="1">IFERROR(__xludf.DUMMYFUNCTION("CONCAT(A1266,REGEXREPLACE(H1266,"".*_L0"",""_L0""))"),"ILB_BN0464_MTG_snRNAseq_rep2_L001_I1_001.fastq.gz")</f>
        <v>ILB_BN0464_MTG_snRNAseq_rep2_L001_I1_001.fastq.gz</v>
      </c>
      <c r="J1266" s="46" t="str">
        <f t="shared" si="4"/>
        <v>/data/neurogen/ASAP/scRNAseq/data/batch26_ASAP_snRNA-seq_*/Raw_Data_and_Processing/cellranger_processing/cellranger_fastqs/outs/fastq_path/H*/BN0464_S1_L001_I1_001.fastq.gz</v>
      </c>
      <c r="K1266" s="46" t="s">
        <v>1307</v>
      </c>
      <c r="L1266" s="46" t="s">
        <v>3855</v>
      </c>
      <c r="M1266" s="46" t="s">
        <v>1309</v>
      </c>
      <c r="N1266" s="46" t="s">
        <v>1310</v>
      </c>
      <c r="O1266" s="46" t="s">
        <v>1311</v>
      </c>
      <c r="P1266" s="46" t="s">
        <v>1312</v>
      </c>
      <c r="Q1266" s="46" t="s">
        <v>31</v>
      </c>
      <c r="R1266" s="46" t="s">
        <v>31</v>
      </c>
      <c r="S1266" s="46" t="s">
        <v>31</v>
      </c>
      <c r="T1266" s="46" t="s">
        <v>31</v>
      </c>
      <c r="U1266" s="46" t="s">
        <v>49</v>
      </c>
    </row>
    <row r="1267" spans="1:21">
      <c r="A1267" s="46" t="s">
        <v>688</v>
      </c>
      <c r="B1267" s="46" t="s">
        <v>85</v>
      </c>
      <c r="C1267" s="46" t="s">
        <v>689</v>
      </c>
      <c r="D1267" s="46">
        <v>2</v>
      </c>
      <c r="E1267" s="46">
        <v>1</v>
      </c>
      <c r="F1267" s="46" t="s">
        <v>690</v>
      </c>
      <c r="G1267" s="46" t="s">
        <v>1305</v>
      </c>
      <c r="H1267" s="46" t="s">
        <v>3856</v>
      </c>
      <c r="I1267" s="46" t="str">
        <f ca="1">IFERROR(__xludf.DUMMYFUNCTION("CONCAT(A1267,REGEXREPLACE(H1267,"".*_L0"",""_L0""))"),"ILB_BN0464_MTG_snRNAseq_rep2_L001_I2_001.fastq.gz")</f>
        <v>ILB_BN0464_MTG_snRNAseq_rep2_L001_I2_001.fastq.gz</v>
      </c>
      <c r="J1267" s="46" t="str">
        <f t="shared" si="4"/>
        <v>/data/neurogen/ASAP/scRNAseq/data/batch26_ASAP_snRNA-seq_*/Raw_Data_and_Processing/cellranger_processing/cellranger_fastqs/outs/fastq_path/H*/BN0464_S1_L001_I2_001.fastq.gz</v>
      </c>
      <c r="K1267" s="46" t="s">
        <v>1314</v>
      </c>
      <c r="L1267" s="46" t="s">
        <v>3857</v>
      </c>
      <c r="M1267" s="46" t="s">
        <v>1309</v>
      </c>
      <c r="N1267" s="46" t="s">
        <v>1310</v>
      </c>
      <c r="O1267" s="46" t="s">
        <v>1311</v>
      </c>
      <c r="P1267" s="46" t="s">
        <v>1312</v>
      </c>
      <c r="Q1267" s="46" t="s">
        <v>31</v>
      </c>
      <c r="R1267" s="46" t="s">
        <v>31</v>
      </c>
      <c r="S1267" s="46" t="s">
        <v>31</v>
      </c>
      <c r="T1267" s="46" t="s">
        <v>31</v>
      </c>
      <c r="U1267" s="46" t="s">
        <v>49</v>
      </c>
    </row>
    <row r="1268" spans="1:21">
      <c r="A1268" s="46" t="s">
        <v>688</v>
      </c>
      <c r="B1268" s="46" t="s">
        <v>85</v>
      </c>
      <c r="C1268" s="46" t="s">
        <v>689</v>
      </c>
      <c r="D1268" s="46">
        <v>2</v>
      </c>
      <c r="E1268" s="46">
        <v>1</v>
      </c>
      <c r="F1268" s="46" t="s">
        <v>690</v>
      </c>
      <c r="G1268" s="46" t="s">
        <v>1305</v>
      </c>
      <c r="H1268" s="46" t="s">
        <v>3858</v>
      </c>
      <c r="I1268" s="46" t="str">
        <f ca="1">IFERROR(__xludf.DUMMYFUNCTION("CONCAT(A1268,REGEXREPLACE(H1268,"".*_L0"",""_L0""))"),"ILB_BN0464_MTG_snRNAseq_rep2_L001_R1_001.fastq.gz")</f>
        <v>ILB_BN0464_MTG_snRNAseq_rep2_L001_R1_001.fastq.gz</v>
      </c>
      <c r="J1268" s="46" t="str">
        <f t="shared" si="4"/>
        <v>/data/neurogen/ASAP/scRNAseq/data/batch26_ASAP_snRNA-seq_*/Raw_Data_and_Processing/cellranger_processing/cellranger_fastqs/outs/fastq_path/H*/BN0464_S1_L001_R1_001.fastq.gz</v>
      </c>
      <c r="K1268" s="46" t="s">
        <v>1317</v>
      </c>
      <c r="L1268" s="46" t="s">
        <v>3859</v>
      </c>
      <c r="M1268" s="46" t="s">
        <v>1309</v>
      </c>
      <c r="N1268" s="46" t="s">
        <v>1310</v>
      </c>
      <c r="O1268" s="46" t="s">
        <v>1311</v>
      </c>
      <c r="P1268" s="46" t="s">
        <v>1312</v>
      </c>
      <c r="Q1268" s="46" t="s">
        <v>31</v>
      </c>
      <c r="R1268" s="46" t="s">
        <v>31</v>
      </c>
      <c r="S1268" s="46" t="s">
        <v>31</v>
      </c>
      <c r="T1268" s="46" t="s">
        <v>31</v>
      </c>
      <c r="U1268" s="46" t="s">
        <v>49</v>
      </c>
    </row>
    <row r="1269" spans="1:21">
      <c r="A1269" s="46" t="s">
        <v>688</v>
      </c>
      <c r="B1269" s="46" t="s">
        <v>85</v>
      </c>
      <c r="C1269" s="46" t="s">
        <v>689</v>
      </c>
      <c r="D1269" s="46">
        <v>2</v>
      </c>
      <c r="E1269" s="46">
        <v>1</v>
      </c>
      <c r="F1269" s="46" t="s">
        <v>690</v>
      </c>
      <c r="G1269" s="46" t="s">
        <v>1305</v>
      </c>
      <c r="H1269" s="46" t="s">
        <v>3860</v>
      </c>
      <c r="I1269" s="46" t="str">
        <f ca="1">IFERROR(__xludf.DUMMYFUNCTION("CONCAT(A1269,REGEXREPLACE(H1269,"".*_L0"",""_L0""))"),"ILB_BN0464_MTG_snRNAseq_rep2_L001_R2_001.fastq.gz")</f>
        <v>ILB_BN0464_MTG_snRNAseq_rep2_L001_R2_001.fastq.gz</v>
      </c>
      <c r="J1269" s="46" t="str">
        <f t="shared" si="4"/>
        <v>/data/neurogen/ASAP/scRNAseq/data/batch26_ASAP_snRNA-seq_*/Raw_Data_and_Processing/cellranger_processing/cellranger_fastqs/outs/fastq_path/H*/BN0464_S1_L001_R2_001.fastq.gz</v>
      </c>
      <c r="K1269" s="46" t="s">
        <v>1320</v>
      </c>
      <c r="L1269" s="46" t="s">
        <v>3861</v>
      </c>
      <c r="M1269" s="46" t="s">
        <v>1309</v>
      </c>
      <c r="N1269" s="46" t="s">
        <v>1310</v>
      </c>
      <c r="O1269" s="46" t="s">
        <v>1311</v>
      </c>
      <c r="P1269" s="46" t="s">
        <v>1312</v>
      </c>
      <c r="Q1269" s="46" t="s">
        <v>31</v>
      </c>
      <c r="R1269" s="46" t="s">
        <v>31</v>
      </c>
      <c r="S1269" s="46" t="s">
        <v>31</v>
      </c>
      <c r="T1269" s="46" t="s">
        <v>31</v>
      </c>
      <c r="U1269" s="46" t="s">
        <v>49</v>
      </c>
    </row>
    <row r="1270" spans="1:21">
      <c r="A1270" s="46" t="s">
        <v>688</v>
      </c>
      <c r="B1270" s="46" t="s">
        <v>85</v>
      </c>
      <c r="C1270" s="46" t="s">
        <v>689</v>
      </c>
      <c r="D1270" s="46">
        <v>2</v>
      </c>
      <c r="E1270" s="46">
        <v>1</v>
      </c>
      <c r="F1270" s="46" t="s">
        <v>690</v>
      </c>
      <c r="G1270" s="46" t="s">
        <v>1305</v>
      </c>
      <c r="H1270" s="46" t="s">
        <v>3862</v>
      </c>
      <c r="I1270" s="46" t="str">
        <f ca="1">IFERROR(__xludf.DUMMYFUNCTION("CONCAT(A1270,REGEXREPLACE(H1270,"".*_L0"",""_L0""))"),"ILB_BN0464_MTG_snRNAseq_rep2_L002_I1_001.fastq.gz")</f>
        <v>ILB_BN0464_MTG_snRNAseq_rep2_L002_I1_001.fastq.gz</v>
      </c>
      <c r="J1270" s="46" t="str">
        <f t="shared" si="4"/>
        <v>/data/neurogen/ASAP/scRNAseq/data/batch26_ASAP_snRNA-seq_*/Raw_Data_and_Processing/cellranger_processing/cellranger_fastqs/outs/fastq_path/H*/BN0464_S1_L002_I1_001.fastq.gz</v>
      </c>
      <c r="K1270" s="46" t="s">
        <v>1323</v>
      </c>
      <c r="L1270" s="46" t="s">
        <v>3863</v>
      </c>
      <c r="M1270" s="46" t="s">
        <v>1309</v>
      </c>
      <c r="N1270" s="46" t="s">
        <v>1310</v>
      </c>
      <c r="O1270" s="46" t="s">
        <v>1311</v>
      </c>
      <c r="P1270" s="46" t="s">
        <v>1312</v>
      </c>
      <c r="Q1270" s="46" t="s">
        <v>31</v>
      </c>
      <c r="R1270" s="46" t="s">
        <v>31</v>
      </c>
      <c r="S1270" s="46" t="s">
        <v>31</v>
      </c>
      <c r="T1270" s="46" t="s">
        <v>31</v>
      </c>
      <c r="U1270" s="46" t="s">
        <v>49</v>
      </c>
    </row>
    <row r="1271" spans="1:21">
      <c r="A1271" s="46" t="s">
        <v>688</v>
      </c>
      <c r="B1271" s="46" t="s">
        <v>85</v>
      </c>
      <c r="C1271" s="46" t="s">
        <v>689</v>
      </c>
      <c r="D1271" s="46">
        <v>2</v>
      </c>
      <c r="E1271" s="46">
        <v>1</v>
      </c>
      <c r="F1271" s="46" t="s">
        <v>690</v>
      </c>
      <c r="G1271" s="46" t="s">
        <v>1305</v>
      </c>
      <c r="H1271" s="46" t="s">
        <v>3864</v>
      </c>
      <c r="I1271" s="46" t="str">
        <f ca="1">IFERROR(__xludf.DUMMYFUNCTION("CONCAT(A1271,REGEXREPLACE(H1271,"".*_L0"",""_L0""))"),"ILB_BN0464_MTG_snRNAseq_rep2_L002_I2_001.fastq.gz")</f>
        <v>ILB_BN0464_MTG_snRNAseq_rep2_L002_I2_001.fastq.gz</v>
      </c>
      <c r="J1271" s="46" t="str">
        <f t="shared" si="4"/>
        <v>/data/neurogen/ASAP/scRNAseq/data/batch26_ASAP_snRNA-seq_*/Raw_Data_and_Processing/cellranger_processing/cellranger_fastqs/outs/fastq_path/H*/BN0464_S1_L002_I2_001.fastq.gz</v>
      </c>
      <c r="K1271" s="46" t="s">
        <v>1326</v>
      </c>
      <c r="L1271" s="46" t="s">
        <v>3865</v>
      </c>
      <c r="M1271" s="46" t="s">
        <v>1309</v>
      </c>
      <c r="N1271" s="46" t="s">
        <v>1310</v>
      </c>
      <c r="O1271" s="46" t="s">
        <v>1311</v>
      </c>
      <c r="P1271" s="46" t="s">
        <v>1312</v>
      </c>
      <c r="Q1271" s="46" t="s">
        <v>31</v>
      </c>
      <c r="R1271" s="46" t="s">
        <v>31</v>
      </c>
      <c r="S1271" s="46" t="s">
        <v>31</v>
      </c>
      <c r="T1271" s="46" t="s">
        <v>31</v>
      </c>
      <c r="U1271" s="46" t="s">
        <v>49</v>
      </c>
    </row>
    <row r="1272" spans="1:21">
      <c r="A1272" s="46" t="s">
        <v>688</v>
      </c>
      <c r="B1272" s="46" t="s">
        <v>85</v>
      </c>
      <c r="C1272" s="46" t="s">
        <v>689</v>
      </c>
      <c r="D1272" s="46">
        <v>2</v>
      </c>
      <c r="E1272" s="46">
        <v>1</v>
      </c>
      <c r="F1272" s="46" t="s">
        <v>690</v>
      </c>
      <c r="G1272" s="46" t="s">
        <v>1305</v>
      </c>
      <c r="H1272" s="46" t="s">
        <v>3866</v>
      </c>
      <c r="I1272" s="46" t="str">
        <f ca="1">IFERROR(__xludf.DUMMYFUNCTION("CONCAT(A1272,REGEXREPLACE(H1272,"".*_L0"",""_L0""))"),"ILB_BN0464_MTG_snRNAseq_rep2_L002_R1_001.fastq.gz")</f>
        <v>ILB_BN0464_MTG_snRNAseq_rep2_L002_R1_001.fastq.gz</v>
      </c>
      <c r="J1272" s="46" t="str">
        <f t="shared" si="4"/>
        <v>/data/neurogen/ASAP/scRNAseq/data/batch26_ASAP_snRNA-seq_*/Raw_Data_and_Processing/cellranger_processing/cellranger_fastqs/outs/fastq_path/H*/BN0464_S1_L002_R1_001.fastq.gz</v>
      </c>
      <c r="K1272" s="46" t="s">
        <v>1329</v>
      </c>
      <c r="L1272" s="46" t="s">
        <v>3867</v>
      </c>
      <c r="M1272" s="46" t="s">
        <v>1309</v>
      </c>
      <c r="N1272" s="46" t="s">
        <v>1310</v>
      </c>
      <c r="O1272" s="46" t="s">
        <v>1311</v>
      </c>
      <c r="P1272" s="46" t="s">
        <v>1312</v>
      </c>
      <c r="Q1272" s="46" t="s">
        <v>31</v>
      </c>
      <c r="R1272" s="46" t="s">
        <v>31</v>
      </c>
      <c r="S1272" s="46" t="s">
        <v>31</v>
      </c>
      <c r="T1272" s="46" t="s">
        <v>31</v>
      </c>
      <c r="U1272" s="46" t="s">
        <v>49</v>
      </c>
    </row>
    <row r="1273" spans="1:21">
      <c r="A1273" s="46" t="s">
        <v>688</v>
      </c>
      <c r="B1273" s="46" t="s">
        <v>85</v>
      </c>
      <c r="C1273" s="46" t="s">
        <v>689</v>
      </c>
      <c r="D1273" s="46">
        <v>2</v>
      </c>
      <c r="E1273" s="46">
        <v>1</v>
      </c>
      <c r="F1273" s="46" t="s">
        <v>690</v>
      </c>
      <c r="G1273" s="46" t="s">
        <v>1305</v>
      </c>
      <c r="H1273" s="46" t="s">
        <v>3868</v>
      </c>
      <c r="I1273" s="46" t="str">
        <f ca="1">IFERROR(__xludf.DUMMYFUNCTION("CONCAT(A1273,REGEXREPLACE(H1273,"".*_L0"",""_L0""))"),"ILB_BN0464_MTG_snRNAseq_rep2_L002_R2_001.fastq.gz")</f>
        <v>ILB_BN0464_MTG_snRNAseq_rep2_L002_R2_001.fastq.gz</v>
      </c>
      <c r="J1273" s="46" t="str">
        <f t="shared" si="4"/>
        <v>/data/neurogen/ASAP/scRNAseq/data/batch26_ASAP_snRNA-seq_*/Raw_Data_and_Processing/cellranger_processing/cellranger_fastqs/outs/fastq_path/H*/BN0464_S1_L002_R2_001.fastq.gz</v>
      </c>
      <c r="K1273" s="46" t="s">
        <v>1332</v>
      </c>
      <c r="L1273" s="46" t="s">
        <v>3869</v>
      </c>
      <c r="M1273" s="46" t="s">
        <v>1309</v>
      </c>
      <c r="N1273" s="46" t="s">
        <v>1310</v>
      </c>
      <c r="O1273" s="46" t="s">
        <v>1311</v>
      </c>
      <c r="P1273" s="46" t="s">
        <v>1312</v>
      </c>
      <c r="Q1273" s="46" t="s">
        <v>31</v>
      </c>
      <c r="R1273" s="46" t="s">
        <v>31</v>
      </c>
      <c r="S1273" s="46" t="s">
        <v>31</v>
      </c>
      <c r="T1273" s="46" t="s">
        <v>31</v>
      </c>
      <c r="U1273" s="46" t="s">
        <v>49</v>
      </c>
    </row>
    <row r="1274" spans="1:21">
      <c r="A1274" s="46" t="s">
        <v>688</v>
      </c>
      <c r="B1274" s="46" t="s">
        <v>85</v>
      </c>
      <c r="C1274" s="46" t="s">
        <v>689</v>
      </c>
      <c r="D1274" s="46">
        <v>2</v>
      </c>
      <c r="E1274" s="46">
        <v>1</v>
      </c>
      <c r="F1274" s="46" t="s">
        <v>690</v>
      </c>
      <c r="G1274" s="46" t="s">
        <v>1305</v>
      </c>
      <c r="H1274" s="46" t="s">
        <v>3870</v>
      </c>
      <c r="I1274" s="46" t="str">
        <f ca="1">IFERROR(__xludf.DUMMYFUNCTION("CONCAT(A1274,REGEXREPLACE(H1274,"".*_L0"",""_L0""))"),"ILB_BN0464_MTG_snRNAseq_rep2_L003_I1_001.fastq.gz")</f>
        <v>ILB_BN0464_MTG_snRNAseq_rep2_L003_I1_001.fastq.gz</v>
      </c>
      <c r="J1274" s="46" t="str">
        <f t="shared" si="4"/>
        <v>/data/neurogen/ASAP/scRNAseq/data/batch26_ASAP_snRNA-seq_*/Raw_Data_and_Processing/cellranger_processing/cellranger_fastqs/outs/fastq_path/H*/BN0464_S1_L003_I1_001.fastq.gz</v>
      </c>
      <c r="K1274" s="46" t="s">
        <v>1335</v>
      </c>
      <c r="L1274" s="46" t="s">
        <v>3871</v>
      </c>
      <c r="M1274" s="46" t="s">
        <v>1309</v>
      </c>
      <c r="N1274" s="46" t="s">
        <v>1310</v>
      </c>
      <c r="O1274" s="46" t="s">
        <v>1311</v>
      </c>
      <c r="P1274" s="46" t="s">
        <v>1312</v>
      </c>
      <c r="Q1274" s="46" t="s">
        <v>31</v>
      </c>
      <c r="R1274" s="46" t="s">
        <v>31</v>
      </c>
      <c r="S1274" s="46" t="s">
        <v>31</v>
      </c>
      <c r="T1274" s="46" t="s">
        <v>31</v>
      </c>
      <c r="U1274" s="46" t="s">
        <v>49</v>
      </c>
    </row>
    <row r="1275" spans="1:21">
      <c r="A1275" s="46" t="s">
        <v>688</v>
      </c>
      <c r="B1275" s="46" t="s">
        <v>85</v>
      </c>
      <c r="C1275" s="46" t="s">
        <v>689</v>
      </c>
      <c r="D1275" s="46">
        <v>2</v>
      </c>
      <c r="E1275" s="46">
        <v>1</v>
      </c>
      <c r="F1275" s="46" t="s">
        <v>690</v>
      </c>
      <c r="G1275" s="46" t="s">
        <v>1305</v>
      </c>
      <c r="H1275" s="46" t="s">
        <v>3872</v>
      </c>
      <c r="I1275" s="46" t="str">
        <f ca="1">IFERROR(__xludf.DUMMYFUNCTION("CONCAT(A1275,REGEXREPLACE(H1275,"".*_L0"",""_L0""))"),"ILB_BN0464_MTG_snRNAseq_rep2_L003_I2_001.fastq.gz")</f>
        <v>ILB_BN0464_MTG_snRNAseq_rep2_L003_I2_001.fastq.gz</v>
      </c>
      <c r="J1275" s="46" t="str">
        <f t="shared" si="4"/>
        <v>/data/neurogen/ASAP/scRNAseq/data/batch26_ASAP_snRNA-seq_*/Raw_Data_and_Processing/cellranger_processing/cellranger_fastqs/outs/fastq_path/H*/BN0464_S1_L003_I2_001.fastq.gz</v>
      </c>
      <c r="K1275" s="46" t="s">
        <v>1338</v>
      </c>
      <c r="L1275" s="46" t="s">
        <v>3873</v>
      </c>
      <c r="M1275" s="46" t="s">
        <v>1309</v>
      </c>
      <c r="N1275" s="46" t="s">
        <v>1310</v>
      </c>
      <c r="O1275" s="46" t="s">
        <v>1311</v>
      </c>
      <c r="P1275" s="46" t="s">
        <v>1312</v>
      </c>
      <c r="Q1275" s="46" t="s">
        <v>31</v>
      </c>
      <c r="R1275" s="46" t="s">
        <v>31</v>
      </c>
      <c r="S1275" s="46" t="s">
        <v>31</v>
      </c>
      <c r="T1275" s="46" t="s">
        <v>31</v>
      </c>
      <c r="U1275" s="46" t="s">
        <v>49</v>
      </c>
    </row>
    <row r="1276" spans="1:21">
      <c r="A1276" s="46" t="s">
        <v>688</v>
      </c>
      <c r="B1276" s="46" t="s">
        <v>85</v>
      </c>
      <c r="C1276" s="46" t="s">
        <v>689</v>
      </c>
      <c r="D1276" s="46">
        <v>2</v>
      </c>
      <c r="E1276" s="46">
        <v>1</v>
      </c>
      <c r="F1276" s="46" t="s">
        <v>690</v>
      </c>
      <c r="G1276" s="46" t="s">
        <v>1305</v>
      </c>
      <c r="H1276" s="46" t="s">
        <v>3874</v>
      </c>
      <c r="I1276" s="46" t="str">
        <f ca="1">IFERROR(__xludf.DUMMYFUNCTION("CONCAT(A1276,REGEXREPLACE(H1276,"".*_L0"",""_L0""))"),"ILB_BN0464_MTG_snRNAseq_rep2_L003_R1_001.fastq.gz")</f>
        <v>ILB_BN0464_MTG_snRNAseq_rep2_L003_R1_001.fastq.gz</v>
      </c>
      <c r="J1276" s="46" t="str">
        <f t="shared" si="4"/>
        <v>/data/neurogen/ASAP/scRNAseq/data/batch26_ASAP_snRNA-seq_*/Raw_Data_and_Processing/cellranger_processing/cellranger_fastqs/outs/fastq_path/H*/BN0464_S1_L003_R1_001.fastq.gz</v>
      </c>
      <c r="K1276" s="46" t="s">
        <v>1341</v>
      </c>
      <c r="L1276" s="46" t="s">
        <v>3875</v>
      </c>
      <c r="M1276" s="46" t="s">
        <v>1309</v>
      </c>
      <c r="N1276" s="46" t="s">
        <v>1310</v>
      </c>
      <c r="O1276" s="46" t="s">
        <v>1311</v>
      </c>
      <c r="P1276" s="46" t="s">
        <v>1312</v>
      </c>
      <c r="Q1276" s="46" t="s">
        <v>31</v>
      </c>
      <c r="R1276" s="46" t="s">
        <v>31</v>
      </c>
      <c r="S1276" s="46" t="s">
        <v>31</v>
      </c>
      <c r="T1276" s="46" t="s">
        <v>31</v>
      </c>
      <c r="U1276" s="46" t="s">
        <v>49</v>
      </c>
    </row>
    <row r="1277" spans="1:21">
      <c r="A1277" s="46" t="s">
        <v>688</v>
      </c>
      <c r="B1277" s="46" t="s">
        <v>85</v>
      </c>
      <c r="C1277" s="46" t="s">
        <v>689</v>
      </c>
      <c r="D1277" s="46">
        <v>2</v>
      </c>
      <c r="E1277" s="46">
        <v>1</v>
      </c>
      <c r="F1277" s="46" t="s">
        <v>690</v>
      </c>
      <c r="G1277" s="46" t="s">
        <v>1305</v>
      </c>
      <c r="H1277" s="46" t="s">
        <v>3876</v>
      </c>
      <c r="I1277" s="46" t="str">
        <f ca="1">IFERROR(__xludf.DUMMYFUNCTION("CONCAT(A1277,REGEXREPLACE(H1277,"".*_L0"",""_L0""))"),"ILB_BN0464_MTG_snRNAseq_rep2_L003_R2_001.fastq.gz")</f>
        <v>ILB_BN0464_MTG_snRNAseq_rep2_L003_R2_001.fastq.gz</v>
      </c>
      <c r="J1277" s="46" t="str">
        <f t="shared" ref="J1277:J1531" si="5">CONCATENATE("/data/neurogen/ASAP/scRNAseq/data/",F1277,"_ASAP_snRNA-seq_*/Raw_Data_and_Processing/cellranger_processing/cellranger_fastqs/outs/fastq_path/H*/",H1277)</f>
        <v>/data/neurogen/ASAP/scRNAseq/data/batch26_ASAP_snRNA-seq_*/Raw_Data_and_Processing/cellranger_processing/cellranger_fastqs/outs/fastq_path/H*/BN0464_S1_L003_R2_001.fastq.gz</v>
      </c>
      <c r="K1277" s="46" t="s">
        <v>1344</v>
      </c>
      <c r="L1277" s="46" t="s">
        <v>3877</v>
      </c>
      <c r="M1277" s="46" t="s">
        <v>1309</v>
      </c>
      <c r="N1277" s="46" t="s">
        <v>1310</v>
      </c>
      <c r="O1277" s="46" t="s">
        <v>1311</v>
      </c>
      <c r="P1277" s="46" t="s">
        <v>1312</v>
      </c>
      <c r="Q1277" s="46" t="s">
        <v>31</v>
      </c>
      <c r="R1277" s="46" t="s">
        <v>31</v>
      </c>
      <c r="S1277" s="46" t="s">
        <v>31</v>
      </c>
      <c r="T1277" s="46" t="s">
        <v>31</v>
      </c>
      <c r="U1277" s="46" t="s">
        <v>49</v>
      </c>
    </row>
    <row r="1278" spans="1:21">
      <c r="A1278" s="46" t="s">
        <v>688</v>
      </c>
      <c r="B1278" s="46" t="s">
        <v>85</v>
      </c>
      <c r="C1278" s="46" t="s">
        <v>689</v>
      </c>
      <c r="D1278" s="46">
        <v>2</v>
      </c>
      <c r="E1278" s="46">
        <v>1</v>
      </c>
      <c r="F1278" s="46" t="s">
        <v>690</v>
      </c>
      <c r="G1278" s="46" t="s">
        <v>1305</v>
      </c>
      <c r="H1278" s="46" t="s">
        <v>3878</v>
      </c>
      <c r="I1278" s="46" t="str">
        <f ca="1">IFERROR(__xludf.DUMMYFUNCTION("CONCAT(A1278,REGEXREPLACE(H1278,"".*_L0"",""_L0""))"),"ILB_BN0464_MTG_snRNAseq_rep2_L004_I1_001.fastq.gz")</f>
        <v>ILB_BN0464_MTG_snRNAseq_rep2_L004_I1_001.fastq.gz</v>
      </c>
      <c r="J1278" s="46" t="str">
        <f t="shared" si="5"/>
        <v>/data/neurogen/ASAP/scRNAseq/data/batch26_ASAP_snRNA-seq_*/Raw_Data_and_Processing/cellranger_processing/cellranger_fastqs/outs/fastq_path/H*/BN0464_S1_L004_I1_001.fastq.gz</v>
      </c>
      <c r="K1278" s="46" t="s">
        <v>1347</v>
      </c>
      <c r="L1278" s="46" t="s">
        <v>3879</v>
      </c>
      <c r="M1278" s="46" t="s">
        <v>1309</v>
      </c>
      <c r="N1278" s="46" t="s">
        <v>1310</v>
      </c>
      <c r="O1278" s="46" t="s">
        <v>1311</v>
      </c>
      <c r="P1278" s="46" t="s">
        <v>1312</v>
      </c>
      <c r="Q1278" s="46" t="s">
        <v>31</v>
      </c>
      <c r="R1278" s="46" t="s">
        <v>31</v>
      </c>
      <c r="S1278" s="46" t="s">
        <v>31</v>
      </c>
      <c r="T1278" s="46" t="s">
        <v>31</v>
      </c>
      <c r="U1278" s="46" t="s">
        <v>49</v>
      </c>
    </row>
    <row r="1279" spans="1:21">
      <c r="A1279" s="46" t="s">
        <v>688</v>
      </c>
      <c r="B1279" s="46" t="s">
        <v>85</v>
      </c>
      <c r="C1279" s="46" t="s">
        <v>689</v>
      </c>
      <c r="D1279" s="46">
        <v>2</v>
      </c>
      <c r="E1279" s="46">
        <v>1</v>
      </c>
      <c r="F1279" s="46" t="s">
        <v>690</v>
      </c>
      <c r="G1279" s="46" t="s">
        <v>1305</v>
      </c>
      <c r="H1279" s="46" t="s">
        <v>3880</v>
      </c>
      <c r="I1279" s="46" t="str">
        <f ca="1">IFERROR(__xludf.DUMMYFUNCTION("CONCAT(A1279,REGEXREPLACE(H1279,"".*_L0"",""_L0""))"),"ILB_BN0464_MTG_snRNAseq_rep2_L004_I2_001.fastq.gz")</f>
        <v>ILB_BN0464_MTG_snRNAseq_rep2_L004_I2_001.fastq.gz</v>
      </c>
      <c r="J1279" s="46" t="str">
        <f t="shared" si="5"/>
        <v>/data/neurogen/ASAP/scRNAseq/data/batch26_ASAP_snRNA-seq_*/Raw_Data_and_Processing/cellranger_processing/cellranger_fastqs/outs/fastq_path/H*/BN0464_S1_L004_I2_001.fastq.gz</v>
      </c>
      <c r="K1279" s="46" t="s">
        <v>1350</v>
      </c>
      <c r="L1279" s="46" t="s">
        <v>3881</v>
      </c>
      <c r="M1279" s="46" t="s">
        <v>1309</v>
      </c>
      <c r="N1279" s="46" t="s">
        <v>1310</v>
      </c>
      <c r="O1279" s="46" t="s">
        <v>1311</v>
      </c>
      <c r="P1279" s="46" t="s">
        <v>1312</v>
      </c>
      <c r="Q1279" s="46" t="s">
        <v>31</v>
      </c>
      <c r="R1279" s="46" t="s">
        <v>31</v>
      </c>
      <c r="S1279" s="46" t="s">
        <v>31</v>
      </c>
      <c r="T1279" s="46" t="s">
        <v>31</v>
      </c>
      <c r="U1279" s="46" t="s">
        <v>49</v>
      </c>
    </row>
    <row r="1280" spans="1:21">
      <c r="A1280" s="46" t="s">
        <v>688</v>
      </c>
      <c r="B1280" s="46" t="s">
        <v>85</v>
      </c>
      <c r="C1280" s="46" t="s">
        <v>689</v>
      </c>
      <c r="D1280" s="46">
        <v>2</v>
      </c>
      <c r="E1280" s="46">
        <v>1</v>
      </c>
      <c r="F1280" s="46" t="s">
        <v>690</v>
      </c>
      <c r="G1280" s="46" t="s">
        <v>1305</v>
      </c>
      <c r="H1280" s="46" t="s">
        <v>3882</v>
      </c>
      <c r="I1280" s="46" t="str">
        <f ca="1">IFERROR(__xludf.DUMMYFUNCTION("CONCAT(A1280,REGEXREPLACE(H1280,"".*_L0"",""_L0""))"),"ILB_BN0464_MTG_snRNAseq_rep2_L004_R1_001.fastq.gz")</f>
        <v>ILB_BN0464_MTG_snRNAseq_rep2_L004_R1_001.fastq.gz</v>
      </c>
      <c r="J1280" s="46" t="str">
        <f t="shared" si="5"/>
        <v>/data/neurogen/ASAP/scRNAseq/data/batch26_ASAP_snRNA-seq_*/Raw_Data_and_Processing/cellranger_processing/cellranger_fastqs/outs/fastq_path/H*/BN0464_S1_L004_R1_001.fastq.gz</v>
      </c>
      <c r="K1280" s="46" t="s">
        <v>1353</v>
      </c>
      <c r="L1280" s="47" t="s">
        <v>3883</v>
      </c>
      <c r="M1280" s="46" t="s">
        <v>1309</v>
      </c>
      <c r="N1280" s="46" t="s">
        <v>1310</v>
      </c>
      <c r="O1280" s="46" t="s">
        <v>1311</v>
      </c>
      <c r="P1280" s="46" t="s">
        <v>1312</v>
      </c>
      <c r="Q1280" s="46" t="s">
        <v>31</v>
      </c>
      <c r="R1280" s="46" t="s">
        <v>31</v>
      </c>
      <c r="S1280" s="46" t="s">
        <v>31</v>
      </c>
      <c r="T1280" s="46" t="s">
        <v>31</v>
      </c>
      <c r="U1280" s="46" t="s">
        <v>49</v>
      </c>
    </row>
    <row r="1281" spans="1:21">
      <c r="A1281" s="46" t="s">
        <v>688</v>
      </c>
      <c r="B1281" s="46" t="s">
        <v>85</v>
      </c>
      <c r="C1281" s="46" t="s">
        <v>689</v>
      </c>
      <c r="D1281" s="46">
        <v>2</v>
      </c>
      <c r="E1281" s="46">
        <v>1</v>
      </c>
      <c r="F1281" s="46" t="s">
        <v>690</v>
      </c>
      <c r="G1281" s="46" t="s">
        <v>1305</v>
      </c>
      <c r="H1281" s="46" t="s">
        <v>3884</v>
      </c>
      <c r="I1281" s="46" t="str">
        <f ca="1">IFERROR(__xludf.DUMMYFUNCTION("CONCAT(A1281,REGEXREPLACE(H1281,"".*_L0"",""_L0""))"),"ILB_BN0464_MTG_snRNAseq_rep2_L004_R2_001.fastq.gz")</f>
        <v>ILB_BN0464_MTG_snRNAseq_rep2_L004_R2_001.fastq.gz</v>
      </c>
      <c r="J1281" s="46" t="str">
        <f t="shared" si="5"/>
        <v>/data/neurogen/ASAP/scRNAseq/data/batch26_ASAP_snRNA-seq_*/Raw_Data_and_Processing/cellranger_processing/cellranger_fastqs/outs/fastq_path/H*/BN0464_S1_L004_R2_001.fastq.gz</v>
      </c>
      <c r="K1281" s="46" t="s">
        <v>1356</v>
      </c>
      <c r="L1281" s="46" t="s">
        <v>3885</v>
      </c>
      <c r="M1281" s="46" t="s">
        <v>1309</v>
      </c>
      <c r="N1281" s="46" t="s">
        <v>1310</v>
      </c>
      <c r="O1281" s="46" t="s">
        <v>1311</v>
      </c>
      <c r="P1281" s="46" t="s">
        <v>1312</v>
      </c>
      <c r="Q1281" s="46" t="s">
        <v>31</v>
      </c>
      <c r="R1281" s="46" t="s">
        <v>31</v>
      </c>
      <c r="S1281" s="46" t="s">
        <v>31</v>
      </c>
      <c r="T1281" s="46" t="s">
        <v>31</v>
      </c>
      <c r="U1281" s="46" t="s">
        <v>49</v>
      </c>
    </row>
    <row r="1282" spans="1:21">
      <c r="A1282" s="46" t="s">
        <v>710</v>
      </c>
      <c r="B1282" s="46" t="s">
        <v>108</v>
      </c>
      <c r="C1282" s="46" t="s">
        <v>689</v>
      </c>
      <c r="D1282" s="46">
        <v>2</v>
      </c>
      <c r="E1282" s="46">
        <v>1</v>
      </c>
      <c r="F1282" s="46" t="s">
        <v>690</v>
      </c>
      <c r="G1282" s="46" t="s">
        <v>1305</v>
      </c>
      <c r="H1282" s="46" t="s">
        <v>3886</v>
      </c>
      <c r="I1282" s="46" t="str">
        <f ca="1">IFERROR(__xludf.DUMMYFUNCTION("CONCAT(A1282,REGEXREPLACE(H1282,"".*_L0"",""_L0""))"),"ILB_BN0934_MTG_snRNAseq_rep2_L001_I1_001.fastq.gz")</f>
        <v>ILB_BN0934_MTG_snRNAseq_rep2_L001_I1_001.fastq.gz</v>
      </c>
      <c r="J1282" s="46" t="str">
        <f t="shared" si="5"/>
        <v>/data/neurogen/ASAP/scRNAseq/data/batch26_ASAP_snRNA-seq_*/Raw_Data_and_Processing/cellranger_processing/cellranger_fastqs/outs/fastq_path/H*/BN0934_S2_L001_I1_001.fastq.gz</v>
      </c>
      <c r="K1282" s="46" t="s">
        <v>1307</v>
      </c>
      <c r="L1282" s="47" t="s">
        <v>3887</v>
      </c>
      <c r="M1282" s="46" t="s">
        <v>1309</v>
      </c>
      <c r="N1282" s="46" t="s">
        <v>1310</v>
      </c>
      <c r="O1282" s="46" t="s">
        <v>1311</v>
      </c>
      <c r="P1282" s="46" t="s">
        <v>1312</v>
      </c>
      <c r="Q1282" s="46" t="s">
        <v>31</v>
      </c>
      <c r="R1282" s="46" t="s">
        <v>31</v>
      </c>
      <c r="S1282" s="46" t="s">
        <v>31</v>
      </c>
      <c r="T1282" s="46" t="s">
        <v>31</v>
      </c>
      <c r="U1282" s="46" t="s">
        <v>49</v>
      </c>
    </row>
    <row r="1283" spans="1:21">
      <c r="A1283" s="46" t="s">
        <v>710</v>
      </c>
      <c r="B1283" s="46" t="s">
        <v>108</v>
      </c>
      <c r="C1283" s="46" t="s">
        <v>689</v>
      </c>
      <c r="D1283" s="46">
        <v>2</v>
      </c>
      <c r="E1283" s="46">
        <v>1</v>
      </c>
      <c r="F1283" s="46" t="s">
        <v>690</v>
      </c>
      <c r="G1283" s="46" t="s">
        <v>1305</v>
      </c>
      <c r="H1283" s="46" t="s">
        <v>3888</v>
      </c>
      <c r="I1283" s="46" t="str">
        <f ca="1">IFERROR(__xludf.DUMMYFUNCTION("CONCAT(A1283,REGEXREPLACE(H1283,"".*_L0"",""_L0""))"),"ILB_BN0934_MTG_snRNAseq_rep2_L001_I2_001.fastq.gz")</f>
        <v>ILB_BN0934_MTG_snRNAseq_rep2_L001_I2_001.fastq.gz</v>
      </c>
      <c r="J1283" s="46" t="str">
        <f t="shared" si="5"/>
        <v>/data/neurogen/ASAP/scRNAseq/data/batch26_ASAP_snRNA-seq_*/Raw_Data_and_Processing/cellranger_processing/cellranger_fastqs/outs/fastq_path/H*/BN0934_S2_L001_I2_001.fastq.gz</v>
      </c>
      <c r="K1283" s="46" t="s">
        <v>1314</v>
      </c>
      <c r="L1283" s="46" t="s">
        <v>3889</v>
      </c>
      <c r="M1283" s="46" t="s">
        <v>1309</v>
      </c>
      <c r="N1283" s="46" t="s">
        <v>1310</v>
      </c>
      <c r="O1283" s="46" t="s">
        <v>1311</v>
      </c>
      <c r="P1283" s="46" t="s">
        <v>1312</v>
      </c>
      <c r="Q1283" s="46" t="s">
        <v>31</v>
      </c>
      <c r="R1283" s="46" t="s">
        <v>31</v>
      </c>
      <c r="S1283" s="46" t="s">
        <v>31</v>
      </c>
      <c r="T1283" s="46" t="s">
        <v>31</v>
      </c>
      <c r="U1283" s="46" t="s">
        <v>49</v>
      </c>
    </row>
    <row r="1284" spans="1:21">
      <c r="A1284" s="46" t="s">
        <v>710</v>
      </c>
      <c r="B1284" s="46" t="s">
        <v>108</v>
      </c>
      <c r="C1284" s="46" t="s">
        <v>689</v>
      </c>
      <c r="D1284" s="46">
        <v>2</v>
      </c>
      <c r="E1284" s="46">
        <v>1</v>
      </c>
      <c r="F1284" s="46" t="s">
        <v>690</v>
      </c>
      <c r="G1284" s="46" t="s">
        <v>1305</v>
      </c>
      <c r="H1284" s="46" t="s">
        <v>3890</v>
      </c>
      <c r="I1284" s="46" t="str">
        <f ca="1">IFERROR(__xludf.DUMMYFUNCTION("CONCAT(A1284,REGEXREPLACE(H1284,"".*_L0"",""_L0""))"),"ILB_BN0934_MTG_snRNAseq_rep2_L001_R1_001.fastq.gz")</f>
        <v>ILB_BN0934_MTG_snRNAseq_rep2_L001_R1_001.fastq.gz</v>
      </c>
      <c r="J1284" s="46" t="str">
        <f t="shared" si="5"/>
        <v>/data/neurogen/ASAP/scRNAseq/data/batch26_ASAP_snRNA-seq_*/Raw_Data_and_Processing/cellranger_processing/cellranger_fastqs/outs/fastq_path/H*/BN0934_S2_L001_R1_001.fastq.gz</v>
      </c>
      <c r="K1284" s="46" t="s">
        <v>1317</v>
      </c>
      <c r="L1284" s="46" t="s">
        <v>3891</v>
      </c>
      <c r="M1284" s="46" t="s">
        <v>1309</v>
      </c>
      <c r="N1284" s="46" t="s">
        <v>1310</v>
      </c>
      <c r="O1284" s="46" t="s">
        <v>1311</v>
      </c>
      <c r="P1284" s="46" t="s">
        <v>1312</v>
      </c>
      <c r="Q1284" s="46" t="s">
        <v>31</v>
      </c>
      <c r="R1284" s="46" t="s">
        <v>31</v>
      </c>
      <c r="S1284" s="46" t="s">
        <v>31</v>
      </c>
      <c r="T1284" s="46" t="s">
        <v>31</v>
      </c>
      <c r="U1284" s="46" t="s">
        <v>49</v>
      </c>
    </row>
    <row r="1285" spans="1:21">
      <c r="A1285" s="46" t="s">
        <v>710</v>
      </c>
      <c r="B1285" s="46" t="s">
        <v>108</v>
      </c>
      <c r="C1285" s="46" t="s">
        <v>689</v>
      </c>
      <c r="D1285" s="46">
        <v>2</v>
      </c>
      <c r="E1285" s="46">
        <v>1</v>
      </c>
      <c r="F1285" s="46" t="s">
        <v>690</v>
      </c>
      <c r="G1285" s="46" t="s">
        <v>1305</v>
      </c>
      <c r="H1285" s="46" t="s">
        <v>3892</v>
      </c>
      <c r="I1285" s="46" t="str">
        <f ca="1">IFERROR(__xludf.DUMMYFUNCTION("CONCAT(A1285,REGEXREPLACE(H1285,"".*_L0"",""_L0""))"),"ILB_BN0934_MTG_snRNAseq_rep2_L001_R2_001.fastq.gz")</f>
        <v>ILB_BN0934_MTG_snRNAseq_rep2_L001_R2_001.fastq.gz</v>
      </c>
      <c r="J1285" s="46" t="str">
        <f t="shared" si="5"/>
        <v>/data/neurogen/ASAP/scRNAseq/data/batch26_ASAP_snRNA-seq_*/Raw_Data_and_Processing/cellranger_processing/cellranger_fastqs/outs/fastq_path/H*/BN0934_S2_L001_R2_001.fastq.gz</v>
      </c>
      <c r="K1285" s="46" t="s">
        <v>1320</v>
      </c>
      <c r="L1285" s="46" t="s">
        <v>3893</v>
      </c>
      <c r="M1285" s="46" t="s">
        <v>1309</v>
      </c>
      <c r="N1285" s="46" t="s">
        <v>1310</v>
      </c>
      <c r="O1285" s="46" t="s">
        <v>1311</v>
      </c>
      <c r="P1285" s="46" t="s">
        <v>1312</v>
      </c>
      <c r="Q1285" s="46" t="s">
        <v>31</v>
      </c>
      <c r="R1285" s="46" t="s">
        <v>31</v>
      </c>
      <c r="S1285" s="46" t="s">
        <v>31</v>
      </c>
      <c r="T1285" s="46" t="s">
        <v>31</v>
      </c>
      <c r="U1285" s="46" t="s">
        <v>49</v>
      </c>
    </row>
    <row r="1286" spans="1:21">
      <c r="A1286" s="46" t="s">
        <v>710</v>
      </c>
      <c r="B1286" s="46" t="s">
        <v>108</v>
      </c>
      <c r="C1286" s="46" t="s">
        <v>689</v>
      </c>
      <c r="D1286" s="46">
        <v>2</v>
      </c>
      <c r="E1286" s="46">
        <v>1</v>
      </c>
      <c r="F1286" s="46" t="s">
        <v>690</v>
      </c>
      <c r="G1286" s="46" t="s">
        <v>1305</v>
      </c>
      <c r="H1286" s="46" t="s">
        <v>3894</v>
      </c>
      <c r="I1286" s="46" t="str">
        <f ca="1">IFERROR(__xludf.DUMMYFUNCTION("CONCAT(A1286,REGEXREPLACE(H1286,"".*_L0"",""_L0""))"),"ILB_BN0934_MTG_snRNAseq_rep2_L002_I1_001.fastq.gz")</f>
        <v>ILB_BN0934_MTG_snRNAseq_rep2_L002_I1_001.fastq.gz</v>
      </c>
      <c r="J1286" s="46" t="str">
        <f t="shared" si="5"/>
        <v>/data/neurogen/ASAP/scRNAseq/data/batch26_ASAP_snRNA-seq_*/Raw_Data_and_Processing/cellranger_processing/cellranger_fastqs/outs/fastq_path/H*/BN0934_S2_L002_I1_001.fastq.gz</v>
      </c>
      <c r="K1286" s="46" t="s">
        <v>1323</v>
      </c>
      <c r="L1286" s="46" t="s">
        <v>3895</v>
      </c>
      <c r="M1286" s="46" t="s">
        <v>1309</v>
      </c>
      <c r="N1286" s="46" t="s">
        <v>1310</v>
      </c>
      <c r="O1286" s="46" t="s">
        <v>1311</v>
      </c>
      <c r="P1286" s="46" t="s">
        <v>1312</v>
      </c>
      <c r="Q1286" s="46" t="s">
        <v>31</v>
      </c>
      <c r="R1286" s="46" t="s">
        <v>31</v>
      </c>
      <c r="S1286" s="46" t="s">
        <v>31</v>
      </c>
      <c r="T1286" s="46" t="s">
        <v>31</v>
      </c>
      <c r="U1286" s="46" t="s">
        <v>49</v>
      </c>
    </row>
    <row r="1287" spans="1:21">
      <c r="A1287" s="46" t="s">
        <v>710</v>
      </c>
      <c r="B1287" s="46" t="s">
        <v>108</v>
      </c>
      <c r="C1287" s="46" t="s">
        <v>689</v>
      </c>
      <c r="D1287" s="46">
        <v>2</v>
      </c>
      <c r="E1287" s="46">
        <v>1</v>
      </c>
      <c r="F1287" s="46" t="s">
        <v>690</v>
      </c>
      <c r="G1287" s="46" t="s">
        <v>1305</v>
      </c>
      <c r="H1287" s="46" t="s">
        <v>3896</v>
      </c>
      <c r="I1287" s="46" t="str">
        <f ca="1">IFERROR(__xludf.DUMMYFUNCTION("CONCAT(A1287,REGEXREPLACE(H1287,"".*_L0"",""_L0""))"),"ILB_BN0934_MTG_snRNAseq_rep2_L002_I2_001.fastq.gz")</f>
        <v>ILB_BN0934_MTG_snRNAseq_rep2_L002_I2_001.fastq.gz</v>
      </c>
      <c r="J1287" s="46" t="str">
        <f t="shared" si="5"/>
        <v>/data/neurogen/ASAP/scRNAseq/data/batch26_ASAP_snRNA-seq_*/Raw_Data_and_Processing/cellranger_processing/cellranger_fastqs/outs/fastq_path/H*/BN0934_S2_L002_I2_001.fastq.gz</v>
      </c>
      <c r="K1287" s="46" t="s">
        <v>1326</v>
      </c>
      <c r="L1287" s="46" t="s">
        <v>3897</v>
      </c>
      <c r="M1287" s="46" t="s">
        <v>1309</v>
      </c>
      <c r="N1287" s="46" t="s">
        <v>1310</v>
      </c>
      <c r="O1287" s="46" t="s">
        <v>1311</v>
      </c>
      <c r="P1287" s="46" t="s">
        <v>1312</v>
      </c>
      <c r="Q1287" s="46" t="s">
        <v>31</v>
      </c>
      <c r="R1287" s="46" t="s">
        <v>31</v>
      </c>
      <c r="S1287" s="46" t="s">
        <v>31</v>
      </c>
      <c r="T1287" s="46" t="s">
        <v>31</v>
      </c>
      <c r="U1287" s="46" t="s">
        <v>49</v>
      </c>
    </row>
    <row r="1288" spans="1:21">
      <c r="A1288" s="46" t="s">
        <v>710</v>
      </c>
      <c r="B1288" s="46" t="s">
        <v>108</v>
      </c>
      <c r="C1288" s="46" t="s">
        <v>689</v>
      </c>
      <c r="D1288" s="46">
        <v>2</v>
      </c>
      <c r="E1288" s="46">
        <v>1</v>
      </c>
      <c r="F1288" s="46" t="s">
        <v>690</v>
      </c>
      <c r="G1288" s="46" t="s">
        <v>1305</v>
      </c>
      <c r="H1288" s="46" t="s">
        <v>3898</v>
      </c>
      <c r="I1288" s="46" t="str">
        <f ca="1">IFERROR(__xludf.DUMMYFUNCTION("CONCAT(A1288,REGEXREPLACE(H1288,"".*_L0"",""_L0""))"),"ILB_BN0934_MTG_snRNAseq_rep2_L002_R1_001.fastq.gz")</f>
        <v>ILB_BN0934_MTG_snRNAseq_rep2_L002_R1_001.fastq.gz</v>
      </c>
      <c r="J1288" s="46" t="str">
        <f t="shared" si="5"/>
        <v>/data/neurogen/ASAP/scRNAseq/data/batch26_ASAP_snRNA-seq_*/Raw_Data_and_Processing/cellranger_processing/cellranger_fastqs/outs/fastq_path/H*/BN0934_S2_L002_R1_001.fastq.gz</v>
      </c>
      <c r="K1288" s="46" t="s">
        <v>1329</v>
      </c>
      <c r="L1288" s="46" t="s">
        <v>3899</v>
      </c>
      <c r="M1288" s="46" t="s">
        <v>1309</v>
      </c>
      <c r="N1288" s="46" t="s">
        <v>1310</v>
      </c>
      <c r="O1288" s="46" t="s">
        <v>1311</v>
      </c>
      <c r="P1288" s="46" t="s">
        <v>1312</v>
      </c>
      <c r="Q1288" s="46" t="s">
        <v>31</v>
      </c>
      <c r="R1288" s="46" t="s">
        <v>31</v>
      </c>
      <c r="S1288" s="46" t="s">
        <v>31</v>
      </c>
      <c r="T1288" s="46" t="s">
        <v>31</v>
      </c>
      <c r="U1288" s="46" t="s">
        <v>49</v>
      </c>
    </row>
    <row r="1289" spans="1:21">
      <c r="A1289" s="46" t="s">
        <v>710</v>
      </c>
      <c r="B1289" s="46" t="s">
        <v>108</v>
      </c>
      <c r="C1289" s="46" t="s">
        <v>689</v>
      </c>
      <c r="D1289" s="46">
        <v>2</v>
      </c>
      <c r="E1289" s="46">
        <v>1</v>
      </c>
      <c r="F1289" s="46" t="s">
        <v>690</v>
      </c>
      <c r="G1289" s="46" t="s">
        <v>1305</v>
      </c>
      <c r="H1289" s="46" t="s">
        <v>3900</v>
      </c>
      <c r="I1289" s="46" t="str">
        <f ca="1">IFERROR(__xludf.DUMMYFUNCTION("CONCAT(A1289,REGEXREPLACE(H1289,"".*_L0"",""_L0""))"),"ILB_BN0934_MTG_snRNAseq_rep2_L002_R2_001.fastq.gz")</f>
        <v>ILB_BN0934_MTG_snRNAseq_rep2_L002_R2_001.fastq.gz</v>
      </c>
      <c r="J1289" s="46" t="str">
        <f t="shared" si="5"/>
        <v>/data/neurogen/ASAP/scRNAseq/data/batch26_ASAP_snRNA-seq_*/Raw_Data_and_Processing/cellranger_processing/cellranger_fastqs/outs/fastq_path/H*/BN0934_S2_L002_R2_001.fastq.gz</v>
      </c>
      <c r="K1289" s="46" t="s">
        <v>1332</v>
      </c>
      <c r="L1289" s="46" t="s">
        <v>3901</v>
      </c>
      <c r="M1289" s="46" t="s">
        <v>1309</v>
      </c>
      <c r="N1289" s="46" t="s">
        <v>1310</v>
      </c>
      <c r="O1289" s="46" t="s">
        <v>1311</v>
      </c>
      <c r="P1289" s="46" t="s">
        <v>1312</v>
      </c>
      <c r="Q1289" s="46" t="s">
        <v>31</v>
      </c>
      <c r="R1289" s="46" t="s">
        <v>31</v>
      </c>
      <c r="S1289" s="46" t="s">
        <v>31</v>
      </c>
      <c r="T1289" s="46" t="s">
        <v>31</v>
      </c>
      <c r="U1289" s="46" t="s">
        <v>49</v>
      </c>
    </row>
    <row r="1290" spans="1:21">
      <c r="A1290" s="46" t="s">
        <v>710</v>
      </c>
      <c r="B1290" s="46" t="s">
        <v>108</v>
      </c>
      <c r="C1290" s="46" t="s">
        <v>689</v>
      </c>
      <c r="D1290" s="46">
        <v>2</v>
      </c>
      <c r="E1290" s="46">
        <v>1</v>
      </c>
      <c r="F1290" s="46" t="s">
        <v>690</v>
      </c>
      <c r="G1290" s="46" t="s">
        <v>1305</v>
      </c>
      <c r="H1290" s="46" t="s">
        <v>3902</v>
      </c>
      <c r="I1290" s="46" t="str">
        <f ca="1">IFERROR(__xludf.DUMMYFUNCTION("CONCAT(A1290,REGEXREPLACE(H1290,"".*_L0"",""_L0""))"),"ILB_BN0934_MTG_snRNAseq_rep2_L003_I1_001.fastq.gz")</f>
        <v>ILB_BN0934_MTG_snRNAseq_rep2_L003_I1_001.fastq.gz</v>
      </c>
      <c r="J1290" s="46" t="str">
        <f t="shared" si="5"/>
        <v>/data/neurogen/ASAP/scRNAseq/data/batch26_ASAP_snRNA-seq_*/Raw_Data_and_Processing/cellranger_processing/cellranger_fastqs/outs/fastq_path/H*/BN0934_S2_L003_I1_001.fastq.gz</v>
      </c>
      <c r="K1290" s="46" t="s">
        <v>1335</v>
      </c>
      <c r="L1290" s="46" t="s">
        <v>3903</v>
      </c>
      <c r="M1290" s="46" t="s">
        <v>1309</v>
      </c>
      <c r="N1290" s="46" t="s">
        <v>1310</v>
      </c>
      <c r="O1290" s="46" t="s">
        <v>1311</v>
      </c>
      <c r="P1290" s="46" t="s">
        <v>1312</v>
      </c>
      <c r="Q1290" s="46" t="s">
        <v>31</v>
      </c>
      <c r="R1290" s="46" t="s">
        <v>31</v>
      </c>
      <c r="S1290" s="46" t="s">
        <v>31</v>
      </c>
      <c r="T1290" s="46" t="s">
        <v>31</v>
      </c>
      <c r="U1290" s="46" t="s">
        <v>49</v>
      </c>
    </row>
    <row r="1291" spans="1:21">
      <c r="A1291" s="46" t="s">
        <v>710</v>
      </c>
      <c r="B1291" s="46" t="s">
        <v>108</v>
      </c>
      <c r="C1291" s="46" t="s">
        <v>689</v>
      </c>
      <c r="D1291" s="46">
        <v>2</v>
      </c>
      <c r="E1291" s="46">
        <v>1</v>
      </c>
      <c r="F1291" s="46" t="s">
        <v>690</v>
      </c>
      <c r="G1291" s="46" t="s">
        <v>1305</v>
      </c>
      <c r="H1291" s="46" t="s">
        <v>3904</v>
      </c>
      <c r="I1291" s="46" t="str">
        <f ca="1">IFERROR(__xludf.DUMMYFUNCTION("CONCAT(A1291,REGEXREPLACE(H1291,"".*_L0"",""_L0""))"),"ILB_BN0934_MTG_snRNAseq_rep2_L003_I2_001.fastq.gz")</f>
        <v>ILB_BN0934_MTG_snRNAseq_rep2_L003_I2_001.fastq.gz</v>
      </c>
      <c r="J1291" s="46" t="str">
        <f t="shared" si="5"/>
        <v>/data/neurogen/ASAP/scRNAseq/data/batch26_ASAP_snRNA-seq_*/Raw_Data_and_Processing/cellranger_processing/cellranger_fastqs/outs/fastq_path/H*/BN0934_S2_L003_I2_001.fastq.gz</v>
      </c>
      <c r="K1291" s="46" t="s">
        <v>1338</v>
      </c>
      <c r="L1291" s="46" t="s">
        <v>3905</v>
      </c>
      <c r="M1291" s="46" t="s">
        <v>1309</v>
      </c>
      <c r="N1291" s="46" t="s">
        <v>1310</v>
      </c>
      <c r="O1291" s="46" t="s">
        <v>1311</v>
      </c>
      <c r="P1291" s="46" t="s">
        <v>1312</v>
      </c>
      <c r="Q1291" s="46" t="s">
        <v>31</v>
      </c>
      <c r="R1291" s="46" t="s">
        <v>31</v>
      </c>
      <c r="S1291" s="46" t="s">
        <v>31</v>
      </c>
      <c r="T1291" s="46" t="s">
        <v>31</v>
      </c>
      <c r="U1291" s="46" t="s">
        <v>49</v>
      </c>
    </row>
    <row r="1292" spans="1:21">
      <c r="A1292" s="46" t="s">
        <v>710</v>
      </c>
      <c r="B1292" s="46" t="s">
        <v>108</v>
      </c>
      <c r="C1292" s="46" t="s">
        <v>689</v>
      </c>
      <c r="D1292" s="46">
        <v>2</v>
      </c>
      <c r="E1292" s="46">
        <v>1</v>
      </c>
      <c r="F1292" s="46" t="s">
        <v>690</v>
      </c>
      <c r="G1292" s="46" t="s">
        <v>1305</v>
      </c>
      <c r="H1292" s="46" t="s">
        <v>3906</v>
      </c>
      <c r="I1292" s="46" t="str">
        <f ca="1">IFERROR(__xludf.DUMMYFUNCTION("CONCAT(A1292,REGEXREPLACE(H1292,"".*_L0"",""_L0""))"),"ILB_BN0934_MTG_snRNAseq_rep2_L003_R1_001.fastq.gz")</f>
        <v>ILB_BN0934_MTG_snRNAseq_rep2_L003_R1_001.fastq.gz</v>
      </c>
      <c r="J1292" s="46" t="str">
        <f t="shared" si="5"/>
        <v>/data/neurogen/ASAP/scRNAseq/data/batch26_ASAP_snRNA-seq_*/Raw_Data_and_Processing/cellranger_processing/cellranger_fastqs/outs/fastq_path/H*/BN0934_S2_L003_R1_001.fastq.gz</v>
      </c>
      <c r="K1292" s="46" t="s">
        <v>1341</v>
      </c>
      <c r="L1292" s="46" t="s">
        <v>3907</v>
      </c>
      <c r="M1292" s="46" t="s">
        <v>1309</v>
      </c>
      <c r="N1292" s="46" t="s">
        <v>1310</v>
      </c>
      <c r="O1292" s="46" t="s">
        <v>1311</v>
      </c>
      <c r="P1292" s="46" t="s">
        <v>1312</v>
      </c>
      <c r="Q1292" s="46" t="s">
        <v>31</v>
      </c>
      <c r="R1292" s="46" t="s">
        <v>31</v>
      </c>
      <c r="S1292" s="46" t="s">
        <v>31</v>
      </c>
      <c r="T1292" s="46" t="s">
        <v>31</v>
      </c>
      <c r="U1292" s="46" t="s">
        <v>49</v>
      </c>
    </row>
    <row r="1293" spans="1:21">
      <c r="A1293" s="46" t="s">
        <v>710</v>
      </c>
      <c r="B1293" s="46" t="s">
        <v>108</v>
      </c>
      <c r="C1293" s="46" t="s">
        <v>689</v>
      </c>
      <c r="D1293" s="46">
        <v>2</v>
      </c>
      <c r="E1293" s="46">
        <v>1</v>
      </c>
      <c r="F1293" s="46" t="s">
        <v>690</v>
      </c>
      <c r="G1293" s="46" t="s">
        <v>1305</v>
      </c>
      <c r="H1293" s="46" t="s">
        <v>3908</v>
      </c>
      <c r="I1293" s="46" t="str">
        <f ca="1">IFERROR(__xludf.DUMMYFUNCTION("CONCAT(A1293,REGEXREPLACE(H1293,"".*_L0"",""_L0""))"),"ILB_BN0934_MTG_snRNAseq_rep2_L003_R2_001.fastq.gz")</f>
        <v>ILB_BN0934_MTG_snRNAseq_rep2_L003_R2_001.fastq.gz</v>
      </c>
      <c r="J1293" s="46" t="str">
        <f t="shared" si="5"/>
        <v>/data/neurogen/ASAP/scRNAseq/data/batch26_ASAP_snRNA-seq_*/Raw_Data_and_Processing/cellranger_processing/cellranger_fastqs/outs/fastq_path/H*/BN0934_S2_L003_R2_001.fastq.gz</v>
      </c>
      <c r="K1293" s="46" t="s">
        <v>1344</v>
      </c>
      <c r="L1293" s="46" t="s">
        <v>3909</v>
      </c>
      <c r="M1293" s="46" t="s">
        <v>1309</v>
      </c>
      <c r="N1293" s="46" t="s">
        <v>1310</v>
      </c>
      <c r="O1293" s="46" t="s">
        <v>1311</v>
      </c>
      <c r="P1293" s="46" t="s">
        <v>1312</v>
      </c>
      <c r="Q1293" s="46" t="s">
        <v>31</v>
      </c>
      <c r="R1293" s="46" t="s">
        <v>31</v>
      </c>
      <c r="S1293" s="46" t="s">
        <v>31</v>
      </c>
      <c r="T1293" s="46" t="s">
        <v>31</v>
      </c>
      <c r="U1293" s="46" t="s">
        <v>49</v>
      </c>
    </row>
    <row r="1294" spans="1:21">
      <c r="A1294" s="46" t="s">
        <v>710</v>
      </c>
      <c r="B1294" s="46" t="s">
        <v>108</v>
      </c>
      <c r="C1294" s="46" t="s">
        <v>689</v>
      </c>
      <c r="D1294" s="46">
        <v>2</v>
      </c>
      <c r="E1294" s="46">
        <v>1</v>
      </c>
      <c r="F1294" s="46" t="s">
        <v>690</v>
      </c>
      <c r="G1294" s="46" t="s">
        <v>1305</v>
      </c>
      <c r="H1294" s="46" t="s">
        <v>3910</v>
      </c>
      <c r="I1294" s="46" t="str">
        <f ca="1">IFERROR(__xludf.DUMMYFUNCTION("CONCAT(A1294,REGEXREPLACE(H1294,"".*_L0"",""_L0""))"),"ILB_BN0934_MTG_snRNAseq_rep2_L004_I1_001.fastq.gz")</f>
        <v>ILB_BN0934_MTG_snRNAseq_rep2_L004_I1_001.fastq.gz</v>
      </c>
      <c r="J1294" s="46" t="str">
        <f t="shared" si="5"/>
        <v>/data/neurogen/ASAP/scRNAseq/data/batch26_ASAP_snRNA-seq_*/Raw_Data_and_Processing/cellranger_processing/cellranger_fastqs/outs/fastq_path/H*/BN0934_S2_L004_I1_001.fastq.gz</v>
      </c>
      <c r="K1294" s="46" t="s">
        <v>1347</v>
      </c>
      <c r="L1294" s="47" t="s">
        <v>3911</v>
      </c>
      <c r="M1294" s="46" t="s">
        <v>1309</v>
      </c>
      <c r="N1294" s="46" t="s">
        <v>1310</v>
      </c>
      <c r="O1294" s="46" t="s">
        <v>1311</v>
      </c>
      <c r="P1294" s="46" t="s">
        <v>1312</v>
      </c>
      <c r="Q1294" s="46" t="s">
        <v>31</v>
      </c>
      <c r="R1294" s="46" t="s">
        <v>31</v>
      </c>
      <c r="S1294" s="46" t="s">
        <v>31</v>
      </c>
      <c r="T1294" s="46" t="s">
        <v>31</v>
      </c>
      <c r="U1294" s="46" t="s">
        <v>49</v>
      </c>
    </row>
    <row r="1295" spans="1:21">
      <c r="A1295" s="46" t="s">
        <v>710</v>
      </c>
      <c r="B1295" s="46" t="s">
        <v>108</v>
      </c>
      <c r="C1295" s="46" t="s">
        <v>689</v>
      </c>
      <c r="D1295" s="46">
        <v>2</v>
      </c>
      <c r="E1295" s="46">
        <v>1</v>
      </c>
      <c r="F1295" s="46" t="s">
        <v>690</v>
      </c>
      <c r="G1295" s="46" t="s">
        <v>1305</v>
      </c>
      <c r="H1295" s="46" t="s">
        <v>3912</v>
      </c>
      <c r="I1295" s="46" t="str">
        <f ca="1">IFERROR(__xludf.DUMMYFUNCTION("CONCAT(A1295,REGEXREPLACE(H1295,"".*_L0"",""_L0""))"),"ILB_BN0934_MTG_snRNAseq_rep2_L004_I2_001.fastq.gz")</f>
        <v>ILB_BN0934_MTG_snRNAseq_rep2_L004_I2_001.fastq.gz</v>
      </c>
      <c r="J1295" s="46" t="str">
        <f t="shared" si="5"/>
        <v>/data/neurogen/ASAP/scRNAseq/data/batch26_ASAP_snRNA-seq_*/Raw_Data_and_Processing/cellranger_processing/cellranger_fastqs/outs/fastq_path/H*/BN0934_S2_L004_I2_001.fastq.gz</v>
      </c>
      <c r="K1295" s="46" t="s">
        <v>1350</v>
      </c>
      <c r="L1295" s="46" t="s">
        <v>3913</v>
      </c>
      <c r="M1295" s="46" t="s">
        <v>1309</v>
      </c>
      <c r="N1295" s="46" t="s">
        <v>1310</v>
      </c>
      <c r="O1295" s="46" t="s">
        <v>1311</v>
      </c>
      <c r="P1295" s="46" t="s">
        <v>1312</v>
      </c>
      <c r="Q1295" s="46" t="s">
        <v>31</v>
      </c>
      <c r="R1295" s="46" t="s">
        <v>31</v>
      </c>
      <c r="S1295" s="46" t="s">
        <v>31</v>
      </c>
      <c r="T1295" s="46" t="s">
        <v>31</v>
      </c>
      <c r="U1295" s="46" t="s">
        <v>49</v>
      </c>
    </row>
    <row r="1296" spans="1:21">
      <c r="A1296" s="46" t="s">
        <v>710</v>
      </c>
      <c r="B1296" s="46" t="s">
        <v>108</v>
      </c>
      <c r="C1296" s="46" t="s">
        <v>689</v>
      </c>
      <c r="D1296" s="46">
        <v>2</v>
      </c>
      <c r="E1296" s="46">
        <v>1</v>
      </c>
      <c r="F1296" s="46" t="s">
        <v>690</v>
      </c>
      <c r="G1296" s="46" t="s">
        <v>1305</v>
      </c>
      <c r="H1296" s="46" t="s">
        <v>3914</v>
      </c>
      <c r="I1296" s="46" t="str">
        <f ca="1">IFERROR(__xludf.DUMMYFUNCTION("CONCAT(A1296,REGEXREPLACE(H1296,"".*_L0"",""_L0""))"),"ILB_BN0934_MTG_snRNAseq_rep2_L004_R1_001.fastq.gz")</f>
        <v>ILB_BN0934_MTG_snRNAseq_rep2_L004_R1_001.fastq.gz</v>
      </c>
      <c r="J1296" s="46" t="str">
        <f t="shared" si="5"/>
        <v>/data/neurogen/ASAP/scRNAseq/data/batch26_ASAP_snRNA-seq_*/Raw_Data_and_Processing/cellranger_processing/cellranger_fastqs/outs/fastq_path/H*/BN0934_S2_L004_R1_001.fastq.gz</v>
      </c>
      <c r="K1296" s="46" t="s">
        <v>1353</v>
      </c>
      <c r="L1296" s="46" t="s">
        <v>3915</v>
      </c>
      <c r="M1296" s="46" t="s">
        <v>1309</v>
      </c>
      <c r="N1296" s="46" t="s">
        <v>1310</v>
      </c>
      <c r="O1296" s="46" t="s">
        <v>1311</v>
      </c>
      <c r="P1296" s="46" t="s">
        <v>1312</v>
      </c>
      <c r="Q1296" s="46" t="s">
        <v>31</v>
      </c>
      <c r="R1296" s="46" t="s">
        <v>31</v>
      </c>
      <c r="S1296" s="46" t="s">
        <v>31</v>
      </c>
      <c r="T1296" s="46" t="s">
        <v>31</v>
      </c>
      <c r="U1296" s="46" t="s">
        <v>49</v>
      </c>
    </row>
    <row r="1297" spans="1:21">
      <c r="A1297" s="46" t="s">
        <v>710</v>
      </c>
      <c r="B1297" s="46" t="s">
        <v>108</v>
      </c>
      <c r="C1297" s="46" t="s">
        <v>689</v>
      </c>
      <c r="D1297" s="46">
        <v>2</v>
      </c>
      <c r="E1297" s="46">
        <v>1</v>
      </c>
      <c r="F1297" s="46" t="s">
        <v>690</v>
      </c>
      <c r="G1297" s="46" t="s">
        <v>1305</v>
      </c>
      <c r="H1297" s="46" t="s">
        <v>3916</v>
      </c>
      <c r="I1297" s="46" t="str">
        <f ca="1">IFERROR(__xludf.DUMMYFUNCTION("CONCAT(A1297,REGEXREPLACE(H1297,"".*_L0"",""_L0""))"),"ILB_BN0934_MTG_snRNAseq_rep2_L004_R2_001.fastq.gz")</f>
        <v>ILB_BN0934_MTG_snRNAseq_rep2_L004_R2_001.fastq.gz</v>
      </c>
      <c r="J1297" s="46" t="str">
        <f t="shared" si="5"/>
        <v>/data/neurogen/ASAP/scRNAseq/data/batch26_ASAP_snRNA-seq_*/Raw_Data_and_Processing/cellranger_processing/cellranger_fastqs/outs/fastq_path/H*/BN0934_S2_L004_R2_001.fastq.gz</v>
      </c>
      <c r="K1297" s="46" t="s">
        <v>1356</v>
      </c>
      <c r="L1297" s="46" t="s">
        <v>3917</v>
      </c>
      <c r="M1297" s="46" t="s">
        <v>1309</v>
      </c>
      <c r="N1297" s="46" t="s">
        <v>1310</v>
      </c>
      <c r="O1297" s="46" t="s">
        <v>1311</v>
      </c>
      <c r="P1297" s="46" t="s">
        <v>1312</v>
      </c>
      <c r="Q1297" s="46" t="s">
        <v>31</v>
      </c>
      <c r="R1297" s="46" t="s">
        <v>31</v>
      </c>
      <c r="S1297" s="46" t="s">
        <v>31</v>
      </c>
      <c r="T1297" s="46" t="s">
        <v>31</v>
      </c>
      <c r="U1297" s="46" t="s">
        <v>49</v>
      </c>
    </row>
    <row r="1298" spans="1:21">
      <c r="A1298" s="46" t="s">
        <v>715</v>
      </c>
      <c r="B1298" s="46" t="s">
        <v>113</v>
      </c>
      <c r="C1298" s="46" t="s">
        <v>689</v>
      </c>
      <c r="D1298" s="46">
        <v>2</v>
      </c>
      <c r="E1298" s="46">
        <v>1</v>
      </c>
      <c r="F1298" s="46" t="s">
        <v>690</v>
      </c>
      <c r="G1298" s="46" t="s">
        <v>1305</v>
      </c>
      <c r="H1298" s="46" t="s">
        <v>3918</v>
      </c>
      <c r="I1298" s="46" t="str">
        <f ca="1">IFERROR(__xludf.DUMMYFUNCTION("CONCAT(A1298,REGEXREPLACE(H1298,"".*_L0"",""_L0""))"),"PD_BN1076_MTG_snRNAseq_rep2_L001_I1_001.fastq.gz")</f>
        <v>PD_BN1076_MTG_snRNAseq_rep2_L001_I1_001.fastq.gz</v>
      </c>
      <c r="J1298" s="46" t="str">
        <f t="shared" si="5"/>
        <v>/data/neurogen/ASAP/scRNAseq/data/batch26_ASAP_snRNA-seq_*/Raw_Data_and_Processing/cellranger_processing/cellranger_fastqs/outs/fastq_path/H*/BN1076_S3_L001_I1_001.fastq.gz</v>
      </c>
      <c r="K1298" s="46" t="s">
        <v>1307</v>
      </c>
      <c r="L1298" s="46" t="s">
        <v>3919</v>
      </c>
      <c r="M1298" s="46" t="s">
        <v>1309</v>
      </c>
      <c r="N1298" s="46" t="s">
        <v>1310</v>
      </c>
      <c r="O1298" s="46" t="s">
        <v>1311</v>
      </c>
      <c r="P1298" s="46" t="s">
        <v>1312</v>
      </c>
      <c r="Q1298" s="46" t="s">
        <v>31</v>
      </c>
      <c r="R1298" s="46" t="s">
        <v>31</v>
      </c>
      <c r="S1298" s="46" t="s">
        <v>31</v>
      </c>
      <c r="T1298" s="46" t="s">
        <v>31</v>
      </c>
      <c r="U1298" s="46" t="s">
        <v>49</v>
      </c>
    </row>
    <row r="1299" spans="1:21">
      <c r="A1299" s="46" t="s">
        <v>715</v>
      </c>
      <c r="B1299" s="46" t="s">
        <v>113</v>
      </c>
      <c r="C1299" s="46" t="s">
        <v>689</v>
      </c>
      <c r="D1299" s="46">
        <v>2</v>
      </c>
      <c r="E1299" s="46">
        <v>1</v>
      </c>
      <c r="F1299" s="46" t="s">
        <v>690</v>
      </c>
      <c r="G1299" s="46" t="s">
        <v>1305</v>
      </c>
      <c r="H1299" s="46" t="s">
        <v>3920</v>
      </c>
      <c r="I1299" s="46" t="str">
        <f ca="1">IFERROR(__xludf.DUMMYFUNCTION("CONCAT(A1299,REGEXREPLACE(H1299,"".*_L0"",""_L0""))"),"PD_BN1076_MTG_snRNAseq_rep2_L001_I2_001.fastq.gz")</f>
        <v>PD_BN1076_MTG_snRNAseq_rep2_L001_I2_001.fastq.gz</v>
      </c>
      <c r="J1299" s="46" t="str">
        <f t="shared" si="5"/>
        <v>/data/neurogen/ASAP/scRNAseq/data/batch26_ASAP_snRNA-seq_*/Raw_Data_and_Processing/cellranger_processing/cellranger_fastqs/outs/fastq_path/H*/BN1076_S3_L001_I2_001.fastq.gz</v>
      </c>
      <c r="K1299" s="46" t="s">
        <v>1314</v>
      </c>
      <c r="L1299" s="46" t="s">
        <v>3921</v>
      </c>
      <c r="M1299" s="46" t="s">
        <v>1309</v>
      </c>
      <c r="N1299" s="46" t="s">
        <v>1310</v>
      </c>
      <c r="O1299" s="46" t="s">
        <v>1311</v>
      </c>
      <c r="P1299" s="46" t="s">
        <v>1312</v>
      </c>
      <c r="Q1299" s="46" t="s">
        <v>31</v>
      </c>
      <c r="R1299" s="46" t="s">
        <v>31</v>
      </c>
      <c r="S1299" s="46" t="s">
        <v>31</v>
      </c>
      <c r="T1299" s="46" t="s">
        <v>31</v>
      </c>
      <c r="U1299" s="46" t="s">
        <v>49</v>
      </c>
    </row>
    <row r="1300" spans="1:21">
      <c r="A1300" s="46" t="s">
        <v>715</v>
      </c>
      <c r="B1300" s="46" t="s">
        <v>113</v>
      </c>
      <c r="C1300" s="46" t="s">
        <v>689</v>
      </c>
      <c r="D1300" s="46">
        <v>2</v>
      </c>
      <c r="E1300" s="46">
        <v>1</v>
      </c>
      <c r="F1300" s="46" t="s">
        <v>690</v>
      </c>
      <c r="G1300" s="46" t="s">
        <v>1305</v>
      </c>
      <c r="H1300" s="46" t="s">
        <v>3922</v>
      </c>
      <c r="I1300" s="46" t="str">
        <f ca="1">IFERROR(__xludf.DUMMYFUNCTION("CONCAT(A1300,REGEXREPLACE(H1300,"".*_L0"",""_L0""))"),"PD_BN1076_MTG_snRNAseq_rep2_L001_R1_001.fastq.gz")</f>
        <v>PD_BN1076_MTG_snRNAseq_rep2_L001_R1_001.fastq.gz</v>
      </c>
      <c r="J1300" s="46" t="str">
        <f t="shared" si="5"/>
        <v>/data/neurogen/ASAP/scRNAseq/data/batch26_ASAP_snRNA-seq_*/Raw_Data_and_Processing/cellranger_processing/cellranger_fastqs/outs/fastq_path/H*/BN1076_S3_L001_R1_001.fastq.gz</v>
      </c>
      <c r="K1300" s="46" t="s">
        <v>1317</v>
      </c>
      <c r="L1300" s="46" t="s">
        <v>3923</v>
      </c>
      <c r="M1300" s="46" t="s">
        <v>1309</v>
      </c>
      <c r="N1300" s="46" t="s">
        <v>1310</v>
      </c>
      <c r="O1300" s="46" t="s">
        <v>1311</v>
      </c>
      <c r="P1300" s="46" t="s">
        <v>1312</v>
      </c>
      <c r="Q1300" s="46" t="s">
        <v>31</v>
      </c>
      <c r="R1300" s="46" t="s">
        <v>31</v>
      </c>
      <c r="S1300" s="46" t="s">
        <v>31</v>
      </c>
      <c r="T1300" s="46" t="s">
        <v>31</v>
      </c>
      <c r="U1300" s="46" t="s">
        <v>49</v>
      </c>
    </row>
    <row r="1301" spans="1:21">
      <c r="A1301" s="46" t="s">
        <v>715</v>
      </c>
      <c r="B1301" s="46" t="s">
        <v>113</v>
      </c>
      <c r="C1301" s="46" t="s">
        <v>689</v>
      </c>
      <c r="D1301" s="46">
        <v>2</v>
      </c>
      <c r="E1301" s="46">
        <v>1</v>
      </c>
      <c r="F1301" s="46" t="s">
        <v>690</v>
      </c>
      <c r="G1301" s="46" t="s">
        <v>1305</v>
      </c>
      <c r="H1301" s="46" t="s">
        <v>3924</v>
      </c>
      <c r="I1301" s="46" t="str">
        <f ca="1">IFERROR(__xludf.DUMMYFUNCTION("CONCAT(A1301,REGEXREPLACE(H1301,"".*_L0"",""_L0""))"),"PD_BN1076_MTG_snRNAseq_rep2_L001_R2_001.fastq.gz")</f>
        <v>PD_BN1076_MTG_snRNAseq_rep2_L001_R2_001.fastq.gz</v>
      </c>
      <c r="J1301" s="46" t="str">
        <f t="shared" si="5"/>
        <v>/data/neurogen/ASAP/scRNAseq/data/batch26_ASAP_snRNA-seq_*/Raw_Data_and_Processing/cellranger_processing/cellranger_fastqs/outs/fastq_path/H*/BN1076_S3_L001_R2_001.fastq.gz</v>
      </c>
      <c r="K1301" s="46" t="s">
        <v>1320</v>
      </c>
      <c r="L1301" s="46" t="s">
        <v>3925</v>
      </c>
      <c r="M1301" s="46" t="s">
        <v>1309</v>
      </c>
      <c r="N1301" s="46" t="s">
        <v>1310</v>
      </c>
      <c r="O1301" s="46" t="s">
        <v>1311</v>
      </c>
      <c r="P1301" s="46" t="s">
        <v>1312</v>
      </c>
      <c r="Q1301" s="46" t="s">
        <v>31</v>
      </c>
      <c r="R1301" s="46" t="s">
        <v>31</v>
      </c>
      <c r="S1301" s="46" t="s">
        <v>31</v>
      </c>
      <c r="T1301" s="46" t="s">
        <v>31</v>
      </c>
      <c r="U1301" s="46" t="s">
        <v>49</v>
      </c>
    </row>
    <row r="1302" spans="1:21">
      <c r="A1302" s="46" t="s">
        <v>715</v>
      </c>
      <c r="B1302" s="46" t="s">
        <v>113</v>
      </c>
      <c r="C1302" s="46" t="s">
        <v>689</v>
      </c>
      <c r="D1302" s="46">
        <v>2</v>
      </c>
      <c r="E1302" s="46">
        <v>1</v>
      </c>
      <c r="F1302" s="46" t="s">
        <v>690</v>
      </c>
      <c r="G1302" s="46" t="s">
        <v>1305</v>
      </c>
      <c r="H1302" s="46" t="s">
        <v>3926</v>
      </c>
      <c r="I1302" s="46" t="str">
        <f ca="1">IFERROR(__xludf.DUMMYFUNCTION("CONCAT(A1302,REGEXREPLACE(H1302,"".*_L0"",""_L0""))"),"PD_BN1076_MTG_snRNAseq_rep2_L002_I1_001.fastq.gz")</f>
        <v>PD_BN1076_MTG_snRNAseq_rep2_L002_I1_001.fastq.gz</v>
      </c>
      <c r="J1302" s="46" t="str">
        <f t="shared" si="5"/>
        <v>/data/neurogen/ASAP/scRNAseq/data/batch26_ASAP_snRNA-seq_*/Raw_Data_and_Processing/cellranger_processing/cellranger_fastqs/outs/fastq_path/H*/BN1076_S3_L002_I1_001.fastq.gz</v>
      </c>
      <c r="K1302" s="46" t="s">
        <v>1323</v>
      </c>
      <c r="L1302" s="46" t="s">
        <v>3927</v>
      </c>
      <c r="M1302" s="46" t="s">
        <v>1309</v>
      </c>
      <c r="N1302" s="46" t="s">
        <v>1310</v>
      </c>
      <c r="O1302" s="46" t="s">
        <v>1311</v>
      </c>
      <c r="P1302" s="46" t="s">
        <v>1312</v>
      </c>
      <c r="Q1302" s="46" t="s">
        <v>31</v>
      </c>
      <c r="R1302" s="46" t="s">
        <v>31</v>
      </c>
      <c r="S1302" s="46" t="s">
        <v>31</v>
      </c>
      <c r="T1302" s="46" t="s">
        <v>31</v>
      </c>
      <c r="U1302" s="46" t="s">
        <v>49</v>
      </c>
    </row>
    <row r="1303" spans="1:21">
      <c r="A1303" s="46" t="s">
        <v>715</v>
      </c>
      <c r="B1303" s="46" t="s">
        <v>113</v>
      </c>
      <c r="C1303" s="46" t="s">
        <v>689</v>
      </c>
      <c r="D1303" s="46">
        <v>2</v>
      </c>
      <c r="E1303" s="46">
        <v>1</v>
      </c>
      <c r="F1303" s="46" t="s">
        <v>690</v>
      </c>
      <c r="G1303" s="46" t="s">
        <v>1305</v>
      </c>
      <c r="H1303" s="46" t="s">
        <v>3928</v>
      </c>
      <c r="I1303" s="46" t="str">
        <f ca="1">IFERROR(__xludf.DUMMYFUNCTION("CONCAT(A1303,REGEXREPLACE(H1303,"".*_L0"",""_L0""))"),"PD_BN1076_MTG_snRNAseq_rep2_L002_I2_001.fastq.gz")</f>
        <v>PD_BN1076_MTG_snRNAseq_rep2_L002_I2_001.fastq.gz</v>
      </c>
      <c r="J1303" s="46" t="str">
        <f t="shared" si="5"/>
        <v>/data/neurogen/ASAP/scRNAseq/data/batch26_ASAP_snRNA-seq_*/Raw_Data_and_Processing/cellranger_processing/cellranger_fastqs/outs/fastq_path/H*/BN1076_S3_L002_I2_001.fastq.gz</v>
      </c>
      <c r="K1303" s="46" t="s">
        <v>1326</v>
      </c>
      <c r="L1303" s="46" t="s">
        <v>3929</v>
      </c>
      <c r="M1303" s="46" t="s">
        <v>1309</v>
      </c>
      <c r="N1303" s="46" t="s">
        <v>1310</v>
      </c>
      <c r="O1303" s="46" t="s">
        <v>1311</v>
      </c>
      <c r="P1303" s="46" t="s">
        <v>1312</v>
      </c>
      <c r="Q1303" s="46" t="s">
        <v>31</v>
      </c>
      <c r="R1303" s="46" t="s">
        <v>31</v>
      </c>
      <c r="S1303" s="46" t="s">
        <v>31</v>
      </c>
      <c r="T1303" s="46" t="s">
        <v>31</v>
      </c>
      <c r="U1303" s="46" t="s">
        <v>49</v>
      </c>
    </row>
    <row r="1304" spans="1:21">
      <c r="A1304" s="46" t="s">
        <v>715</v>
      </c>
      <c r="B1304" s="46" t="s">
        <v>113</v>
      </c>
      <c r="C1304" s="46" t="s">
        <v>689</v>
      </c>
      <c r="D1304" s="46">
        <v>2</v>
      </c>
      <c r="E1304" s="46">
        <v>1</v>
      </c>
      <c r="F1304" s="46" t="s">
        <v>690</v>
      </c>
      <c r="G1304" s="46" t="s">
        <v>1305</v>
      </c>
      <c r="H1304" s="46" t="s">
        <v>3930</v>
      </c>
      <c r="I1304" s="46" t="str">
        <f ca="1">IFERROR(__xludf.DUMMYFUNCTION("CONCAT(A1304,REGEXREPLACE(H1304,"".*_L0"",""_L0""))"),"PD_BN1076_MTG_snRNAseq_rep2_L002_R1_001.fastq.gz")</f>
        <v>PD_BN1076_MTG_snRNAseq_rep2_L002_R1_001.fastq.gz</v>
      </c>
      <c r="J1304" s="46" t="str">
        <f t="shared" si="5"/>
        <v>/data/neurogen/ASAP/scRNAseq/data/batch26_ASAP_snRNA-seq_*/Raw_Data_and_Processing/cellranger_processing/cellranger_fastqs/outs/fastq_path/H*/BN1076_S3_L002_R1_001.fastq.gz</v>
      </c>
      <c r="K1304" s="46" t="s">
        <v>1329</v>
      </c>
      <c r="L1304" s="46" t="s">
        <v>3931</v>
      </c>
      <c r="M1304" s="46" t="s">
        <v>1309</v>
      </c>
      <c r="N1304" s="46" t="s">
        <v>1310</v>
      </c>
      <c r="O1304" s="46" t="s">
        <v>1311</v>
      </c>
      <c r="P1304" s="46" t="s">
        <v>1312</v>
      </c>
      <c r="Q1304" s="46" t="s">
        <v>31</v>
      </c>
      <c r="R1304" s="46" t="s">
        <v>31</v>
      </c>
      <c r="S1304" s="46" t="s">
        <v>31</v>
      </c>
      <c r="T1304" s="46" t="s">
        <v>31</v>
      </c>
      <c r="U1304" s="46" t="s">
        <v>49</v>
      </c>
    </row>
    <row r="1305" spans="1:21">
      <c r="A1305" s="46" t="s">
        <v>715</v>
      </c>
      <c r="B1305" s="46" t="s">
        <v>113</v>
      </c>
      <c r="C1305" s="46" t="s">
        <v>689</v>
      </c>
      <c r="D1305" s="46">
        <v>2</v>
      </c>
      <c r="E1305" s="46">
        <v>1</v>
      </c>
      <c r="F1305" s="46" t="s">
        <v>690</v>
      </c>
      <c r="G1305" s="46" t="s">
        <v>1305</v>
      </c>
      <c r="H1305" s="46" t="s">
        <v>3932</v>
      </c>
      <c r="I1305" s="46" t="str">
        <f ca="1">IFERROR(__xludf.DUMMYFUNCTION("CONCAT(A1305,REGEXREPLACE(H1305,"".*_L0"",""_L0""))"),"PD_BN1076_MTG_snRNAseq_rep2_L002_R2_001.fastq.gz")</f>
        <v>PD_BN1076_MTG_snRNAseq_rep2_L002_R2_001.fastq.gz</v>
      </c>
      <c r="J1305" s="46" t="str">
        <f t="shared" si="5"/>
        <v>/data/neurogen/ASAP/scRNAseq/data/batch26_ASAP_snRNA-seq_*/Raw_Data_and_Processing/cellranger_processing/cellranger_fastqs/outs/fastq_path/H*/BN1076_S3_L002_R2_001.fastq.gz</v>
      </c>
      <c r="K1305" s="46" t="s">
        <v>1332</v>
      </c>
      <c r="L1305" s="46" t="s">
        <v>3933</v>
      </c>
      <c r="M1305" s="46" t="s">
        <v>1309</v>
      </c>
      <c r="N1305" s="46" t="s">
        <v>1310</v>
      </c>
      <c r="O1305" s="46" t="s">
        <v>1311</v>
      </c>
      <c r="P1305" s="46" t="s">
        <v>1312</v>
      </c>
      <c r="Q1305" s="46" t="s">
        <v>31</v>
      </c>
      <c r="R1305" s="46" t="s">
        <v>31</v>
      </c>
      <c r="S1305" s="46" t="s">
        <v>31</v>
      </c>
      <c r="T1305" s="46" t="s">
        <v>31</v>
      </c>
      <c r="U1305" s="46" t="s">
        <v>49</v>
      </c>
    </row>
    <row r="1306" spans="1:21">
      <c r="A1306" s="46" t="s">
        <v>715</v>
      </c>
      <c r="B1306" s="46" t="s">
        <v>113</v>
      </c>
      <c r="C1306" s="46" t="s">
        <v>689</v>
      </c>
      <c r="D1306" s="46">
        <v>2</v>
      </c>
      <c r="E1306" s="46">
        <v>1</v>
      </c>
      <c r="F1306" s="46" t="s">
        <v>690</v>
      </c>
      <c r="G1306" s="46" t="s">
        <v>1305</v>
      </c>
      <c r="H1306" s="46" t="s">
        <v>3934</v>
      </c>
      <c r="I1306" s="46" t="str">
        <f ca="1">IFERROR(__xludf.DUMMYFUNCTION("CONCAT(A1306,REGEXREPLACE(H1306,"".*_L0"",""_L0""))"),"PD_BN1076_MTG_snRNAseq_rep2_L003_I1_001.fastq.gz")</f>
        <v>PD_BN1076_MTG_snRNAseq_rep2_L003_I1_001.fastq.gz</v>
      </c>
      <c r="J1306" s="46" t="str">
        <f t="shared" si="5"/>
        <v>/data/neurogen/ASAP/scRNAseq/data/batch26_ASAP_snRNA-seq_*/Raw_Data_and_Processing/cellranger_processing/cellranger_fastqs/outs/fastq_path/H*/BN1076_S3_L003_I1_001.fastq.gz</v>
      </c>
      <c r="K1306" s="46" t="s">
        <v>1335</v>
      </c>
      <c r="L1306" s="46" t="s">
        <v>3935</v>
      </c>
      <c r="M1306" s="46" t="s">
        <v>1309</v>
      </c>
      <c r="N1306" s="46" t="s">
        <v>1310</v>
      </c>
      <c r="O1306" s="46" t="s">
        <v>1311</v>
      </c>
      <c r="P1306" s="46" t="s">
        <v>1312</v>
      </c>
      <c r="Q1306" s="46" t="s">
        <v>31</v>
      </c>
      <c r="R1306" s="46" t="s">
        <v>31</v>
      </c>
      <c r="S1306" s="46" t="s">
        <v>31</v>
      </c>
      <c r="T1306" s="46" t="s">
        <v>31</v>
      </c>
      <c r="U1306" s="46" t="s">
        <v>49</v>
      </c>
    </row>
    <row r="1307" spans="1:21">
      <c r="A1307" s="46" t="s">
        <v>715</v>
      </c>
      <c r="B1307" s="46" t="s">
        <v>113</v>
      </c>
      <c r="C1307" s="46" t="s">
        <v>689</v>
      </c>
      <c r="D1307" s="46">
        <v>2</v>
      </c>
      <c r="E1307" s="46">
        <v>1</v>
      </c>
      <c r="F1307" s="46" t="s">
        <v>690</v>
      </c>
      <c r="G1307" s="46" t="s">
        <v>1305</v>
      </c>
      <c r="H1307" s="46" t="s">
        <v>3936</v>
      </c>
      <c r="I1307" s="46" t="str">
        <f ca="1">IFERROR(__xludf.DUMMYFUNCTION("CONCAT(A1307,REGEXREPLACE(H1307,"".*_L0"",""_L0""))"),"PD_BN1076_MTG_snRNAseq_rep2_L003_I2_001.fastq.gz")</f>
        <v>PD_BN1076_MTG_snRNAseq_rep2_L003_I2_001.fastq.gz</v>
      </c>
      <c r="J1307" s="46" t="str">
        <f t="shared" si="5"/>
        <v>/data/neurogen/ASAP/scRNAseq/data/batch26_ASAP_snRNA-seq_*/Raw_Data_and_Processing/cellranger_processing/cellranger_fastqs/outs/fastq_path/H*/BN1076_S3_L003_I2_001.fastq.gz</v>
      </c>
      <c r="K1307" s="46" t="s">
        <v>1338</v>
      </c>
      <c r="L1307" s="46" t="s">
        <v>3937</v>
      </c>
      <c r="M1307" s="46" t="s">
        <v>1309</v>
      </c>
      <c r="N1307" s="46" t="s">
        <v>1310</v>
      </c>
      <c r="O1307" s="46" t="s">
        <v>1311</v>
      </c>
      <c r="P1307" s="46" t="s">
        <v>1312</v>
      </c>
      <c r="Q1307" s="46" t="s">
        <v>31</v>
      </c>
      <c r="R1307" s="46" t="s">
        <v>31</v>
      </c>
      <c r="S1307" s="46" t="s">
        <v>31</v>
      </c>
      <c r="T1307" s="46" t="s">
        <v>31</v>
      </c>
      <c r="U1307" s="46" t="s">
        <v>49</v>
      </c>
    </row>
    <row r="1308" spans="1:21">
      <c r="A1308" s="46" t="s">
        <v>715</v>
      </c>
      <c r="B1308" s="46" t="s">
        <v>113</v>
      </c>
      <c r="C1308" s="46" t="s">
        <v>689</v>
      </c>
      <c r="D1308" s="46">
        <v>2</v>
      </c>
      <c r="E1308" s="46">
        <v>1</v>
      </c>
      <c r="F1308" s="46" t="s">
        <v>690</v>
      </c>
      <c r="G1308" s="46" t="s">
        <v>1305</v>
      </c>
      <c r="H1308" s="46" t="s">
        <v>3938</v>
      </c>
      <c r="I1308" s="46" t="str">
        <f ca="1">IFERROR(__xludf.DUMMYFUNCTION("CONCAT(A1308,REGEXREPLACE(H1308,"".*_L0"",""_L0""))"),"PD_BN1076_MTG_snRNAseq_rep2_L003_R1_001.fastq.gz")</f>
        <v>PD_BN1076_MTG_snRNAseq_rep2_L003_R1_001.fastq.gz</v>
      </c>
      <c r="J1308" s="46" t="str">
        <f t="shared" si="5"/>
        <v>/data/neurogen/ASAP/scRNAseq/data/batch26_ASAP_snRNA-seq_*/Raw_Data_and_Processing/cellranger_processing/cellranger_fastqs/outs/fastq_path/H*/BN1076_S3_L003_R1_001.fastq.gz</v>
      </c>
      <c r="K1308" s="46" t="s">
        <v>1341</v>
      </c>
      <c r="L1308" s="46" t="s">
        <v>3939</v>
      </c>
      <c r="M1308" s="46" t="s">
        <v>1309</v>
      </c>
      <c r="N1308" s="46" t="s">
        <v>1310</v>
      </c>
      <c r="O1308" s="46" t="s">
        <v>1311</v>
      </c>
      <c r="P1308" s="46" t="s">
        <v>1312</v>
      </c>
      <c r="Q1308" s="46" t="s">
        <v>31</v>
      </c>
      <c r="R1308" s="46" t="s">
        <v>31</v>
      </c>
      <c r="S1308" s="46" t="s">
        <v>31</v>
      </c>
      <c r="T1308" s="46" t="s">
        <v>31</v>
      </c>
      <c r="U1308" s="46" t="s">
        <v>49</v>
      </c>
    </row>
    <row r="1309" spans="1:21">
      <c r="A1309" s="46" t="s">
        <v>715</v>
      </c>
      <c r="B1309" s="46" t="s">
        <v>113</v>
      </c>
      <c r="C1309" s="46" t="s">
        <v>689</v>
      </c>
      <c r="D1309" s="46">
        <v>2</v>
      </c>
      <c r="E1309" s="46">
        <v>1</v>
      </c>
      <c r="F1309" s="46" t="s">
        <v>690</v>
      </c>
      <c r="G1309" s="46" t="s">
        <v>1305</v>
      </c>
      <c r="H1309" s="46" t="s">
        <v>3940</v>
      </c>
      <c r="I1309" s="46" t="str">
        <f ca="1">IFERROR(__xludf.DUMMYFUNCTION("CONCAT(A1309,REGEXREPLACE(H1309,"".*_L0"",""_L0""))"),"PD_BN1076_MTG_snRNAseq_rep2_L003_R2_001.fastq.gz")</f>
        <v>PD_BN1076_MTG_snRNAseq_rep2_L003_R2_001.fastq.gz</v>
      </c>
      <c r="J1309" s="46" t="str">
        <f t="shared" si="5"/>
        <v>/data/neurogen/ASAP/scRNAseq/data/batch26_ASAP_snRNA-seq_*/Raw_Data_and_Processing/cellranger_processing/cellranger_fastqs/outs/fastq_path/H*/BN1076_S3_L003_R2_001.fastq.gz</v>
      </c>
      <c r="K1309" s="46" t="s">
        <v>1344</v>
      </c>
      <c r="L1309" s="46" t="s">
        <v>3941</v>
      </c>
      <c r="M1309" s="46" t="s">
        <v>1309</v>
      </c>
      <c r="N1309" s="46" t="s">
        <v>1310</v>
      </c>
      <c r="O1309" s="46" t="s">
        <v>1311</v>
      </c>
      <c r="P1309" s="46" t="s">
        <v>1312</v>
      </c>
      <c r="Q1309" s="46" t="s">
        <v>31</v>
      </c>
      <c r="R1309" s="46" t="s">
        <v>31</v>
      </c>
      <c r="S1309" s="46" t="s">
        <v>31</v>
      </c>
      <c r="T1309" s="46" t="s">
        <v>31</v>
      </c>
      <c r="U1309" s="46" t="s">
        <v>49</v>
      </c>
    </row>
    <row r="1310" spans="1:21">
      <c r="A1310" s="46" t="s">
        <v>715</v>
      </c>
      <c r="B1310" s="46" t="s">
        <v>113</v>
      </c>
      <c r="C1310" s="46" t="s">
        <v>689</v>
      </c>
      <c r="D1310" s="46">
        <v>2</v>
      </c>
      <c r="E1310" s="46">
        <v>1</v>
      </c>
      <c r="F1310" s="46" t="s">
        <v>690</v>
      </c>
      <c r="G1310" s="46" t="s">
        <v>1305</v>
      </c>
      <c r="H1310" s="46" t="s">
        <v>3942</v>
      </c>
      <c r="I1310" s="46" t="str">
        <f ca="1">IFERROR(__xludf.DUMMYFUNCTION("CONCAT(A1310,REGEXREPLACE(H1310,"".*_L0"",""_L0""))"),"PD_BN1076_MTG_snRNAseq_rep2_L004_I1_001.fastq.gz")</f>
        <v>PD_BN1076_MTG_snRNAseq_rep2_L004_I1_001.fastq.gz</v>
      </c>
      <c r="J1310" s="46" t="str">
        <f t="shared" si="5"/>
        <v>/data/neurogen/ASAP/scRNAseq/data/batch26_ASAP_snRNA-seq_*/Raw_Data_and_Processing/cellranger_processing/cellranger_fastqs/outs/fastq_path/H*/BN1076_S3_L004_I1_001.fastq.gz</v>
      </c>
      <c r="K1310" s="46" t="s">
        <v>1347</v>
      </c>
      <c r="L1310" s="46" t="s">
        <v>3943</v>
      </c>
      <c r="M1310" s="46" t="s">
        <v>1309</v>
      </c>
      <c r="N1310" s="46" t="s">
        <v>1310</v>
      </c>
      <c r="O1310" s="46" t="s">
        <v>1311</v>
      </c>
      <c r="P1310" s="46" t="s">
        <v>1312</v>
      </c>
      <c r="Q1310" s="46" t="s">
        <v>31</v>
      </c>
      <c r="R1310" s="46" t="s">
        <v>31</v>
      </c>
      <c r="S1310" s="46" t="s">
        <v>31</v>
      </c>
      <c r="T1310" s="46" t="s">
        <v>31</v>
      </c>
      <c r="U1310" s="46" t="s">
        <v>49</v>
      </c>
    </row>
    <row r="1311" spans="1:21">
      <c r="A1311" s="46" t="s">
        <v>715</v>
      </c>
      <c r="B1311" s="46" t="s">
        <v>113</v>
      </c>
      <c r="C1311" s="46" t="s">
        <v>689</v>
      </c>
      <c r="D1311" s="46">
        <v>2</v>
      </c>
      <c r="E1311" s="46">
        <v>1</v>
      </c>
      <c r="F1311" s="46" t="s">
        <v>690</v>
      </c>
      <c r="G1311" s="46" t="s">
        <v>1305</v>
      </c>
      <c r="H1311" s="46" t="s">
        <v>3944</v>
      </c>
      <c r="I1311" s="46" t="str">
        <f ca="1">IFERROR(__xludf.DUMMYFUNCTION("CONCAT(A1311,REGEXREPLACE(H1311,"".*_L0"",""_L0""))"),"PD_BN1076_MTG_snRNAseq_rep2_L004_I2_001.fastq.gz")</f>
        <v>PD_BN1076_MTG_snRNAseq_rep2_L004_I2_001.fastq.gz</v>
      </c>
      <c r="J1311" s="46" t="str">
        <f t="shared" si="5"/>
        <v>/data/neurogen/ASAP/scRNAseq/data/batch26_ASAP_snRNA-seq_*/Raw_Data_and_Processing/cellranger_processing/cellranger_fastqs/outs/fastq_path/H*/BN1076_S3_L004_I2_001.fastq.gz</v>
      </c>
      <c r="K1311" s="46" t="s">
        <v>1350</v>
      </c>
      <c r="L1311" s="46" t="s">
        <v>3945</v>
      </c>
      <c r="M1311" s="46" t="s">
        <v>1309</v>
      </c>
      <c r="N1311" s="46" t="s">
        <v>1310</v>
      </c>
      <c r="O1311" s="46" t="s">
        <v>1311</v>
      </c>
      <c r="P1311" s="46" t="s">
        <v>1312</v>
      </c>
      <c r="Q1311" s="46" t="s">
        <v>31</v>
      </c>
      <c r="R1311" s="46" t="s">
        <v>31</v>
      </c>
      <c r="S1311" s="46" t="s">
        <v>31</v>
      </c>
      <c r="T1311" s="46" t="s">
        <v>31</v>
      </c>
      <c r="U1311" s="46" t="s">
        <v>49</v>
      </c>
    </row>
    <row r="1312" spans="1:21">
      <c r="A1312" s="46" t="s">
        <v>715</v>
      </c>
      <c r="B1312" s="46" t="s">
        <v>113</v>
      </c>
      <c r="C1312" s="46" t="s">
        <v>689</v>
      </c>
      <c r="D1312" s="46">
        <v>2</v>
      </c>
      <c r="E1312" s="46">
        <v>1</v>
      </c>
      <c r="F1312" s="46" t="s">
        <v>690</v>
      </c>
      <c r="G1312" s="46" t="s">
        <v>1305</v>
      </c>
      <c r="H1312" s="46" t="s">
        <v>3946</v>
      </c>
      <c r="I1312" s="46" t="str">
        <f ca="1">IFERROR(__xludf.DUMMYFUNCTION("CONCAT(A1312,REGEXREPLACE(H1312,"".*_L0"",""_L0""))"),"PD_BN1076_MTG_snRNAseq_rep2_L004_R1_001.fastq.gz")</f>
        <v>PD_BN1076_MTG_snRNAseq_rep2_L004_R1_001.fastq.gz</v>
      </c>
      <c r="J1312" s="46" t="str">
        <f t="shared" si="5"/>
        <v>/data/neurogen/ASAP/scRNAseq/data/batch26_ASAP_snRNA-seq_*/Raw_Data_and_Processing/cellranger_processing/cellranger_fastqs/outs/fastq_path/H*/BN1076_S3_L004_R1_001.fastq.gz</v>
      </c>
      <c r="K1312" s="46" t="s">
        <v>1353</v>
      </c>
      <c r="L1312" s="46" t="s">
        <v>3947</v>
      </c>
      <c r="M1312" s="46" t="s">
        <v>1309</v>
      </c>
      <c r="N1312" s="46" t="s">
        <v>1310</v>
      </c>
      <c r="O1312" s="46" t="s">
        <v>1311</v>
      </c>
      <c r="P1312" s="46" t="s">
        <v>1312</v>
      </c>
      <c r="Q1312" s="46" t="s">
        <v>31</v>
      </c>
      <c r="R1312" s="46" t="s">
        <v>31</v>
      </c>
      <c r="S1312" s="46" t="s">
        <v>31</v>
      </c>
      <c r="T1312" s="46" t="s">
        <v>31</v>
      </c>
      <c r="U1312" s="46" t="s">
        <v>49</v>
      </c>
    </row>
    <row r="1313" spans="1:21">
      <c r="A1313" s="46" t="s">
        <v>715</v>
      </c>
      <c r="B1313" s="46" t="s">
        <v>113</v>
      </c>
      <c r="C1313" s="46" t="s">
        <v>689</v>
      </c>
      <c r="D1313" s="46">
        <v>2</v>
      </c>
      <c r="E1313" s="46">
        <v>1</v>
      </c>
      <c r="F1313" s="46" t="s">
        <v>690</v>
      </c>
      <c r="G1313" s="46" t="s">
        <v>1305</v>
      </c>
      <c r="H1313" s="46" t="s">
        <v>3948</v>
      </c>
      <c r="I1313" s="46" t="str">
        <f ca="1">IFERROR(__xludf.DUMMYFUNCTION("CONCAT(A1313,REGEXREPLACE(H1313,"".*_L0"",""_L0""))"),"PD_BN1076_MTG_snRNAseq_rep2_L004_R2_001.fastq.gz")</f>
        <v>PD_BN1076_MTG_snRNAseq_rep2_L004_R2_001.fastq.gz</v>
      </c>
      <c r="J1313" s="46" t="str">
        <f t="shared" si="5"/>
        <v>/data/neurogen/ASAP/scRNAseq/data/batch26_ASAP_snRNA-seq_*/Raw_Data_and_Processing/cellranger_processing/cellranger_fastqs/outs/fastq_path/H*/BN1076_S3_L004_R2_001.fastq.gz</v>
      </c>
      <c r="K1313" s="46" t="s">
        <v>1356</v>
      </c>
      <c r="L1313" s="46" t="s">
        <v>3949</v>
      </c>
      <c r="M1313" s="46" t="s">
        <v>1309</v>
      </c>
      <c r="N1313" s="46" t="s">
        <v>1310</v>
      </c>
      <c r="O1313" s="46" t="s">
        <v>1311</v>
      </c>
      <c r="P1313" s="46" t="s">
        <v>1312</v>
      </c>
      <c r="Q1313" s="46" t="s">
        <v>31</v>
      </c>
      <c r="R1313" s="46" t="s">
        <v>31</v>
      </c>
      <c r="S1313" s="46" t="s">
        <v>31</v>
      </c>
      <c r="T1313" s="46" t="s">
        <v>31</v>
      </c>
      <c r="U1313" s="46" t="s">
        <v>49</v>
      </c>
    </row>
    <row r="1314" spans="1:21">
      <c r="A1314" s="46" t="s">
        <v>802</v>
      </c>
      <c r="B1314" s="46" t="s">
        <v>247</v>
      </c>
      <c r="C1314" s="46" t="s">
        <v>666</v>
      </c>
      <c r="D1314" s="46">
        <v>1</v>
      </c>
      <c r="E1314" s="46">
        <v>0</v>
      </c>
      <c r="F1314" s="46" t="s">
        <v>690</v>
      </c>
      <c r="G1314" s="46" t="s">
        <v>1305</v>
      </c>
      <c r="H1314" s="46" t="s">
        <v>3950</v>
      </c>
      <c r="I1314" s="46" t="str">
        <f ca="1">IFERROR(__xludf.DUMMYFUNCTION("CONCAT(A1314,REGEXREPLACE(H1314,"".*_L0"",""_L0""))"),"ILB_BN9947_MTG_snRNAseq_rep1_L001_I1_001.fastq.gz")</f>
        <v>ILB_BN9947_MTG_snRNAseq_rep1_L001_I1_001.fastq.gz</v>
      </c>
      <c r="J1314" s="46" t="str">
        <f t="shared" si="5"/>
        <v>/data/neurogen/ASAP/scRNAseq/data/batch26_ASAP_snRNA-seq_*/Raw_Data_and_Processing/cellranger_processing/cellranger_fastqs/outs/fastq_path/H*/BN9947_S4_L001_I1_001.fastq.gz</v>
      </c>
      <c r="K1314" s="46" t="s">
        <v>1307</v>
      </c>
      <c r="L1314" s="46" t="s">
        <v>3951</v>
      </c>
      <c r="M1314" s="46" t="s">
        <v>1309</v>
      </c>
      <c r="N1314" s="46" t="s">
        <v>1310</v>
      </c>
      <c r="O1314" s="46" t="s">
        <v>1311</v>
      </c>
      <c r="P1314" s="46" t="s">
        <v>1312</v>
      </c>
      <c r="Q1314" s="46" t="s">
        <v>31</v>
      </c>
      <c r="R1314" s="46" t="s">
        <v>31</v>
      </c>
      <c r="S1314" s="46" t="s">
        <v>31</v>
      </c>
      <c r="T1314" s="46" t="s">
        <v>31</v>
      </c>
      <c r="U1314" s="46" t="s">
        <v>49</v>
      </c>
    </row>
    <row r="1315" spans="1:21">
      <c r="A1315" s="46" t="s">
        <v>802</v>
      </c>
      <c r="B1315" s="46" t="s">
        <v>247</v>
      </c>
      <c r="C1315" s="46" t="s">
        <v>666</v>
      </c>
      <c r="D1315" s="46">
        <v>1</v>
      </c>
      <c r="E1315" s="46">
        <v>0</v>
      </c>
      <c r="F1315" s="46" t="s">
        <v>690</v>
      </c>
      <c r="G1315" s="46" t="s">
        <v>1305</v>
      </c>
      <c r="H1315" s="46" t="s">
        <v>3952</v>
      </c>
      <c r="I1315" s="46" t="str">
        <f ca="1">IFERROR(__xludf.DUMMYFUNCTION("CONCAT(A1315,REGEXREPLACE(H1315,"".*_L0"",""_L0""))"),"ILB_BN9947_MTG_snRNAseq_rep1_L001_I2_001.fastq.gz")</f>
        <v>ILB_BN9947_MTG_snRNAseq_rep1_L001_I2_001.fastq.gz</v>
      </c>
      <c r="J1315" s="46" t="str">
        <f t="shared" si="5"/>
        <v>/data/neurogen/ASAP/scRNAseq/data/batch26_ASAP_snRNA-seq_*/Raw_Data_and_Processing/cellranger_processing/cellranger_fastqs/outs/fastq_path/H*/BN9947_S4_L001_I2_001.fastq.gz</v>
      </c>
      <c r="K1315" s="46" t="s">
        <v>1314</v>
      </c>
      <c r="L1315" s="46" t="s">
        <v>3953</v>
      </c>
      <c r="M1315" s="46" t="s">
        <v>1309</v>
      </c>
      <c r="N1315" s="46" t="s">
        <v>1310</v>
      </c>
      <c r="O1315" s="46" t="s">
        <v>1311</v>
      </c>
      <c r="P1315" s="46" t="s">
        <v>1312</v>
      </c>
      <c r="Q1315" s="46" t="s">
        <v>31</v>
      </c>
      <c r="R1315" s="46" t="s">
        <v>31</v>
      </c>
      <c r="S1315" s="46" t="s">
        <v>31</v>
      </c>
      <c r="T1315" s="46" t="s">
        <v>31</v>
      </c>
      <c r="U1315" s="46" t="s">
        <v>49</v>
      </c>
    </row>
    <row r="1316" spans="1:21">
      <c r="A1316" s="46" t="s">
        <v>802</v>
      </c>
      <c r="B1316" s="46" t="s">
        <v>247</v>
      </c>
      <c r="C1316" s="46" t="s">
        <v>666</v>
      </c>
      <c r="D1316" s="46">
        <v>1</v>
      </c>
      <c r="E1316" s="46">
        <v>0</v>
      </c>
      <c r="F1316" s="46" t="s">
        <v>690</v>
      </c>
      <c r="G1316" s="46" t="s">
        <v>1305</v>
      </c>
      <c r="H1316" s="46" t="s">
        <v>3954</v>
      </c>
      <c r="I1316" s="46" t="str">
        <f ca="1">IFERROR(__xludf.DUMMYFUNCTION("CONCAT(A1316,REGEXREPLACE(H1316,"".*_L0"",""_L0""))"),"ILB_BN9947_MTG_snRNAseq_rep1_L001_R1_001.fastq.gz")</f>
        <v>ILB_BN9947_MTG_snRNAseq_rep1_L001_R1_001.fastq.gz</v>
      </c>
      <c r="J1316" s="46" t="str">
        <f t="shared" si="5"/>
        <v>/data/neurogen/ASAP/scRNAseq/data/batch26_ASAP_snRNA-seq_*/Raw_Data_and_Processing/cellranger_processing/cellranger_fastqs/outs/fastq_path/H*/BN9947_S4_L001_R1_001.fastq.gz</v>
      </c>
      <c r="K1316" s="46" t="s">
        <v>1317</v>
      </c>
      <c r="L1316" s="47" t="s">
        <v>3955</v>
      </c>
      <c r="M1316" s="46" t="s">
        <v>1309</v>
      </c>
      <c r="N1316" s="46" t="s">
        <v>1310</v>
      </c>
      <c r="O1316" s="46" t="s">
        <v>1311</v>
      </c>
      <c r="P1316" s="46" t="s">
        <v>1312</v>
      </c>
      <c r="Q1316" s="46" t="s">
        <v>31</v>
      </c>
      <c r="R1316" s="46" t="s">
        <v>31</v>
      </c>
      <c r="S1316" s="46" t="s">
        <v>31</v>
      </c>
      <c r="T1316" s="46" t="s">
        <v>31</v>
      </c>
      <c r="U1316" s="46" t="s">
        <v>49</v>
      </c>
    </row>
    <row r="1317" spans="1:21">
      <c r="A1317" s="46" t="s">
        <v>802</v>
      </c>
      <c r="B1317" s="46" t="s">
        <v>247</v>
      </c>
      <c r="C1317" s="46" t="s">
        <v>666</v>
      </c>
      <c r="D1317" s="46">
        <v>1</v>
      </c>
      <c r="E1317" s="46">
        <v>0</v>
      </c>
      <c r="F1317" s="46" t="s">
        <v>690</v>
      </c>
      <c r="G1317" s="46" t="s">
        <v>1305</v>
      </c>
      <c r="H1317" s="46" t="s">
        <v>3956</v>
      </c>
      <c r="I1317" s="46" t="str">
        <f ca="1">IFERROR(__xludf.DUMMYFUNCTION("CONCAT(A1317,REGEXREPLACE(H1317,"".*_L0"",""_L0""))"),"ILB_BN9947_MTG_snRNAseq_rep1_L001_R2_001.fastq.gz")</f>
        <v>ILB_BN9947_MTG_snRNAseq_rep1_L001_R2_001.fastq.gz</v>
      </c>
      <c r="J1317" s="46" t="str">
        <f t="shared" si="5"/>
        <v>/data/neurogen/ASAP/scRNAseq/data/batch26_ASAP_snRNA-seq_*/Raw_Data_and_Processing/cellranger_processing/cellranger_fastqs/outs/fastq_path/H*/BN9947_S4_L001_R2_001.fastq.gz</v>
      </c>
      <c r="K1317" s="46" t="s">
        <v>1320</v>
      </c>
      <c r="L1317" s="46" t="s">
        <v>3957</v>
      </c>
      <c r="M1317" s="46" t="s">
        <v>1309</v>
      </c>
      <c r="N1317" s="46" t="s">
        <v>1310</v>
      </c>
      <c r="O1317" s="46" t="s">
        <v>1311</v>
      </c>
      <c r="P1317" s="46" t="s">
        <v>1312</v>
      </c>
      <c r="Q1317" s="46" t="s">
        <v>31</v>
      </c>
      <c r="R1317" s="46" t="s">
        <v>31</v>
      </c>
      <c r="S1317" s="46" t="s">
        <v>31</v>
      </c>
      <c r="T1317" s="46" t="s">
        <v>31</v>
      </c>
      <c r="U1317" s="46" t="s">
        <v>49</v>
      </c>
    </row>
    <row r="1318" spans="1:21">
      <c r="A1318" s="46" t="s">
        <v>802</v>
      </c>
      <c r="B1318" s="46" t="s">
        <v>247</v>
      </c>
      <c r="C1318" s="46" t="s">
        <v>666</v>
      </c>
      <c r="D1318" s="46">
        <v>1</v>
      </c>
      <c r="E1318" s="46">
        <v>0</v>
      </c>
      <c r="F1318" s="46" t="s">
        <v>690</v>
      </c>
      <c r="G1318" s="46" t="s">
        <v>1305</v>
      </c>
      <c r="H1318" s="46" t="s">
        <v>3958</v>
      </c>
      <c r="I1318" s="46" t="str">
        <f ca="1">IFERROR(__xludf.DUMMYFUNCTION("CONCAT(A1318,REGEXREPLACE(H1318,"".*_L0"",""_L0""))"),"ILB_BN9947_MTG_snRNAseq_rep1_L002_I1_001.fastq.gz")</f>
        <v>ILB_BN9947_MTG_snRNAseq_rep1_L002_I1_001.fastq.gz</v>
      </c>
      <c r="J1318" s="46" t="str">
        <f t="shared" si="5"/>
        <v>/data/neurogen/ASAP/scRNAseq/data/batch26_ASAP_snRNA-seq_*/Raw_Data_and_Processing/cellranger_processing/cellranger_fastqs/outs/fastq_path/H*/BN9947_S4_L002_I1_001.fastq.gz</v>
      </c>
      <c r="K1318" s="46" t="s">
        <v>1323</v>
      </c>
      <c r="L1318" s="46" t="s">
        <v>3959</v>
      </c>
      <c r="M1318" s="46" t="s">
        <v>1309</v>
      </c>
      <c r="N1318" s="46" t="s">
        <v>1310</v>
      </c>
      <c r="O1318" s="46" t="s">
        <v>1311</v>
      </c>
      <c r="P1318" s="46" t="s">
        <v>1312</v>
      </c>
      <c r="Q1318" s="46" t="s">
        <v>31</v>
      </c>
      <c r="R1318" s="46" t="s">
        <v>31</v>
      </c>
      <c r="S1318" s="46" t="s">
        <v>31</v>
      </c>
      <c r="T1318" s="46" t="s">
        <v>31</v>
      </c>
      <c r="U1318" s="46" t="s">
        <v>49</v>
      </c>
    </row>
    <row r="1319" spans="1:21">
      <c r="A1319" s="46" t="s">
        <v>802</v>
      </c>
      <c r="B1319" s="46" t="s">
        <v>247</v>
      </c>
      <c r="C1319" s="46" t="s">
        <v>666</v>
      </c>
      <c r="D1319" s="46">
        <v>1</v>
      </c>
      <c r="E1319" s="46">
        <v>0</v>
      </c>
      <c r="F1319" s="46" t="s">
        <v>690</v>
      </c>
      <c r="G1319" s="46" t="s">
        <v>1305</v>
      </c>
      <c r="H1319" s="46" t="s">
        <v>3960</v>
      </c>
      <c r="I1319" s="46" t="str">
        <f ca="1">IFERROR(__xludf.DUMMYFUNCTION("CONCAT(A1319,REGEXREPLACE(H1319,"".*_L0"",""_L0""))"),"ILB_BN9947_MTG_snRNAseq_rep1_L002_I2_001.fastq.gz")</f>
        <v>ILB_BN9947_MTG_snRNAseq_rep1_L002_I2_001.fastq.gz</v>
      </c>
      <c r="J1319" s="46" t="str">
        <f t="shared" si="5"/>
        <v>/data/neurogen/ASAP/scRNAseq/data/batch26_ASAP_snRNA-seq_*/Raw_Data_and_Processing/cellranger_processing/cellranger_fastqs/outs/fastq_path/H*/BN9947_S4_L002_I2_001.fastq.gz</v>
      </c>
      <c r="K1319" s="46" t="s">
        <v>1326</v>
      </c>
      <c r="L1319" s="46" t="s">
        <v>3961</v>
      </c>
      <c r="M1319" s="46" t="s">
        <v>1309</v>
      </c>
      <c r="N1319" s="46" t="s">
        <v>1310</v>
      </c>
      <c r="O1319" s="46" t="s">
        <v>1311</v>
      </c>
      <c r="P1319" s="46" t="s">
        <v>1312</v>
      </c>
      <c r="Q1319" s="46" t="s">
        <v>31</v>
      </c>
      <c r="R1319" s="46" t="s">
        <v>31</v>
      </c>
      <c r="S1319" s="46" t="s">
        <v>31</v>
      </c>
      <c r="T1319" s="46" t="s">
        <v>31</v>
      </c>
      <c r="U1319" s="46" t="s">
        <v>49</v>
      </c>
    </row>
    <row r="1320" spans="1:21">
      <c r="A1320" s="46" t="s">
        <v>802</v>
      </c>
      <c r="B1320" s="46" t="s">
        <v>247</v>
      </c>
      <c r="C1320" s="46" t="s">
        <v>666</v>
      </c>
      <c r="D1320" s="46">
        <v>1</v>
      </c>
      <c r="E1320" s="46">
        <v>0</v>
      </c>
      <c r="F1320" s="46" t="s">
        <v>690</v>
      </c>
      <c r="G1320" s="46" t="s">
        <v>1305</v>
      </c>
      <c r="H1320" s="46" t="s">
        <v>3962</v>
      </c>
      <c r="I1320" s="46" t="str">
        <f ca="1">IFERROR(__xludf.DUMMYFUNCTION("CONCAT(A1320,REGEXREPLACE(H1320,"".*_L0"",""_L0""))"),"ILB_BN9947_MTG_snRNAseq_rep1_L002_R1_001.fastq.gz")</f>
        <v>ILB_BN9947_MTG_snRNAseq_rep1_L002_R1_001.fastq.gz</v>
      </c>
      <c r="J1320" s="46" t="str">
        <f t="shared" si="5"/>
        <v>/data/neurogen/ASAP/scRNAseq/data/batch26_ASAP_snRNA-seq_*/Raw_Data_and_Processing/cellranger_processing/cellranger_fastqs/outs/fastq_path/H*/BN9947_S4_L002_R1_001.fastq.gz</v>
      </c>
      <c r="K1320" s="46" t="s">
        <v>1329</v>
      </c>
      <c r="L1320" s="46" t="s">
        <v>3963</v>
      </c>
      <c r="M1320" s="46" t="s">
        <v>1309</v>
      </c>
      <c r="N1320" s="46" t="s">
        <v>1310</v>
      </c>
      <c r="O1320" s="46" t="s">
        <v>1311</v>
      </c>
      <c r="P1320" s="46" t="s">
        <v>1312</v>
      </c>
      <c r="Q1320" s="46" t="s">
        <v>31</v>
      </c>
      <c r="R1320" s="46" t="s">
        <v>31</v>
      </c>
      <c r="S1320" s="46" t="s">
        <v>31</v>
      </c>
      <c r="T1320" s="46" t="s">
        <v>31</v>
      </c>
      <c r="U1320" s="46" t="s">
        <v>49</v>
      </c>
    </row>
    <row r="1321" spans="1:21">
      <c r="A1321" s="46" t="s">
        <v>802</v>
      </c>
      <c r="B1321" s="46" t="s">
        <v>247</v>
      </c>
      <c r="C1321" s="46" t="s">
        <v>666</v>
      </c>
      <c r="D1321" s="46">
        <v>1</v>
      </c>
      <c r="E1321" s="46">
        <v>0</v>
      </c>
      <c r="F1321" s="46" t="s">
        <v>690</v>
      </c>
      <c r="G1321" s="46" t="s">
        <v>1305</v>
      </c>
      <c r="H1321" s="46" t="s">
        <v>3964</v>
      </c>
      <c r="I1321" s="46" t="str">
        <f ca="1">IFERROR(__xludf.DUMMYFUNCTION("CONCAT(A1321,REGEXREPLACE(H1321,"".*_L0"",""_L0""))"),"ILB_BN9947_MTG_snRNAseq_rep1_L002_R2_001.fastq.gz")</f>
        <v>ILB_BN9947_MTG_snRNAseq_rep1_L002_R2_001.fastq.gz</v>
      </c>
      <c r="J1321" s="46" t="str">
        <f t="shared" si="5"/>
        <v>/data/neurogen/ASAP/scRNAseq/data/batch26_ASAP_snRNA-seq_*/Raw_Data_and_Processing/cellranger_processing/cellranger_fastqs/outs/fastq_path/H*/BN9947_S4_L002_R2_001.fastq.gz</v>
      </c>
      <c r="K1321" s="46" t="s">
        <v>1332</v>
      </c>
      <c r="L1321" s="46" t="s">
        <v>3965</v>
      </c>
      <c r="M1321" s="46" t="s">
        <v>1309</v>
      </c>
      <c r="N1321" s="46" t="s">
        <v>1310</v>
      </c>
      <c r="O1321" s="46" t="s">
        <v>1311</v>
      </c>
      <c r="P1321" s="46" t="s">
        <v>1312</v>
      </c>
      <c r="Q1321" s="46" t="s">
        <v>31</v>
      </c>
      <c r="R1321" s="46" t="s">
        <v>31</v>
      </c>
      <c r="S1321" s="46" t="s">
        <v>31</v>
      </c>
      <c r="T1321" s="46" t="s">
        <v>31</v>
      </c>
      <c r="U1321" s="46" t="s">
        <v>49</v>
      </c>
    </row>
    <row r="1322" spans="1:21">
      <c r="A1322" s="46" t="s">
        <v>802</v>
      </c>
      <c r="B1322" s="46" t="s">
        <v>247</v>
      </c>
      <c r="C1322" s="46" t="s">
        <v>666</v>
      </c>
      <c r="D1322" s="46">
        <v>1</v>
      </c>
      <c r="E1322" s="46">
        <v>0</v>
      </c>
      <c r="F1322" s="46" t="s">
        <v>690</v>
      </c>
      <c r="G1322" s="46" t="s">
        <v>1305</v>
      </c>
      <c r="H1322" s="46" t="s">
        <v>3966</v>
      </c>
      <c r="I1322" s="46" t="str">
        <f ca="1">IFERROR(__xludf.DUMMYFUNCTION("CONCAT(A1322,REGEXREPLACE(H1322,"".*_L0"",""_L0""))"),"ILB_BN9947_MTG_snRNAseq_rep1_L003_I1_001.fastq.gz")</f>
        <v>ILB_BN9947_MTG_snRNAseq_rep1_L003_I1_001.fastq.gz</v>
      </c>
      <c r="J1322" s="46" t="str">
        <f t="shared" si="5"/>
        <v>/data/neurogen/ASAP/scRNAseq/data/batch26_ASAP_snRNA-seq_*/Raw_Data_and_Processing/cellranger_processing/cellranger_fastqs/outs/fastq_path/H*/BN9947_S4_L003_I1_001.fastq.gz</v>
      </c>
      <c r="K1322" s="46" t="s">
        <v>1335</v>
      </c>
      <c r="L1322" s="46" t="s">
        <v>3967</v>
      </c>
      <c r="M1322" s="46" t="s">
        <v>1309</v>
      </c>
      <c r="N1322" s="46" t="s">
        <v>1310</v>
      </c>
      <c r="O1322" s="46" t="s">
        <v>1311</v>
      </c>
      <c r="P1322" s="46" t="s">
        <v>1312</v>
      </c>
      <c r="Q1322" s="46" t="s">
        <v>31</v>
      </c>
      <c r="R1322" s="46" t="s">
        <v>31</v>
      </c>
      <c r="S1322" s="46" t="s">
        <v>31</v>
      </c>
      <c r="T1322" s="46" t="s">
        <v>31</v>
      </c>
      <c r="U1322" s="46" t="s">
        <v>49</v>
      </c>
    </row>
    <row r="1323" spans="1:21">
      <c r="A1323" s="46" t="s">
        <v>802</v>
      </c>
      <c r="B1323" s="46" t="s">
        <v>247</v>
      </c>
      <c r="C1323" s="46" t="s">
        <v>666</v>
      </c>
      <c r="D1323" s="46">
        <v>1</v>
      </c>
      <c r="E1323" s="46">
        <v>0</v>
      </c>
      <c r="F1323" s="46" t="s">
        <v>690</v>
      </c>
      <c r="G1323" s="46" t="s">
        <v>1305</v>
      </c>
      <c r="H1323" s="46" t="s">
        <v>3968</v>
      </c>
      <c r="I1323" s="46" t="str">
        <f ca="1">IFERROR(__xludf.DUMMYFUNCTION("CONCAT(A1323,REGEXREPLACE(H1323,"".*_L0"",""_L0""))"),"ILB_BN9947_MTG_snRNAseq_rep1_L003_I2_001.fastq.gz")</f>
        <v>ILB_BN9947_MTG_snRNAseq_rep1_L003_I2_001.fastq.gz</v>
      </c>
      <c r="J1323" s="46" t="str">
        <f t="shared" si="5"/>
        <v>/data/neurogen/ASAP/scRNAseq/data/batch26_ASAP_snRNA-seq_*/Raw_Data_and_Processing/cellranger_processing/cellranger_fastqs/outs/fastq_path/H*/BN9947_S4_L003_I2_001.fastq.gz</v>
      </c>
      <c r="K1323" s="46" t="s">
        <v>1338</v>
      </c>
      <c r="L1323" s="46" t="s">
        <v>3969</v>
      </c>
      <c r="M1323" s="46" t="s">
        <v>1309</v>
      </c>
      <c r="N1323" s="46" t="s">
        <v>1310</v>
      </c>
      <c r="O1323" s="46" t="s">
        <v>1311</v>
      </c>
      <c r="P1323" s="46" t="s">
        <v>1312</v>
      </c>
      <c r="Q1323" s="46" t="s">
        <v>31</v>
      </c>
      <c r="R1323" s="46" t="s">
        <v>31</v>
      </c>
      <c r="S1323" s="46" t="s">
        <v>31</v>
      </c>
      <c r="T1323" s="46" t="s">
        <v>31</v>
      </c>
      <c r="U1323" s="46" t="s">
        <v>49</v>
      </c>
    </row>
    <row r="1324" spans="1:21">
      <c r="A1324" s="46" t="s">
        <v>802</v>
      </c>
      <c r="B1324" s="46" t="s">
        <v>247</v>
      </c>
      <c r="C1324" s="46" t="s">
        <v>666</v>
      </c>
      <c r="D1324" s="46">
        <v>1</v>
      </c>
      <c r="E1324" s="46">
        <v>0</v>
      </c>
      <c r="F1324" s="46" t="s">
        <v>690</v>
      </c>
      <c r="G1324" s="46" t="s">
        <v>1305</v>
      </c>
      <c r="H1324" s="46" t="s">
        <v>3970</v>
      </c>
      <c r="I1324" s="46" t="str">
        <f ca="1">IFERROR(__xludf.DUMMYFUNCTION("CONCAT(A1324,REGEXREPLACE(H1324,"".*_L0"",""_L0""))"),"ILB_BN9947_MTG_snRNAseq_rep1_L003_R1_001.fastq.gz")</f>
        <v>ILB_BN9947_MTG_snRNAseq_rep1_L003_R1_001.fastq.gz</v>
      </c>
      <c r="J1324" s="46" t="str">
        <f t="shared" si="5"/>
        <v>/data/neurogen/ASAP/scRNAseq/data/batch26_ASAP_snRNA-seq_*/Raw_Data_and_Processing/cellranger_processing/cellranger_fastqs/outs/fastq_path/H*/BN9947_S4_L003_R1_001.fastq.gz</v>
      </c>
      <c r="K1324" s="46" t="s">
        <v>1341</v>
      </c>
      <c r="L1324" s="46" t="s">
        <v>3971</v>
      </c>
      <c r="M1324" s="46" t="s">
        <v>1309</v>
      </c>
      <c r="N1324" s="46" t="s">
        <v>1310</v>
      </c>
      <c r="O1324" s="46" t="s">
        <v>1311</v>
      </c>
      <c r="P1324" s="46" t="s">
        <v>1312</v>
      </c>
      <c r="Q1324" s="46" t="s">
        <v>31</v>
      </c>
      <c r="R1324" s="46" t="s">
        <v>31</v>
      </c>
      <c r="S1324" s="46" t="s">
        <v>31</v>
      </c>
      <c r="T1324" s="46" t="s">
        <v>31</v>
      </c>
      <c r="U1324" s="46" t="s">
        <v>49</v>
      </c>
    </row>
    <row r="1325" spans="1:21">
      <c r="A1325" s="46" t="s">
        <v>802</v>
      </c>
      <c r="B1325" s="46" t="s">
        <v>247</v>
      </c>
      <c r="C1325" s="46" t="s">
        <v>666</v>
      </c>
      <c r="D1325" s="46">
        <v>1</v>
      </c>
      <c r="E1325" s="46">
        <v>0</v>
      </c>
      <c r="F1325" s="46" t="s">
        <v>690</v>
      </c>
      <c r="G1325" s="46" t="s">
        <v>1305</v>
      </c>
      <c r="H1325" s="46" t="s">
        <v>3972</v>
      </c>
      <c r="I1325" s="46" t="str">
        <f ca="1">IFERROR(__xludf.DUMMYFUNCTION("CONCAT(A1325,REGEXREPLACE(H1325,"".*_L0"",""_L0""))"),"ILB_BN9947_MTG_snRNAseq_rep1_L003_R2_001.fastq.gz")</f>
        <v>ILB_BN9947_MTG_snRNAseq_rep1_L003_R2_001.fastq.gz</v>
      </c>
      <c r="J1325" s="46" t="str">
        <f t="shared" si="5"/>
        <v>/data/neurogen/ASAP/scRNAseq/data/batch26_ASAP_snRNA-seq_*/Raw_Data_and_Processing/cellranger_processing/cellranger_fastqs/outs/fastq_path/H*/BN9947_S4_L003_R2_001.fastq.gz</v>
      </c>
      <c r="K1325" s="46" t="s">
        <v>1344</v>
      </c>
      <c r="L1325" s="46" t="s">
        <v>3973</v>
      </c>
      <c r="M1325" s="46" t="s">
        <v>1309</v>
      </c>
      <c r="N1325" s="46" t="s">
        <v>1310</v>
      </c>
      <c r="O1325" s="46" t="s">
        <v>1311</v>
      </c>
      <c r="P1325" s="46" t="s">
        <v>1312</v>
      </c>
      <c r="Q1325" s="46" t="s">
        <v>31</v>
      </c>
      <c r="R1325" s="46" t="s">
        <v>31</v>
      </c>
      <c r="S1325" s="46" t="s">
        <v>31</v>
      </c>
      <c r="T1325" s="46" t="s">
        <v>31</v>
      </c>
      <c r="U1325" s="46" t="s">
        <v>49</v>
      </c>
    </row>
    <row r="1326" spans="1:21">
      <c r="A1326" s="46" t="s">
        <v>802</v>
      </c>
      <c r="B1326" s="46" t="s">
        <v>247</v>
      </c>
      <c r="C1326" s="46" t="s">
        <v>666</v>
      </c>
      <c r="D1326" s="46">
        <v>1</v>
      </c>
      <c r="E1326" s="46">
        <v>0</v>
      </c>
      <c r="F1326" s="46" t="s">
        <v>690</v>
      </c>
      <c r="G1326" s="46" t="s">
        <v>1305</v>
      </c>
      <c r="H1326" s="46" t="s">
        <v>3974</v>
      </c>
      <c r="I1326" s="46" t="str">
        <f ca="1">IFERROR(__xludf.DUMMYFUNCTION("CONCAT(A1326,REGEXREPLACE(H1326,"".*_L0"",""_L0""))"),"ILB_BN9947_MTG_snRNAseq_rep1_L004_I1_001.fastq.gz")</f>
        <v>ILB_BN9947_MTG_snRNAseq_rep1_L004_I1_001.fastq.gz</v>
      </c>
      <c r="J1326" s="46" t="str">
        <f t="shared" si="5"/>
        <v>/data/neurogen/ASAP/scRNAseq/data/batch26_ASAP_snRNA-seq_*/Raw_Data_and_Processing/cellranger_processing/cellranger_fastqs/outs/fastq_path/H*/BN9947_S4_L004_I1_001.fastq.gz</v>
      </c>
      <c r="K1326" s="46" t="s">
        <v>1347</v>
      </c>
      <c r="L1326" s="46" t="s">
        <v>3975</v>
      </c>
      <c r="M1326" s="46" t="s">
        <v>1309</v>
      </c>
      <c r="N1326" s="46" t="s">
        <v>1310</v>
      </c>
      <c r="O1326" s="46" t="s">
        <v>1311</v>
      </c>
      <c r="P1326" s="46" t="s">
        <v>1312</v>
      </c>
      <c r="Q1326" s="46" t="s">
        <v>31</v>
      </c>
      <c r="R1326" s="46" t="s">
        <v>31</v>
      </c>
      <c r="S1326" s="46" t="s">
        <v>31</v>
      </c>
      <c r="T1326" s="46" t="s">
        <v>31</v>
      </c>
      <c r="U1326" s="46" t="s">
        <v>49</v>
      </c>
    </row>
    <row r="1327" spans="1:21">
      <c r="A1327" s="46" t="s">
        <v>802</v>
      </c>
      <c r="B1327" s="46" t="s">
        <v>247</v>
      </c>
      <c r="C1327" s="46" t="s">
        <v>666</v>
      </c>
      <c r="D1327" s="46">
        <v>1</v>
      </c>
      <c r="E1327" s="46">
        <v>0</v>
      </c>
      <c r="F1327" s="46" t="s">
        <v>690</v>
      </c>
      <c r="G1327" s="46" t="s">
        <v>1305</v>
      </c>
      <c r="H1327" s="46" t="s">
        <v>3976</v>
      </c>
      <c r="I1327" s="46" t="str">
        <f ca="1">IFERROR(__xludf.DUMMYFUNCTION("CONCAT(A1327,REGEXREPLACE(H1327,"".*_L0"",""_L0""))"),"ILB_BN9947_MTG_snRNAseq_rep1_L004_I2_001.fastq.gz")</f>
        <v>ILB_BN9947_MTG_snRNAseq_rep1_L004_I2_001.fastq.gz</v>
      </c>
      <c r="J1327" s="46" t="str">
        <f t="shared" si="5"/>
        <v>/data/neurogen/ASAP/scRNAseq/data/batch26_ASAP_snRNA-seq_*/Raw_Data_and_Processing/cellranger_processing/cellranger_fastqs/outs/fastq_path/H*/BN9947_S4_L004_I2_001.fastq.gz</v>
      </c>
      <c r="K1327" s="46" t="s">
        <v>1350</v>
      </c>
      <c r="L1327" s="46" t="s">
        <v>3977</v>
      </c>
      <c r="M1327" s="46" t="s">
        <v>1309</v>
      </c>
      <c r="N1327" s="46" t="s">
        <v>1310</v>
      </c>
      <c r="O1327" s="46" t="s">
        <v>1311</v>
      </c>
      <c r="P1327" s="46" t="s">
        <v>1312</v>
      </c>
      <c r="Q1327" s="46" t="s">
        <v>31</v>
      </c>
      <c r="R1327" s="46" t="s">
        <v>31</v>
      </c>
      <c r="S1327" s="46" t="s">
        <v>31</v>
      </c>
      <c r="T1327" s="46" t="s">
        <v>31</v>
      </c>
      <c r="U1327" s="46" t="s">
        <v>49</v>
      </c>
    </row>
    <row r="1328" spans="1:21">
      <c r="A1328" s="46" t="s">
        <v>802</v>
      </c>
      <c r="B1328" s="46" t="s">
        <v>247</v>
      </c>
      <c r="C1328" s="46" t="s">
        <v>666</v>
      </c>
      <c r="D1328" s="46">
        <v>1</v>
      </c>
      <c r="E1328" s="46">
        <v>0</v>
      </c>
      <c r="F1328" s="46" t="s">
        <v>690</v>
      </c>
      <c r="G1328" s="46" t="s">
        <v>1305</v>
      </c>
      <c r="H1328" s="46" t="s">
        <v>3978</v>
      </c>
      <c r="I1328" s="46" t="str">
        <f ca="1">IFERROR(__xludf.DUMMYFUNCTION("CONCAT(A1328,REGEXREPLACE(H1328,"".*_L0"",""_L0""))"),"ILB_BN9947_MTG_snRNAseq_rep1_L004_R1_001.fastq.gz")</f>
        <v>ILB_BN9947_MTG_snRNAseq_rep1_L004_R1_001.fastq.gz</v>
      </c>
      <c r="J1328" s="46" t="str">
        <f t="shared" si="5"/>
        <v>/data/neurogen/ASAP/scRNAseq/data/batch26_ASAP_snRNA-seq_*/Raw_Data_and_Processing/cellranger_processing/cellranger_fastqs/outs/fastq_path/H*/BN9947_S4_L004_R1_001.fastq.gz</v>
      </c>
      <c r="K1328" s="46" t="s">
        <v>1353</v>
      </c>
      <c r="L1328" s="46" t="s">
        <v>3979</v>
      </c>
      <c r="M1328" s="46" t="s">
        <v>1309</v>
      </c>
      <c r="N1328" s="46" t="s">
        <v>1310</v>
      </c>
      <c r="O1328" s="46" t="s">
        <v>1311</v>
      </c>
      <c r="P1328" s="46" t="s">
        <v>1312</v>
      </c>
      <c r="Q1328" s="46" t="s">
        <v>31</v>
      </c>
      <c r="R1328" s="46" t="s">
        <v>31</v>
      </c>
      <c r="S1328" s="46" t="s">
        <v>31</v>
      </c>
      <c r="T1328" s="46" t="s">
        <v>31</v>
      </c>
      <c r="U1328" s="46" t="s">
        <v>49</v>
      </c>
    </row>
    <row r="1329" spans="1:21">
      <c r="A1329" s="46" t="s">
        <v>802</v>
      </c>
      <c r="B1329" s="46" t="s">
        <v>247</v>
      </c>
      <c r="C1329" s="46" t="s">
        <v>666</v>
      </c>
      <c r="D1329" s="46">
        <v>1</v>
      </c>
      <c r="E1329" s="46">
        <v>0</v>
      </c>
      <c r="F1329" s="46" t="s">
        <v>690</v>
      </c>
      <c r="G1329" s="46" t="s">
        <v>1305</v>
      </c>
      <c r="H1329" s="46" t="s">
        <v>3980</v>
      </c>
      <c r="I1329" s="46" t="str">
        <f ca="1">IFERROR(__xludf.DUMMYFUNCTION("CONCAT(A1329,REGEXREPLACE(H1329,"".*_L0"",""_L0""))"),"ILB_BN9947_MTG_snRNAseq_rep1_L004_R2_001.fastq.gz")</f>
        <v>ILB_BN9947_MTG_snRNAseq_rep1_L004_R2_001.fastq.gz</v>
      </c>
      <c r="J1329" s="46" t="str">
        <f t="shared" si="5"/>
        <v>/data/neurogen/ASAP/scRNAseq/data/batch26_ASAP_snRNA-seq_*/Raw_Data_and_Processing/cellranger_processing/cellranger_fastqs/outs/fastq_path/H*/BN9947_S4_L004_R2_001.fastq.gz</v>
      </c>
      <c r="K1329" s="46" t="s">
        <v>1356</v>
      </c>
      <c r="L1329" s="46" t="s">
        <v>3981</v>
      </c>
      <c r="M1329" s="46" t="s">
        <v>1309</v>
      </c>
      <c r="N1329" s="46" t="s">
        <v>1310</v>
      </c>
      <c r="O1329" s="46" t="s">
        <v>1311</v>
      </c>
      <c r="P1329" s="46" t="s">
        <v>1312</v>
      </c>
      <c r="Q1329" s="46" t="s">
        <v>31</v>
      </c>
      <c r="R1329" s="46" t="s">
        <v>31</v>
      </c>
      <c r="S1329" s="46" t="s">
        <v>31</v>
      </c>
      <c r="T1329" s="46" t="s">
        <v>31</v>
      </c>
      <c r="U1329" s="46" t="s">
        <v>49</v>
      </c>
    </row>
    <row r="1330" spans="1:21">
      <c r="A1330" s="46" t="s">
        <v>707</v>
      </c>
      <c r="B1330" s="46" t="s">
        <v>106</v>
      </c>
      <c r="C1330" s="46" t="s">
        <v>666</v>
      </c>
      <c r="D1330" s="46">
        <v>1</v>
      </c>
      <c r="E1330" s="46">
        <v>0</v>
      </c>
      <c r="F1330" s="46" t="s">
        <v>708</v>
      </c>
      <c r="G1330" s="46" t="s">
        <v>1305</v>
      </c>
      <c r="H1330" s="46" t="s">
        <v>3982</v>
      </c>
      <c r="I1330" s="46" t="str">
        <f ca="1">IFERROR(__xludf.DUMMYFUNCTION("CONCAT(A1330,REGEXREPLACE(H1330,"".*_L0"",""_L0""))"),"HC_BN0855_MTG_snRNAseq_rep1_L001_I1_001.fastq.gz")</f>
        <v>HC_BN0855_MTG_snRNAseq_rep1_L001_I1_001.fastq.gz</v>
      </c>
      <c r="J1330" s="46" t="str">
        <f t="shared" si="5"/>
        <v>/data/neurogen/ASAP/scRNAseq/data/batch27_ASAP_snRNA-seq_*/Raw_Data_and_Processing/cellranger_processing/cellranger_fastqs/outs/fastq_path/H*/BN0855_S1_L001_I1_001.fastq.gz</v>
      </c>
      <c r="K1330" s="46" t="s">
        <v>1307</v>
      </c>
      <c r="L1330" s="46" t="s">
        <v>3983</v>
      </c>
      <c r="M1330" s="46" t="s">
        <v>1309</v>
      </c>
      <c r="N1330" s="46" t="s">
        <v>1310</v>
      </c>
      <c r="O1330" s="46" t="s">
        <v>1311</v>
      </c>
      <c r="P1330" s="46" t="s">
        <v>1312</v>
      </c>
      <c r="Q1330" s="46" t="s">
        <v>31</v>
      </c>
      <c r="R1330" s="46" t="s">
        <v>31</v>
      </c>
      <c r="S1330" s="46" t="s">
        <v>31</v>
      </c>
      <c r="T1330" s="46" t="s">
        <v>31</v>
      </c>
      <c r="U1330" s="46" t="s">
        <v>49</v>
      </c>
    </row>
    <row r="1331" spans="1:21">
      <c r="A1331" s="46" t="s">
        <v>707</v>
      </c>
      <c r="B1331" s="46" t="s">
        <v>106</v>
      </c>
      <c r="C1331" s="46" t="s">
        <v>666</v>
      </c>
      <c r="D1331" s="46">
        <v>1</v>
      </c>
      <c r="E1331" s="46">
        <v>0</v>
      </c>
      <c r="F1331" s="46" t="s">
        <v>708</v>
      </c>
      <c r="G1331" s="46" t="s">
        <v>1305</v>
      </c>
      <c r="H1331" s="46" t="s">
        <v>3984</v>
      </c>
      <c r="I1331" s="46" t="str">
        <f ca="1">IFERROR(__xludf.DUMMYFUNCTION("CONCAT(A1331,REGEXREPLACE(H1331,"".*_L0"",""_L0""))"),"HC_BN0855_MTG_snRNAseq_rep1_L001_I2_001.fastq.gz")</f>
        <v>HC_BN0855_MTG_snRNAseq_rep1_L001_I2_001.fastq.gz</v>
      </c>
      <c r="J1331" s="46" t="str">
        <f t="shared" si="5"/>
        <v>/data/neurogen/ASAP/scRNAseq/data/batch27_ASAP_snRNA-seq_*/Raw_Data_and_Processing/cellranger_processing/cellranger_fastqs/outs/fastq_path/H*/BN0855_S1_L001_I2_001.fastq.gz</v>
      </c>
      <c r="K1331" s="46" t="s">
        <v>1314</v>
      </c>
      <c r="L1331" s="46" t="s">
        <v>3985</v>
      </c>
      <c r="M1331" s="46" t="s">
        <v>1309</v>
      </c>
      <c r="N1331" s="46" t="s">
        <v>1310</v>
      </c>
      <c r="O1331" s="46" t="s">
        <v>1311</v>
      </c>
      <c r="P1331" s="46" t="s">
        <v>1312</v>
      </c>
      <c r="Q1331" s="46" t="s">
        <v>31</v>
      </c>
      <c r="R1331" s="46" t="s">
        <v>31</v>
      </c>
      <c r="S1331" s="46" t="s">
        <v>31</v>
      </c>
      <c r="T1331" s="46" t="s">
        <v>31</v>
      </c>
      <c r="U1331" s="46" t="s">
        <v>49</v>
      </c>
    </row>
    <row r="1332" spans="1:21">
      <c r="A1332" s="46" t="s">
        <v>707</v>
      </c>
      <c r="B1332" s="46" t="s">
        <v>106</v>
      </c>
      <c r="C1332" s="46" t="s">
        <v>666</v>
      </c>
      <c r="D1332" s="46">
        <v>1</v>
      </c>
      <c r="E1332" s="46">
        <v>0</v>
      </c>
      <c r="F1332" s="46" t="s">
        <v>708</v>
      </c>
      <c r="G1332" s="46" t="s">
        <v>1305</v>
      </c>
      <c r="H1332" s="46" t="s">
        <v>3986</v>
      </c>
      <c r="I1332" s="46" t="str">
        <f ca="1">IFERROR(__xludf.DUMMYFUNCTION("CONCAT(A1332,REGEXREPLACE(H1332,"".*_L0"",""_L0""))"),"HC_BN0855_MTG_snRNAseq_rep1_L001_R1_001.fastq.gz")</f>
        <v>HC_BN0855_MTG_snRNAseq_rep1_L001_R1_001.fastq.gz</v>
      </c>
      <c r="J1332" s="46" t="str">
        <f t="shared" si="5"/>
        <v>/data/neurogen/ASAP/scRNAseq/data/batch27_ASAP_snRNA-seq_*/Raw_Data_and_Processing/cellranger_processing/cellranger_fastqs/outs/fastq_path/H*/BN0855_S1_L001_R1_001.fastq.gz</v>
      </c>
      <c r="K1332" s="46" t="s">
        <v>1317</v>
      </c>
      <c r="L1332" s="46" t="s">
        <v>3987</v>
      </c>
      <c r="M1332" s="46" t="s">
        <v>1309</v>
      </c>
      <c r="N1332" s="46" t="s">
        <v>1310</v>
      </c>
      <c r="O1332" s="46" t="s">
        <v>1311</v>
      </c>
      <c r="P1332" s="46" t="s">
        <v>1312</v>
      </c>
      <c r="Q1332" s="46" t="s">
        <v>31</v>
      </c>
      <c r="R1332" s="46" t="s">
        <v>31</v>
      </c>
      <c r="S1332" s="46" t="s">
        <v>31</v>
      </c>
      <c r="T1332" s="46" t="s">
        <v>31</v>
      </c>
      <c r="U1332" s="46" t="s">
        <v>49</v>
      </c>
    </row>
    <row r="1333" spans="1:21">
      <c r="A1333" s="46" t="s">
        <v>707</v>
      </c>
      <c r="B1333" s="46" t="s">
        <v>106</v>
      </c>
      <c r="C1333" s="46" t="s">
        <v>666</v>
      </c>
      <c r="D1333" s="46">
        <v>1</v>
      </c>
      <c r="E1333" s="46">
        <v>0</v>
      </c>
      <c r="F1333" s="46" t="s">
        <v>708</v>
      </c>
      <c r="G1333" s="46" t="s">
        <v>1305</v>
      </c>
      <c r="H1333" s="46" t="s">
        <v>3988</v>
      </c>
      <c r="I1333" s="46" t="str">
        <f ca="1">IFERROR(__xludf.DUMMYFUNCTION("CONCAT(A1333,REGEXREPLACE(H1333,"".*_L0"",""_L0""))"),"HC_BN0855_MTG_snRNAseq_rep1_L001_R2_001.fastq.gz")</f>
        <v>HC_BN0855_MTG_snRNAseq_rep1_L001_R2_001.fastq.gz</v>
      </c>
      <c r="J1333" s="46" t="str">
        <f t="shared" si="5"/>
        <v>/data/neurogen/ASAP/scRNAseq/data/batch27_ASAP_snRNA-seq_*/Raw_Data_and_Processing/cellranger_processing/cellranger_fastqs/outs/fastq_path/H*/BN0855_S1_L001_R2_001.fastq.gz</v>
      </c>
      <c r="K1333" s="46" t="s">
        <v>1320</v>
      </c>
      <c r="L1333" s="46" t="s">
        <v>3989</v>
      </c>
      <c r="M1333" s="46" t="s">
        <v>1309</v>
      </c>
      <c r="N1333" s="46" t="s">
        <v>1310</v>
      </c>
      <c r="O1333" s="46" t="s">
        <v>1311</v>
      </c>
      <c r="P1333" s="46" t="s">
        <v>1312</v>
      </c>
      <c r="Q1333" s="46" t="s">
        <v>31</v>
      </c>
      <c r="R1333" s="46" t="s">
        <v>31</v>
      </c>
      <c r="S1333" s="46" t="s">
        <v>31</v>
      </c>
      <c r="T1333" s="46" t="s">
        <v>31</v>
      </c>
      <c r="U1333" s="46" t="s">
        <v>49</v>
      </c>
    </row>
    <row r="1334" spans="1:21">
      <c r="A1334" s="46" t="s">
        <v>707</v>
      </c>
      <c r="B1334" s="46" t="s">
        <v>106</v>
      </c>
      <c r="C1334" s="46" t="s">
        <v>666</v>
      </c>
      <c r="D1334" s="46">
        <v>1</v>
      </c>
      <c r="E1334" s="46">
        <v>0</v>
      </c>
      <c r="F1334" s="46" t="s">
        <v>708</v>
      </c>
      <c r="G1334" s="46" t="s">
        <v>1305</v>
      </c>
      <c r="H1334" s="46" t="s">
        <v>3990</v>
      </c>
      <c r="I1334" s="46" t="str">
        <f ca="1">IFERROR(__xludf.DUMMYFUNCTION("CONCAT(A1334,REGEXREPLACE(H1334,"".*_L0"",""_L0""))"),"HC_BN0855_MTG_snRNAseq_rep1_L002_I1_001.fastq.gz")</f>
        <v>HC_BN0855_MTG_snRNAseq_rep1_L002_I1_001.fastq.gz</v>
      </c>
      <c r="J1334" s="46" t="str">
        <f t="shared" si="5"/>
        <v>/data/neurogen/ASAP/scRNAseq/data/batch27_ASAP_snRNA-seq_*/Raw_Data_and_Processing/cellranger_processing/cellranger_fastqs/outs/fastq_path/H*/BN0855_S1_L002_I1_001.fastq.gz</v>
      </c>
      <c r="K1334" s="46" t="s">
        <v>1323</v>
      </c>
      <c r="L1334" s="46" t="s">
        <v>3991</v>
      </c>
      <c r="M1334" s="46" t="s">
        <v>1309</v>
      </c>
      <c r="N1334" s="46" t="s">
        <v>1310</v>
      </c>
      <c r="O1334" s="46" t="s">
        <v>1311</v>
      </c>
      <c r="P1334" s="46" t="s">
        <v>1312</v>
      </c>
      <c r="Q1334" s="46" t="s">
        <v>31</v>
      </c>
      <c r="R1334" s="46" t="s">
        <v>31</v>
      </c>
      <c r="S1334" s="46" t="s">
        <v>31</v>
      </c>
      <c r="T1334" s="46" t="s">
        <v>31</v>
      </c>
      <c r="U1334" s="46" t="s">
        <v>49</v>
      </c>
    </row>
    <row r="1335" spans="1:21">
      <c r="A1335" s="46" t="s">
        <v>707</v>
      </c>
      <c r="B1335" s="46" t="s">
        <v>106</v>
      </c>
      <c r="C1335" s="46" t="s">
        <v>666</v>
      </c>
      <c r="D1335" s="46">
        <v>1</v>
      </c>
      <c r="E1335" s="46">
        <v>0</v>
      </c>
      <c r="F1335" s="46" t="s">
        <v>708</v>
      </c>
      <c r="G1335" s="46" t="s">
        <v>1305</v>
      </c>
      <c r="H1335" s="46" t="s">
        <v>3992</v>
      </c>
      <c r="I1335" s="46" t="str">
        <f ca="1">IFERROR(__xludf.DUMMYFUNCTION("CONCAT(A1335,REGEXREPLACE(H1335,"".*_L0"",""_L0""))"),"HC_BN0855_MTG_snRNAseq_rep1_L002_I2_001.fastq.gz")</f>
        <v>HC_BN0855_MTG_snRNAseq_rep1_L002_I2_001.fastq.gz</v>
      </c>
      <c r="J1335" s="46" t="str">
        <f t="shared" si="5"/>
        <v>/data/neurogen/ASAP/scRNAseq/data/batch27_ASAP_snRNA-seq_*/Raw_Data_and_Processing/cellranger_processing/cellranger_fastqs/outs/fastq_path/H*/BN0855_S1_L002_I2_001.fastq.gz</v>
      </c>
      <c r="K1335" s="46" t="s">
        <v>1326</v>
      </c>
      <c r="L1335" s="47" t="s">
        <v>3993</v>
      </c>
      <c r="M1335" s="46" t="s">
        <v>1309</v>
      </c>
      <c r="N1335" s="46" t="s">
        <v>1310</v>
      </c>
      <c r="O1335" s="46" t="s">
        <v>1311</v>
      </c>
      <c r="P1335" s="46" t="s">
        <v>1312</v>
      </c>
      <c r="Q1335" s="46" t="s">
        <v>31</v>
      </c>
      <c r="R1335" s="46" t="s">
        <v>31</v>
      </c>
      <c r="S1335" s="46" t="s">
        <v>31</v>
      </c>
      <c r="T1335" s="46" t="s">
        <v>31</v>
      </c>
      <c r="U1335" s="46" t="s">
        <v>49</v>
      </c>
    </row>
    <row r="1336" spans="1:21">
      <c r="A1336" s="46" t="s">
        <v>707</v>
      </c>
      <c r="B1336" s="46" t="s">
        <v>106</v>
      </c>
      <c r="C1336" s="46" t="s">
        <v>666</v>
      </c>
      <c r="D1336" s="46">
        <v>1</v>
      </c>
      <c r="E1336" s="46">
        <v>0</v>
      </c>
      <c r="F1336" s="46" t="s">
        <v>708</v>
      </c>
      <c r="G1336" s="46" t="s">
        <v>1305</v>
      </c>
      <c r="H1336" s="46" t="s">
        <v>3994</v>
      </c>
      <c r="I1336" s="46" t="str">
        <f ca="1">IFERROR(__xludf.DUMMYFUNCTION("CONCAT(A1336,REGEXREPLACE(H1336,"".*_L0"",""_L0""))"),"HC_BN0855_MTG_snRNAseq_rep1_L002_R1_001.fastq.gz")</f>
        <v>HC_BN0855_MTG_snRNAseq_rep1_L002_R1_001.fastq.gz</v>
      </c>
      <c r="J1336" s="46" t="str">
        <f t="shared" si="5"/>
        <v>/data/neurogen/ASAP/scRNAseq/data/batch27_ASAP_snRNA-seq_*/Raw_Data_and_Processing/cellranger_processing/cellranger_fastqs/outs/fastq_path/H*/BN0855_S1_L002_R1_001.fastq.gz</v>
      </c>
      <c r="K1336" s="46" t="s">
        <v>1329</v>
      </c>
      <c r="L1336" s="46" t="s">
        <v>3995</v>
      </c>
      <c r="M1336" s="46" t="s">
        <v>1309</v>
      </c>
      <c r="N1336" s="46" t="s">
        <v>1310</v>
      </c>
      <c r="O1336" s="46" t="s">
        <v>1311</v>
      </c>
      <c r="P1336" s="46" t="s">
        <v>1312</v>
      </c>
      <c r="Q1336" s="46" t="s">
        <v>31</v>
      </c>
      <c r="R1336" s="46" t="s">
        <v>31</v>
      </c>
      <c r="S1336" s="46" t="s">
        <v>31</v>
      </c>
      <c r="T1336" s="46" t="s">
        <v>31</v>
      </c>
      <c r="U1336" s="46" t="s">
        <v>49</v>
      </c>
    </row>
    <row r="1337" spans="1:21">
      <c r="A1337" s="46" t="s">
        <v>707</v>
      </c>
      <c r="B1337" s="46" t="s">
        <v>106</v>
      </c>
      <c r="C1337" s="46" t="s">
        <v>666</v>
      </c>
      <c r="D1337" s="46">
        <v>1</v>
      </c>
      <c r="E1337" s="46">
        <v>0</v>
      </c>
      <c r="F1337" s="46" t="s">
        <v>708</v>
      </c>
      <c r="G1337" s="46" t="s">
        <v>1305</v>
      </c>
      <c r="H1337" s="46" t="s">
        <v>3996</v>
      </c>
      <c r="I1337" s="46" t="str">
        <f ca="1">IFERROR(__xludf.DUMMYFUNCTION("CONCAT(A1337,REGEXREPLACE(H1337,"".*_L0"",""_L0""))"),"HC_BN0855_MTG_snRNAseq_rep1_L002_R2_001.fastq.gz")</f>
        <v>HC_BN0855_MTG_snRNAseq_rep1_L002_R2_001.fastq.gz</v>
      </c>
      <c r="J1337" s="46" t="str">
        <f t="shared" si="5"/>
        <v>/data/neurogen/ASAP/scRNAseq/data/batch27_ASAP_snRNA-seq_*/Raw_Data_and_Processing/cellranger_processing/cellranger_fastqs/outs/fastq_path/H*/BN0855_S1_L002_R2_001.fastq.gz</v>
      </c>
      <c r="K1337" s="46" t="s">
        <v>1332</v>
      </c>
      <c r="L1337" s="46" t="s">
        <v>3997</v>
      </c>
      <c r="M1337" s="46" t="s">
        <v>1309</v>
      </c>
      <c r="N1337" s="46" t="s">
        <v>1310</v>
      </c>
      <c r="O1337" s="46" t="s">
        <v>1311</v>
      </c>
      <c r="P1337" s="46" t="s">
        <v>1312</v>
      </c>
      <c r="Q1337" s="46" t="s">
        <v>31</v>
      </c>
      <c r="R1337" s="46" t="s">
        <v>31</v>
      </c>
      <c r="S1337" s="46" t="s">
        <v>31</v>
      </c>
      <c r="T1337" s="46" t="s">
        <v>31</v>
      </c>
      <c r="U1337" s="46" t="s">
        <v>49</v>
      </c>
    </row>
    <row r="1338" spans="1:21">
      <c r="A1338" s="46" t="s">
        <v>707</v>
      </c>
      <c r="B1338" s="46" t="s">
        <v>106</v>
      </c>
      <c r="C1338" s="46" t="s">
        <v>666</v>
      </c>
      <c r="D1338" s="46">
        <v>1</v>
      </c>
      <c r="E1338" s="46">
        <v>0</v>
      </c>
      <c r="F1338" s="46" t="s">
        <v>708</v>
      </c>
      <c r="G1338" s="46" t="s">
        <v>1305</v>
      </c>
      <c r="H1338" s="46" t="s">
        <v>3998</v>
      </c>
      <c r="I1338" s="46" t="str">
        <f ca="1">IFERROR(__xludf.DUMMYFUNCTION("CONCAT(A1338,REGEXREPLACE(H1338,"".*_L0"",""_L0""))"),"HC_BN0855_MTG_snRNAseq_rep1_L003_I1_001.fastq.gz")</f>
        <v>HC_BN0855_MTG_snRNAseq_rep1_L003_I1_001.fastq.gz</v>
      </c>
      <c r="J1338" s="46" t="str">
        <f t="shared" si="5"/>
        <v>/data/neurogen/ASAP/scRNAseq/data/batch27_ASAP_snRNA-seq_*/Raw_Data_and_Processing/cellranger_processing/cellranger_fastqs/outs/fastq_path/H*/BN0855_S1_L003_I1_001.fastq.gz</v>
      </c>
      <c r="K1338" s="46" t="s">
        <v>1335</v>
      </c>
      <c r="L1338" s="46" t="s">
        <v>3999</v>
      </c>
      <c r="M1338" s="46" t="s">
        <v>1309</v>
      </c>
      <c r="N1338" s="46" t="s">
        <v>1310</v>
      </c>
      <c r="O1338" s="46" t="s">
        <v>1311</v>
      </c>
      <c r="P1338" s="46" t="s">
        <v>1312</v>
      </c>
      <c r="Q1338" s="46" t="s">
        <v>31</v>
      </c>
      <c r="R1338" s="46" t="s">
        <v>31</v>
      </c>
      <c r="S1338" s="46" t="s">
        <v>31</v>
      </c>
      <c r="T1338" s="46" t="s">
        <v>31</v>
      </c>
      <c r="U1338" s="46" t="s">
        <v>49</v>
      </c>
    </row>
    <row r="1339" spans="1:21">
      <c r="A1339" s="46" t="s">
        <v>707</v>
      </c>
      <c r="B1339" s="46" t="s">
        <v>106</v>
      </c>
      <c r="C1339" s="46" t="s">
        <v>666</v>
      </c>
      <c r="D1339" s="46">
        <v>1</v>
      </c>
      <c r="E1339" s="46">
        <v>0</v>
      </c>
      <c r="F1339" s="46" t="s">
        <v>708</v>
      </c>
      <c r="G1339" s="46" t="s">
        <v>1305</v>
      </c>
      <c r="H1339" s="46" t="s">
        <v>4000</v>
      </c>
      <c r="I1339" s="46" t="str">
        <f ca="1">IFERROR(__xludf.DUMMYFUNCTION("CONCAT(A1339,REGEXREPLACE(H1339,"".*_L0"",""_L0""))"),"HC_BN0855_MTG_snRNAseq_rep1_L003_I2_001.fastq.gz")</f>
        <v>HC_BN0855_MTG_snRNAseq_rep1_L003_I2_001.fastq.gz</v>
      </c>
      <c r="J1339" s="46" t="str">
        <f t="shared" si="5"/>
        <v>/data/neurogen/ASAP/scRNAseq/data/batch27_ASAP_snRNA-seq_*/Raw_Data_and_Processing/cellranger_processing/cellranger_fastqs/outs/fastq_path/H*/BN0855_S1_L003_I2_001.fastq.gz</v>
      </c>
      <c r="K1339" s="46" t="s">
        <v>1338</v>
      </c>
      <c r="L1339" s="46" t="s">
        <v>4001</v>
      </c>
      <c r="M1339" s="46" t="s">
        <v>1309</v>
      </c>
      <c r="N1339" s="46" t="s">
        <v>1310</v>
      </c>
      <c r="O1339" s="46" t="s">
        <v>1311</v>
      </c>
      <c r="P1339" s="46" t="s">
        <v>1312</v>
      </c>
      <c r="Q1339" s="46" t="s">
        <v>31</v>
      </c>
      <c r="R1339" s="46" t="s">
        <v>31</v>
      </c>
      <c r="S1339" s="46" t="s">
        <v>31</v>
      </c>
      <c r="T1339" s="46" t="s">
        <v>31</v>
      </c>
      <c r="U1339" s="46" t="s">
        <v>49</v>
      </c>
    </row>
    <row r="1340" spans="1:21">
      <c r="A1340" s="46" t="s">
        <v>707</v>
      </c>
      <c r="B1340" s="46" t="s">
        <v>106</v>
      </c>
      <c r="C1340" s="46" t="s">
        <v>666</v>
      </c>
      <c r="D1340" s="46">
        <v>1</v>
      </c>
      <c r="E1340" s="46">
        <v>0</v>
      </c>
      <c r="F1340" s="46" t="s">
        <v>708</v>
      </c>
      <c r="G1340" s="46" t="s">
        <v>1305</v>
      </c>
      <c r="H1340" s="46" t="s">
        <v>4002</v>
      </c>
      <c r="I1340" s="46" t="str">
        <f ca="1">IFERROR(__xludf.DUMMYFUNCTION("CONCAT(A1340,REGEXREPLACE(H1340,"".*_L0"",""_L0""))"),"HC_BN0855_MTG_snRNAseq_rep1_L003_R1_001.fastq.gz")</f>
        <v>HC_BN0855_MTG_snRNAseq_rep1_L003_R1_001.fastq.gz</v>
      </c>
      <c r="J1340" s="46" t="str">
        <f t="shared" si="5"/>
        <v>/data/neurogen/ASAP/scRNAseq/data/batch27_ASAP_snRNA-seq_*/Raw_Data_and_Processing/cellranger_processing/cellranger_fastqs/outs/fastq_path/H*/BN0855_S1_L003_R1_001.fastq.gz</v>
      </c>
      <c r="K1340" s="46" t="s">
        <v>1341</v>
      </c>
      <c r="L1340" s="46" t="s">
        <v>4003</v>
      </c>
      <c r="M1340" s="46" t="s">
        <v>1309</v>
      </c>
      <c r="N1340" s="46" t="s">
        <v>1310</v>
      </c>
      <c r="O1340" s="46" t="s">
        <v>1311</v>
      </c>
      <c r="P1340" s="46" t="s">
        <v>1312</v>
      </c>
      <c r="Q1340" s="46" t="s">
        <v>31</v>
      </c>
      <c r="R1340" s="46" t="s">
        <v>31</v>
      </c>
      <c r="S1340" s="46" t="s">
        <v>31</v>
      </c>
      <c r="T1340" s="46" t="s">
        <v>31</v>
      </c>
      <c r="U1340" s="46" t="s">
        <v>49</v>
      </c>
    </row>
    <row r="1341" spans="1:21">
      <c r="A1341" s="46" t="s">
        <v>707</v>
      </c>
      <c r="B1341" s="46" t="s">
        <v>106</v>
      </c>
      <c r="C1341" s="46" t="s">
        <v>666</v>
      </c>
      <c r="D1341" s="46">
        <v>1</v>
      </c>
      <c r="E1341" s="46">
        <v>0</v>
      </c>
      <c r="F1341" s="46" t="s">
        <v>708</v>
      </c>
      <c r="G1341" s="46" t="s">
        <v>1305</v>
      </c>
      <c r="H1341" s="46" t="s">
        <v>4004</v>
      </c>
      <c r="I1341" s="46" t="str">
        <f ca="1">IFERROR(__xludf.DUMMYFUNCTION("CONCAT(A1341,REGEXREPLACE(H1341,"".*_L0"",""_L0""))"),"HC_BN0855_MTG_snRNAseq_rep1_L003_R2_001.fastq.gz")</f>
        <v>HC_BN0855_MTG_snRNAseq_rep1_L003_R2_001.fastq.gz</v>
      </c>
      <c r="J1341" s="46" t="str">
        <f t="shared" si="5"/>
        <v>/data/neurogen/ASAP/scRNAseq/data/batch27_ASAP_snRNA-seq_*/Raw_Data_and_Processing/cellranger_processing/cellranger_fastqs/outs/fastq_path/H*/BN0855_S1_L003_R2_001.fastq.gz</v>
      </c>
      <c r="K1341" s="46" t="s">
        <v>1344</v>
      </c>
      <c r="L1341" s="46" t="s">
        <v>4005</v>
      </c>
      <c r="M1341" s="46" t="s">
        <v>1309</v>
      </c>
      <c r="N1341" s="46" t="s">
        <v>1310</v>
      </c>
      <c r="O1341" s="46" t="s">
        <v>1311</v>
      </c>
      <c r="P1341" s="46" t="s">
        <v>1312</v>
      </c>
      <c r="Q1341" s="46" t="s">
        <v>31</v>
      </c>
      <c r="R1341" s="46" t="s">
        <v>31</v>
      </c>
      <c r="S1341" s="46" t="s">
        <v>31</v>
      </c>
      <c r="T1341" s="46" t="s">
        <v>31</v>
      </c>
      <c r="U1341" s="46" t="s">
        <v>49</v>
      </c>
    </row>
    <row r="1342" spans="1:21">
      <c r="A1342" s="46" t="s">
        <v>707</v>
      </c>
      <c r="B1342" s="46" t="s">
        <v>106</v>
      </c>
      <c r="C1342" s="46" t="s">
        <v>666</v>
      </c>
      <c r="D1342" s="46">
        <v>1</v>
      </c>
      <c r="E1342" s="46">
        <v>0</v>
      </c>
      <c r="F1342" s="46" t="s">
        <v>708</v>
      </c>
      <c r="G1342" s="46" t="s">
        <v>1305</v>
      </c>
      <c r="H1342" s="46" t="s">
        <v>4006</v>
      </c>
      <c r="I1342" s="46" t="str">
        <f ca="1">IFERROR(__xludf.DUMMYFUNCTION("CONCAT(A1342,REGEXREPLACE(H1342,"".*_L0"",""_L0""))"),"HC_BN0855_MTG_snRNAseq_rep1_L004_I1_001.fastq.gz")</f>
        <v>HC_BN0855_MTG_snRNAseq_rep1_L004_I1_001.fastq.gz</v>
      </c>
      <c r="J1342" s="46" t="str">
        <f t="shared" si="5"/>
        <v>/data/neurogen/ASAP/scRNAseq/data/batch27_ASAP_snRNA-seq_*/Raw_Data_and_Processing/cellranger_processing/cellranger_fastqs/outs/fastq_path/H*/BN0855_S1_L004_I1_001.fastq.gz</v>
      </c>
      <c r="K1342" s="46" t="s">
        <v>1347</v>
      </c>
      <c r="L1342" s="46" t="s">
        <v>4007</v>
      </c>
      <c r="M1342" s="46" t="s">
        <v>1309</v>
      </c>
      <c r="N1342" s="46" t="s">
        <v>1310</v>
      </c>
      <c r="O1342" s="46" t="s">
        <v>1311</v>
      </c>
      <c r="P1342" s="46" t="s">
        <v>1312</v>
      </c>
      <c r="Q1342" s="46" t="s">
        <v>31</v>
      </c>
      <c r="R1342" s="46" t="s">
        <v>31</v>
      </c>
      <c r="S1342" s="46" t="s">
        <v>31</v>
      </c>
      <c r="T1342" s="46" t="s">
        <v>31</v>
      </c>
      <c r="U1342" s="46" t="s">
        <v>49</v>
      </c>
    </row>
    <row r="1343" spans="1:21">
      <c r="A1343" s="46" t="s">
        <v>707</v>
      </c>
      <c r="B1343" s="46" t="s">
        <v>106</v>
      </c>
      <c r="C1343" s="46" t="s">
        <v>666</v>
      </c>
      <c r="D1343" s="46">
        <v>1</v>
      </c>
      <c r="E1343" s="46">
        <v>0</v>
      </c>
      <c r="F1343" s="46" t="s">
        <v>708</v>
      </c>
      <c r="G1343" s="46" t="s">
        <v>1305</v>
      </c>
      <c r="H1343" s="46" t="s">
        <v>4008</v>
      </c>
      <c r="I1343" s="46" t="str">
        <f ca="1">IFERROR(__xludf.DUMMYFUNCTION("CONCAT(A1343,REGEXREPLACE(H1343,"".*_L0"",""_L0""))"),"HC_BN0855_MTG_snRNAseq_rep1_L004_I2_001.fastq.gz")</f>
        <v>HC_BN0855_MTG_snRNAseq_rep1_L004_I2_001.fastq.gz</v>
      </c>
      <c r="J1343" s="46" t="str">
        <f t="shared" si="5"/>
        <v>/data/neurogen/ASAP/scRNAseq/data/batch27_ASAP_snRNA-seq_*/Raw_Data_and_Processing/cellranger_processing/cellranger_fastqs/outs/fastq_path/H*/BN0855_S1_L004_I2_001.fastq.gz</v>
      </c>
      <c r="K1343" s="46" t="s">
        <v>1350</v>
      </c>
      <c r="L1343" s="46" t="s">
        <v>4009</v>
      </c>
      <c r="M1343" s="46" t="s">
        <v>1309</v>
      </c>
      <c r="N1343" s="46" t="s">
        <v>1310</v>
      </c>
      <c r="O1343" s="46" t="s">
        <v>1311</v>
      </c>
      <c r="P1343" s="46" t="s">
        <v>1312</v>
      </c>
      <c r="Q1343" s="46" t="s">
        <v>31</v>
      </c>
      <c r="R1343" s="46" t="s">
        <v>31</v>
      </c>
      <c r="S1343" s="46" t="s">
        <v>31</v>
      </c>
      <c r="T1343" s="46" t="s">
        <v>31</v>
      </c>
      <c r="U1343" s="46" t="s">
        <v>49</v>
      </c>
    </row>
    <row r="1344" spans="1:21">
      <c r="A1344" s="46" t="s">
        <v>707</v>
      </c>
      <c r="B1344" s="46" t="s">
        <v>106</v>
      </c>
      <c r="C1344" s="46" t="s">
        <v>666</v>
      </c>
      <c r="D1344" s="46">
        <v>1</v>
      </c>
      <c r="E1344" s="46">
        <v>0</v>
      </c>
      <c r="F1344" s="46" t="s">
        <v>708</v>
      </c>
      <c r="G1344" s="46" t="s">
        <v>1305</v>
      </c>
      <c r="H1344" s="46" t="s">
        <v>4010</v>
      </c>
      <c r="I1344" s="46" t="str">
        <f ca="1">IFERROR(__xludf.DUMMYFUNCTION("CONCAT(A1344,REGEXREPLACE(H1344,"".*_L0"",""_L0""))"),"HC_BN0855_MTG_snRNAseq_rep1_L004_R1_001.fastq.gz")</f>
        <v>HC_BN0855_MTG_snRNAseq_rep1_L004_R1_001.fastq.gz</v>
      </c>
      <c r="J1344" s="46" t="str">
        <f t="shared" si="5"/>
        <v>/data/neurogen/ASAP/scRNAseq/data/batch27_ASAP_snRNA-seq_*/Raw_Data_and_Processing/cellranger_processing/cellranger_fastqs/outs/fastq_path/H*/BN0855_S1_L004_R1_001.fastq.gz</v>
      </c>
      <c r="K1344" s="46" t="s">
        <v>1353</v>
      </c>
      <c r="L1344" s="46" t="s">
        <v>4011</v>
      </c>
      <c r="M1344" s="46" t="s">
        <v>1309</v>
      </c>
      <c r="N1344" s="46" t="s">
        <v>1310</v>
      </c>
      <c r="O1344" s="46" t="s">
        <v>1311</v>
      </c>
      <c r="P1344" s="46" t="s">
        <v>1312</v>
      </c>
      <c r="Q1344" s="46" t="s">
        <v>31</v>
      </c>
      <c r="R1344" s="46" t="s">
        <v>31</v>
      </c>
      <c r="S1344" s="46" t="s">
        <v>31</v>
      </c>
      <c r="T1344" s="46" t="s">
        <v>31</v>
      </c>
      <c r="U1344" s="46" t="s">
        <v>49</v>
      </c>
    </row>
    <row r="1345" spans="1:21">
      <c r="A1345" s="46" t="s">
        <v>707</v>
      </c>
      <c r="B1345" s="46" t="s">
        <v>106</v>
      </c>
      <c r="C1345" s="46" t="s">
        <v>666</v>
      </c>
      <c r="D1345" s="46">
        <v>1</v>
      </c>
      <c r="E1345" s="46">
        <v>0</v>
      </c>
      <c r="F1345" s="46" t="s">
        <v>708</v>
      </c>
      <c r="G1345" s="46" t="s">
        <v>1305</v>
      </c>
      <c r="H1345" s="46" t="s">
        <v>4012</v>
      </c>
      <c r="I1345" s="46" t="str">
        <f ca="1">IFERROR(__xludf.DUMMYFUNCTION("CONCAT(A1345,REGEXREPLACE(H1345,"".*_L0"",""_L0""))"),"HC_BN0855_MTG_snRNAseq_rep1_L004_R2_001.fastq.gz")</f>
        <v>HC_BN0855_MTG_snRNAseq_rep1_L004_R2_001.fastq.gz</v>
      </c>
      <c r="J1345" s="46" t="str">
        <f t="shared" si="5"/>
        <v>/data/neurogen/ASAP/scRNAseq/data/batch27_ASAP_snRNA-seq_*/Raw_Data_and_Processing/cellranger_processing/cellranger_fastqs/outs/fastq_path/H*/BN0855_S1_L004_R2_001.fastq.gz</v>
      </c>
      <c r="K1345" s="46" t="s">
        <v>1356</v>
      </c>
      <c r="L1345" s="46" t="s">
        <v>4013</v>
      </c>
      <c r="M1345" s="46" t="s">
        <v>1309</v>
      </c>
      <c r="N1345" s="46" t="s">
        <v>1310</v>
      </c>
      <c r="O1345" s="46" t="s">
        <v>1311</v>
      </c>
      <c r="P1345" s="46" t="s">
        <v>1312</v>
      </c>
      <c r="Q1345" s="46" t="s">
        <v>31</v>
      </c>
      <c r="R1345" s="46" t="s">
        <v>31</v>
      </c>
      <c r="S1345" s="46" t="s">
        <v>31</v>
      </c>
      <c r="T1345" s="46" t="s">
        <v>31</v>
      </c>
      <c r="U1345" s="46" t="s">
        <v>49</v>
      </c>
    </row>
    <row r="1346" spans="1:21">
      <c r="A1346" s="46" t="s">
        <v>743</v>
      </c>
      <c r="B1346" s="46" t="s">
        <v>151</v>
      </c>
      <c r="C1346" s="46" t="s">
        <v>666</v>
      </c>
      <c r="D1346" s="46">
        <v>1</v>
      </c>
      <c r="E1346" s="46">
        <v>0</v>
      </c>
      <c r="F1346" s="46" t="s">
        <v>708</v>
      </c>
      <c r="G1346" s="46" t="s">
        <v>1305</v>
      </c>
      <c r="H1346" s="46" t="s">
        <v>4014</v>
      </c>
      <c r="I1346" s="46" t="str">
        <f ca="1">IFERROR(__xludf.DUMMYFUNCTION("CONCAT(A1346,REGEXREPLACE(H1346,"".*_L0"",""_L0""))"),"ILB_BN1518_MTG_snRNAseq_rep1_L001_I1_001.fastq.gz")</f>
        <v>ILB_BN1518_MTG_snRNAseq_rep1_L001_I1_001.fastq.gz</v>
      </c>
      <c r="J1346" s="46" t="str">
        <f t="shared" si="5"/>
        <v>/data/neurogen/ASAP/scRNAseq/data/batch27_ASAP_snRNA-seq_*/Raw_Data_and_Processing/cellranger_processing/cellranger_fastqs/outs/fastq_path/H*/BN1518_S2_L001_I1_001.fastq.gz</v>
      </c>
      <c r="K1346" s="46" t="s">
        <v>1307</v>
      </c>
      <c r="L1346" s="46" t="s">
        <v>4015</v>
      </c>
      <c r="M1346" s="46" t="s">
        <v>1309</v>
      </c>
      <c r="N1346" s="46" t="s">
        <v>1310</v>
      </c>
      <c r="O1346" s="46" t="s">
        <v>1311</v>
      </c>
      <c r="P1346" s="46" t="s">
        <v>1312</v>
      </c>
      <c r="Q1346" s="46" t="s">
        <v>31</v>
      </c>
      <c r="R1346" s="46" t="s">
        <v>31</v>
      </c>
      <c r="S1346" s="46" t="s">
        <v>31</v>
      </c>
      <c r="T1346" s="46" t="s">
        <v>31</v>
      </c>
      <c r="U1346" s="46" t="s">
        <v>49</v>
      </c>
    </row>
    <row r="1347" spans="1:21">
      <c r="A1347" s="46" t="s">
        <v>743</v>
      </c>
      <c r="B1347" s="46" t="s">
        <v>151</v>
      </c>
      <c r="C1347" s="46" t="s">
        <v>666</v>
      </c>
      <c r="D1347" s="46">
        <v>1</v>
      </c>
      <c r="E1347" s="46">
        <v>0</v>
      </c>
      <c r="F1347" s="46" t="s">
        <v>708</v>
      </c>
      <c r="G1347" s="46" t="s">
        <v>1305</v>
      </c>
      <c r="H1347" s="46" t="s">
        <v>4016</v>
      </c>
      <c r="I1347" s="46" t="str">
        <f ca="1">IFERROR(__xludf.DUMMYFUNCTION("CONCAT(A1347,REGEXREPLACE(H1347,"".*_L0"",""_L0""))"),"ILB_BN1518_MTG_snRNAseq_rep1_L001_I2_001.fastq.gz")</f>
        <v>ILB_BN1518_MTG_snRNAseq_rep1_L001_I2_001.fastq.gz</v>
      </c>
      <c r="J1347" s="46" t="str">
        <f t="shared" si="5"/>
        <v>/data/neurogen/ASAP/scRNAseq/data/batch27_ASAP_snRNA-seq_*/Raw_Data_and_Processing/cellranger_processing/cellranger_fastqs/outs/fastq_path/H*/BN1518_S2_L001_I2_001.fastq.gz</v>
      </c>
      <c r="K1347" s="46" t="s">
        <v>1314</v>
      </c>
      <c r="L1347" s="46" t="s">
        <v>4017</v>
      </c>
      <c r="M1347" s="46" t="s">
        <v>1309</v>
      </c>
      <c r="N1347" s="46" t="s">
        <v>1310</v>
      </c>
      <c r="O1347" s="46" t="s">
        <v>1311</v>
      </c>
      <c r="P1347" s="46" t="s">
        <v>1312</v>
      </c>
      <c r="Q1347" s="46" t="s">
        <v>31</v>
      </c>
      <c r="R1347" s="46" t="s">
        <v>31</v>
      </c>
      <c r="S1347" s="46" t="s">
        <v>31</v>
      </c>
      <c r="T1347" s="46" t="s">
        <v>31</v>
      </c>
      <c r="U1347" s="46" t="s">
        <v>49</v>
      </c>
    </row>
    <row r="1348" spans="1:21">
      <c r="A1348" s="46" t="s">
        <v>743</v>
      </c>
      <c r="B1348" s="46" t="s">
        <v>151</v>
      </c>
      <c r="C1348" s="46" t="s">
        <v>666</v>
      </c>
      <c r="D1348" s="46">
        <v>1</v>
      </c>
      <c r="E1348" s="46">
        <v>0</v>
      </c>
      <c r="F1348" s="46" t="s">
        <v>708</v>
      </c>
      <c r="G1348" s="46" t="s">
        <v>1305</v>
      </c>
      <c r="H1348" s="46" t="s">
        <v>4018</v>
      </c>
      <c r="I1348" s="46" t="str">
        <f ca="1">IFERROR(__xludf.DUMMYFUNCTION("CONCAT(A1348,REGEXREPLACE(H1348,"".*_L0"",""_L0""))"),"ILB_BN1518_MTG_snRNAseq_rep1_L001_R1_001.fastq.gz")</f>
        <v>ILB_BN1518_MTG_snRNAseq_rep1_L001_R1_001.fastq.gz</v>
      </c>
      <c r="J1348" s="46" t="str">
        <f t="shared" si="5"/>
        <v>/data/neurogen/ASAP/scRNAseq/data/batch27_ASAP_snRNA-seq_*/Raw_Data_and_Processing/cellranger_processing/cellranger_fastqs/outs/fastq_path/H*/BN1518_S2_L001_R1_001.fastq.gz</v>
      </c>
      <c r="K1348" s="46" t="s">
        <v>1317</v>
      </c>
      <c r="L1348" s="46" t="s">
        <v>4019</v>
      </c>
      <c r="M1348" s="46" t="s">
        <v>1309</v>
      </c>
      <c r="N1348" s="46" t="s">
        <v>1310</v>
      </c>
      <c r="O1348" s="46" t="s">
        <v>1311</v>
      </c>
      <c r="P1348" s="46" t="s">
        <v>1312</v>
      </c>
      <c r="Q1348" s="46" t="s">
        <v>31</v>
      </c>
      <c r="R1348" s="46" t="s">
        <v>31</v>
      </c>
      <c r="S1348" s="46" t="s">
        <v>31</v>
      </c>
      <c r="T1348" s="46" t="s">
        <v>31</v>
      </c>
      <c r="U1348" s="46" t="s">
        <v>49</v>
      </c>
    </row>
    <row r="1349" spans="1:21">
      <c r="A1349" s="46" t="s">
        <v>743</v>
      </c>
      <c r="B1349" s="46" t="s">
        <v>151</v>
      </c>
      <c r="C1349" s="46" t="s">
        <v>666</v>
      </c>
      <c r="D1349" s="46">
        <v>1</v>
      </c>
      <c r="E1349" s="46">
        <v>0</v>
      </c>
      <c r="F1349" s="46" t="s">
        <v>708</v>
      </c>
      <c r="G1349" s="46" t="s">
        <v>1305</v>
      </c>
      <c r="H1349" s="46" t="s">
        <v>4020</v>
      </c>
      <c r="I1349" s="46" t="str">
        <f ca="1">IFERROR(__xludf.DUMMYFUNCTION("CONCAT(A1349,REGEXREPLACE(H1349,"".*_L0"",""_L0""))"),"ILB_BN1518_MTG_snRNAseq_rep1_L001_R2_001.fastq.gz")</f>
        <v>ILB_BN1518_MTG_snRNAseq_rep1_L001_R2_001.fastq.gz</v>
      </c>
      <c r="J1349" s="46" t="str">
        <f t="shared" si="5"/>
        <v>/data/neurogen/ASAP/scRNAseq/data/batch27_ASAP_snRNA-seq_*/Raw_Data_and_Processing/cellranger_processing/cellranger_fastqs/outs/fastq_path/H*/BN1518_S2_L001_R2_001.fastq.gz</v>
      </c>
      <c r="K1349" s="46" t="s">
        <v>1320</v>
      </c>
      <c r="L1349" s="46" t="s">
        <v>4021</v>
      </c>
      <c r="M1349" s="46" t="s">
        <v>1309</v>
      </c>
      <c r="N1349" s="46" t="s">
        <v>1310</v>
      </c>
      <c r="O1349" s="46" t="s">
        <v>1311</v>
      </c>
      <c r="P1349" s="46" t="s">
        <v>1312</v>
      </c>
      <c r="Q1349" s="46" t="s">
        <v>31</v>
      </c>
      <c r="R1349" s="46" t="s">
        <v>31</v>
      </c>
      <c r="S1349" s="46" t="s">
        <v>31</v>
      </c>
      <c r="T1349" s="46" t="s">
        <v>31</v>
      </c>
      <c r="U1349" s="46" t="s">
        <v>49</v>
      </c>
    </row>
    <row r="1350" spans="1:21">
      <c r="A1350" s="46" t="s">
        <v>743</v>
      </c>
      <c r="B1350" s="46" t="s">
        <v>151</v>
      </c>
      <c r="C1350" s="46" t="s">
        <v>666</v>
      </c>
      <c r="D1350" s="46">
        <v>1</v>
      </c>
      <c r="E1350" s="46">
        <v>0</v>
      </c>
      <c r="F1350" s="46" t="s">
        <v>708</v>
      </c>
      <c r="G1350" s="46" t="s">
        <v>1305</v>
      </c>
      <c r="H1350" s="46" t="s">
        <v>4022</v>
      </c>
      <c r="I1350" s="46" t="str">
        <f ca="1">IFERROR(__xludf.DUMMYFUNCTION("CONCAT(A1350,REGEXREPLACE(H1350,"".*_L0"",""_L0""))"),"ILB_BN1518_MTG_snRNAseq_rep1_L002_I1_001.fastq.gz")</f>
        <v>ILB_BN1518_MTG_snRNAseq_rep1_L002_I1_001.fastq.gz</v>
      </c>
      <c r="J1350" s="46" t="str">
        <f t="shared" si="5"/>
        <v>/data/neurogen/ASAP/scRNAseq/data/batch27_ASAP_snRNA-seq_*/Raw_Data_and_Processing/cellranger_processing/cellranger_fastqs/outs/fastq_path/H*/BN1518_S2_L002_I1_001.fastq.gz</v>
      </c>
      <c r="K1350" s="46" t="s">
        <v>1323</v>
      </c>
      <c r="L1350" s="46" t="s">
        <v>4023</v>
      </c>
      <c r="M1350" s="46" t="s">
        <v>1309</v>
      </c>
      <c r="N1350" s="46" t="s">
        <v>1310</v>
      </c>
      <c r="O1350" s="46" t="s">
        <v>1311</v>
      </c>
      <c r="P1350" s="46" t="s">
        <v>1312</v>
      </c>
      <c r="Q1350" s="46" t="s">
        <v>31</v>
      </c>
      <c r="R1350" s="46" t="s">
        <v>31</v>
      </c>
      <c r="S1350" s="46" t="s">
        <v>31</v>
      </c>
      <c r="T1350" s="46" t="s">
        <v>31</v>
      </c>
      <c r="U1350" s="46" t="s">
        <v>49</v>
      </c>
    </row>
    <row r="1351" spans="1:21">
      <c r="A1351" s="46" t="s">
        <v>743</v>
      </c>
      <c r="B1351" s="46" t="s">
        <v>151</v>
      </c>
      <c r="C1351" s="46" t="s">
        <v>666</v>
      </c>
      <c r="D1351" s="46">
        <v>1</v>
      </c>
      <c r="E1351" s="46">
        <v>0</v>
      </c>
      <c r="F1351" s="46" t="s">
        <v>708</v>
      </c>
      <c r="G1351" s="46" t="s">
        <v>1305</v>
      </c>
      <c r="H1351" s="46" t="s">
        <v>4024</v>
      </c>
      <c r="I1351" s="46" t="str">
        <f ca="1">IFERROR(__xludf.DUMMYFUNCTION("CONCAT(A1351,REGEXREPLACE(H1351,"".*_L0"",""_L0""))"),"ILB_BN1518_MTG_snRNAseq_rep1_L002_I2_001.fastq.gz")</f>
        <v>ILB_BN1518_MTG_snRNAseq_rep1_L002_I2_001.fastq.gz</v>
      </c>
      <c r="J1351" s="46" t="str">
        <f t="shared" si="5"/>
        <v>/data/neurogen/ASAP/scRNAseq/data/batch27_ASAP_snRNA-seq_*/Raw_Data_and_Processing/cellranger_processing/cellranger_fastqs/outs/fastq_path/H*/BN1518_S2_L002_I2_001.fastq.gz</v>
      </c>
      <c r="K1351" s="46" t="s">
        <v>1326</v>
      </c>
      <c r="L1351" s="46" t="s">
        <v>4025</v>
      </c>
      <c r="M1351" s="46" t="s">
        <v>1309</v>
      </c>
      <c r="N1351" s="46" t="s">
        <v>1310</v>
      </c>
      <c r="O1351" s="46" t="s">
        <v>1311</v>
      </c>
      <c r="P1351" s="46" t="s">
        <v>1312</v>
      </c>
      <c r="Q1351" s="46" t="s">
        <v>31</v>
      </c>
      <c r="R1351" s="46" t="s">
        <v>31</v>
      </c>
      <c r="S1351" s="46" t="s">
        <v>31</v>
      </c>
      <c r="T1351" s="46" t="s">
        <v>31</v>
      </c>
      <c r="U1351" s="46" t="s">
        <v>49</v>
      </c>
    </row>
    <row r="1352" spans="1:21">
      <c r="A1352" s="46" t="s">
        <v>743</v>
      </c>
      <c r="B1352" s="46" t="s">
        <v>151</v>
      </c>
      <c r="C1352" s="46" t="s">
        <v>666</v>
      </c>
      <c r="D1352" s="46">
        <v>1</v>
      </c>
      <c r="E1352" s="46">
        <v>0</v>
      </c>
      <c r="F1352" s="46" t="s">
        <v>708</v>
      </c>
      <c r="G1352" s="46" t="s">
        <v>1305</v>
      </c>
      <c r="H1352" s="46" t="s">
        <v>4026</v>
      </c>
      <c r="I1352" s="46" t="str">
        <f ca="1">IFERROR(__xludf.DUMMYFUNCTION("CONCAT(A1352,REGEXREPLACE(H1352,"".*_L0"",""_L0""))"),"ILB_BN1518_MTG_snRNAseq_rep1_L002_R1_001.fastq.gz")</f>
        <v>ILB_BN1518_MTG_snRNAseq_rep1_L002_R1_001.fastq.gz</v>
      </c>
      <c r="J1352" s="46" t="str">
        <f t="shared" si="5"/>
        <v>/data/neurogen/ASAP/scRNAseq/data/batch27_ASAP_snRNA-seq_*/Raw_Data_and_Processing/cellranger_processing/cellranger_fastqs/outs/fastq_path/H*/BN1518_S2_L002_R1_001.fastq.gz</v>
      </c>
      <c r="K1352" s="46" t="s">
        <v>1329</v>
      </c>
      <c r="L1352" s="46" t="s">
        <v>4027</v>
      </c>
      <c r="M1352" s="46" t="s">
        <v>1309</v>
      </c>
      <c r="N1352" s="46" t="s">
        <v>1310</v>
      </c>
      <c r="O1352" s="46" t="s">
        <v>1311</v>
      </c>
      <c r="P1352" s="46" t="s">
        <v>1312</v>
      </c>
      <c r="Q1352" s="46" t="s">
        <v>31</v>
      </c>
      <c r="R1352" s="46" t="s">
        <v>31</v>
      </c>
      <c r="S1352" s="46" t="s">
        <v>31</v>
      </c>
      <c r="T1352" s="46" t="s">
        <v>31</v>
      </c>
      <c r="U1352" s="46" t="s">
        <v>49</v>
      </c>
    </row>
    <row r="1353" spans="1:21">
      <c r="A1353" s="46" t="s">
        <v>743</v>
      </c>
      <c r="B1353" s="46" t="s">
        <v>151</v>
      </c>
      <c r="C1353" s="46" t="s">
        <v>666</v>
      </c>
      <c r="D1353" s="46">
        <v>1</v>
      </c>
      <c r="E1353" s="46">
        <v>0</v>
      </c>
      <c r="F1353" s="46" t="s">
        <v>708</v>
      </c>
      <c r="G1353" s="46" t="s">
        <v>1305</v>
      </c>
      <c r="H1353" s="46" t="s">
        <v>4028</v>
      </c>
      <c r="I1353" s="46" t="str">
        <f ca="1">IFERROR(__xludf.DUMMYFUNCTION("CONCAT(A1353,REGEXREPLACE(H1353,"".*_L0"",""_L0""))"),"ILB_BN1518_MTG_snRNAseq_rep1_L002_R2_001.fastq.gz")</f>
        <v>ILB_BN1518_MTG_snRNAseq_rep1_L002_R2_001.fastq.gz</v>
      </c>
      <c r="J1353" s="46" t="str">
        <f t="shared" si="5"/>
        <v>/data/neurogen/ASAP/scRNAseq/data/batch27_ASAP_snRNA-seq_*/Raw_Data_and_Processing/cellranger_processing/cellranger_fastqs/outs/fastq_path/H*/BN1518_S2_L002_R2_001.fastq.gz</v>
      </c>
      <c r="K1353" s="46" t="s">
        <v>1332</v>
      </c>
      <c r="L1353" s="46" t="s">
        <v>4029</v>
      </c>
      <c r="M1353" s="46" t="s">
        <v>1309</v>
      </c>
      <c r="N1353" s="46" t="s">
        <v>1310</v>
      </c>
      <c r="O1353" s="46" t="s">
        <v>1311</v>
      </c>
      <c r="P1353" s="46" t="s">
        <v>1312</v>
      </c>
      <c r="Q1353" s="46" t="s">
        <v>31</v>
      </c>
      <c r="R1353" s="46" t="s">
        <v>31</v>
      </c>
      <c r="S1353" s="46" t="s">
        <v>31</v>
      </c>
      <c r="T1353" s="46" t="s">
        <v>31</v>
      </c>
      <c r="U1353" s="46" t="s">
        <v>49</v>
      </c>
    </row>
    <row r="1354" spans="1:21">
      <c r="A1354" s="46" t="s">
        <v>743</v>
      </c>
      <c r="B1354" s="46" t="s">
        <v>151</v>
      </c>
      <c r="C1354" s="46" t="s">
        <v>666</v>
      </c>
      <c r="D1354" s="46">
        <v>1</v>
      </c>
      <c r="E1354" s="46">
        <v>0</v>
      </c>
      <c r="F1354" s="46" t="s">
        <v>708</v>
      </c>
      <c r="G1354" s="46" t="s">
        <v>1305</v>
      </c>
      <c r="H1354" s="46" t="s">
        <v>4030</v>
      </c>
      <c r="I1354" s="46" t="str">
        <f ca="1">IFERROR(__xludf.DUMMYFUNCTION("CONCAT(A1354,REGEXREPLACE(H1354,"".*_L0"",""_L0""))"),"ILB_BN1518_MTG_snRNAseq_rep1_L003_I1_001.fastq.gz")</f>
        <v>ILB_BN1518_MTG_snRNAseq_rep1_L003_I1_001.fastq.gz</v>
      </c>
      <c r="J1354" s="46" t="str">
        <f t="shared" si="5"/>
        <v>/data/neurogen/ASAP/scRNAseq/data/batch27_ASAP_snRNA-seq_*/Raw_Data_and_Processing/cellranger_processing/cellranger_fastqs/outs/fastq_path/H*/BN1518_S2_L003_I1_001.fastq.gz</v>
      </c>
      <c r="K1354" s="46" t="s">
        <v>1335</v>
      </c>
      <c r="L1354" s="46" t="s">
        <v>4031</v>
      </c>
      <c r="M1354" s="46" t="s">
        <v>1309</v>
      </c>
      <c r="N1354" s="46" t="s">
        <v>1310</v>
      </c>
      <c r="O1354" s="46" t="s">
        <v>1311</v>
      </c>
      <c r="P1354" s="46" t="s">
        <v>1312</v>
      </c>
      <c r="Q1354" s="46" t="s">
        <v>31</v>
      </c>
      <c r="R1354" s="46" t="s">
        <v>31</v>
      </c>
      <c r="S1354" s="46" t="s">
        <v>31</v>
      </c>
      <c r="T1354" s="46" t="s">
        <v>31</v>
      </c>
      <c r="U1354" s="46" t="s">
        <v>49</v>
      </c>
    </row>
    <row r="1355" spans="1:21">
      <c r="A1355" s="46" t="s">
        <v>743</v>
      </c>
      <c r="B1355" s="46" t="s">
        <v>151</v>
      </c>
      <c r="C1355" s="46" t="s">
        <v>666</v>
      </c>
      <c r="D1355" s="46">
        <v>1</v>
      </c>
      <c r="E1355" s="46">
        <v>0</v>
      </c>
      <c r="F1355" s="46" t="s">
        <v>708</v>
      </c>
      <c r="G1355" s="46" t="s">
        <v>1305</v>
      </c>
      <c r="H1355" s="46" t="s">
        <v>4032</v>
      </c>
      <c r="I1355" s="46" t="str">
        <f ca="1">IFERROR(__xludf.DUMMYFUNCTION("CONCAT(A1355,REGEXREPLACE(H1355,"".*_L0"",""_L0""))"),"ILB_BN1518_MTG_snRNAseq_rep1_L003_I2_001.fastq.gz")</f>
        <v>ILB_BN1518_MTG_snRNAseq_rep1_L003_I2_001.fastq.gz</v>
      </c>
      <c r="J1355" s="46" t="str">
        <f t="shared" si="5"/>
        <v>/data/neurogen/ASAP/scRNAseq/data/batch27_ASAP_snRNA-seq_*/Raw_Data_and_Processing/cellranger_processing/cellranger_fastqs/outs/fastq_path/H*/BN1518_S2_L003_I2_001.fastq.gz</v>
      </c>
      <c r="K1355" s="46" t="s">
        <v>1338</v>
      </c>
      <c r="L1355" s="46" t="s">
        <v>4033</v>
      </c>
      <c r="M1355" s="46" t="s">
        <v>1309</v>
      </c>
      <c r="N1355" s="46" t="s">
        <v>1310</v>
      </c>
      <c r="O1355" s="46" t="s">
        <v>1311</v>
      </c>
      <c r="P1355" s="46" t="s">
        <v>1312</v>
      </c>
      <c r="Q1355" s="46" t="s">
        <v>31</v>
      </c>
      <c r="R1355" s="46" t="s">
        <v>31</v>
      </c>
      <c r="S1355" s="46" t="s">
        <v>31</v>
      </c>
      <c r="T1355" s="46" t="s">
        <v>31</v>
      </c>
      <c r="U1355" s="46" t="s">
        <v>49</v>
      </c>
    </row>
    <row r="1356" spans="1:21">
      <c r="A1356" s="46" t="s">
        <v>743</v>
      </c>
      <c r="B1356" s="46" t="s">
        <v>151</v>
      </c>
      <c r="C1356" s="46" t="s">
        <v>666</v>
      </c>
      <c r="D1356" s="46">
        <v>1</v>
      </c>
      <c r="E1356" s="46">
        <v>0</v>
      </c>
      <c r="F1356" s="46" t="s">
        <v>708</v>
      </c>
      <c r="G1356" s="46" t="s">
        <v>1305</v>
      </c>
      <c r="H1356" s="46" t="s">
        <v>4034</v>
      </c>
      <c r="I1356" s="46" t="str">
        <f ca="1">IFERROR(__xludf.DUMMYFUNCTION("CONCAT(A1356,REGEXREPLACE(H1356,"".*_L0"",""_L0""))"),"ILB_BN1518_MTG_snRNAseq_rep1_L003_R1_001.fastq.gz")</f>
        <v>ILB_BN1518_MTG_snRNAseq_rep1_L003_R1_001.fastq.gz</v>
      </c>
      <c r="J1356" s="46" t="str">
        <f t="shared" si="5"/>
        <v>/data/neurogen/ASAP/scRNAseq/data/batch27_ASAP_snRNA-seq_*/Raw_Data_and_Processing/cellranger_processing/cellranger_fastqs/outs/fastq_path/H*/BN1518_S2_L003_R1_001.fastq.gz</v>
      </c>
      <c r="K1356" s="46" t="s">
        <v>1341</v>
      </c>
      <c r="L1356" s="46" t="s">
        <v>4035</v>
      </c>
      <c r="M1356" s="46" t="s">
        <v>1309</v>
      </c>
      <c r="N1356" s="46" t="s">
        <v>1310</v>
      </c>
      <c r="O1356" s="46" t="s">
        <v>1311</v>
      </c>
      <c r="P1356" s="46" t="s">
        <v>1312</v>
      </c>
      <c r="Q1356" s="46" t="s">
        <v>31</v>
      </c>
      <c r="R1356" s="46" t="s">
        <v>31</v>
      </c>
      <c r="S1356" s="46" t="s">
        <v>31</v>
      </c>
      <c r="T1356" s="46" t="s">
        <v>31</v>
      </c>
      <c r="U1356" s="46" t="s">
        <v>49</v>
      </c>
    </row>
    <row r="1357" spans="1:21">
      <c r="A1357" s="46" t="s">
        <v>743</v>
      </c>
      <c r="B1357" s="46" t="s">
        <v>151</v>
      </c>
      <c r="C1357" s="46" t="s">
        <v>666</v>
      </c>
      <c r="D1357" s="46">
        <v>1</v>
      </c>
      <c r="E1357" s="46">
        <v>0</v>
      </c>
      <c r="F1357" s="46" t="s">
        <v>708</v>
      </c>
      <c r="G1357" s="46" t="s">
        <v>1305</v>
      </c>
      <c r="H1357" s="46" t="s">
        <v>4036</v>
      </c>
      <c r="I1357" s="46" t="str">
        <f ca="1">IFERROR(__xludf.DUMMYFUNCTION("CONCAT(A1357,REGEXREPLACE(H1357,"".*_L0"",""_L0""))"),"ILB_BN1518_MTG_snRNAseq_rep1_L003_R2_001.fastq.gz")</f>
        <v>ILB_BN1518_MTG_snRNAseq_rep1_L003_R2_001.fastq.gz</v>
      </c>
      <c r="J1357" s="46" t="str">
        <f t="shared" si="5"/>
        <v>/data/neurogen/ASAP/scRNAseq/data/batch27_ASAP_snRNA-seq_*/Raw_Data_and_Processing/cellranger_processing/cellranger_fastqs/outs/fastq_path/H*/BN1518_S2_L003_R2_001.fastq.gz</v>
      </c>
      <c r="K1357" s="46" t="s">
        <v>1344</v>
      </c>
      <c r="L1357" s="46" t="s">
        <v>4037</v>
      </c>
      <c r="M1357" s="46" t="s">
        <v>1309</v>
      </c>
      <c r="N1357" s="46" t="s">
        <v>1310</v>
      </c>
      <c r="O1357" s="46" t="s">
        <v>1311</v>
      </c>
      <c r="P1357" s="46" t="s">
        <v>1312</v>
      </c>
      <c r="Q1357" s="46" t="s">
        <v>31</v>
      </c>
      <c r="R1357" s="46" t="s">
        <v>31</v>
      </c>
      <c r="S1357" s="46" t="s">
        <v>31</v>
      </c>
      <c r="T1357" s="46" t="s">
        <v>31</v>
      </c>
      <c r="U1357" s="46" t="s">
        <v>49</v>
      </c>
    </row>
    <row r="1358" spans="1:21">
      <c r="A1358" s="46" t="s">
        <v>743</v>
      </c>
      <c r="B1358" s="46" t="s">
        <v>151</v>
      </c>
      <c r="C1358" s="46" t="s">
        <v>666</v>
      </c>
      <c r="D1358" s="46">
        <v>1</v>
      </c>
      <c r="E1358" s="46">
        <v>0</v>
      </c>
      <c r="F1358" s="46" t="s">
        <v>708</v>
      </c>
      <c r="G1358" s="46" t="s">
        <v>1305</v>
      </c>
      <c r="H1358" s="46" t="s">
        <v>4038</v>
      </c>
      <c r="I1358" s="46" t="str">
        <f ca="1">IFERROR(__xludf.DUMMYFUNCTION("CONCAT(A1358,REGEXREPLACE(H1358,"".*_L0"",""_L0""))"),"ILB_BN1518_MTG_snRNAseq_rep1_L004_I1_001.fastq.gz")</f>
        <v>ILB_BN1518_MTG_snRNAseq_rep1_L004_I1_001.fastq.gz</v>
      </c>
      <c r="J1358" s="46" t="str">
        <f t="shared" si="5"/>
        <v>/data/neurogen/ASAP/scRNAseq/data/batch27_ASAP_snRNA-seq_*/Raw_Data_and_Processing/cellranger_processing/cellranger_fastqs/outs/fastq_path/H*/BN1518_S2_L004_I1_001.fastq.gz</v>
      </c>
      <c r="K1358" s="46" t="s">
        <v>1347</v>
      </c>
      <c r="L1358" s="46" t="s">
        <v>4039</v>
      </c>
      <c r="M1358" s="46" t="s">
        <v>1309</v>
      </c>
      <c r="N1358" s="46" t="s">
        <v>1310</v>
      </c>
      <c r="O1358" s="46" t="s">
        <v>1311</v>
      </c>
      <c r="P1358" s="46" t="s">
        <v>1312</v>
      </c>
      <c r="Q1358" s="46" t="s">
        <v>31</v>
      </c>
      <c r="R1358" s="46" t="s">
        <v>31</v>
      </c>
      <c r="S1358" s="46" t="s">
        <v>31</v>
      </c>
      <c r="T1358" s="46" t="s">
        <v>31</v>
      </c>
      <c r="U1358" s="46" t="s">
        <v>49</v>
      </c>
    </row>
    <row r="1359" spans="1:21">
      <c r="A1359" s="46" t="s">
        <v>743</v>
      </c>
      <c r="B1359" s="46" t="s">
        <v>151</v>
      </c>
      <c r="C1359" s="46" t="s">
        <v>666</v>
      </c>
      <c r="D1359" s="46">
        <v>1</v>
      </c>
      <c r="E1359" s="46">
        <v>0</v>
      </c>
      <c r="F1359" s="46" t="s">
        <v>708</v>
      </c>
      <c r="G1359" s="46" t="s">
        <v>1305</v>
      </c>
      <c r="H1359" s="46" t="s">
        <v>4040</v>
      </c>
      <c r="I1359" s="46" t="str">
        <f ca="1">IFERROR(__xludf.DUMMYFUNCTION("CONCAT(A1359,REGEXREPLACE(H1359,"".*_L0"",""_L0""))"),"ILB_BN1518_MTG_snRNAseq_rep1_L004_I2_001.fastq.gz")</f>
        <v>ILB_BN1518_MTG_snRNAseq_rep1_L004_I2_001.fastq.gz</v>
      </c>
      <c r="J1359" s="46" t="str">
        <f t="shared" si="5"/>
        <v>/data/neurogen/ASAP/scRNAseq/data/batch27_ASAP_snRNA-seq_*/Raw_Data_and_Processing/cellranger_processing/cellranger_fastqs/outs/fastq_path/H*/BN1518_S2_L004_I2_001.fastq.gz</v>
      </c>
      <c r="K1359" s="46" t="s">
        <v>1350</v>
      </c>
      <c r="L1359" s="46" t="s">
        <v>4041</v>
      </c>
      <c r="M1359" s="46" t="s">
        <v>1309</v>
      </c>
      <c r="N1359" s="46" t="s">
        <v>1310</v>
      </c>
      <c r="O1359" s="46" t="s">
        <v>1311</v>
      </c>
      <c r="P1359" s="46" t="s">
        <v>1312</v>
      </c>
      <c r="Q1359" s="46" t="s">
        <v>31</v>
      </c>
      <c r="R1359" s="46" t="s">
        <v>31</v>
      </c>
      <c r="S1359" s="46" t="s">
        <v>31</v>
      </c>
      <c r="T1359" s="46" t="s">
        <v>31</v>
      </c>
      <c r="U1359" s="46" t="s">
        <v>49</v>
      </c>
    </row>
    <row r="1360" spans="1:21">
      <c r="A1360" s="46" t="s">
        <v>743</v>
      </c>
      <c r="B1360" s="46" t="s">
        <v>151</v>
      </c>
      <c r="C1360" s="46" t="s">
        <v>666</v>
      </c>
      <c r="D1360" s="46">
        <v>1</v>
      </c>
      <c r="E1360" s="46">
        <v>0</v>
      </c>
      <c r="F1360" s="46" t="s">
        <v>708</v>
      </c>
      <c r="G1360" s="46" t="s">
        <v>1305</v>
      </c>
      <c r="H1360" s="46" t="s">
        <v>4042</v>
      </c>
      <c r="I1360" s="46" t="str">
        <f ca="1">IFERROR(__xludf.DUMMYFUNCTION("CONCAT(A1360,REGEXREPLACE(H1360,"".*_L0"",""_L0""))"),"ILB_BN1518_MTG_snRNAseq_rep1_L004_R1_001.fastq.gz")</f>
        <v>ILB_BN1518_MTG_snRNAseq_rep1_L004_R1_001.fastq.gz</v>
      </c>
      <c r="J1360" s="46" t="str">
        <f t="shared" si="5"/>
        <v>/data/neurogen/ASAP/scRNAseq/data/batch27_ASAP_snRNA-seq_*/Raw_Data_and_Processing/cellranger_processing/cellranger_fastqs/outs/fastq_path/H*/BN1518_S2_L004_R1_001.fastq.gz</v>
      </c>
      <c r="K1360" s="46" t="s">
        <v>1353</v>
      </c>
      <c r="L1360" s="46" t="s">
        <v>4043</v>
      </c>
      <c r="M1360" s="46" t="s">
        <v>1309</v>
      </c>
      <c r="N1360" s="46" t="s">
        <v>1310</v>
      </c>
      <c r="O1360" s="46" t="s">
        <v>1311</v>
      </c>
      <c r="P1360" s="46" t="s">
        <v>1312</v>
      </c>
      <c r="Q1360" s="46" t="s">
        <v>31</v>
      </c>
      <c r="R1360" s="46" t="s">
        <v>31</v>
      </c>
      <c r="S1360" s="46" t="s">
        <v>31</v>
      </c>
      <c r="T1360" s="46" t="s">
        <v>31</v>
      </c>
      <c r="U1360" s="46" t="s">
        <v>49</v>
      </c>
    </row>
    <row r="1361" spans="1:21">
      <c r="A1361" s="46" t="s">
        <v>743</v>
      </c>
      <c r="B1361" s="46" t="s">
        <v>151</v>
      </c>
      <c r="C1361" s="46" t="s">
        <v>666</v>
      </c>
      <c r="D1361" s="46">
        <v>1</v>
      </c>
      <c r="E1361" s="46">
        <v>0</v>
      </c>
      <c r="F1361" s="46" t="s">
        <v>708</v>
      </c>
      <c r="G1361" s="46" t="s">
        <v>1305</v>
      </c>
      <c r="H1361" s="46" t="s">
        <v>4044</v>
      </c>
      <c r="I1361" s="46" t="str">
        <f ca="1">IFERROR(__xludf.DUMMYFUNCTION("CONCAT(A1361,REGEXREPLACE(H1361,"".*_L0"",""_L0""))"),"ILB_BN1518_MTG_snRNAseq_rep1_L004_R2_001.fastq.gz")</f>
        <v>ILB_BN1518_MTG_snRNAseq_rep1_L004_R2_001.fastq.gz</v>
      </c>
      <c r="J1361" s="46" t="str">
        <f t="shared" si="5"/>
        <v>/data/neurogen/ASAP/scRNAseq/data/batch27_ASAP_snRNA-seq_*/Raw_Data_and_Processing/cellranger_processing/cellranger_fastqs/outs/fastq_path/H*/BN1518_S2_L004_R2_001.fastq.gz</v>
      </c>
      <c r="K1361" s="46" t="s">
        <v>1356</v>
      </c>
      <c r="L1361" s="46" t="s">
        <v>4045</v>
      </c>
      <c r="M1361" s="46" t="s">
        <v>1309</v>
      </c>
      <c r="N1361" s="46" t="s">
        <v>1310</v>
      </c>
      <c r="O1361" s="46" t="s">
        <v>1311</v>
      </c>
      <c r="P1361" s="46" t="s">
        <v>1312</v>
      </c>
      <c r="Q1361" s="46" t="s">
        <v>31</v>
      </c>
      <c r="R1361" s="46" t="s">
        <v>31</v>
      </c>
      <c r="S1361" s="46" t="s">
        <v>31</v>
      </c>
      <c r="T1361" s="46" t="s">
        <v>31</v>
      </c>
      <c r="U1361" s="46" t="s">
        <v>49</v>
      </c>
    </row>
    <row r="1362" spans="1:21">
      <c r="A1362" s="46" t="s">
        <v>790</v>
      </c>
      <c r="B1362" s="46" t="s">
        <v>225</v>
      </c>
      <c r="C1362" s="46" t="s">
        <v>666</v>
      </c>
      <c r="D1362" s="46">
        <v>1</v>
      </c>
      <c r="E1362" s="46">
        <v>0</v>
      </c>
      <c r="F1362" s="46" t="s">
        <v>708</v>
      </c>
      <c r="G1362" s="46" t="s">
        <v>1305</v>
      </c>
      <c r="H1362" s="46" t="s">
        <v>4046</v>
      </c>
      <c r="I1362" s="46" t="str">
        <f ca="1">IFERROR(__xludf.DUMMYFUNCTION("CONCAT(A1362,REGEXREPLACE(H1362,"".*_L0"",""_L0""))"),"PD_BN1902_MTG_snRNAseq_rep1_L001_I1_001.fastq.gz")</f>
        <v>PD_BN1902_MTG_snRNAseq_rep1_L001_I1_001.fastq.gz</v>
      </c>
      <c r="J1362" s="46" t="str">
        <f t="shared" si="5"/>
        <v>/data/neurogen/ASAP/scRNAseq/data/batch27_ASAP_snRNA-seq_*/Raw_Data_and_Processing/cellranger_processing/cellranger_fastqs/outs/fastq_path/H*/BN1902_S3_L001_I1_001.fastq.gz</v>
      </c>
      <c r="K1362" s="46" t="s">
        <v>1307</v>
      </c>
      <c r="L1362" s="46" t="s">
        <v>4047</v>
      </c>
      <c r="M1362" s="46" t="s">
        <v>1309</v>
      </c>
      <c r="N1362" s="46" t="s">
        <v>1310</v>
      </c>
      <c r="O1362" s="46" t="s">
        <v>1311</v>
      </c>
      <c r="P1362" s="46" t="s">
        <v>1312</v>
      </c>
      <c r="Q1362" s="46" t="s">
        <v>31</v>
      </c>
      <c r="R1362" s="46" t="s">
        <v>31</v>
      </c>
      <c r="S1362" s="46" t="s">
        <v>31</v>
      </c>
      <c r="T1362" s="46" t="s">
        <v>31</v>
      </c>
      <c r="U1362" s="46" t="s">
        <v>49</v>
      </c>
    </row>
    <row r="1363" spans="1:21">
      <c r="A1363" s="46" t="s">
        <v>790</v>
      </c>
      <c r="B1363" s="46" t="s">
        <v>225</v>
      </c>
      <c r="C1363" s="46" t="s">
        <v>666</v>
      </c>
      <c r="D1363" s="46">
        <v>1</v>
      </c>
      <c r="E1363" s="46">
        <v>0</v>
      </c>
      <c r="F1363" s="46" t="s">
        <v>708</v>
      </c>
      <c r="G1363" s="46" t="s">
        <v>1305</v>
      </c>
      <c r="H1363" s="46" t="s">
        <v>4048</v>
      </c>
      <c r="I1363" s="46" t="str">
        <f ca="1">IFERROR(__xludf.DUMMYFUNCTION("CONCAT(A1363,REGEXREPLACE(H1363,"".*_L0"",""_L0""))"),"PD_BN1902_MTG_snRNAseq_rep1_L001_I2_001.fastq.gz")</f>
        <v>PD_BN1902_MTG_snRNAseq_rep1_L001_I2_001.fastq.gz</v>
      </c>
      <c r="J1363" s="46" t="str">
        <f t="shared" si="5"/>
        <v>/data/neurogen/ASAP/scRNAseq/data/batch27_ASAP_snRNA-seq_*/Raw_Data_and_Processing/cellranger_processing/cellranger_fastqs/outs/fastq_path/H*/BN1902_S3_L001_I2_001.fastq.gz</v>
      </c>
      <c r="K1363" s="46" t="s">
        <v>1314</v>
      </c>
      <c r="L1363" s="46" t="s">
        <v>4049</v>
      </c>
      <c r="M1363" s="46" t="s">
        <v>1309</v>
      </c>
      <c r="N1363" s="46" t="s">
        <v>1310</v>
      </c>
      <c r="O1363" s="46" t="s">
        <v>1311</v>
      </c>
      <c r="P1363" s="46" t="s">
        <v>1312</v>
      </c>
      <c r="Q1363" s="46" t="s">
        <v>31</v>
      </c>
      <c r="R1363" s="46" t="s">
        <v>31</v>
      </c>
      <c r="S1363" s="46" t="s">
        <v>31</v>
      </c>
      <c r="T1363" s="46" t="s">
        <v>31</v>
      </c>
      <c r="U1363" s="46" t="s">
        <v>49</v>
      </c>
    </row>
    <row r="1364" spans="1:21">
      <c r="A1364" s="46" t="s">
        <v>790</v>
      </c>
      <c r="B1364" s="46" t="s">
        <v>225</v>
      </c>
      <c r="C1364" s="46" t="s">
        <v>666</v>
      </c>
      <c r="D1364" s="46">
        <v>1</v>
      </c>
      <c r="E1364" s="46">
        <v>0</v>
      </c>
      <c r="F1364" s="46" t="s">
        <v>708</v>
      </c>
      <c r="G1364" s="46" t="s">
        <v>1305</v>
      </c>
      <c r="H1364" s="46" t="s">
        <v>4050</v>
      </c>
      <c r="I1364" s="46" t="str">
        <f ca="1">IFERROR(__xludf.DUMMYFUNCTION("CONCAT(A1364,REGEXREPLACE(H1364,"".*_L0"",""_L0""))"),"PD_BN1902_MTG_snRNAseq_rep1_L001_R1_001.fastq.gz")</f>
        <v>PD_BN1902_MTG_snRNAseq_rep1_L001_R1_001.fastq.gz</v>
      </c>
      <c r="J1364" s="46" t="str">
        <f t="shared" si="5"/>
        <v>/data/neurogen/ASAP/scRNAseq/data/batch27_ASAP_snRNA-seq_*/Raw_Data_and_Processing/cellranger_processing/cellranger_fastqs/outs/fastq_path/H*/BN1902_S3_L001_R1_001.fastq.gz</v>
      </c>
      <c r="K1364" s="46" t="s">
        <v>1317</v>
      </c>
      <c r="L1364" s="46" t="s">
        <v>4051</v>
      </c>
      <c r="M1364" s="46" t="s">
        <v>1309</v>
      </c>
      <c r="N1364" s="46" t="s">
        <v>1310</v>
      </c>
      <c r="O1364" s="46" t="s">
        <v>1311</v>
      </c>
      <c r="P1364" s="46" t="s">
        <v>1312</v>
      </c>
      <c r="Q1364" s="46" t="s">
        <v>31</v>
      </c>
      <c r="R1364" s="46" t="s">
        <v>31</v>
      </c>
      <c r="S1364" s="46" t="s">
        <v>31</v>
      </c>
      <c r="T1364" s="46" t="s">
        <v>31</v>
      </c>
      <c r="U1364" s="46" t="s">
        <v>49</v>
      </c>
    </row>
    <row r="1365" spans="1:21">
      <c r="A1365" s="46" t="s">
        <v>790</v>
      </c>
      <c r="B1365" s="46" t="s">
        <v>225</v>
      </c>
      <c r="C1365" s="46" t="s">
        <v>666</v>
      </c>
      <c r="D1365" s="46">
        <v>1</v>
      </c>
      <c r="E1365" s="46">
        <v>0</v>
      </c>
      <c r="F1365" s="46" t="s">
        <v>708</v>
      </c>
      <c r="G1365" s="46" t="s">
        <v>1305</v>
      </c>
      <c r="H1365" s="46" t="s">
        <v>4052</v>
      </c>
      <c r="I1365" s="46" t="str">
        <f ca="1">IFERROR(__xludf.DUMMYFUNCTION("CONCAT(A1365,REGEXREPLACE(H1365,"".*_L0"",""_L0""))"),"PD_BN1902_MTG_snRNAseq_rep1_L001_R2_001.fastq.gz")</f>
        <v>PD_BN1902_MTG_snRNAseq_rep1_L001_R2_001.fastq.gz</v>
      </c>
      <c r="J1365" s="46" t="str">
        <f t="shared" si="5"/>
        <v>/data/neurogen/ASAP/scRNAseq/data/batch27_ASAP_snRNA-seq_*/Raw_Data_and_Processing/cellranger_processing/cellranger_fastqs/outs/fastq_path/H*/BN1902_S3_L001_R2_001.fastq.gz</v>
      </c>
      <c r="K1365" s="46" t="s">
        <v>1320</v>
      </c>
      <c r="L1365" s="46" t="s">
        <v>4053</v>
      </c>
      <c r="M1365" s="46" t="s">
        <v>1309</v>
      </c>
      <c r="N1365" s="46" t="s">
        <v>1310</v>
      </c>
      <c r="O1365" s="46" t="s">
        <v>1311</v>
      </c>
      <c r="P1365" s="46" t="s">
        <v>1312</v>
      </c>
      <c r="Q1365" s="46" t="s">
        <v>31</v>
      </c>
      <c r="R1365" s="46" t="s">
        <v>31</v>
      </c>
      <c r="S1365" s="46" t="s">
        <v>31</v>
      </c>
      <c r="T1365" s="46" t="s">
        <v>31</v>
      </c>
      <c r="U1365" s="46" t="s">
        <v>49</v>
      </c>
    </row>
    <row r="1366" spans="1:21">
      <c r="A1366" s="46" t="s">
        <v>790</v>
      </c>
      <c r="B1366" s="46" t="s">
        <v>225</v>
      </c>
      <c r="C1366" s="46" t="s">
        <v>666</v>
      </c>
      <c r="D1366" s="46">
        <v>1</v>
      </c>
      <c r="E1366" s="46">
        <v>0</v>
      </c>
      <c r="F1366" s="46" t="s">
        <v>708</v>
      </c>
      <c r="G1366" s="46" t="s">
        <v>1305</v>
      </c>
      <c r="H1366" s="46" t="s">
        <v>4054</v>
      </c>
      <c r="I1366" s="46" t="str">
        <f ca="1">IFERROR(__xludf.DUMMYFUNCTION("CONCAT(A1366,REGEXREPLACE(H1366,"".*_L0"",""_L0""))"),"PD_BN1902_MTG_snRNAseq_rep1_L002_I1_001.fastq.gz")</f>
        <v>PD_BN1902_MTG_snRNAseq_rep1_L002_I1_001.fastq.gz</v>
      </c>
      <c r="J1366" s="46" t="str">
        <f t="shared" si="5"/>
        <v>/data/neurogen/ASAP/scRNAseq/data/batch27_ASAP_snRNA-seq_*/Raw_Data_and_Processing/cellranger_processing/cellranger_fastqs/outs/fastq_path/H*/BN1902_S3_L002_I1_001.fastq.gz</v>
      </c>
      <c r="K1366" s="46" t="s">
        <v>1323</v>
      </c>
      <c r="L1366" s="46" t="s">
        <v>4055</v>
      </c>
      <c r="M1366" s="46" t="s">
        <v>1309</v>
      </c>
      <c r="N1366" s="46" t="s">
        <v>1310</v>
      </c>
      <c r="O1366" s="46" t="s">
        <v>1311</v>
      </c>
      <c r="P1366" s="46" t="s">
        <v>1312</v>
      </c>
      <c r="Q1366" s="46" t="s">
        <v>31</v>
      </c>
      <c r="R1366" s="46" t="s">
        <v>31</v>
      </c>
      <c r="S1366" s="46" t="s">
        <v>31</v>
      </c>
      <c r="T1366" s="46" t="s">
        <v>31</v>
      </c>
      <c r="U1366" s="46" t="s">
        <v>49</v>
      </c>
    </row>
    <row r="1367" spans="1:21">
      <c r="A1367" s="46" t="s">
        <v>790</v>
      </c>
      <c r="B1367" s="46" t="s">
        <v>225</v>
      </c>
      <c r="C1367" s="46" t="s">
        <v>666</v>
      </c>
      <c r="D1367" s="46">
        <v>1</v>
      </c>
      <c r="E1367" s="46">
        <v>0</v>
      </c>
      <c r="F1367" s="46" t="s">
        <v>708</v>
      </c>
      <c r="G1367" s="46" t="s">
        <v>1305</v>
      </c>
      <c r="H1367" s="46" t="s">
        <v>4056</v>
      </c>
      <c r="I1367" s="46" t="str">
        <f ca="1">IFERROR(__xludf.DUMMYFUNCTION("CONCAT(A1367,REGEXREPLACE(H1367,"".*_L0"",""_L0""))"),"PD_BN1902_MTG_snRNAseq_rep1_L002_I2_001.fastq.gz")</f>
        <v>PD_BN1902_MTG_snRNAseq_rep1_L002_I2_001.fastq.gz</v>
      </c>
      <c r="J1367" s="46" t="str">
        <f t="shared" si="5"/>
        <v>/data/neurogen/ASAP/scRNAseq/data/batch27_ASAP_snRNA-seq_*/Raw_Data_and_Processing/cellranger_processing/cellranger_fastqs/outs/fastq_path/H*/BN1902_S3_L002_I2_001.fastq.gz</v>
      </c>
      <c r="K1367" s="46" t="s">
        <v>1326</v>
      </c>
      <c r="L1367" s="46" t="s">
        <v>4057</v>
      </c>
      <c r="M1367" s="46" t="s">
        <v>1309</v>
      </c>
      <c r="N1367" s="46" t="s">
        <v>1310</v>
      </c>
      <c r="O1367" s="46" t="s">
        <v>1311</v>
      </c>
      <c r="P1367" s="46" t="s">
        <v>1312</v>
      </c>
      <c r="Q1367" s="46" t="s">
        <v>31</v>
      </c>
      <c r="R1367" s="46" t="s">
        <v>31</v>
      </c>
      <c r="S1367" s="46" t="s">
        <v>31</v>
      </c>
      <c r="T1367" s="46" t="s">
        <v>31</v>
      </c>
      <c r="U1367" s="46" t="s">
        <v>49</v>
      </c>
    </row>
    <row r="1368" spans="1:21">
      <c r="A1368" s="46" t="s">
        <v>790</v>
      </c>
      <c r="B1368" s="46" t="s">
        <v>225</v>
      </c>
      <c r="C1368" s="46" t="s">
        <v>666</v>
      </c>
      <c r="D1368" s="46">
        <v>1</v>
      </c>
      <c r="E1368" s="46">
        <v>0</v>
      </c>
      <c r="F1368" s="46" t="s">
        <v>708</v>
      </c>
      <c r="G1368" s="46" t="s">
        <v>1305</v>
      </c>
      <c r="H1368" s="46" t="s">
        <v>4058</v>
      </c>
      <c r="I1368" s="46" t="str">
        <f ca="1">IFERROR(__xludf.DUMMYFUNCTION("CONCAT(A1368,REGEXREPLACE(H1368,"".*_L0"",""_L0""))"),"PD_BN1902_MTG_snRNAseq_rep1_L002_R1_001.fastq.gz")</f>
        <v>PD_BN1902_MTG_snRNAseq_rep1_L002_R1_001.fastq.gz</v>
      </c>
      <c r="J1368" s="46" t="str">
        <f t="shared" si="5"/>
        <v>/data/neurogen/ASAP/scRNAseq/data/batch27_ASAP_snRNA-seq_*/Raw_Data_and_Processing/cellranger_processing/cellranger_fastqs/outs/fastq_path/H*/BN1902_S3_L002_R1_001.fastq.gz</v>
      </c>
      <c r="K1368" s="46" t="s">
        <v>1329</v>
      </c>
      <c r="L1368" s="46" t="s">
        <v>4059</v>
      </c>
      <c r="M1368" s="46" t="s">
        <v>1309</v>
      </c>
      <c r="N1368" s="46" t="s">
        <v>1310</v>
      </c>
      <c r="O1368" s="46" t="s">
        <v>1311</v>
      </c>
      <c r="P1368" s="46" t="s">
        <v>1312</v>
      </c>
      <c r="Q1368" s="46" t="s">
        <v>31</v>
      </c>
      <c r="R1368" s="46" t="s">
        <v>31</v>
      </c>
      <c r="S1368" s="46" t="s">
        <v>31</v>
      </c>
      <c r="T1368" s="46" t="s">
        <v>31</v>
      </c>
      <c r="U1368" s="46" t="s">
        <v>49</v>
      </c>
    </row>
    <row r="1369" spans="1:21">
      <c r="A1369" s="46" t="s">
        <v>790</v>
      </c>
      <c r="B1369" s="46" t="s">
        <v>225</v>
      </c>
      <c r="C1369" s="46" t="s">
        <v>666</v>
      </c>
      <c r="D1369" s="46">
        <v>1</v>
      </c>
      <c r="E1369" s="46">
        <v>0</v>
      </c>
      <c r="F1369" s="46" t="s">
        <v>708</v>
      </c>
      <c r="G1369" s="46" t="s">
        <v>1305</v>
      </c>
      <c r="H1369" s="46" t="s">
        <v>4060</v>
      </c>
      <c r="I1369" s="46" t="str">
        <f ca="1">IFERROR(__xludf.DUMMYFUNCTION("CONCAT(A1369,REGEXREPLACE(H1369,"".*_L0"",""_L0""))"),"PD_BN1902_MTG_snRNAseq_rep1_L002_R2_001.fastq.gz")</f>
        <v>PD_BN1902_MTG_snRNAseq_rep1_L002_R2_001.fastq.gz</v>
      </c>
      <c r="J1369" s="46" t="str">
        <f t="shared" si="5"/>
        <v>/data/neurogen/ASAP/scRNAseq/data/batch27_ASAP_snRNA-seq_*/Raw_Data_and_Processing/cellranger_processing/cellranger_fastqs/outs/fastq_path/H*/BN1902_S3_L002_R2_001.fastq.gz</v>
      </c>
      <c r="K1369" s="46" t="s">
        <v>1332</v>
      </c>
      <c r="L1369" s="46" t="s">
        <v>4061</v>
      </c>
      <c r="M1369" s="46" t="s">
        <v>1309</v>
      </c>
      <c r="N1369" s="46" t="s">
        <v>1310</v>
      </c>
      <c r="O1369" s="46" t="s">
        <v>1311</v>
      </c>
      <c r="P1369" s="46" t="s">
        <v>1312</v>
      </c>
      <c r="Q1369" s="46" t="s">
        <v>31</v>
      </c>
      <c r="R1369" s="46" t="s">
        <v>31</v>
      </c>
      <c r="S1369" s="46" t="s">
        <v>31</v>
      </c>
      <c r="T1369" s="46" t="s">
        <v>31</v>
      </c>
      <c r="U1369" s="46" t="s">
        <v>49</v>
      </c>
    </row>
    <row r="1370" spans="1:21">
      <c r="A1370" s="46" t="s">
        <v>790</v>
      </c>
      <c r="B1370" s="46" t="s">
        <v>225</v>
      </c>
      <c r="C1370" s="46" t="s">
        <v>666</v>
      </c>
      <c r="D1370" s="46">
        <v>1</v>
      </c>
      <c r="E1370" s="46">
        <v>0</v>
      </c>
      <c r="F1370" s="46" t="s">
        <v>708</v>
      </c>
      <c r="G1370" s="46" t="s">
        <v>1305</v>
      </c>
      <c r="H1370" s="46" t="s">
        <v>4062</v>
      </c>
      <c r="I1370" s="46" t="str">
        <f ca="1">IFERROR(__xludf.DUMMYFUNCTION("CONCAT(A1370,REGEXREPLACE(H1370,"".*_L0"",""_L0""))"),"PD_BN1902_MTG_snRNAseq_rep1_L003_I1_001.fastq.gz")</f>
        <v>PD_BN1902_MTG_snRNAseq_rep1_L003_I1_001.fastq.gz</v>
      </c>
      <c r="J1370" s="46" t="str">
        <f t="shared" si="5"/>
        <v>/data/neurogen/ASAP/scRNAseq/data/batch27_ASAP_snRNA-seq_*/Raw_Data_and_Processing/cellranger_processing/cellranger_fastqs/outs/fastq_path/H*/BN1902_S3_L003_I1_001.fastq.gz</v>
      </c>
      <c r="K1370" s="46" t="s">
        <v>1335</v>
      </c>
      <c r="L1370" s="46" t="s">
        <v>4063</v>
      </c>
      <c r="M1370" s="46" t="s">
        <v>1309</v>
      </c>
      <c r="N1370" s="46" t="s">
        <v>1310</v>
      </c>
      <c r="O1370" s="46" t="s">
        <v>1311</v>
      </c>
      <c r="P1370" s="46" t="s">
        <v>1312</v>
      </c>
      <c r="Q1370" s="46" t="s">
        <v>31</v>
      </c>
      <c r="R1370" s="46" t="s">
        <v>31</v>
      </c>
      <c r="S1370" s="46" t="s">
        <v>31</v>
      </c>
      <c r="T1370" s="46" t="s">
        <v>31</v>
      </c>
      <c r="U1370" s="46" t="s">
        <v>49</v>
      </c>
    </row>
    <row r="1371" spans="1:21">
      <c r="A1371" s="46" t="s">
        <v>790</v>
      </c>
      <c r="B1371" s="46" t="s">
        <v>225</v>
      </c>
      <c r="C1371" s="46" t="s">
        <v>666</v>
      </c>
      <c r="D1371" s="46">
        <v>1</v>
      </c>
      <c r="E1371" s="46">
        <v>0</v>
      </c>
      <c r="F1371" s="46" t="s">
        <v>708</v>
      </c>
      <c r="G1371" s="46" t="s">
        <v>1305</v>
      </c>
      <c r="H1371" s="46" t="s">
        <v>4064</v>
      </c>
      <c r="I1371" s="46" t="str">
        <f ca="1">IFERROR(__xludf.DUMMYFUNCTION("CONCAT(A1371,REGEXREPLACE(H1371,"".*_L0"",""_L0""))"),"PD_BN1902_MTG_snRNAseq_rep1_L003_I2_001.fastq.gz")</f>
        <v>PD_BN1902_MTG_snRNAseq_rep1_L003_I2_001.fastq.gz</v>
      </c>
      <c r="J1371" s="46" t="str">
        <f t="shared" si="5"/>
        <v>/data/neurogen/ASAP/scRNAseq/data/batch27_ASAP_snRNA-seq_*/Raw_Data_and_Processing/cellranger_processing/cellranger_fastqs/outs/fastq_path/H*/BN1902_S3_L003_I2_001.fastq.gz</v>
      </c>
      <c r="K1371" s="46" t="s">
        <v>1338</v>
      </c>
      <c r="L1371" s="46" t="s">
        <v>4065</v>
      </c>
      <c r="M1371" s="46" t="s">
        <v>1309</v>
      </c>
      <c r="N1371" s="46" t="s">
        <v>1310</v>
      </c>
      <c r="O1371" s="46" t="s">
        <v>1311</v>
      </c>
      <c r="P1371" s="46" t="s">
        <v>1312</v>
      </c>
      <c r="Q1371" s="46" t="s">
        <v>31</v>
      </c>
      <c r="R1371" s="46" t="s">
        <v>31</v>
      </c>
      <c r="S1371" s="46" t="s">
        <v>31</v>
      </c>
      <c r="T1371" s="46" t="s">
        <v>31</v>
      </c>
      <c r="U1371" s="46" t="s">
        <v>49</v>
      </c>
    </row>
    <row r="1372" spans="1:21">
      <c r="A1372" s="46" t="s">
        <v>790</v>
      </c>
      <c r="B1372" s="46" t="s">
        <v>225</v>
      </c>
      <c r="C1372" s="46" t="s">
        <v>666</v>
      </c>
      <c r="D1372" s="46">
        <v>1</v>
      </c>
      <c r="E1372" s="46">
        <v>0</v>
      </c>
      <c r="F1372" s="46" t="s">
        <v>708</v>
      </c>
      <c r="G1372" s="46" t="s">
        <v>1305</v>
      </c>
      <c r="H1372" s="46" t="s">
        <v>4066</v>
      </c>
      <c r="I1372" s="46" t="str">
        <f ca="1">IFERROR(__xludf.DUMMYFUNCTION("CONCAT(A1372,REGEXREPLACE(H1372,"".*_L0"",""_L0""))"),"PD_BN1902_MTG_snRNAseq_rep1_L003_R1_001.fastq.gz")</f>
        <v>PD_BN1902_MTG_snRNAseq_rep1_L003_R1_001.fastq.gz</v>
      </c>
      <c r="J1372" s="46" t="str">
        <f t="shared" si="5"/>
        <v>/data/neurogen/ASAP/scRNAseq/data/batch27_ASAP_snRNA-seq_*/Raw_Data_and_Processing/cellranger_processing/cellranger_fastqs/outs/fastq_path/H*/BN1902_S3_L003_R1_001.fastq.gz</v>
      </c>
      <c r="K1372" s="46" t="s">
        <v>1341</v>
      </c>
      <c r="L1372" s="46" t="s">
        <v>4067</v>
      </c>
      <c r="M1372" s="46" t="s">
        <v>1309</v>
      </c>
      <c r="N1372" s="46" t="s">
        <v>1310</v>
      </c>
      <c r="O1372" s="46" t="s">
        <v>1311</v>
      </c>
      <c r="P1372" s="46" t="s">
        <v>1312</v>
      </c>
      <c r="Q1372" s="46" t="s">
        <v>31</v>
      </c>
      <c r="R1372" s="46" t="s">
        <v>31</v>
      </c>
      <c r="S1372" s="46" t="s">
        <v>31</v>
      </c>
      <c r="T1372" s="46" t="s">
        <v>31</v>
      </c>
      <c r="U1372" s="46" t="s">
        <v>49</v>
      </c>
    </row>
    <row r="1373" spans="1:21">
      <c r="A1373" s="46" t="s">
        <v>790</v>
      </c>
      <c r="B1373" s="46" t="s">
        <v>225</v>
      </c>
      <c r="C1373" s="46" t="s">
        <v>666</v>
      </c>
      <c r="D1373" s="46">
        <v>1</v>
      </c>
      <c r="E1373" s="46">
        <v>0</v>
      </c>
      <c r="F1373" s="46" t="s">
        <v>708</v>
      </c>
      <c r="G1373" s="46" t="s">
        <v>1305</v>
      </c>
      <c r="H1373" s="46" t="s">
        <v>4068</v>
      </c>
      <c r="I1373" s="46" t="str">
        <f ca="1">IFERROR(__xludf.DUMMYFUNCTION("CONCAT(A1373,REGEXREPLACE(H1373,"".*_L0"",""_L0""))"),"PD_BN1902_MTG_snRNAseq_rep1_L003_R2_001.fastq.gz")</f>
        <v>PD_BN1902_MTG_snRNAseq_rep1_L003_R2_001.fastq.gz</v>
      </c>
      <c r="J1373" s="46" t="str">
        <f t="shared" si="5"/>
        <v>/data/neurogen/ASAP/scRNAseq/data/batch27_ASAP_snRNA-seq_*/Raw_Data_and_Processing/cellranger_processing/cellranger_fastqs/outs/fastq_path/H*/BN1902_S3_L003_R2_001.fastq.gz</v>
      </c>
      <c r="K1373" s="46" t="s">
        <v>1344</v>
      </c>
      <c r="L1373" s="46" t="s">
        <v>4069</v>
      </c>
      <c r="M1373" s="46" t="s">
        <v>1309</v>
      </c>
      <c r="N1373" s="46" t="s">
        <v>1310</v>
      </c>
      <c r="O1373" s="46" t="s">
        <v>1311</v>
      </c>
      <c r="P1373" s="46" t="s">
        <v>1312</v>
      </c>
      <c r="Q1373" s="46" t="s">
        <v>31</v>
      </c>
      <c r="R1373" s="46" t="s">
        <v>31</v>
      </c>
      <c r="S1373" s="46" t="s">
        <v>31</v>
      </c>
      <c r="T1373" s="46" t="s">
        <v>31</v>
      </c>
      <c r="U1373" s="46" t="s">
        <v>49</v>
      </c>
    </row>
    <row r="1374" spans="1:21">
      <c r="A1374" s="46" t="s">
        <v>790</v>
      </c>
      <c r="B1374" s="46" t="s">
        <v>225</v>
      </c>
      <c r="C1374" s="46" t="s">
        <v>666</v>
      </c>
      <c r="D1374" s="46">
        <v>1</v>
      </c>
      <c r="E1374" s="46">
        <v>0</v>
      </c>
      <c r="F1374" s="46" t="s">
        <v>708</v>
      </c>
      <c r="G1374" s="46" t="s">
        <v>1305</v>
      </c>
      <c r="H1374" s="46" t="s">
        <v>4070</v>
      </c>
      <c r="I1374" s="46" t="str">
        <f ca="1">IFERROR(__xludf.DUMMYFUNCTION("CONCAT(A1374,REGEXREPLACE(H1374,"".*_L0"",""_L0""))"),"PD_BN1902_MTG_snRNAseq_rep1_L004_I1_001.fastq.gz")</f>
        <v>PD_BN1902_MTG_snRNAseq_rep1_L004_I1_001.fastq.gz</v>
      </c>
      <c r="J1374" s="46" t="str">
        <f t="shared" si="5"/>
        <v>/data/neurogen/ASAP/scRNAseq/data/batch27_ASAP_snRNA-seq_*/Raw_Data_and_Processing/cellranger_processing/cellranger_fastqs/outs/fastq_path/H*/BN1902_S3_L004_I1_001.fastq.gz</v>
      </c>
      <c r="K1374" s="46" t="s">
        <v>1347</v>
      </c>
      <c r="L1374" s="46" t="s">
        <v>4071</v>
      </c>
      <c r="M1374" s="46" t="s">
        <v>1309</v>
      </c>
      <c r="N1374" s="46" t="s">
        <v>1310</v>
      </c>
      <c r="O1374" s="46" t="s">
        <v>1311</v>
      </c>
      <c r="P1374" s="46" t="s">
        <v>1312</v>
      </c>
      <c r="Q1374" s="46" t="s">
        <v>31</v>
      </c>
      <c r="R1374" s="46" t="s">
        <v>31</v>
      </c>
      <c r="S1374" s="46" t="s">
        <v>31</v>
      </c>
      <c r="T1374" s="46" t="s">
        <v>31</v>
      </c>
      <c r="U1374" s="46" t="s">
        <v>49</v>
      </c>
    </row>
    <row r="1375" spans="1:21">
      <c r="A1375" s="46" t="s">
        <v>790</v>
      </c>
      <c r="B1375" s="46" t="s">
        <v>225</v>
      </c>
      <c r="C1375" s="46" t="s">
        <v>666</v>
      </c>
      <c r="D1375" s="46">
        <v>1</v>
      </c>
      <c r="E1375" s="46">
        <v>0</v>
      </c>
      <c r="F1375" s="46" t="s">
        <v>708</v>
      </c>
      <c r="G1375" s="46" t="s">
        <v>1305</v>
      </c>
      <c r="H1375" s="46" t="s">
        <v>4072</v>
      </c>
      <c r="I1375" s="46" t="str">
        <f ca="1">IFERROR(__xludf.DUMMYFUNCTION("CONCAT(A1375,REGEXREPLACE(H1375,"".*_L0"",""_L0""))"),"PD_BN1902_MTG_snRNAseq_rep1_L004_I2_001.fastq.gz")</f>
        <v>PD_BN1902_MTG_snRNAseq_rep1_L004_I2_001.fastq.gz</v>
      </c>
      <c r="J1375" s="46" t="str">
        <f t="shared" si="5"/>
        <v>/data/neurogen/ASAP/scRNAseq/data/batch27_ASAP_snRNA-seq_*/Raw_Data_and_Processing/cellranger_processing/cellranger_fastqs/outs/fastq_path/H*/BN1902_S3_L004_I2_001.fastq.gz</v>
      </c>
      <c r="K1375" s="46" t="s">
        <v>1350</v>
      </c>
      <c r="L1375" s="46" t="s">
        <v>4073</v>
      </c>
      <c r="M1375" s="46" t="s">
        <v>1309</v>
      </c>
      <c r="N1375" s="46" t="s">
        <v>1310</v>
      </c>
      <c r="O1375" s="46" t="s">
        <v>1311</v>
      </c>
      <c r="P1375" s="46" t="s">
        <v>1312</v>
      </c>
      <c r="Q1375" s="46" t="s">
        <v>31</v>
      </c>
      <c r="R1375" s="46" t="s">
        <v>31</v>
      </c>
      <c r="S1375" s="46" t="s">
        <v>31</v>
      </c>
      <c r="T1375" s="46" t="s">
        <v>31</v>
      </c>
      <c r="U1375" s="46" t="s">
        <v>49</v>
      </c>
    </row>
    <row r="1376" spans="1:21">
      <c r="A1376" s="46" t="s">
        <v>790</v>
      </c>
      <c r="B1376" s="46" t="s">
        <v>225</v>
      </c>
      <c r="C1376" s="46" t="s">
        <v>666</v>
      </c>
      <c r="D1376" s="46">
        <v>1</v>
      </c>
      <c r="E1376" s="46">
        <v>0</v>
      </c>
      <c r="F1376" s="46" t="s">
        <v>708</v>
      </c>
      <c r="G1376" s="46" t="s">
        <v>1305</v>
      </c>
      <c r="H1376" s="46" t="s">
        <v>4074</v>
      </c>
      <c r="I1376" s="46" t="str">
        <f ca="1">IFERROR(__xludf.DUMMYFUNCTION("CONCAT(A1376,REGEXREPLACE(H1376,"".*_L0"",""_L0""))"),"PD_BN1902_MTG_snRNAseq_rep1_L004_R1_001.fastq.gz")</f>
        <v>PD_BN1902_MTG_snRNAseq_rep1_L004_R1_001.fastq.gz</v>
      </c>
      <c r="J1376" s="46" t="str">
        <f t="shared" si="5"/>
        <v>/data/neurogen/ASAP/scRNAseq/data/batch27_ASAP_snRNA-seq_*/Raw_Data_and_Processing/cellranger_processing/cellranger_fastqs/outs/fastq_path/H*/BN1902_S3_L004_R1_001.fastq.gz</v>
      </c>
      <c r="K1376" s="46" t="s">
        <v>1353</v>
      </c>
      <c r="L1376" s="46" t="s">
        <v>4075</v>
      </c>
      <c r="M1376" s="46" t="s">
        <v>1309</v>
      </c>
      <c r="N1376" s="46" t="s">
        <v>1310</v>
      </c>
      <c r="O1376" s="46" t="s">
        <v>1311</v>
      </c>
      <c r="P1376" s="46" t="s">
        <v>1312</v>
      </c>
      <c r="Q1376" s="46" t="s">
        <v>31</v>
      </c>
      <c r="R1376" s="46" t="s">
        <v>31</v>
      </c>
      <c r="S1376" s="46" t="s">
        <v>31</v>
      </c>
      <c r="T1376" s="46" t="s">
        <v>31</v>
      </c>
      <c r="U1376" s="46" t="s">
        <v>49</v>
      </c>
    </row>
    <row r="1377" spans="1:21">
      <c r="A1377" s="46" t="s">
        <v>790</v>
      </c>
      <c r="B1377" s="46" t="s">
        <v>225</v>
      </c>
      <c r="C1377" s="46" t="s">
        <v>666</v>
      </c>
      <c r="D1377" s="46">
        <v>1</v>
      </c>
      <c r="E1377" s="46">
        <v>0</v>
      </c>
      <c r="F1377" s="46" t="s">
        <v>708</v>
      </c>
      <c r="G1377" s="46" t="s">
        <v>1305</v>
      </c>
      <c r="H1377" s="46" t="s">
        <v>4076</v>
      </c>
      <c r="I1377" s="46" t="str">
        <f ca="1">IFERROR(__xludf.DUMMYFUNCTION("CONCAT(A1377,REGEXREPLACE(H1377,"".*_L0"",""_L0""))"),"PD_BN1902_MTG_snRNAseq_rep1_L004_R2_001.fastq.gz")</f>
        <v>PD_BN1902_MTG_snRNAseq_rep1_L004_R2_001.fastq.gz</v>
      </c>
      <c r="J1377" s="46" t="str">
        <f t="shared" si="5"/>
        <v>/data/neurogen/ASAP/scRNAseq/data/batch27_ASAP_snRNA-seq_*/Raw_Data_and_Processing/cellranger_processing/cellranger_fastqs/outs/fastq_path/H*/BN1902_S3_L004_R2_001.fastq.gz</v>
      </c>
      <c r="K1377" s="46" t="s">
        <v>1356</v>
      </c>
      <c r="L1377" s="46" t="s">
        <v>4077</v>
      </c>
      <c r="M1377" s="46" t="s">
        <v>1309</v>
      </c>
      <c r="N1377" s="46" t="s">
        <v>1310</v>
      </c>
      <c r="O1377" s="46" t="s">
        <v>1311</v>
      </c>
      <c r="P1377" s="46" t="s">
        <v>1312</v>
      </c>
      <c r="Q1377" s="46" t="s">
        <v>31</v>
      </c>
      <c r="R1377" s="46" t="s">
        <v>31</v>
      </c>
      <c r="S1377" s="46" t="s">
        <v>31</v>
      </c>
      <c r="T1377" s="46" t="s">
        <v>31</v>
      </c>
      <c r="U1377" s="46" t="s">
        <v>49</v>
      </c>
    </row>
    <row r="1378" spans="1:21">
      <c r="A1378" s="46" t="s">
        <v>788</v>
      </c>
      <c r="B1378" s="46" t="s">
        <v>223</v>
      </c>
      <c r="C1378" s="46" t="s">
        <v>666</v>
      </c>
      <c r="D1378" s="46">
        <v>1</v>
      </c>
      <c r="E1378" s="46">
        <v>0</v>
      </c>
      <c r="F1378" s="46" t="s">
        <v>789</v>
      </c>
      <c r="G1378" s="46" t="s">
        <v>1305</v>
      </c>
      <c r="H1378" s="46" t="s">
        <v>4078</v>
      </c>
      <c r="I1378" s="46" t="str">
        <f ca="1">IFERROR(__xludf.DUMMYFUNCTION("CONCAT(A1378,REGEXREPLACE(H1378,"".*_L0"",""_L0""))"),"HC_BN1878_MTG_snRNAseq_rep1_L001_I1_001.fastq.gz")</f>
        <v>HC_BN1878_MTG_snRNAseq_rep1_L001_I1_001.fastq.gz</v>
      </c>
      <c r="J1378" s="46" t="str">
        <f t="shared" si="5"/>
        <v>/data/neurogen/ASAP/scRNAseq/data/batch28_ASAP_snRNA-seq_*/Raw_Data_and_Processing/cellranger_processing/cellranger_fastqs/outs/fastq_path/H*/BN1878_S1_L001_I1_001.fastq.gz</v>
      </c>
      <c r="K1378" s="46" t="s">
        <v>1307</v>
      </c>
      <c r="L1378" s="46" t="s">
        <v>4079</v>
      </c>
      <c r="M1378" s="46" t="s">
        <v>1309</v>
      </c>
      <c r="N1378" s="46" t="s">
        <v>1310</v>
      </c>
      <c r="O1378" s="46" t="s">
        <v>1311</v>
      </c>
      <c r="P1378" s="46" t="s">
        <v>1312</v>
      </c>
      <c r="Q1378" s="46" t="s">
        <v>31</v>
      </c>
      <c r="R1378" s="46" t="s">
        <v>31</v>
      </c>
      <c r="S1378" s="46" t="s">
        <v>31</v>
      </c>
      <c r="T1378" s="46" t="s">
        <v>31</v>
      </c>
      <c r="U1378" s="46" t="s">
        <v>49</v>
      </c>
    </row>
    <row r="1379" spans="1:21">
      <c r="A1379" s="46" t="s">
        <v>788</v>
      </c>
      <c r="B1379" s="46" t="s">
        <v>223</v>
      </c>
      <c r="C1379" s="46" t="s">
        <v>666</v>
      </c>
      <c r="D1379" s="46">
        <v>1</v>
      </c>
      <c r="E1379" s="46">
        <v>0</v>
      </c>
      <c r="F1379" s="46" t="s">
        <v>789</v>
      </c>
      <c r="G1379" s="46" t="s">
        <v>1305</v>
      </c>
      <c r="H1379" s="46" t="s">
        <v>4080</v>
      </c>
      <c r="I1379" s="46" t="str">
        <f ca="1">IFERROR(__xludf.DUMMYFUNCTION("CONCAT(A1379,REGEXREPLACE(H1379,"".*_L0"",""_L0""))"),"HC_BN1878_MTG_snRNAseq_rep1_L001_I2_001.fastq.gz")</f>
        <v>HC_BN1878_MTG_snRNAseq_rep1_L001_I2_001.fastq.gz</v>
      </c>
      <c r="J1379" s="46" t="str">
        <f t="shared" si="5"/>
        <v>/data/neurogen/ASAP/scRNAseq/data/batch28_ASAP_snRNA-seq_*/Raw_Data_and_Processing/cellranger_processing/cellranger_fastqs/outs/fastq_path/H*/BN1878_S1_L001_I2_001.fastq.gz</v>
      </c>
      <c r="K1379" s="46" t="s">
        <v>1314</v>
      </c>
      <c r="L1379" s="46" t="s">
        <v>4081</v>
      </c>
      <c r="M1379" s="46" t="s">
        <v>1309</v>
      </c>
      <c r="N1379" s="46" t="s">
        <v>1310</v>
      </c>
      <c r="O1379" s="46" t="s">
        <v>1311</v>
      </c>
      <c r="P1379" s="46" t="s">
        <v>1312</v>
      </c>
      <c r="Q1379" s="46" t="s">
        <v>31</v>
      </c>
      <c r="R1379" s="46" t="s">
        <v>31</v>
      </c>
      <c r="S1379" s="46" t="s">
        <v>31</v>
      </c>
      <c r="T1379" s="46" t="s">
        <v>31</v>
      </c>
      <c r="U1379" s="46" t="s">
        <v>49</v>
      </c>
    </row>
    <row r="1380" spans="1:21">
      <c r="A1380" s="46" t="s">
        <v>788</v>
      </c>
      <c r="B1380" s="46" t="s">
        <v>223</v>
      </c>
      <c r="C1380" s="46" t="s">
        <v>666</v>
      </c>
      <c r="D1380" s="46">
        <v>1</v>
      </c>
      <c r="E1380" s="46">
        <v>0</v>
      </c>
      <c r="F1380" s="46" t="s">
        <v>789</v>
      </c>
      <c r="G1380" s="46" t="s">
        <v>1305</v>
      </c>
      <c r="H1380" s="46" t="s">
        <v>4082</v>
      </c>
      <c r="I1380" s="46" t="str">
        <f ca="1">IFERROR(__xludf.DUMMYFUNCTION("CONCAT(A1380,REGEXREPLACE(H1380,"".*_L0"",""_L0""))"),"HC_BN1878_MTG_snRNAseq_rep1_L001_R1_001.fastq.gz")</f>
        <v>HC_BN1878_MTG_snRNAseq_rep1_L001_R1_001.fastq.gz</v>
      </c>
      <c r="J1380" s="46" t="str">
        <f t="shared" si="5"/>
        <v>/data/neurogen/ASAP/scRNAseq/data/batch28_ASAP_snRNA-seq_*/Raw_Data_and_Processing/cellranger_processing/cellranger_fastqs/outs/fastq_path/H*/BN1878_S1_L001_R1_001.fastq.gz</v>
      </c>
      <c r="K1380" s="46" t="s">
        <v>1317</v>
      </c>
      <c r="L1380" s="46" t="s">
        <v>4083</v>
      </c>
      <c r="M1380" s="46" t="s">
        <v>1309</v>
      </c>
      <c r="N1380" s="46" t="s">
        <v>1310</v>
      </c>
      <c r="O1380" s="46" t="s">
        <v>1311</v>
      </c>
      <c r="P1380" s="46" t="s">
        <v>1312</v>
      </c>
      <c r="Q1380" s="46" t="s">
        <v>31</v>
      </c>
      <c r="R1380" s="46" t="s">
        <v>31</v>
      </c>
      <c r="S1380" s="46" t="s">
        <v>31</v>
      </c>
      <c r="T1380" s="46" t="s">
        <v>31</v>
      </c>
      <c r="U1380" s="46" t="s">
        <v>49</v>
      </c>
    </row>
    <row r="1381" spans="1:21">
      <c r="A1381" s="46" t="s">
        <v>788</v>
      </c>
      <c r="B1381" s="46" t="s">
        <v>223</v>
      </c>
      <c r="C1381" s="46" t="s">
        <v>666</v>
      </c>
      <c r="D1381" s="46">
        <v>1</v>
      </c>
      <c r="E1381" s="46">
        <v>0</v>
      </c>
      <c r="F1381" s="46" t="s">
        <v>789</v>
      </c>
      <c r="G1381" s="46" t="s">
        <v>1305</v>
      </c>
      <c r="H1381" s="46" t="s">
        <v>4084</v>
      </c>
      <c r="I1381" s="46" t="str">
        <f ca="1">IFERROR(__xludf.DUMMYFUNCTION("CONCAT(A1381,REGEXREPLACE(H1381,"".*_L0"",""_L0""))"),"HC_BN1878_MTG_snRNAseq_rep1_L001_R2_001.fastq.gz")</f>
        <v>HC_BN1878_MTG_snRNAseq_rep1_L001_R2_001.fastq.gz</v>
      </c>
      <c r="J1381" s="46" t="str">
        <f t="shared" si="5"/>
        <v>/data/neurogen/ASAP/scRNAseq/data/batch28_ASAP_snRNA-seq_*/Raw_Data_and_Processing/cellranger_processing/cellranger_fastqs/outs/fastq_path/H*/BN1878_S1_L001_R2_001.fastq.gz</v>
      </c>
      <c r="K1381" s="46" t="s">
        <v>1320</v>
      </c>
      <c r="L1381" s="46" t="s">
        <v>4085</v>
      </c>
      <c r="M1381" s="46" t="s">
        <v>1309</v>
      </c>
      <c r="N1381" s="46" t="s">
        <v>1310</v>
      </c>
      <c r="O1381" s="46" t="s">
        <v>1311</v>
      </c>
      <c r="P1381" s="46" t="s">
        <v>1312</v>
      </c>
      <c r="Q1381" s="46" t="s">
        <v>31</v>
      </c>
      <c r="R1381" s="46" t="s">
        <v>31</v>
      </c>
      <c r="S1381" s="46" t="s">
        <v>31</v>
      </c>
      <c r="T1381" s="46" t="s">
        <v>31</v>
      </c>
      <c r="U1381" s="46" t="s">
        <v>49</v>
      </c>
    </row>
    <row r="1382" spans="1:21">
      <c r="A1382" s="46" t="s">
        <v>788</v>
      </c>
      <c r="B1382" s="46" t="s">
        <v>223</v>
      </c>
      <c r="C1382" s="46" t="s">
        <v>666</v>
      </c>
      <c r="D1382" s="46">
        <v>1</v>
      </c>
      <c r="E1382" s="46">
        <v>0</v>
      </c>
      <c r="F1382" s="46" t="s">
        <v>789</v>
      </c>
      <c r="G1382" s="46" t="s">
        <v>1305</v>
      </c>
      <c r="H1382" s="46" t="s">
        <v>4086</v>
      </c>
      <c r="I1382" s="46" t="str">
        <f ca="1">IFERROR(__xludf.DUMMYFUNCTION("CONCAT(A1382,REGEXREPLACE(H1382,"".*_L0"",""_L0""))"),"HC_BN1878_MTG_snRNAseq_rep1_L002_I1_001.fastq.gz")</f>
        <v>HC_BN1878_MTG_snRNAseq_rep1_L002_I1_001.fastq.gz</v>
      </c>
      <c r="J1382" s="46" t="str">
        <f t="shared" si="5"/>
        <v>/data/neurogen/ASAP/scRNAseq/data/batch28_ASAP_snRNA-seq_*/Raw_Data_and_Processing/cellranger_processing/cellranger_fastqs/outs/fastq_path/H*/BN1878_S1_L002_I1_001.fastq.gz</v>
      </c>
      <c r="K1382" s="46" t="s">
        <v>1323</v>
      </c>
      <c r="L1382" s="46" t="s">
        <v>4087</v>
      </c>
      <c r="M1382" s="46" t="s">
        <v>1309</v>
      </c>
      <c r="N1382" s="46" t="s">
        <v>1310</v>
      </c>
      <c r="O1382" s="46" t="s">
        <v>1311</v>
      </c>
      <c r="P1382" s="46" t="s">
        <v>1312</v>
      </c>
      <c r="Q1382" s="46" t="s">
        <v>31</v>
      </c>
      <c r="R1382" s="46" t="s">
        <v>31</v>
      </c>
      <c r="S1382" s="46" t="s">
        <v>31</v>
      </c>
      <c r="T1382" s="46" t="s">
        <v>31</v>
      </c>
      <c r="U1382" s="46" t="s">
        <v>49</v>
      </c>
    </row>
    <row r="1383" spans="1:21">
      <c r="A1383" s="46" t="s">
        <v>788</v>
      </c>
      <c r="B1383" s="46" t="s">
        <v>223</v>
      </c>
      <c r="C1383" s="46" t="s">
        <v>666</v>
      </c>
      <c r="D1383" s="46">
        <v>1</v>
      </c>
      <c r="E1383" s="46">
        <v>0</v>
      </c>
      <c r="F1383" s="46" t="s">
        <v>789</v>
      </c>
      <c r="G1383" s="46" t="s">
        <v>1305</v>
      </c>
      <c r="H1383" s="46" t="s">
        <v>4088</v>
      </c>
      <c r="I1383" s="46" t="str">
        <f ca="1">IFERROR(__xludf.DUMMYFUNCTION("CONCAT(A1383,REGEXREPLACE(H1383,"".*_L0"",""_L0""))"),"HC_BN1878_MTG_snRNAseq_rep1_L002_I2_001.fastq.gz")</f>
        <v>HC_BN1878_MTG_snRNAseq_rep1_L002_I2_001.fastq.gz</v>
      </c>
      <c r="J1383" s="46" t="str">
        <f t="shared" si="5"/>
        <v>/data/neurogen/ASAP/scRNAseq/data/batch28_ASAP_snRNA-seq_*/Raw_Data_and_Processing/cellranger_processing/cellranger_fastqs/outs/fastq_path/H*/BN1878_S1_L002_I2_001.fastq.gz</v>
      </c>
      <c r="K1383" s="46" t="s">
        <v>1326</v>
      </c>
      <c r="L1383" s="46" t="s">
        <v>4089</v>
      </c>
      <c r="M1383" s="46" t="s">
        <v>1309</v>
      </c>
      <c r="N1383" s="46" t="s">
        <v>1310</v>
      </c>
      <c r="O1383" s="46" t="s">
        <v>1311</v>
      </c>
      <c r="P1383" s="46" t="s">
        <v>1312</v>
      </c>
      <c r="Q1383" s="46" t="s">
        <v>31</v>
      </c>
      <c r="R1383" s="46" t="s">
        <v>31</v>
      </c>
      <c r="S1383" s="46" t="s">
        <v>31</v>
      </c>
      <c r="T1383" s="46" t="s">
        <v>31</v>
      </c>
      <c r="U1383" s="46" t="s">
        <v>49</v>
      </c>
    </row>
    <row r="1384" spans="1:21">
      <c r="A1384" s="46" t="s">
        <v>788</v>
      </c>
      <c r="B1384" s="46" t="s">
        <v>223</v>
      </c>
      <c r="C1384" s="46" t="s">
        <v>666</v>
      </c>
      <c r="D1384" s="46">
        <v>1</v>
      </c>
      <c r="E1384" s="46">
        <v>0</v>
      </c>
      <c r="F1384" s="46" t="s">
        <v>789</v>
      </c>
      <c r="G1384" s="46" t="s">
        <v>1305</v>
      </c>
      <c r="H1384" s="46" t="s">
        <v>4090</v>
      </c>
      <c r="I1384" s="46" t="str">
        <f ca="1">IFERROR(__xludf.DUMMYFUNCTION("CONCAT(A1384,REGEXREPLACE(H1384,"".*_L0"",""_L0""))"),"HC_BN1878_MTG_snRNAseq_rep1_L002_R1_001.fastq.gz")</f>
        <v>HC_BN1878_MTG_snRNAseq_rep1_L002_R1_001.fastq.gz</v>
      </c>
      <c r="J1384" s="46" t="str">
        <f t="shared" si="5"/>
        <v>/data/neurogen/ASAP/scRNAseq/data/batch28_ASAP_snRNA-seq_*/Raw_Data_and_Processing/cellranger_processing/cellranger_fastqs/outs/fastq_path/H*/BN1878_S1_L002_R1_001.fastq.gz</v>
      </c>
      <c r="K1384" s="46" t="s">
        <v>1329</v>
      </c>
      <c r="L1384" s="46" t="s">
        <v>4091</v>
      </c>
      <c r="M1384" s="46" t="s">
        <v>1309</v>
      </c>
      <c r="N1384" s="46" t="s">
        <v>1310</v>
      </c>
      <c r="O1384" s="46" t="s">
        <v>1311</v>
      </c>
      <c r="P1384" s="46" t="s">
        <v>1312</v>
      </c>
      <c r="Q1384" s="46" t="s">
        <v>31</v>
      </c>
      <c r="R1384" s="46" t="s">
        <v>31</v>
      </c>
      <c r="S1384" s="46" t="s">
        <v>31</v>
      </c>
      <c r="T1384" s="46" t="s">
        <v>31</v>
      </c>
      <c r="U1384" s="46" t="s">
        <v>49</v>
      </c>
    </row>
    <row r="1385" spans="1:21">
      <c r="A1385" s="46" t="s">
        <v>788</v>
      </c>
      <c r="B1385" s="46" t="s">
        <v>223</v>
      </c>
      <c r="C1385" s="46" t="s">
        <v>666</v>
      </c>
      <c r="D1385" s="46">
        <v>1</v>
      </c>
      <c r="E1385" s="46">
        <v>0</v>
      </c>
      <c r="F1385" s="46" t="s">
        <v>789</v>
      </c>
      <c r="G1385" s="46" t="s">
        <v>1305</v>
      </c>
      <c r="H1385" s="46" t="s">
        <v>4092</v>
      </c>
      <c r="I1385" s="46" t="str">
        <f ca="1">IFERROR(__xludf.DUMMYFUNCTION("CONCAT(A1385,REGEXREPLACE(H1385,"".*_L0"",""_L0""))"),"HC_BN1878_MTG_snRNAseq_rep1_L002_R2_001.fastq.gz")</f>
        <v>HC_BN1878_MTG_snRNAseq_rep1_L002_R2_001.fastq.gz</v>
      </c>
      <c r="J1385" s="46" t="str">
        <f t="shared" si="5"/>
        <v>/data/neurogen/ASAP/scRNAseq/data/batch28_ASAP_snRNA-seq_*/Raw_Data_and_Processing/cellranger_processing/cellranger_fastqs/outs/fastq_path/H*/BN1878_S1_L002_R2_001.fastq.gz</v>
      </c>
      <c r="K1385" s="46" t="s">
        <v>1332</v>
      </c>
      <c r="L1385" s="46" t="s">
        <v>4093</v>
      </c>
      <c r="M1385" s="46" t="s">
        <v>1309</v>
      </c>
      <c r="N1385" s="46" t="s">
        <v>1310</v>
      </c>
      <c r="O1385" s="46" t="s">
        <v>1311</v>
      </c>
      <c r="P1385" s="46" t="s">
        <v>1312</v>
      </c>
      <c r="Q1385" s="46" t="s">
        <v>31</v>
      </c>
      <c r="R1385" s="46" t="s">
        <v>31</v>
      </c>
      <c r="S1385" s="46" t="s">
        <v>31</v>
      </c>
      <c r="T1385" s="46" t="s">
        <v>31</v>
      </c>
      <c r="U1385" s="46" t="s">
        <v>49</v>
      </c>
    </row>
    <row r="1386" spans="1:21">
      <c r="A1386" s="46" t="s">
        <v>788</v>
      </c>
      <c r="B1386" s="46" t="s">
        <v>223</v>
      </c>
      <c r="C1386" s="46" t="s">
        <v>666</v>
      </c>
      <c r="D1386" s="46">
        <v>1</v>
      </c>
      <c r="E1386" s="46">
        <v>0</v>
      </c>
      <c r="F1386" s="46" t="s">
        <v>789</v>
      </c>
      <c r="G1386" s="46" t="s">
        <v>1305</v>
      </c>
      <c r="H1386" s="46" t="s">
        <v>4094</v>
      </c>
      <c r="I1386" s="46" t="str">
        <f ca="1">IFERROR(__xludf.DUMMYFUNCTION("CONCAT(A1386,REGEXREPLACE(H1386,"".*_L0"",""_L0""))"),"HC_BN1878_MTG_snRNAseq_rep1_L003_I1_001.fastq.gz")</f>
        <v>HC_BN1878_MTG_snRNAseq_rep1_L003_I1_001.fastq.gz</v>
      </c>
      <c r="J1386" s="46" t="str">
        <f t="shared" si="5"/>
        <v>/data/neurogen/ASAP/scRNAseq/data/batch28_ASAP_snRNA-seq_*/Raw_Data_and_Processing/cellranger_processing/cellranger_fastqs/outs/fastq_path/H*/BN1878_S1_L003_I1_001.fastq.gz</v>
      </c>
      <c r="K1386" s="46" t="s">
        <v>1335</v>
      </c>
      <c r="L1386" s="46" t="s">
        <v>4095</v>
      </c>
      <c r="M1386" s="46" t="s">
        <v>1309</v>
      </c>
      <c r="N1386" s="46" t="s">
        <v>1310</v>
      </c>
      <c r="O1386" s="46" t="s">
        <v>1311</v>
      </c>
      <c r="P1386" s="46" t="s">
        <v>1312</v>
      </c>
      <c r="Q1386" s="46" t="s">
        <v>31</v>
      </c>
      <c r="R1386" s="46" t="s">
        <v>31</v>
      </c>
      <c r="S1386" s="46" t="s">
        <v>31</v>
      </c>
      <c r="T1386" s="46" t="s">
        <v>31</v>
      </c>
      <c r="U1386" s="46" t="s">
        <v>49</v>
      </c>
    </row>
    <row r="1387" spans="1:21">
      <c r="A1387" s="46" t="s">
        <v>788</v>
      </c>
      <c r="B1387" s="46" t="s">
        <v>223</v>
      </c>
      <c r="C1387" s="46" t="s">
        <v>666</v>
      </c>
      <c r="D1387" s="46">
        <v>1</v>
      </c>
      <c r="E1387" s="46">
        <v>0</v>
      </c>
      <c r="F1387" s="46" t="s">
        <v>789</v>
      </c>
      <c r="G1387" s="46" t="s">
        <v>1305</v>
      </c>
      <c r="H1387" s="46" t="s">
        <v>4096</v>
      </c>
      <c r="I1387" s="46" t="str">
        <f ca="1">IFERROR(__xludf.DUMMYFUNCTION("CONCAT(A1387,REGEXREPLACE(H1387,"".*_L0"",""_L0""))"),"HC_BN1878_MTG_snRNAseq_rep1_L003_I2_001.fastq.gz")</f>
        <v>HC_BN1878_MTG_snRNAseq_rep1_L003_I2_001.fastq.gz</v>
      </c>
      <c r="J1387" s="46" t="str">
        <f t="shared" si="5"/>
        <v>/data/neurogen/ASAP/scRNAseq/data/batch28_ASAP_snRNA-seq_*/Raw_Data_and_Processing/cellranger_processing/cellranger_fastqs/outs/fastq_path/H*/BN1878_S1_L003_I2_001.fastq.gz</v>
      </c>
      <c r="K1387" s="46" t="s">
        <v>1338</v>
      </c>
      <c r="L1387" s="46" t="s">
        <v>4097</v>
      </c>
      <c r="M1387" s="46" t="s">
        <v>1309</v>
      </c>
      <c r="N1387" s="46" t="s">
        <v>1310</v>
      </c>
      <c r="O1387" s="46" t="s">
        <v>1311</v>
      </c>
      <c r="P1387" s="46" t="s">
        <v>1312</v>
      </c>
      <c r="Q1387" s="46" t="s">
        <v>31</v>
      </c>
      <c r="R1387" s="46" t="s">
        <v>31</v>
      </c>
      <c r="S1387" s="46" t="s">
        <v>31</v>
      </c>
      <c r="T1387" s="46" t="s">
        <v>31</v>
      </c>
      <c r="U1387" s="46" t="s">
        <v>49</v>
      </c>
    </row>
    <row r="1388" spans="1:21">
      <c r="A1388" s="46" t="s">
        <v>788</v>
      </c>
      <c r="B1388" s="46" t="s">
        <v>223</v>
      </c>
      <c r="C1388" s="46" t="s">
        <v>666</v>
      </c>
      <c r="D1388" s="46">
        <v>1</v>
      </c>
      <c r="E1388" s="46">
        <v>0</v>
      </c>
      <c r="F1388" s="46" t="s">
        <v>789</v>
      </c>
      <c r="G1388" s="46" t="s">
        <v>1305</v>
      </c>
      <c r="H1388" s="46" t="s">
        <v>4098</v>
      </c>
      <c r="I1388" s="46" t="str">
        <f ca="1">IFERROR(__xludf.DUMMYFUNCTION("CONCAT(A1388,REGEXREPLACE(H1388,"".*_L0"",""_L0""))"),"HC_BN1878_MTG_snRNAseq_rep1_L003_R1_001.fastq.gz")</f>
        <v>HC_BN1878_MTG_snRNAseq_rep1_L003_R1_001.fastq.gz</v>
      </c>
      <c r="J1388" s="46" t="str">
        <f t="shared" si="5"/>
        <v>/data/neurogen/ASAP/scRNAseq/data/batch28_ASAP_snRNA-seq_*/Raw_Data_and_Processing/cellranger_processing/cellranger_fastqs/outs/fastq_path/H*/BN1878_S1_L003_R1_001.fastq.gz</v>
      </c>
      <c r="K1388" s="46" t="s">
        <v>1341</v>
      </c>
      <c r="L1388" s="46" t="s">
        <v>4099</v>
      </c>
      <c r="M1388" s="46" t="s">
        <v>1309</v>
      </c>
      <c r="N1388" s="46" t="s">
        <v>1310</v>
      </c>
      <c r="O1388" s="46" t="s">
        <v>1311</v>
      </c>
      <c r="P1388" s="46" t="s">
        <v>1312</v>
      </c>
      <c r="Q1388" s="46" t="s">
        <v>31</v>
      </c>
      <c r="R1388" s="46" t="s">
        <v>31</v>
      </c>
      <c r="S1388" s="46" t="s">
        <v>31</v>
      </c>
      <c r="T1388" s="46" t="s">
        <v>31</v>
      </c>
      <c r="U1388" s="46" t="s">
        <v>49</v>
      </c>
    </row>
    <row r="1389" spans="1:21">
      <c r="A1389" s="46" t="s">
        <v>788</v>
      </c>
      <c r="B1389" s="46" t="s">
        <v>223</v>
      </c>
      <c r="C1389" s="46" t="s">
        <v>666</v>
      </c>
      <c r="D1389" s="46">
        <v>1</v>
      </c>
      <c r="E1389" s="46">
        <v>0</v>
      </c>
      <c r="F1389" s="46" t="s">
        <v>789</v>
      </c>
      <c r="G1389" s="46" t="s">
        <v>1305</v>
      </c>
      <c r="H1389" s="46" t="s">
        <v>4100</v>
      </c>
      <c r="I1389" s="46" t="str">
        <f ca="1">IFERROR(__xludf.DUMMYFUNCTION("CONCAT(A1389,REGEXREPLACE(H1389,"".*_L0"",""_L0""))"),"HC_BN1878_MTG_snRNAseq_rep1_L003_R2_001.fastq.gz")</f>
        <v>HC_BN1878_MTG_snRNAseq_rep1_L003_R2_001.fastq.gz</v>
      </c>
      <c r="J1389" s="46" t="str">
        <f t="shared" si="5"/>
        <v>/data/neurogen/ASAP/scRNAseq/data/batch28_ASAP_snRNA-seq_*/Raw_Data_and_Processing/cellranger_processing/cellranger_fastqs/outs/fastq_path/H*/BN1878_S1_L003_R2_001.fastq.gz</v>
      </c>
      <c r="K1389" s="46" t="s">
        <v>1344</v>
      </c>
      <c r="L1389" s="46" t="s">
        <v>4101</v>
      </c>
      <c r="M1389" s="46" t="s">
        <v>1309</v>
      </c>
      <c r="N1389" s="46" t="s">
        <v>1310</v>
      </c>
      <c r="O1389" s="46" t="s">
        <v>1311</v>
      </c>
      <c r="P1389" s="46" t="s">
        <v>1312</v>
      </c>
      <c r="Q1389" s="46" t="s">
        <v>31</v>
      </c>
      <c r="R1389" s="46" t="s">
        <v>31</v>
      </c>
      <c r="S1389" s="46" t="s">
        <v>31</v>
      </c>
      <c r="T1389" s="46" t="s">
        <v>31</v>
      </c>
      <c r="U1389" s="46" t="s">
        <v>49</v>
      </c>
    </row>
    <row r="1390" spans="1:21">
      <c r="A1390" s="46" t="s">
        <v>788</v>
      </c>
      <c r="B1390" s="46" t="s">
        <v>223</v>
      </c>
      <c r="C1390" s="46" t="s">
        <v>666</v>
      </c>
      <c r="D1390" s="46">
        <v>1</v>
      </c>
      <c r="E1390" s="46">
        <v>0</v>
      </c>
      <c r="F1390" s="46" t="s">
        <v>789</v>
      </c>
      <c r="G1390" s="46" t="s">
        <v>1305</v>
      </c>
      <c r="H1390" s="46" t="s">
        <v>4102</v>
      </c>
      <c r="I1390" s="46" t="str">
        <f ca="1">IFERROR(__xludf.DUMMYFUNCTION("CONCAT(A1390,REGEXREPLACE(H1390,"".*_L0"",""_L0""))"),"HC_BN1878_MTG_snRNAseq_rep1_L004_I1_001.fastq.gz")</f>
        <v>HC_BN1878_MTG_snRNAseq_rep1_L004_I1_001.fastq.gz</v>
      </c>
      <c r="J1390" s="46" t="str">
        <f t="shared" si="5"/>
        <v>/data/neurogen/ASAP/scRNAseq/data/batch28_ASAP_snRNA-seq_*/Raw_Data_and_Processing/cellranger_processing/cellranger_fastqs/outs/fastq_path/H*/BN1878_S1_L004_I1_001.fastq.gz</v>
      </c>
      <c r="K1390" s="46" t="s">
        <v>1347</v>
      </c>
      <c r="L1390" s="46" t="s">
        <v>4103</v>
      </c>
      <c r="M1390" s="46" t="s">
        <v>1309</v>
      </c>
      <c r="N1390" s="46" t="s">
        <v>1310</v>
      </c>
      <c r="O1390" s="46" t="s">
        <v>1311</v>
      </c>
      <c r="P1390" s="46" t="s">
        <v>1312</v>
      </c>
      <c r="Q1390" s="46" t="s">
        <v>31</v>
      </c>
      <c r="R1390" s="46" t="s">
        <v>31</v>
      </c>
      <c r="S1390" s="46" t="s">
        <v>31</v>
      </c>
      <c r="T1390" s="46" t="s">
        <v>31</v>
      </c>
      <c r="U1390" s="46" t="s">
        <v>49</v>
      </c>
    </row>
    <row r="1391" spans="1:21">
      <c r="A1391" s="46" t="s">
        <v>788</v>
      </c>
      <c r="B1391" s="46" t="s">
        <v>223</v>
      </c>
      <c r="C1391" s="46" t="s">
        <v>666</v>
      </c>
      <c r="D1391" s="46">
        <v>1</v>
      </c>
      <c r="E1391" s="46">
        <v>0</v>
      </c>
      <c r="F1391" s="46" t="s">
        <v>789</v>
      </c>
      <c r="G1391" s="46" t="s">
        <v>1305</v>
      </c>
      <c r="H1391" s="46" t="s">
        <v>4104</v>
      </c>
      <c r="I1391" s="46" t="str">
        <f ca="1">IFERROR(__xludf.DUMMYFUNCTION("CONCAT(A1391,REGEXREPLACE(H1391,"".*_L0"",""_L0""))"),"HC_BN1878_MTG_snRNAseq_rep1_L004_I2_001.fastq.gz")</f>
        <v>HC_BN1878_MTG_snRNAseq_rep1_L004_I2_001.fastq.gz</v>
      </c>
      <c r="J1391" s="46" t="str">
        <f t="shared" si="5"/>
        <v>/data/neurogen/ASAP/scRNAseq/data/batch28_ASAP_snRNA-seq_*/Raw_Data_and_Processing/cellranger_processing/cellranger_fastqs/outs/fastq_path/H*/BN1878_S1_L004_I2_001.fastq.gz</v>
      </c>
      <c r="K1391" s="46" t="s">
        <v>1350</v>
      </c>
      <c r="L1391" s="46" t="s">
        <v>4105</v>
      </c>
      <c r="M1391" s="46" t="s">
        <v>1309</v>
      </c>
      <c r="N1391" s="46" t="s">
        <v>1310</v>
      </c>
      <c r="O1391" s="46" t="s">
        <v>1311</v>
      </c>
      <c r="P1391" s="46" t="s">
        <v>1312</v>
      </c>
      <c r="Q1391" s="46" t="s">
        <v>31</v>
      </c>
      <c r="R1391" s="46" t="s">
        <v>31</v>
      </c>
      <c r="S1391" s="46" t="s">
        <v>31</v>
      </c>
      <c r="T1391" s="46" t="s">
        <v>31</v>
      </c>
      <c r="U1391" s="46" t="s">
        <v>49</v>
      </c>
    </row>
    <row r="1392" spans="1:21">
      <c r="A1392" s="46" t="s">
        <v>788</v>
      </c>
      <c r="B1392" s="46" t="s">
        <v>223</v>
      </c>
      <c r="C1392" s="46" t="s">
        <v>666</v>
      </c>
      <c r="D1392" s="46">
        <v>1</v>
      </c>
      <c r="E1392" s="46">
        <v>0</v>
      </c>
      <c r="F1392" s="46" t="s">
        <v>789</v>
      </c>
      <c r="G1392" s="46" t="s">
        <v>1305</v>
      </c>
      <c r="H1392" s="46" t="s">
        <v>4106</v>
      </c>
      <c r="I1392" s="46" t="str">
        <f ca="1">IFERROR(__xludf.DUMMYFUNCTION("CONCAT(A1392,REGEXREPLACE(H1392,"".*_L0"",""_L0""))"),"HC_BN1878_MTG_snRNAseq_rep1_L004_R1_001.fastq.gz")</f>
        <v>HC_BN1878_MTG_snRNAseq_rep1_L004_R1_001.fastq.gz</v>
      </c>
      <c r="J1392" s="46" t="str">
        <f t="shared" si="5"/>
        <v>/data/neurogen/ASAP/scRNAseq/data/batch28_ASAP_snRNA-seq_*/Raw_Data_and_Processing/cellranger_processing/cellranger_fastqs/outs/fastq_path/H*/BN1878_S1_L004_R1_001.fastq.gz</v>
      </c>
      <c r="K1392" s="46" t="s">
        <v>1353</v>
      </c>
      <c r="L1392" s="46" t="s">
        <v>4107</v>
      </c>
      <c r="M1392" s="46" t="s">
        <v>1309</v>
      </c>
      <c r="N1392" s="46" t="s">
        <v>1310</v>
      </c>
      <c r="O1392" s="46" t="s">
        <v>1311</v>
      </c>
      <c r="P1392" s="46" t="s">
        <v>1312</v>
      </c>
      <c r="Q1392" s="46" t="s">
        <v>31</v>
      </c>
      <c r="R1392" s="46" t="s">
        <v>31</v>
      </c>
      <c r="S1392" s="46" t="s">
        <v>31</v>
      </c>
      <c r="T1392" s="46" t="s">
        <v>31</v>
      </c>
      <c r="U1392" s="46" t="s">
        <v>49</v>
      </c>
    </row>
    <row r="1393" spans="1:21">
      <c r="A1393" s="46" t="s">
        <v>788</v>
      </c>
      <c r="B1393" s="46" t="s">
        <v>223</v>
      </c>
      <c r="C1393" s="46" t="s">
        <v>666</v>
      </c>
      <c r="D1393" s="46">
        <v>1</v>
      </c>
      <c r="E1393" s="46">
        <v>0</v>
      </c>
      <c r="F1393" s="46" t="s">
        <v>789</v>
      </c>
      <c r="G1393" s="46" t="s">
        <v>1305</v>
      </c>
      <c r="H1393" s="46" t="s">
        <v>4108</v>
      </c>
      <c r="I1393" s="46" t="str">
        <f ca="1">IFERROR(__xludf.DUMMYFUNCTION("CONCAT(A1393,REGEXREPLACE(H1393,"".*_L0"",""_L0""))"),"HC_BN1878_MTG_snRNAseq_rep1_L004_R2_001.fastq.gz")</f>
        <v>HC_BN1878_MTG_snRNAseq_rep1_L004_R2_001.fastq.gz</v>
      </c>
      <c r="J1393" s="46" t="str">
        <f t="shared" si="5"/>
        <v>/data/neurogen/ASAP/scRNAseq/data/batch28_ASAP_snRNA-seq_*/Raw_Data_and_Processing/cellranger_processing/cellranger_fastqs/outs/fastq_path/H*/BN1878_S1_L004_R2_001.fastq.gz</v>
      </c>
      <c r="K1393" s="46" t="s">
        <v>1356</v>
      </c>
      <c r="L1393" s="46" t="s">
        <v>4109</v>
      </c>
      <c r="M1393" s="46" t="s">
        <v>1309</v>
      </c>
      <c r="N1393" s="46" t="s">
        <v>1310</v>
      </c>
      <c r="O1393" s="46" t="s">
        <v>1311</v>
      </c>
      <c r="P1393" s="46" t="s">
        <v>1312</v>
      </c>
      <c r="Q1393" s="46" t="s">
        <v>31</v>
      </c>
      <c r="R1393" s="46" t="s">
        <v>31</v>
      </c>
      <c r="S1393" s="46" t="s">
        <v>31</v>
      </c>
      <c r="T1393" s="46" t="s">
        <v>31</v>
      </c>
      <c r="U1393" s="46" t="s">
        <v>49</v>
      </c>
    </row>
    <row r="1394" spans="1:21">
      <c r="A1394" s="46" t="s">
        <v>796</v>
      </c>
      <c r="B1394" s="46" t="s">
        <v>235</v>
      </c>
      <c r="C1394" s="46" t="s">
        <v>666</v>
      </c>
      <c r="D1394" s="46">
        <v>1</v>
      </c>
      <c r="E1394" s="46">
        <v>0</v>
      </c>
      <c r="F1394" s="46" t="s">
        <v>789</v>
      </c>
      <c r="G1394" s="46" t="s">
        <v>1305</v>
      </c>
      <c r="H1394" s="46" t="s">
        <v>4110</v>
      </c>
      <c r="I1394" s="46" t="str">
        <f ca="1">IFERROR(__xludf.DUMMYFUNCTION("CONCAT(A1394,REGEXREPLACE(H1394,"".*_L0"",""_L0""))"),"PD_BN1959_MTG_snRNAseq_rep1_L001_I1_001.fastq.gz")</f>
        <v>PD_BN1959_MTG_snRNAseq_rep1_L001_I1_001.fastq.gz</v>
      </c>
      <c r="J1394" s="46" t="str">
        <f t="shared" si="5"/>
        <v>/data/neurogen/ASAP/scRNAseq/data/batch28_ASAP_snRNA-seq_*/Raw_Data_and_Processing/cellranger_processing/cellranger_fastqs/outs/fastq_path/H*/BN1959_S2_L001_I1_001.fastq.gz</v>
      </c>
      <c r="K1394" s="46" t="s">
        <v>1307</v>
      </c>
      <c r="L1394" s="46" t="s">
        <v>4111</v>
      </c>
      <c r="M1394" s="46" t="s">
        <v>1309</v>
      </c>
      <c r="N1394" s="46" t="s">
        <v>1310</v>
      </c>
      <c r="O1394" s="46" t="s">
        <v>1311</v>
      </c>
      <c r="P1394" s="46" t="s">
        <v>1312</v>
      </c>
      <c r="Q1394" s="46" t="s">
        <v>31</v>
      </c>
      <c r="R1394" s="46" t="s">
        <v>31</v>
      </c>
      <c r="S1394" s="46" t="s">
        <v>31</v>
      </c>
      <c r="T1394" s="46" t="s">
        <v>31</v>
      </c>
      <c r="U1394" s="46" t="s">
        <v>49</v>
      </c>
    </row>
    <row r="1395" spans="1:21">
      <c r="A1395" s="46" t="s">
        <v>796</v>
      </c>
      <c r="B1395" s="46" t="s">
        <v>235</v>
      </c>
      <c r="C1395" s="46" t="s">
        <v>666</v>
      </c>
      <c r="D1395" s="46">
        <v>1</v>
      </c>
      <c r="E1395" s="46">
        <v>0</v>
      </c>
      <c r="F1395" s="46" t="s">
        <v>789</v>
      </c>
      <c r="G1395" s="46" t="s">
        <v>1305</v>
      </c>
      <c r="H1395" s="46" t="s">
        <v>4112</v>
      </c>
      <c r="I1395" s="46" t="str">
        <f ca="1">IFERROR(__xludf.DUMMYFUNCTION("CONCAT(A1395,REGEXREPLACE(H1395,"".*_L0"",""_L0""))"),"PD_BN1959_MTG_snRNAseq_rep1_L001_I2_001.fastq.gz")</f>
        <v>PD_BN1959_MTG_snRNAseq_rep1_L001_I2_001.fastq.gz</v>
      </c>
      <c r="J1395" s="46" t="str">
        <f t="shared" si="5"/>
        <v>/data/neurogen/ASAP/scRNAseq/data/batch28_ASAP_snRNA-seq_*/Raw_Data_and_Processing/cellranger_processing/cellranger_fastqs/outs/fastq_path/H*/BN1959_S2_L001_I2_001.fastq.gz</v>
      </c>
      <c r="K1395" s="46" t="s">
        <v>1314</v>
      </c>
      <c r="L1395" s="46" t="s">
        <v>4113</v>
      </c>
      <c r="M1395" s="46" t="s">
        <v>1309</v>
      </c>
      <c r="N1395" s="46" t="s">
        <v>1310</v>
      </c>
      <c r="O1395" s="46" t="s">
        <v>1311</v>
      </c>
      <c r="P1395" s="46" t="s">
        <v>1312</v>
      </c>
      <c r="Q1395" s="46" t="s">
        <v>31</v>
      </c>
      <c r="R1395" s="46" t="s">
        <v>31</v>
      </c>
      <c r="S1395" s="46" t="s">
        <v>31</v>
      </c>
      <c r="T1395" s="46" t="s">
        <v>31</v>
      </c>
      <c r="U1395" s="46" t="s">
        <v>49</v>
      </c>
    </row>
    <row r="1396" spans="1:21">
      <c r="A1396" s="46" t="s">
        <v>796</v>
      </c>
      <c r="B1396" s="46" t="s">
        <v>235</v>
      </c>
      <c r="C1396" s="46" t="s">
        <v>666</v>
      </c>
      <c r="D1396" s="46">
        <v>1</v>
      </c>
      <c r="E1396" s="46">
        <v>0</v>
      </c>
      <c r="F1396" s="46" t="s">
        <v>789</v>
      </c>
      <c r="G1396" s="46" t="s">
        <v>1305</v>
      </c>
      <c r="H1396" s="46" t="s">
        <v>4114</v>
      </c>
      <c r="I1396" s="46" t="str">
        <f ca="1">IFERROR(__xludf.DUMMYFUNCTION("CONCAT(A1396,REGEXREPLACE(H1396,"".*_L0"",""_L0""))"),"PD_BN1959_MTG_snRNAseq_rep1_L001_R1_001.fastq.gz")</f>
        <v>PD_BN1959_MTG_snRNAseq_rep1_L001_R1_001.fastq.gz</v>
      </c>
      <c r="J1396" s="46" t="str">
        <f t="shared" si="5"/>
        <v>/data/neurogen/ASAP/scRNAseq/data/batch28_ASAP_snRNA-seq_*/Raw_Data_and_Processing/cellranger_processing/cellranger_fastqs/outs/fastq_path/H*/BN1959_S2_L001_R1_001.fastq.gz</v>
      </c>
      <c r="K1396" s="46" t="s">
        <v>1317</v>
      </c>
      <c r="L1396" s="46" t="s">
        <v>4115</v>
      </c>
      <c r="M1396" s="46" t="s">
        <v>1309</v>
      </c>
      <c r="N1396" s="46" t="s">
        <v>1310</v>
      </c>
      <c r="O1396" s="46" t="s">
        <v>1311</v>
      </c>
      <c r="P1396" s="46" t="s">
        <v>1312</v>
      </c>
      <c r="Q1396" s="46" t="s">
        <v>31</v>
      </c>
      <c r="R1396" s="46" t="s">
        <v>31</v>
      </c>
      <c r="S1396" s="46" t="s">
        <v>31</v>
      </c>
      <c r="T1396" s="46" t="s">
        <v>31</v>
      </c>
      <c r="U1396" s="46" t="s">
        <v>49</v>
      </c>
    </row>
    <row r="1397" spans="1:21">
      <c r="A1397" s="46" t="s">
        <v>796</v>
      </c>
      <c r="B1397" s="46" t="s">
        <v>235</v>
      </c>
      <c r="C1397" s="46" t="s">
        <v>666</v>
      </c>
      <c r="D1397" s="46">
        <v>1</v>
      </c>
      <c r="E1397" s="46">
        <v>0</v>
      </c>
      <c r="F1397" s="46" t="s">
        <v>789</v>
      </c>
      <c r="G1397" s="46" t="s">
        <v>1305</v>
      </c>
      <c r="H1397" s="46" t="s">
        <v>4116</v>
      </c>
      <c r="I1397" s="46" t="str">
        <f ca="1">IFERROR(__xludf.DUMMYFUNCTION("CONCAT(A1397,REGEXREPLACE(H1397,"".*_L0"",""_L0""))"),"PD_BN1959_MTG_snRNAseq_rep1_L001_R2_001.fastq.gz")</f>
        <v>PD_BN1959_MTG_snRNAseq_rep1_L001_R2_001.fastq.gz</v>
      </c>
      <c r="J1397" s="46" t="str">
        <f t="shared" si="5"/>
        <v>/data/neurogen/ASAP/scRNAseq/data/batch28_ASAP_snRNA-seq_*/Raw_Data_and_Processing/cellranger_processing/cellranger_fastqs/outs/fastq_path/H*/BN1959_S2_L001_R2_001.fastq.gz</v>
      </c>
      <c r="K1397" s="46" t="s">
        <v>1320</v>
      </c>
      <c r="L1397" s="46" t="s">
        <v>4117</v>
      </c>
      <c r="M1397" s="46" t="s">
        <v>1309</v>
      </c>
      <c r="N1397" s="46" t="s">
        <v>1310</v>
      </c>
      <c r="O1397" s="46" t="s">
        <v>1311</v>
      </c>
      <c r="P1397" s="46" t="s">
        <v>1312</v>
      </c>
      <c r="Q1397" s="46" t="s">
        <v>31</v>
      </c>
      <c r="R1397" s="46" t="s">
        <v>31</v>
      </c>
      <c r="S1397" s="46" t="s">
        <v>31</v>
      </c>
      <c r="T1397" s="46" t="s">
        <v>31</v>
      </c>
      <c r="U1397" s="46" t="s">
        <v>49</v>
      </c>
    </row>
    <row r="1398" spans="1:21">
      <c r="A1398" s="46" t="s">
        <v>796</v>
      </c>
      <c r="B1398" s="46" t="s">
        <v>235</v>
      </c>
      <c r="C1398" s="46" t="s">
        <v>666</v>
      </c>
      <c r="D1398" s="46">
        <v>1</v>
      </c>
      <c r="E1398" s="46">
        <v>0</v>
      </c>
      <c r="F1398" s="46" t="s">
        <v>789</v>
      </c>
      <c r="G1398" s="46" t="s">
        <v>1305</v>
      </c>
      <c r="H1398" s="46" t="s">
        <v>4118</v>
      </c>
      <c r="I1398" s="46" t="str">
        <f ca="1">IFERROR(__xludf.DUMMYFUNCTION("CONCAT(A1398,REGEXREPLACE(H1398,"".*_L0"",""_L0""))"),"PD_BN1959_MTG_snRNAseq_rep1_L002_I1_001.fastq.gz")</f>
        <v>PD_BN1959_MTG_snRNAseq_rep1_L002_I1_001.fastq.gz</v>
      </c>
      <c r="J1398" s="46" t="str">
        <f t="shared" si="5"/>
        <v>/data/neurogen/ASAP/scRNAseq/data/batch28_ASAP_snRNA-seq_*/Raw_Data_and_Processing/cellranger_processing/cellranger_fastqs/outs/fastq_path/H*/BN1959_S2_L002_I1_001.fastq.gz</v>
      </c>
      <c r="K1398" s="46" t="s">
        <v>1323</v>
      </c>
      <c r="L1398" s="46" t="s">
        <v>4119</v>
      </c>
      <c r="M1398" s="46" t="s">
        <v>1309</v>
      </c>
      <c r="N1398" s="46" t="s">
        <v>1310</v>
      </c>
      <c r="O1398" s="46" t="s">
        <v>1311</v>
      </c>
      <c r="P1398" s="46" t="s">
        <v>1312</v>
      </c>
      <c r="Q1398" s="46" t="s">
        <v>31</v>
      </c>
      <c r="R1398" s="46" t="s">
        <v>31</v>
      </c>
      <c r="S1398" s="46" t="s">
        <v>31</v>
      </c>
      <c r="T1398" s="46" t="s">
        <v>31</v>
      </c>
      <c r="U1398" s="46" t="s">
        <v>49</v>
      </c>
    </row>
    <row r="1399" spans="1:21">
      <c r="A1399" s="46" t="s">
        <v>796</v>
      </c>
      <c r="B1399" s="46" t="s">
        <v>235</v>
      </c>
      <c r="C1399" s="46" t="s">
        <v>666</v>
      </c>
      <c r="D1399" s="46">
        <v>1</v>
      </c>
      <c r="E1399" s="46">
        <v>0</v>
      </c>
      <c r="F1399" s="46" t="s">
        <v>789</v>
      </c>
      <c r="G1399" s="46" t="s">
        <v>1305</v>
      </c>
      <c r="H1399" s="46" t="s">
        <v>4120</v>
      </c>
      <c r="I1399" s="46" t="str">
        <f ca="1">IFERROR(__xludf.DUMMYFUNCTION("CONCAT(A1399,REGEXREPLACE(H1399,"".*_L0"",""_L0""))"),"PD_BN1959_MTG_snRNAseq_rep1_L002_I2_001.fastq.gz")</f>
        <v>PD_BN1959_MTG_snRNAseq_rep1_L002_I2_001.fastq.gz</v>
      </c>
      <c r="J1399" s="46" t="str">
        <f t="shared" si="5"/>
        <v>/data/neurogen/ASAP/scRNAseq/data/batch28_ASAP_snRNA-seq_*/Raw_Data_and_Processing/cellranger_processing/cellranger_fastqs/outs/fastq_path/H*/BN1959_S2_L002_I2_001.fastq.gz</v>
      </c>
      <c r="K1399" s="46" t="s">
        <v>1326</v>
      </c>
      <c r="L1399" s="46" t="s">
        <v>4121</v>
      </c>
      <c r="M1399" s="46" t="s">
        <v>1309</v>
      </c>
      <c r="N1399" s="46" t="s">
        <v>1310</v>
      </c>
      <c r="O1399" s="46" t="s">
        <v>1311</v>
      </c>
      <c r="P1399" s="46" t="s">
        <v>1312</v>
      </c>
      <c r="Q1399" s="46" t="s">
        <v>31</v>
      </c>
      <c r="R1399" s="46" t="s">
        <v>31</v>
      </c>
      <c r="S1399" s="46" t="s">
        <v>31</v>
      </c>
      <c r="T1399" s="46" t="s">
        <v>31</v>
      </c>
      <c r="U1399" s="46" t="s">
        <v>49</v>
      </c>
    </row>
    <row r="1400" spans="1:21">
      <c r="A1400" s="46" t="s">
        <v>796</v>
      </c>
      <c r="B1400" s="46" t="s">
        <v>235</v>
      </c>
      <c r="C1400" s="46" t="s">
        <v>666</v>
      </c>
      <c r="D1400" s="46">
        <v>1</v>
      </c>
      <c r="E1400" s="46">
        <v>0</v>
      </c>
      <c r="F1400" s="46" t="s">
        <v>789</v>
      </c>
      <c r="G1400" s="46" t="s">
        <v>1305</v>
      </c>
      <c r="H1400" s="46" t="s">
        <v>4122</v>
      </c>
      <c r="I1400" s="46" t="str">
        <f ca="1">IFERROR(__xludf.DUMMYFUNCTION("CONCAT(A1400,REGEXREPLACE(H1400,"".*_L0"",""_L0""))"),"PD_BN1959_MTG_snRNAseq_rep1_L002_R1_001.fastq.gz")</f>
        <v>PD_BN1959_MTG_snRNAseq_rep1_L002_R1_001.fastq.gz</v>
      </c>
      <c r="J1400" s="46" t="str">
        <f t="shared" si="5"/>
        <v>/data/neurogen/ASAP/scRNAseq/data/batch28_ASAP_snRNA-seq_*/Raw_Data_and_Processing/cellranger_processing/cellranger_fastqs/outs/fastq_path/H*/BN1959_S2_L002_R1_001.fastq.gz</v>
      </c>
      <c r="K1400" s="46" t="s">
        <v>1329</v>
      </c>
      <c r="L1400" s="46" t="s">
        <v>4123</v>
      </c>
      <c r="M1400" s="46" t="s">
        <v>1309</v>
      </c>
      <c r="N1400" s="46" t="s">
        <v>1310</v>
      </c>
      <c r="O1400" s="46" t="s">
        <v>1311</v>
      </c>
      <c r="P1400" s="46" t="s">
        <v>1312</v>
      </c>
      <c r="Q1400" s="46" t="s">
        <v>31</v>
      </c>
      <c r="R1400" s="46" t="s">
        <v>31</v>
      </c>
      <c r="S1400" s="46" t="s">
        <v>31</v>
      </c>
      <c r="T1400" s="46" t="s">
        <v>31</v>
      </c>
      <c r="U1400" s="46" t="s">
        <v>49</v>
      </c>
    </row>
    <row r="1401" spans="1:21">
      <c r="A1401" s="46" t="s">
        <v>796</v>
      </c>
      <c r="B1401" s="46" t="s">
        <v>235</v>
      </c>
      <c r="C1401" s="46" t="s">
        <v>666</v>
      </c>
      <c r="D1401" s="46">
        <v>1</v>
      </c>
      <c r="E1401" s="46">
        <v>0</v>
      </c>
      <c r="F1401" s="46" t="s">
        <v>789</v>
      </c>
      <c r="G1401" s="46" t="s">
        <v>1305</v>
      </c>
      <c r="H1401" s="46" t="s">
        <v>4124</v>
      </c>
      <c r="I1401" s="46" t="str">
        <f ca="1">IFERROR(__xludf.DUMMYFUNCTION("CONCAT(A1401,REGEXREPLACE(H1401,"".*_L0"",""_L0""))"),"PD_BN1959_MTG_snRNAseq_rep1_L002_R2_001.fastq.gz")</f>
        <v>PD_BN1959_MTG_snRNAseq_rep1_L002_R2_001.fastq.gz</v>
      </c>
      <c r="J1401" s="46" t="str">
        <f t="shared" si="5"/>
        <v>/data/neurogen/ASAP/scRNAseq/data/batch28_ASAP_snRNA-seq_*/Raw_Data_and_Processing/cellranger_processing/cellranger_fastqs/outs/fastq_path/H*/BN1959_S2_L002_R2_001.fastq.gz</v>
      </c>
      <c r="K1401" s="46" t="s">
        <v>1332</v>
      </c>
      <c r="L1401" s="46" t="s">
        <v>4125</v>
      </c>
      <c r="M1401" s="46" t="s">
        <v>1309</v>
      </c>
      <c r="N1401" s="46" t="s">
        <v>1310</v>
      </c>
      <c r="O1401" s="46" t="s">
        <v>1311</v>
      </c>
      <c r="P1401" s="46" t="s">
        <v>1312</v>
      </c>
      <c r="Q1401" s="46" t="s">
        <v>31</v>
      </c>
      <c r="R1401" s="46" t="s">
        <v>31</v>
      </c>
      <c r="S1401" s="46" t="s">
        <v>31</v>
      </c>
      <c r="T1401" s="46" t="s">
        <v>31</v>
      </c>
      <c r="U1401" s="46" t="s">
        <v>49</v>
      </c>
    </row>
    <row r="1402" spans="1:21">
      <c r="A1402" s="46" t="s">
        <v>796</v>
      </c>
      <c r="B1402" s="46" t="s">
        <v>235</v>
      </c>
      <c r="C1402" s="46" t="s">
        <v>666</v>
      </c>
      <c r="D1402" s="46">
        <v>1</v>
      </c>
      <c r="E1402" s="46">
        <v>0</v>
      </c>
      <c r="F1402" s="46" t="s">
        <v>789</v>
      </c>
      <c r="G1402" s="46" t="s">
        <v>1305</v>
      </c>
      <c r="H1402" s="46" t="s">
        <v>4126</v>
      </c>
      <c r="I1402" s="46" t="str">
        <f ca="1">IFERROR(__xludf.DUMMYFUNCTION("CONCAT(A1402,REGEXREPLACE(H1402,"".*_L0"",""_L0""))"),"PD_BN1959_MTG_snRNAseq_rep1_L003_I1_001.fastq.gz")</f>
        <v>PD_BN1959_MTG_snRNAseq_rep1_L003_I1_001.fastq.gz</v>
      </c>
      <c r="J1402" s="46" t="str">
        <f t="shared" si="5"/>
        <v>/data/neurogen/ASAP/scRNAseq/data/batch28_ASAP_snRNA-seq_*/Raw_Data_and_Processing/cellranger_processing/cellranger_fastqs/outs/fastq_path/H*/BN1959_S2_L003_I1_001.fastq.gz</v>
      </c>
      <c r="K1402" s="46" t="s">
        <v>1335</v>
      </c>
      <c r="L1402" s="47" t="s">
        <v>4127</v>
      </c>
      <c r="M1402" s="46" t="s">
        <v>1309</v>
      </c>
      <c r="N1402" s="46" t="s">
        <v>1310</v>
      </c>
      <c r="O1402" s="46" t="s">
        <v>1311</v>
      </c>
      <c r="P1402" s="46" t="s">
        <v>1312</v>
      </c>
      <c r="Q1402" s="46" t="s">
        <v>31</v>
      </c>
      <c r="R1402" s="46" t="s">
        <v>31</v>
      </c>
      <c r="S1402" s="46" t="s">
        <v>31</v>
      </c>
      <c r="T1402" s="46" t="s">
        <v>31</v>
      </c>
      <c r="U1402" s="46" t="s">
        <v>49</v>
      </c>
    </row>
    <row r="1403" spans="1:21">
      <c r="A1403" s="46" t="s">
        <v>796</v>
      </c>
      <c r="B1403" s="46" t="s">
        <v>235</v>
      </c>
      <c r="C1403" s="46" t="s">
        <v>666</v>
      </c>
      <c r="D1403" s="46">
        <v>1</v>
      </c>
      <c r="E1403" s="46">
        <v>0</v>
      </c>
      <c r="F1403" s="46" t="s">
        <v>789</v>
      </c>
      <c r="G1403" s="46" t="s">
        <v>1305</v>
      </c>
      <c r="H1403" s="46" t="s">
        <v>4128</v>
      </c>
      <c r="I1403" s="46" t="str">
        <f ca="1">IFERROR(__xludf.DUMMYFUNCTION("CONCAT(A1403,REGEXREPLACE(H1403,"".*_L0"",""_L0""))"),"PD_BN1959_MTG_snRNAseq_rep1_L003_I2_001.fastq.gz")</f>
        <v>PD_BN1959_MTG_snRNAseq_rep1_L003_I2_001.fastq.gz</v>
      </c>
      <c r="J1403" s="46" t="str">
        <f t="shared" si="5"/>
        <v>/data/neurogen/ASAP/scRNAseq/data/batch28_ASAP_snRNA-seq_*/Raw_Data_and_Processing/cellranger_processing/cellranger_fastqs/outs/fastq_path/H*/BN1959_S2_L003_I2_001.fastq.gz</v>
      </c>
      <c r="K1403" s="46" t="s">
        <v>1338</v>
      </c>
      <c r="L1403" s="46" t="s">
        <v>4129</v>
      </c>
      <c r="M1403" s="46" t="s">
        <v>1309</v>
      </c>
      <c r="N1403" s="46" t="s">
        <v>1310</v>
      </c>
      <c r="O1403" s="46" t="s">
        <v>1311</v>
      </c>
      <c r="P1403" s="46" t="s">
        <v>1312</v>
      </c>
      <c r="Q1403" s="46" t="s">
        <v>31</v>
      </c>
      <c r="R1403" s="46" t="s">
        <v>31</v>
      </c>
      <c r="S1403" s="46" t="s">
        <v>31</v>
      </c>
      <c r="T1403" s="46" t="s">
        <v>31</v>
      </c>
      <c r="U1403" s="46" t="s">
        <v>49</v>
      </c>
    </row>
    <row r="1404" spans="1:21">
      <c r="A1404" s="46" t="s">
        <v>796</v>
      </c>
      <c r="B1404" s="46" t="s">
        <v>235</v>
      </c>
      <c r="C1404" s="46" t="s">
        <v>666</v>
      </c>
      <c r="D1404" s="46">
        <v>1</v>
      </c>
      <c r="E1404" s="46">
        <v>0</v>
      </c>
      <c r="F1404" s="46" t="s">
        <v>789</v>
      </c>
      <c r="G1404" s="46" t="s">
        <v>1305</v>
      </c>
      <c r="H1404" s="46" t="s">
        <v>4130</v>
      </c>
      <c r="I1404" s="46" t="str">
        <f ca="1">IFERROR(__xludf.DUMMYFUNCTION("CONCAT(A1404,REGEXREPLACE(H1404,"".*_L0"",""_L0""))"),"PD_BN1959_MTG_snRNAseq_rep1_L003_R1_001.fastq.gz")</f>
        <v>PD_BN1959_MTG_snRNAseq_rep1_L003_R1_001.fastq.gz</v>
      </c>
      <c r="J1404" s="46" t="str">
        <f t="shared" si="5"/>
        <v>/data/neurogen/ASAP/scRNAseq/data/batch28_ASAP_snRNA-seq_*/Raw_Data_and_Processing/cellranger_processing/cellranger_fastqs/outs/fastq_path/H*/BN1959_S2_L003_R1_001.fastq.gz</v>
      </c>
      <c r="K1404" s="46" t="s">
        <v>1341</v>
      </c>
      <c r="L1404" s="46" t="s">
        <v>4131</v>
      </c>
      <c r="M1404" s="46" t="s">
        <v>1309</v>
      </c>
      <c r="N1404" s="46" t="s">
        <v>1310</v>
      </c>
      <c r="O1404" s="46" t="s">
        <v>1311</v>
      </c>
      <c r="P1404" s="46" t="s">
        <v>1312</v>
      </c>
      <c r="Q1404" s="46" t="s">
        <v>31</v>
      </c>
      <c r="R1404" s="46" t="s">
        <v>31</v>
      </c>
      <c r="S1404" s="46" t="s">
        <v>31</v>
      </c>
      <c r="T1404" s="46" t="s">
        <v>31</v>
      </c>
      <c r="U1404" s="46" t="s">
        <v>49</v>
      </c>
    </row>
    <row r="1405" spans="1:21">
      <c r="A1405" s="46" t="s">
        <v>796</v>
      </c>
      <c r="B1405" s="46" t="s">
        <v>235</v>
      </c>
      <c r="C1405" s="46" t="s">
        <v>666</v>
      </c>
      <c r="D1405" s="46">
        <v>1</v>
      </c>
      <c r="E1405" s="46">
        <v>0</v>
      </c>
      <c r="F1405" s="46" t="s">
        <v>789</v>
      </c>
      <c r="G1405" s="46" t="s">
        <v>1305</v>
      </c>
      <c r="H1405" s="46" t="s">
        <v>4132</v>
      </c>
      <c r="I1405" s="46" t="str">
        <f ca="1">IFERROR(__xludf.DUMMYFUNCTION("CONCAT(A1405,REGEXREPLACE(H1405,"".*_L0"",""_L0""))"),"PD_BN1959_MTG_snRNAseq_rep1_L003_R2_001.fastq.gz")</f>
        <v>PD_BN1959_MTG_snRNAseq_rep1_L003_R2_001.fastq.gz</v>
      </c>
      <c r="J1405" s="46" t="str">
        <f t="shared" si="5"/>
        <v>/data/neurogen/ASAP/scRNAseq/data/batch28_ASAP_snRNA-seq_*/Raw_Data_and_Processing/cellranger_processing/cellranger_fastqs/outs/fastq_path/H*/BN1959_S2_L003_R2_001.fastq.gz</v>
      </c>
      <c r="K1405" s="46" t="s">
        <v>1344</v>
      </c>
      <c r="L1405" s="46" t="s">
        <v>4133</v>
      </c>
      <c r="M1405" s="46" t="s">
        <v>1309</v>
      </c>
      <c r="N1405" s="46" t="s">
        <v>1310</v>
      </c>
      <c r="O1405" s="46" t="s">
        <v>1311</v>
      </c>
      <c r="P1405" s="46" t="s">
        <v>1312</v>
      </c>
      <c r="Q1405" s="46" t="s">
        <v>31</v>
      </c>
      <c r="R1405" s="46" t="s">
        <v>31</v>
      </c>
      <c r="S1405" s="46" t="s">
        <v>31</v>
      </c>
      <c r="T1405" s="46" t="s">
        <v>31</v>
      </c>
      <c r="U1405" s="46" t="s">
        <v>49</v>
      </c>
    </row>
    <row r="1406" spans="1:21">
      <c r="A1406" s="46" t="s">
        <v>796</v>
      </c>
      <c r="B1406" s="46" t="s">
        <v>235</v>
      </c>
      <c r="C1406" s="46" t="s">
        <v>666</v>
      </c>
      <c r="D1406" s="46">
        <v>1</v>
      </c>
      <c r="E1406" s="46">
        <v>0</v>
      </c>
      <c r="F1406" s="46" t="s">
        <v>789</v>
      </c>
      <c r="G1406" s="46" t="s">
        <v>1305</v>
      </c>
      <c r="H1406" s="46" t="s">
        <v>4134</v>
      </c>
      <c r="I1406" s="46" t="str">
        <f ca="1">IFERROR(__xludf.DUMMYFUNCTION("CONCAT(A1406,REGEXREPLACE(H1406,"".*_L0"",""_L0""))"),"PD_BN1959_MTG_snRNAseq_rep1_L004_I1_001.fastq.gz")</f>
        <v>PD_BN1959_MTG_snRNAseq_rep1_L004_I1_001.fastq.gz</v>
      </c>
      <c r="J1406" s="46" t="str">
        <f t="shared" si="5"/>
        <v>/data/neurogen/ASAP/scRNAseq/data/batch28_ASAP_snRNA-seq_*/Raw_Data_and_Processing/cellranger_processing/cellranger_fastqs/outs/fastq_path/H*/BN1959_S2_L004_I1_001.fastq.gz</v>
      </c>
      <c r="K1406" s="46" t="s">
        <v>1347</v>
      </c>
      <c r="L1406" s="46" t="s">
        <v>4135</v>
      </c>
      <c r="M1406" s="46" t="s">
        <v>1309</v>
      </c>
      <c r="N1406" s="46" t="s">
        <v>1310</v>
      </c>
      <c r="O1406" s="46" t="s">
        <v>1311</v>
      </c>
      <c r="P1406" s="46" t="s">
        <v>1312</v>
      </c>
      <c r="Q1406" s="46" t="s">
        <v>31</v>
      </c>
      <c r="R1406" s="46" t="s">
        <v>31</v>
      </c>
      <c r="S1406" s="46" t="s">
        <v>31</v>
      </c>
      <c r="T1406" s="46" t="s">
        <v>31</v>
      </c>
      <c r="U1406" s="46" t="s">
        <v>49</v>
      </c>
    </row>
    <row r="1407" spans="1:21">
      <c r="A1407" s="46" t="s">
        <v>796</v>
      </c>
      <c r="B1407" s="46" t="s">
        <v>235</v>
      </c>
      <c r="C1407" s="46" t="s">
        <v>666</v>
      </c>
      <c r="D1407" s="46">
        <v>1</v>
      </c>
      <c r="E1407" s="46">
        <v>0</v>
      </c>
      <c r="F1407" s="46" t="s">
        <v>789</v>
      </c>
      <c r="G1407" s="46" t="s">
        <v>1305</v>
      </c>
      <c r="H1407" s="46" t="s">
        <v>4136</v>
      </c>
      <c r="I1407" s="46" t="str">
        <f ca="1">IFERROR(__xludf.DUMMYFUNCTION("CONCAT(A1407,REGEXREPLACE(H1407,"".*_L0"",""_L0""))"),"PD_BN1959_MTG_snRNAseq_rep1_L004_I2_001.fastq.gz")</f>
        <v>PD_BN1959_MTG_snRNAseq_rep1_L004_I2_001.fastq.gz</v>
      </c>
      <c r="J1407" s="46" t="str">
        <f t="shared" si="5"/>
        <v>/data/neurogen/ASAP/scRNAseq/data/batch28_ASAP_snRNA-seq_*/Raw_Data_and_Processing/cellranger_processing/cellranger_fastqs/outs/fastq_path/H*/BN1959_S2_L004_I2_001.fastq.gz</v>
      </c>
      <c r="K1407" s="46" t="s">
        <v>1350</v>
      </c>
      <c r="L1407" s="46" t="s">
        <v>4137</v>
      </c>
      <c r="M1407" s="46" t="s">
        <v>1309</v>
      </c>
      <c r="N1407" s="46" t="s">
        <v>1310</v>
      </c>
      <c r="O1407" s="46" t="s">
        <v>1311</v>
      </c>
      <c r="P1407" s="46" t="s">
        <v>1312</v>
      </c>
      <c r="Q1407" s="46" t="s">
        <v>31</v>
      </c>
      <c r="R1407" s="46" t="s">
        <v>31</v>
      </c>
      <c r="S1407" s="46" t="s">
        <v>31</v>
      </c>
      <c r="T1407" s="46" t="s">
        <v>31</v>
      </c>
      <c r="U1407" s="46" t="s">
        <v>49</v>
      </c>
    </row>
    <row r="1408" spans="1:21">
      <c r="A1408" s="46" t="s">
        <v>796</v>
      </c>
      <c r="B1408" s="46" t="s">
        <v>235</v>
      </c>
      <c r="C1408" s="46" t="s">
        <v>666</v>
      </c>
      <c r="D1408" s="46">
        <v>1</v>
      </c>
      <c r="E1408" s="46">
        <v>0</v>
      </c>
      <c r="F1408" s="46" t="s">
        <v>789</v>
      </c>
      <c r="G1408" s="46" t="s">
        <v>1305</v>
      </c>
      <c r="H1408" s="46" t="s">
        <v>4138</v>
      </c>
      <c r="I1408" s="46" t="str">
        <f ca="1">IFERROR(__xludf.DUMMYFUNCTION("CONCAT(A1408,REGEXREPLACE(H1408,"".*_L0"",""_L0""))"),"PD_BN1959_MTG_snRNAseq_rep1_L004_R1_001.fastq.gz")</f>
        <v>PD_BN1959_MTG_snRNAseq_rep1_L004_R1_001.fastq.gz</v>
      </c>
      <c r="J1408" s="46" t="str">
        <f t="shared" si="5"/>
        <v>/data/neurogen/ASAP/scRNAseq/data/batch28_ASAP_snRNA-seq_*/Raw_Data_and_Processing/cellranger_processing/cellranger_fastqs/outs/fastq_path/H*/BN1959_S2_L004_R1_001.fastq.gz</v>
      </c>
      <c r="K1408" s="46" t="s">
        <v>1353</v>
      </c>
      <c r="L1408" s="46" t="s">
        <v>4139</v>
      </c>
      <c r="M1408" s="46" t="s">
        <v>1309</v>
      </c>
      <c r="N1408" s="46" t="s">
        <v>1310</v>
      </c>
      <c r="O1408" s="46" t="s">
        <v>1311</v>
      </c>
      <c r="P1408" s="46" t="s">
        <v>1312</v>
      </c>
      <c r="Q1408" s="46" t="s">
        <v>31</v>
      </c>
      <c r="R1408" s="46" t="s">
        <v>31</v>
      </c>
      <c r="S1408" s="46" t="s">
        <v>31</v>
      </c>
      <c r="T1408" s="46" t="s">
        <v>31</v>
      </c>
      <c r="U1408" s="46" t="s">
        <v>49</v>
      </c>
    </row>
    <row r="1409" spans="1:21">
      <c r="A1409" s="46" t="s">
        <v>796</v>
      </c>
      <c r="B1409" s="46" t="s">
        <v>235</v>
      </c>
      <c r="C1409" s="46" t="s">
        <v>666</v>
      </c>
      <c r="D1409" s="46">
        <v>1</v>
      </c>
      <c r="E1409" s="46">
        <v>0</v>
      </c>
      <c r="F1409" s="46" t="s">
        <v>789</v>
      </c>
      <c r="G1409" s="46" t="s">
        <v>1305</v>
      </c>
      <c r="H1409" s="46" t="s">
        <v>4140</v>
      </c>
      <c r="I1409" s="46" t="str">
        <f ca="1">IFERROR(__xludf.DUMMYFUNCTION("CONCAT(A1409,REGEXREPLACE(H1409,"".*_L0"",""_L0""))"),"PD_BN1959_MTG_snRNAseq_rep1_L004_R2_001.fastq.gz")</f>
        <v>PD_BN1959_MTG_snRNAseq_rep1_L004_R2_001.fastq.gz</v>
      </c>
      <c r="J1409" s="46" t="str">
        <f t="shared" si="5"/>
        <v>/data/neurogen/ASAP/scRNAseq/data/batch28_ASAP_snRNA-seq_*/Raw_Data_and_Processing/cellranger_processing/cellranger_fastqs/outs/fastq_path/H*/BN1959_S2_L004_R2_001.fastq.gz</v>
      </c>
      <c r="K1409" s="46" t="s">
        <v>1356</v>
      </c>
      <c r="L1409" s="46" t="s">
        <v>4141</v>
      </c>
      <c r="M1409" s="46" t="s">
        <v>1309</v>
      </c>
      <c r="N1409" s="46" t="s">
        <v>1310</v>
      </c>
      <c r="O1409" s="46" t="s">
        <v>1311</v>
      </c>
      <c r="P1409" s="46" t="s">
        <v>1312</v>
      </c>
      <c r="Q1409" s="46" t="s">
        <v>31</v>
      </c>
      <c r="R1409" s="46" t="s">
        <v>31</v>
      </c>
      <c r="S1409" s="46" t="s">
        <v>31</v>
      </c>
      <c r="T1409" s="46" t="s">
        <v>31</v>
      </c>
      <c r="U1409" s="46" t="s">
        <v>49</v>
      </c>
    </row>
    <row r="1410" spans="1:21">
      <c r="A1410" s="46" t="s">
        <v>797</v>
      </c>
      <c r="B1410" s="46" t="s">
        <v>237</v>
      </c>
      <c r="C1410" s="46" t="s">
        <v>666</v>
      </c>
      <c r="D1410" s="46">
        <v>1</v>
      </c>
      <c r="E1410" s="46">
        <v>0</v>
      </c>
      <c r="F1410" s="46" t="s">
        <v>789</v>
      </c>
      <c r="G1410" s="46" t="s">
        <v>1305</v>
      </c>
      <c r="H1410" s="46" t="s">
        <v>4142</v>
      </c>
      <c r="I1410" s="46" t="str">
        <f ca="1">IFERROR(__xludf.DUMMYFUNCTION("CONCAT(A1410,REGEXREPLACE(H1410,"".*_L0"",""_L0""))"),"PD_BN1960_MTG_snRNAseq_rep1_L001_I1_001.fastq.gz")</f>
        <v>PD_BN1960_MTG_snRNAseq_rep1_L001_I1_001.fastq.gz</v>
      </c>
      <c r="J1410" s="46" t="str">
        <f t="shared" si="5"/>
        <v>/data/neurogen/ASAP/scRNAseq/data/batch28_ASAP_snRNA-seq_*/Raw_Data_and_Processing/cellranger_processing/cellranger_fastqs/outs/fastq_path/H*/BN1960_S3_L001_I1_001.fastq.gz</v>
      </c>
      <c r="K1410" s="46" t="s">
        <v>1307</v>
      </c>
      <c r="L1410" s="46" t="s">
        <v>4143</v>
      </c>
      <c r="M1410" s="46" t="s">
        <v>1309</v>
      </c>
      <c r="N1410" s="46" t="s">
        <v>1310</v>
      </c>
      <c r="O1410" s="46" t="s">
        <v>1311</v>
      </c>
      <c r="P1410" s="46" t="s">
        <v>1312</v>
      </c>
      <c r="Q1410" s="46" t="s">
        <v>31</v>
      </c>
      <c r="R1410" s="46" t="s">
        <v>31</v>
      </c>
      <c r="S1410" s="46" t="s">
        <v>31</v>
      </c>
      <c r="T1410" s="46" t="s">
        <v>31</v>
      </c>
      <c r="U1410" s="46" t="s">
        <v>49</v>
      </c>
    </row>
    <row r="1411" spans="1:21">
      <c r="A1411" s="46" t="s">
        <v>797</v>
      </c>
      <c r="B1411" s="46" t="s">
        <v>237</v>
      </c>
      <c r="C1411" s="46" t="s">
        <v>666</v>
      </c>
      <c r="D1411" s="46">
        <v>1</v>
      </c>
      <c r="E1411" s="46">
        <v>0</v>
      </c>
      <c r="F1411" s="46" t="s">
        <v>789</v>
      </c>
      <c r="G1411" s="46" t="s">
        <v>1305</v>
      </c>
      <c r="H1411" s="46" t="s">
        <v>4144</v>
      </c>
      <c r="I1411" s="46" t="str">
        <f ca="1">IFERROR(__xludf.DUMMYFUNCTION("CONCAT(A1411,REGEXREPLACE(H1411,"".*_L0"",""_L0""))"),"PD_BN1960_MTG_snRNAseq_rep1_L001_I2_001.fastq.gz")</f>
        <v>PD_BN1960_MTG_snRNAseq_rep1_L001_I2_001.fastq.gz</v>
      </c>
      <c r="J1411" s="46" t="str">
        <f t="shared" si="5"/>
        <v>/data/neurogen/ASAP/scRNAseq/data/batch28_ASAP_snRNA-seq_*/Raw_Data_and_Processing/cellranger_processing/cellranger_fastqs/outs/fastq_path/H*/BN1960_S3_L001_I2_001.fastq.gz</v>
      </c>
      <c r="K1411" s="46" t="s">
        <v>1314</v>
      </c>
      <c r="L1411" s="46" t="s">
        <v>4145</v>
      </c>
      <c r="M1411" s="46" t="s">
        <v>1309</v>
      </c>
      <c r="N1411" s="46" t="s">
        <v>1310</v>
      </c>
      <c r="O1411" s="46" t="s">
        <v>1311</v>
      </c>
      <c r="P1411" s="46" t="s">
        <v>1312</v>
      </c>
      <c r="Q1411" s="46" t="s">
        <v>31</v>
      </c>
      <c r="R1411" s="46" t="s">
        <v>31</v>
      </c>
      <c r="S1411" s="46" t="s">
        <v>31</v>
      </c>
      <c r="T1411" s="46" t="s">
        <v>31</v>
      </c>
      <c r="U1411" s="46" t="s">
        <v>49</v>
      </c>
    </row>
    <row r="1412" spans="1:21">
      <c r="A1412" s="46" t="s">
        <v>797</v>
      </c>
      <c r="B1412" s="46" t="s">
        <v>237</v>
      </c>
      <c r="C1412" s="46" t="s">
        <v>666</v>
      </c>
      <c r="D1412" s="46">
        <v>1</v>
      </c>
      <c r="E1412" s="46">
        <v>0</v>
      </c>
      <c r="F1412" s="46" t="s">
        <v>789</v>
      </c>
      <c r="G1412" s="46" t="s">
        <v>1305</v>
      </c>
      <c r="H1412" s="46" t="s">
        <v>4146</v>
      </c>
      <c r="I1412" s="46" t="str">
        <f ca="1">IFERROR(__xludf.DUMMYFUNCTION("CONCAT(A1412,REGEXREPLACE(H1412,"".*_L0"",""_L0""))"),"PD_BN1960_MTG_snRNAseq_rep1_L001_R1_001.fastq.gz")</f>
        <v>PD_BN1960_MTG_snRNAseq_rep1_L001_R1_001.fastq.gz</v>
      </c>
      <c r="J1412" s="46" t="str">
        <f t="shared" si="5"/>
        <v>/data/neurogen/ASAP/scRNAseq/data/batch28_ASAP_snRNA-seq_*/Raw_Data_and_Processing/cellranger_processing/cellranger_fastqs/outs/fastq_path/H*/BN1960_S3_L001_R1_001.fastq.gz</v>
      </c>
      <c r="K1412" s="46" t="s">
        <v>1317</v>
      </c>
      <c r="L1412" s="46" t="s">
        <v>4147</v>
      </c>
      <c r="M1412" s="46" t="s">
        <v>1309</v>
      </c>
      <c r="N1412" s="46" t="s">
        <v>1310</v>
      </c>
      <c r="O1412" s="46" t="s">
        <v>1311</v>
      </c>
      <c r="P1412" s="46" t="s">
        <v>1312</v>
      </c>
      <c r="Q1412" s="46" t="s">
        <v>31</v>
      </c>
      <c r="R1412" s="46" t="s">
        <v>31</v>
      </c>
      <c r="S1412" s="46" t="s">
        <v>31</v>
      </c>
      <c r="T1412" s="46" t="s">
        <v>31</v>
      </c>
      <c r="U1412" s="46" t="s">
        <v>49</v>
      </c>
    </row>
    <row r="1413" spans="1:21">
      <c r="A1413" s="46" t="s">
        <v>797</v>
      </c>
      <c r="B1413" s="46" t="s">
        <v>237</v>
      </c>
      <c r="C1413" s="46" t="s">
        <v>666</v>
      </c>
      <c r="D1413" s="46">
        <v>1</v>
      </c>
      <c r="E1413" s="46">
        <v>0</v>
      </c>
      <c r="F1413" s="46" t="s">
        <v>789</v>
      </c>
      <c r="G1413" s="46" t="s">
        <v>1305</v>
      </c>
      <c r="H1413" s="46" t="s">
        <v>4148</v>
      </c>
      <c r="I1413" s="46" t="str">
        <f ca="1">IFERROR(__xludf.DUMMYFUNCTION("CONCAT(A1413,REGEXREPLACE(H1413,"".*_L0"",""_L0""))"),"PD_BN1960_MTG_snRNAseq_rep1_L001_R2_001.fastq.gz")</f>
        <v>PD_BN1960_MTG_snRNAseq_rep1_L001_R2_001.fastq.gz</v>
      </c>
      <c r="J1413" s="46" t="str">
        <f t="shared" si="5"/>
        <v>/data/neurogen/ASAP/scRNAseq/data/batch28_ASAP_snRNA-seq_*/Raw_Data_and_Processing/cellranger_processing/cellranger_fastqs/outs/fastq_path/H*/BN1960_S3_L001_R2_001.fastq.gz</v>
      </c>
      <c r="K1413" s="46" t="s">
        <v>1320</v>
      </c>
      <c r="L1413" s="46" t="s">
        <v>4149</v>
      </c>
      <c r="M1413" s="46" t="s">
        <v>1309</v>
      </c>
      <c r="N1413" s="46" t="s">
        <v>1310</v>
      </c>
      <c r="O1413" s="46" t="s">
        <v>1311</v>
      </c>
      <c r="P1413" s="46" t="s">
        <v>1312</v>
      </c>
      <c r="Q1413" s="46" t="s">
        <v>31</v>
      </c>
      <c r="R1413" s="46" t="s">
        <v>31</v>
      </c>
      <c r="S1413" s="46" t="s">
        <v>31</v>
      </c>
      <c r="T1413" s="46" t="s">
        <v>31</v>
      </c>
      <c r="U1413" s="46" t="s">
        <v>49</v>
      </c>
    </row>
    <row r="1414" spans="1:21">
      <c r="A1414" s="46" t="s">
        <v>797</v>
      </c>
      <c r="B1414" s="46" t="s">
        <v>237</v>
      </c>
      <c r="C1414" s="46" t="s">
        <v>666</v>
      </c>
      <c r="D1414" s="46">
        <v>1</v>
      </c>
      <c r="E1414" s="46">
        <v>0</v>
      </c>
      <c r="F1414" s="46" t="s">
        <v>789</v>
      </c>
      <c r="G1414" s="46" t="s">
        <v>1305</v>
      </c>
      <c r="H1414" s="46" t="s">
        <v>4150</v>
      </c>
      <c r="I1414" s="46" t="str">
        <f ca="1">IFERROR(__xludf.DUMMYFUNCTION("CONCAT(A1414,REGEXREPLACE(H1414,"".*_L0"",""_L0""))"),"PD_BN1960_MTG_snRNAseq_rep1_L002_I1_001.fastq.gz")</f>
        <v>PD_BN1960_MTG_snRNAseq_rep1_L002_I1_001.fastq.gz</v>
      </c>
      <c r="J1414" s="46" t="str">
        <f t="shared" si="5"/>
        <v>/data/neurogen/ASAP/scRNAseq/data/batch28_ASAP_snRNA-seq_*/Raw_Data_and_Processing/cellranger_processing/cellranger_fastqs/outs/fastq_path/H*/BN1960_S3_L002_I1_001.fastq.gz</v>
      </c>
      <c r="K1414" s="46" t="s">
        <v>1323</v>
      </c>
      <c r="L1414" s="46" t="s">
        <v>4151</v>
      </c>
      <c r="M1414" s="46" t="s">
        <v>1309</v>
      </c>
      <c r="N1414" s="46" t="s">
        <v>1310</v>
      </c>
      <c r="O1414" s="46" t="s">
        <v>1311</v>
      </c>
      <c r="P1414" s="46" t="s">
        <v>1312</v>
      </c>
      <c r="Q1414" s="46" t="s">
        <v>31</v>
      </c>
      <c r="R1414" s="46" t="s">
        <v>31</v>
      </c>
      <c r="S1414" s="46" t="s">
        <v>31</v>
      </c>
      <c r="T1414" s="46" t="s">
        <v>31</v>
      </c>
      <c r="U1414" s="46" t="s">
        <v>49</v>
      </c>
    </row>
    <row r="1415" spans="1:21">
      <c r="A1415" s="46" t="s">
        <v>797</v>
      </c>
      <c r="B1415" s="46" t="s">
        <v>237</v>
      </c>
      <c r="C1415" s="46" t="s">
        <v>666</v>
      </c>
      <c r="D1415" s="46">
        <v>1</v>
      </c>
      <c r="E1415" s="46">
        <v>0</v>
      </c>
      <c r="F1415" s="46" t="s">
        <v>789</v>
      </c>
      <c r="G1415" s="46" t="s">
        <v>1305</v>
      </c>
      <c r="H1415" s="46" t="s">
        <v>4152</v>
      </c>
      <c r="I1415" s="46" t="str">
        <f ca="1">IFERROR(__xludf.DUMMYFUNCTION("CONCAT(A1415,REGEXREPLACE(H1415,"".*_L0"",""_L0""))"),"PD_BN1960_MTG_snRNAseq_rep1_L002_I2_001.fastq.gz")</f>
        <v>PD_BN1960_MTG_snRNAseq_rep1_L002_I2_001.fastq.gz</v>
      </c>
      <c r="J1415" s="46" t="str">
        <f t="shared" si="5"/>
        <v>/data/neurogen/ASAP/scRNAseq/data/batch28_ASAP_snRNA-seq_*/Raw_Data_and_Processing/cellranger_processing/cellranger_fastqs/outs/fastq_path/H*/BN1960_S3_L002_I2_001.fastq.gz</v>
      </c>
      <c r="K1415" s="46" t="s">
        <v>1326</v>
      </c>
      <c r="L1415" s="46" t="s">
        <v>4153</v>
      </c>
      <c r="M1415" s="46" t="s">
        <v>1309</v>
      </c>
      <c r="N1415" s="46" t="s">
        <v>1310</v>
      </c>
      <c r="O1415" s="46" t="s">
        <v>1311</v>
      </c>
      <c r="P1415" s="46" t="s">
        <v>1312</v>
      </c>
      <c r="Q1415" s="46" t="s">
        <v>31</v>
      </c>
      <c r="R1415" s="46" t="s">
        <v>31</v>
      </c>
      <c r="S1415" s="46" t="s">
        <v>31</v>
      </c>
      <c r="T1415" s="46" t="s">
        <v>31</v>
      </c>
      <c r="U1415" s="46" t="s">
        <v>49</v>
      </c>
    </row>
    <row r="1416" spans="1:21">
      <c r="A1416" s="46" t="s">
        <v>797</v>
      </c>
      <c r="B1416" s="46" t="s">
        <v>237</v>
      </c>
      <c r="C1416" s="46" t="s">
        <v>666</v>
      </c>
      <c r="D1416" s="46">
        <v>1</v>
      </c>
      <c r="E1416" s="46">
        <v>0</v>
      </c>
      <c r="F1416" s="46" t="s">
        <v>789</v>
      </c>
      <c r="G1416" s="46" t="s">
        <v>1305</v>
      </c>
      <c r="H1416" s="46" t="s">
        <v>4154</v>
      </c>
      <c r="I1416" s="46" t="str">
        <f ca="1">IFERROR(__xludf.DUMMYFUNCTION("CONCAT(A1416,REGEXREPLACE(H1416,"".*_L0"",""_L0""))"),"PD_BN1960_MTG_snRNAseq_rep1_L002_R1_001.fastq.gz")</f>
        <v>PD_BN1960_MTG_snRNAseq_rep1_L002_R1_001.fastq.gz</v>
      </c>
      <c r="J1416" s="46" t="str">
        <f t="shared" si="5"/>
        <v>/data/neurogen/ASAP/scRNAseq/data/batch28_ASAP_snRNA-seq_*/Raw_Data_and_Processing/cellranger_processing/cellranger_fastqs/outs/fastq_path/H*/BN1960_S3_L002_R1_001.fastq.gz</v>
      </c>
      <c r="K1416" s="46" t="s">
        <v>1329</v>
      </c>
      <c r="L1416" s="46" t="s">
        <v>4155</v>
      </c>
      <c r="M1416" s="46" t="s">
        <v>1309</v>
      </c>
      <c r="N1416" s="46" t="s">
        <v>1310</v>
      </c>
      <c r="O1416" s="46" t="s">
        <v>1311</v>
      </c>
      <c r="P1416" s="46" t="s">
        <v>1312</v>
      </c>
      <c r="Q1416" s="46" t="s">
        <v>31</v>
      </c>
      <c r="R1416" s="46" t="s">
        <v>31</v>
      </c>
      <c r="S1416" s="46" t="s">
        <v>31</v>
      </c>
      <c r="T1416" s="46" t="s">
        <v>31</v>
      </c>
      <c r="U1416" s="46" t="s">
        <v>49</v>
      </c>
    </row>
    <row r="1417" spans="1:21">
      <c r="A1417" s="46" t="s">
        <v>797</v>
      </c>
      <c r="B1417" s="46" t="s">
        <v>237</v>
      </c>
      <c r="C1417" s="46" t="s">
        <v>666</v>
      </c>
      <c r="D1417" s="46">
        <v>1</v>
      </c>
      <c r="E1417" s="46">
        <v>0</v>
      </c>
      <c r="F1417" s="46" t="s">
        <v>789</v>
      </c>
      <c r="G1417" s="46" t="s">
        <v>1305</v>
      </c>
      <c r="H1417" s="46" t="s">
        <v>4156</v>
      </c>
      <c r="I1417" s="46" t="str">
        <f ca="1">IFERROR(__xludf.DUMMYFUNCTION("CONCAT(A1417,REGEXREPLACE(H1417,"".*_L0"",""_L0""))"),"PD_BN1960_MTG_snRNAseq_rep1_L002_R2_001.fastq.gz")</f>
        <v>PD_BN1960_MTG_snRNAseq_rep1_L002_R2_001.fastq.gz</v>
      </c>
      <c r="J1417" s="46" t="str">
        <f t="shared" si="5"/>
        <v>/data/neurogen/ASAP/scRNAseq/data/batch28_ASAP_snRNA-seq_*/Raw_Data_and_Processing/cellranger_processing/cellranger_fastqs/outs/fastq_path/H*/BN1960_S3_L002_R2_001.fastq.gz</v>
      </c>
      <c r="K1417" s="46" t="s">
        <v>1332</v>
      </c>
      <c r="L1417" s="46" t="s">
        <v>4157</v>
      </c>
      <c r="M1417" s="46" t="s">
        <v>1309</v>
      </c>
      <c r="N1417" s="46" t="s">
        <v>1310</v>
      </c>
      <c r="O1417" s="46" t="s">
        <v>1311</v>
      </c>
      <c r="P1417" s="46" t="s">
        <v>1312</v>
      </c>
      <c r="Q1417" s="46" t="s">
        <v>31</v>
      </c>
      <c r="R1417" s="46" t="s">
        <v>31</v>
      </c>
      <c r="S1417" s="46" t="s">
        <v>31</v>
      </c>
      <c r="T1417" s="46" t="s">
        <v>31</v>
      </c>
      <c r="U1417" s="46" t="s">
        <v>49</v>
      </c>
    </row>
    <row r="1418" spans="1:21">
      <c r="A1418" s="46" t="s">
        <v>797</v>
      </c>
      <c r="B1418" s="46" t="s">
        <v>237</v>
      </c>
      <c r="C1418" s="46" t="s">
        <v>666</v>
      </c>
      <c r="D1418" s="46">
        <v>1</v>
      </c>
      <c r="E1418" s="46">
        <v>0</v>
      </c>
      <c r="F1418" s="46" t="s">
        <v>789</v>
      </c>
      <c r="G1418" s="46" t="s">
        <v>1305</v>
      </c>
      <c r="H1418" s="46" t="s">
        <v>4158</v>
      </c>
      <c r="I1418" s="46" t="str">
        <f ca="1">IFERROR(__xludf.DUMMYFUNCTION("CONCAT(A1418,REGEXREPLACE(H1418,"".*_L0"",""_L0""))"),"PD_BN1960_MTG_snRNAseq_rep1_L003_I1_001.fastq.gz")</f>
        <v>PD_BN1960_MTG_snRNAseq_rep1_L003_I1_001.fastq.gz</v>
      </c>
      <c r="J1418" s="46" t="str">
        <f t="shared" si="5"/>
        <v>/data/neurogen/ASAP/scRNAseq/data/batch28_ASAP_snRNA-seq_*/Raw_Data_and_Processing/cellranger_processing/cellranger_fastqs/outs/fastq_path/H*/BN1960_S3_L003_I1_001.fastq.gz</v>
      </c>
      <c r="K1418" s="46" t="s">
        <v>1335</v>
      </c>
      <c r="L1418" s="46" t="s">
        <v>4159</v>
      </c>
      <c r="M1418" s="46" t="s">
        <v>1309</v>
      </c>
      <c r="N1418" s="46" t="s">
        <v>1310</v>
      </c>
      <c r="O1418" s="46" t="s">
        <v>1311</v>
      </c>
      <c r="P1418" s="46" t="s">
        <v>1312</v>
      </c>
      <c r="Q1418" s="46" t="s">
        <v>31</v>
      </c>
      <c r="R1418" s="46" t="s">
        <v>31</v>
      </c>
      <c r="S1418" s="46" t="s">
        <v>31</v>
      </c>
      <c r="T1418" s="46" t="s">
        <v>31</v>
      </c>
      <c r="U1418" s="46" t="s">
        <v>49</v>
      </c>
    </row>
    <row r="1419" spans="1:21">
      <c r="A1419" s="46" t="s">
        <v>797</v>
      </c>
      <c r="B1419" s="46" t="s">
        <v>237</v>
      </c>
      <c r="C1419" s="46" t="s">
        <v>666</v>
      </c>
      <c r="D1419" s="46">
        <v>1</v>
      </c>
      <c r="E1419" s="46">
        <v>0</v>
      </c>
      <c r="F1419" s="46" t="s">
        <v>789</v>
      </c>
      <c r="G1419" s="46" t="s">
        <v>1305</v>
      </c>
      <c r="H1419" s="46" t="s">
        <v>4160</v>
      </c>
      <c r="I1419" s="46" t="str">
        <f ca="1">IFERROR(__xludf.DUMMYFUNCTION("CONCAT(A1419,REGEXREPLACE(H1419,"".*_L0"",""_L0""))"),"PD_BN1960_MTG_snRNAseq_rep1_L003_I2_001.fastq.gz")</f>
        <v>PD_BN1960_MTG_snRNAseq_rep1_L003_I2_001.fastq.gz</v>
      </c>
      <c r="J1419" s="46" t="str">
        <f t="shared" si="5"/>
        <v>/data/neurogen/ASAP/scRNAseq/data/batch28_ASAP_snRNA-seq_*/Raw_Data_and_Processing/cellranger_processing/cellranger_fastqs/outs/fastq_path/H*/BN1960_S3_L003_I2_001.fastq.gz</v>
      </c>
      <c r="K1419" s="46" t="s">
        <v>1338</v>
      </c>
      <c r="L1419" s="46" t="s">
        <v>4161</v>
      </c>
      <c r="M1419" s="46" t="s">
        <v>1309</v>
      </c>
      <c r="N1419" s="46" t="s">
        <v>1310</v>
      </c>
      <c r="O1419" s="46" t="s">
        <v>1311</v>
      </c>
      <c r="P1419" s="46" t="s">
        <v>1312</v>
      </c>
      <c r="Q1419" s="46" t="s">
        <v>31</v>
      </c>
      <c r="R1419" s="46" t="s">
        <v>31</v>
      </c>
      <c r="S1419" s="46" t="s">
        <v>31</v>
      </c>
      <c r="T1419" s="46" t="s">
        <v>31</v>
      </c>
      <c r="U1419" s="46" t="s">
        <v>49</v>
      </c>
    </row>
    <row r="1420" spans="1:21">
      <c r="A1420" s="46" t="s">
        <v>797</v>
      </c>
      <c r="B1420" s="46" t="s">
        <v>237</v>
      </c>
      <c r="C1420" s="46" t="s">
        <v>666</v>
      </c>
      <c r="D1420" s="46">
        <v>1</v>
      </c>
      <c r="E1420" s="46">
        <v>0</v>
      </c>
      <c r="F1420" s="46" t="s">
        <v>789</v>
      </c>
      <c r="G1420" s="46" t="s">
        <v>1305</v>
      </c>
      <c r="H1420" s="46" t="s">
        <v>4162</v>
      </c>
      <c r="I1420" s="46" t="str">
        <f ca="1">IFERROR(__xludf.DUMMYFUNCTION("CONCAT(A1420,REGEXREPLACE(H1420,"".*_L0"",""_L0""))"),"PD_BN1960_MTG_snRNAseq_rep1_L003_R1_001.fastq.gz")</f>
        <v>PD_BN1960_MTG_snRNAseq_rep1_L003_R1_001.fastq.gz</v>
      </c>
      <c r="J1420" s="46" t="str">
        <f t="shared" si="5"/>
        <v>/data/neurogen/ASAP/scRNAseq/data/batch28_ASAP_snRNA-seq_*/Raw_Data_and_Processing/cellranger_processing/cellranger_fastqs/outs/fastq_path/H*/BN1960_S3_L003_R1_001.fastq.gz</v>
      </c>
      <c r="K1420" s="46" t="s">
        <v>1341</v>
      </c>
      <c r="L1420" s="46" t="s">
        <v>4163</v>
      </c>
      <c r="M1420" s="46" t="s">
        <v>1309</v>
      </c>
      <c r="N1420" s="46" t="s">
        <v>1310</v>
      </c>
      <c r="O1420" s="46" t="s">
        <v>1311</v>
      </c>
      <c r="P1420" s="46" t="s">
        <v>1312</v>
      </c>
      <c r="Q1420" s="46" t="s">
        <v>31</v>
      </c>
      <c r="R1420" s="46" t="s">
        <v>31</v>
      </c>
      <c r="S1420" s="46" t="s">
        <v>31</v>
      </c>
      <c r="T1420" s="46" t="s">
        <v>31</v>
      </c>
      <c r="U1420" s="46" t="s">
        <v>49</v>
      </c>
    </row>
    <row r="1421" spans="1:21">
      <c r="A1421" s="46" t="s">
        <v>797</v>
      </c>
      <c r="B1421" s="46" t="s">
        <v>237</v>
      </c>
      <c r="C1421" s="46" t="s">
        <v>666</v>
      </c>
      <c r="D1421" s="46">
        <v>1</v>
      </c>
      <c r="E1421" s="46">
        <v>0</v>
      </c>
      <c r="F1421" s="46" t="s">
        <v>789</v>
      </c>
      <c r="G1421" s="46" t="s">
        <v>1305</v>
      </c>
      <c r="H1421" s="46" t="s">
        <v>4164</v>
      </c>
      <c r="I1421" s="46" t="str">
        <f ca="1">IFERROR(__xludf.DUMMYFUNCTION("CONCAT(A1421,REGEXREPLACE(H1421,"".*_L0"",""_L0""))"),"PD_BN1960_MTG_snRNAseq_rep1_L003_R2_001.fastq.gz")</f>
        <v>PD_BN1960_MTG_snRNAseq_rep1_L003_R2_001.fastq.gz</v>
      </c>
      <c r="J1421" s="46" t="str">
        <f t="shared" si="5"/>
        <v>/data/neurogen/ASAP/scRNAseq/data/batch28_ASAP_snRNA-seq_*/Raw_Data_and_Processing/cellranger_processing/cellranger_fastqs/outs/fastq_path/H*/BN1960_S3_L003_R2_001.fastq.gz</v>
      </c>
      <c r="K1421" s="46" t="s">
        <v>1344</v>
      </c>
      <c r="L1421" s="46" t="s">
        <v>4165</v>
      </c>
      <c r="M1421" s="46" t="s">
        <v>1309</v>
      </c>
      <c r="N1421" s="46" t="s">
        <v>1310</v>
      </c>
      <c r="O1421" s="46" t="s">
        <v>1311</v>
      </c>
      <c r="P1421" s="46" t="s">
        <v>1312</v>
      </c>
      <c r="Q1421" s="46" t="s">
        <v>31</v>
      </c>
      <c r="R1421" s="46" t="s">
        <v>31</v>
      </c>
      <c r="S1421" s="46" t="s">
        <v>31</v>
      </c>
      <c r="T1421" s="46" t="s">
        <v>31</v>
      </c>
      <c r="U1421" s="46" t="s">
        <v>49</v>
      </c>
    </row>
    <row r="1422" spans="1:21">
      <c r="A1422" s="46" t="s">
        <v>797</v>
      </c>
      <c r="B1422" s="46" t="s">
        <v>237</v>
      </c>
      <c r="C1422" s="46" t="s">
        <v>666</v>
      </c>
      <c r="D1422" s="46">
        <v>1</v>
      </c>
      <c r="E1422" s="46">
        <v>0</v>
      </c>
      <c r="F1422" s="46" t="s">
        <v>789</v>
      </c>
      <c r="G1422" s="46" t="s">
        <v>1305</v>
      </c>
      <c r="H1422" s="46" t="s">
        <v>4166</v>
      </c>
      <c r="I1422" s="46" t="str">
        <f ca="1">IFERROR(__xludf.DUMMYFUNCTION("CONCAT(A1422,REGEXREPLACE(H1422,"".*_L0"",""_L0""))"),"PD_BN1960_MTG_snRNAseq_rep1_L004_I1_001.fastq.gz")</f>
        <v>PD_BN1960_MTG_snRNAseq_rep1_L004_I1_001.fastq.gz</v>
      </c>
      <c r="J1422" s="46" t="str">
        <f t="shared" si="5"/>
        <v>/data/neurogen/ASAP/scRNAseq/data/batch28_ASAP_snRNA-seq_*/Raw_Data_and_Processing/cellranger_processing/cellranger_fastqs/outs/fastq_path/H*/BN1960_S3_L004_I1_001.fastq.gz</v>
      </c>
      <c r="K1422" s="46" t="s">
        <v>1347</v>
      </c>
      <c r="L1422" s="46" t="s">
        <v>4167</v>
      </c>
      <c r="M1422" s="46" t="s">
        <v>1309</v>
      </c>
      <c r="N1422" s="46" t="s">
        <v>1310</v>
      </c>
      <c r="O1422" s="46" t="s">
        <v>1311</v>
      </c>
      <c r="P1422" s="46" t="s">
        <v>1312</v>
      </c>
      <c r="Q1422" s="46" t="s">
        <v>31</v>
      </c>
      <c r="R1422" s="46" t="s">
        <v>31</v>
      </c>
      <c r="S1422" s="46" t="s">
        <v>31</v>
      </c>
      <c r="T1422" s="46" t="s">
        <v>31</v>
      </c>
      <c r="U1422" s="46" t="s">
        <v>49</v>
      </c>
    </row>
    <row r="1423" spans="1:21">
      <c r="A1423" s="46" t="s">
        <v>797</v>
      </c>
      <c r="B1423" s="46" t="s">
        <v>237</v>
      </c>
      <c r="C1423" s="46" t="s">
        <v>666</v>
      </c>
      <c r="D1423" s="46">
        <v>1</v>
      </c>
      <c r="E1423" s="46">
        <v>0</v>
      </c>
      <c r="F1423" s="46" t="s">
        <v>789</v>
      </c>
      <c r="G1423" s="46" t="s">
        <v>1305</v>
      </c>
      <c r="H1423" s="46" t="s">
        <v>4168</v>
      </c>
      <c r="I1423" s="46" t="str">
        <f ca="1">IFERROR(__xludf.DUMMYFUNCTION("CONCAT(A1423,REGEXREPLACE(H1423,"".*_L0"",""_L0""))"),"PD_BN1960_MTG_snRNAseq_rep1_L004_I2_001.fastq.gz")</f>
        <v>PD_BN1960_MTG_snRNAseq_rep1_L004_I2_001.fastq.gz</v>
      </c>
      <c r="J1423" s="46" t="str">
        <f t="shared" si="5"/>
        <v>/data/neurogen/ASAP/scRNAseq/data/batch28_ASAP_snRNA-seq_*/Raw_Data_and_Processing/cellranger_processing/cellranger_fastqs/outs/fastq_path/H*/BN1960_S3_L004_I2_001.fastq.gz</v>
      </c>
      <c r="K1423" s="46" t="s">
        <v>1350</v>
      </c>
      <c r="L1423" s="46" t="s">
        <v>4169</v>
      </c>
      <c r="M1423" s="46" t="s">
        <v>1309</v>
      </c>
      <c r="N1423" s="46" t="s">
        <v>1310</v>
      </c>
      <c r="O1423" s="46" t="s">
        <v>1311</v>
      </c>
      <c r="P1423" s="46" t="s">
        <v>1312</v>
      </c>
      <c r="Q1423" s="46" t="s">
        <v>31</v>
      </c>
      <c r="R1423" s="46" t="s">
        <v>31</v>
      </c>
      <c r="S1423" s="46" t="s">
        <v>31</v>
      </c>
      <c r="T1423" s="46" t="s">
        <v>31</v>
      </c>
      <c r="U1423" s="46" t="s">
        <v>49</v>
      </c>
    </row>
    <row r="1424" spans="1:21">
      <c r="A1424" s="46" t="s">
        <v>797</v>
      </c>
      <c r="B1424" s="46" t="s">
        <v>237</v>
      </c>
      <c r="C1424" s="46" t="s">
        <v>666</v>
      </c>
      <c r="D1424" s="46">
        <v>1</v>
      </c>
      <c r="E1424" s="46">
        <v>0</v>
      </c>
      <c r="F1424" s="46" t="s">
        <v>789</v>
      </c>
      <c r="G1424" s="46" t="s">
        <v>1305</v>
      </c>
      <c r="H1424" s="46" t="s">
        <v>4170</v>
      </c>
      <c r="I1424" s="46" t="str">
        <f ca="1">IFERROR(__xludf.DUMMYFUNCTION("CONCAT(A1424,REGEXREPLACE(H1424,"".*_L0"",""_L0""))"),"PD_BN1960_MTG_snRNAseq_rep1_L004_R1_001.fastq.gz")</f>
        <v>PD_BN1960_MTG_snRNAseq_rep1_L004_R1_001.fastq.gz</v>
      </c>
      <c r="J1424" s="46" t="str">
        <f t="shared" si="5"/>
        <v>/data/neurogen/ASAP/scRNAseq/data/batch28_ASAP_snRNA-seq_*/Raw_Data_and_Processing/cellranger_processing/cellranger_fastqs/outs/fastq_path/H*/BN1960_S3_L004_R1_001.fastq.gz</v>
      </c>
      <c r="K1424" s="46" t="s">
        <v>1353</v>
      </c>
      <c r="L1424" s="46" t="s">
        <v>4171</v>
      </c>
      <c r="M1424" s="46" t="s">
        <v>1309</v>
      </c>
      <c r="N1424" s="46" t="s">
        <v>1310</v>
      </c>
      <c r="O1424" s="46" t="s">
        <v>1311</v>
      </c>
      <c r="P1424" s="46" t="s">
        <v>1312</v>
      </c>
      <c r="Q1424" s="46" t="s">
        <v>31</v>
      </c>
      <c r="R1424" s="46" t="s">
        <v>31</v>
      </c>
      <c r="S1424" s="46" t="s">
        <v>31</v>
      </c>
      <c r="T1424" s="46" t="s">
        <v>31</v>
      </c>
      <c r="U1424" s="46" t="s">
        <v>49</v>
      </c>
    </row>
    <row r="1425" spans="1:21">
      <c r="A1425" s="46" t="s">
        <v>797</v>
      </c>
      <c r="B1425" s="46" t="s">
        <v>237</v>
      </c>
      <c r="C1425" s="46" t="s">
        <v>666</v>
      </c>
      <c r="D1425" s="46">
        <v>1</v>
      </c>
      <c r="E1425" s="46">
        <v>0</v>
      </c>
      <c r="F1425" s="46" t="s">
        <v>789</v>
      </c>
      <c r="G1425" s="46" t="s">
        <v>1305</v>
      </c>
      <c r="H1425" s="46" t="s">
        <v>4172</v>
      </c>
      <c r="I1425" s="46" t="str">
        <f ca="1">IFERROR(__xludf.DUMMYFUNCTION("CONCAT(A1425,REGEXREPLACE(H1425,"".*_L0"",""_L0""))"),"PD_BN1960_MTG_snRNAseq_rep1_L004_R2_001.fastq.gz")</f>
        <v>PD_BN1960_MTG_snRNAseq_rep1_L004_R2_001.fastq.gz</v>
      </c>
      <c r="J1425" s="46" t="str">
        <f t="shared" si="5"/>
        <v>/data/neurogen/ASAP/scRNAseq/data/batch28_ASAP_snRNA-seq_*/Raw_Data_and_Processing/cellranger_processing/cellranger_fastqs/outs/fastq_path/H*/BN1960_S3_L004_R2_001.fastq.gz</v>
      </c>
      <c r="K1425" s="46" t="s">
        <v>1356</v>
      </c>
      <c r="L1425" s="46" t="s">
        <v>4173</v>
      </c>
      <c r="M1425" s="46" t="s">
        <v>1309</v>
      </c>
      <c r="N1425" s="46" t="s">
        <v>1310</v>
      </c>
      <c r="O1425" s="46" t="s">
        <v>1311</v>
      </c>
      <c r="P1425" s="46" t="s">
        <v>1312</v>
      </c>
      <c r="Q1425" s="46" t="s">
        <v>31</v>
      </c>
      <c r="R1425" s="46" t="s">
        <v>31</v>
      </c>
      <c r="S1425" s="46" t="s">
        <v>31</v>
      </c>
      <c r="T1425" s="46" t="s">
        <v>31</v>
      </c>
      <c r="U1425" s="46" t="s">
        <v>49</v>
      </c>
    </row>
    <row r="1426" spans="1:21">
      <c r="A1426" s="46" t="s">
        <v>792</v>
      </c>
      <c r="B1426" s="46" t="s">
        <v>229</v>
      </c>
      <c r="C1426" s="46" t="s">
        <v>666</v>
      </c>
      <c r="D1426" s="46">
        <v>1</v>
      </c>
      <c r="E1426" s="46">
        <v>0</v>
      </c>
      <c r="F1426" s="46" t="s">
        <v>793</v>
      </c>
      <c r="G1426" s="46" t="s">
        <v>1305</v>
      </c>
      <c r="H1426" s="46" t="s">
        <v>4174</v>
      </c>
      <c r="I1426" s="46" t="str">
        <f ca="1">IFERROR(__xludf.DUMMYFUNCTION("CONCAT(A1426,REGEXREPLACE(H1426,"".*_L0"",""_L0""))"),"HC_BN1934_MTG_snRNAseq_rep1_L001_I1_001.fastq.gz")</f>
        <v>HC_BN1934_MTG_snRNAseq_rep1_L001_I1_001.fastq.gz</v>
      </c>
      <c r="J1426" s="46" t="str">
        <f t="shared" si="5"/>
        <v>/data/neurogen/ASAP/scRNAseq/data/batch29_ASAP_snRNA-seq_*/Raw_Data_and_Processing/cellranger_processing/cellranger_fastqs/outs/fastq_path/H*/BN1934_S2_L001_I1_001.fastq.gz</v>
      </c>
      <c r="K1426" s="46" t="s">
        <v>1307</v>
      </c>
      <c r="L1426" s="46" t="s">
        <v>4175</v>
      </c>
      <c r="M1426" s="46" t="s">
        <v>1309</v>
      </c>
      <c r="N1426" s="46" t="s">
        <v>1310</v>
      </c>
      <c r="O1426" s="46" t="s">
        <v>1311</v>
      </c>
      <c r="P1426" s="46" t="s">
        <v>1312</v>
      </c>
      <c r="Q1426" s="46" t="s">
        <v>31</v>
      </c>
      <c r="R1426" s="46" t="s">
        <v>31</v>
      </c>
      <c r="S1426" s="46" t="s">
        <v>31</v>
      </c>
      <c r="T1426" s="46" t="s">
        <v>31</v>
      </c>
      <c r="U1426" s="46" t="s">
        <v>49</v>
      </c>
    </row>
    <row r="1427" spans="1:21">
      <c r="A1427" s="46" t="s">
        <v>792</v>
      </c>
      <c r="B1427" s="46" t="s">
        <v>229</v>
      </c>
      <c r="C1427" s="46" t="s">
        <v>666</v>
      </c>
      <c r="D1427" s="46">
        <v>1</v>
      </c>
      <c r="E1427" s="46">
        <v>0</v>
      </c>
      <c r="F1427" s="46" t="s">
        <v>793</v>
      </c>
      <c r="G1427" s="46" t="s">
        <v>1305</v>
      </c>
      <c r="H1427" s="46" t="s">
        <v>4176</v>
      </c>
      <c r="I1427" s="46" t="str">
        <f ca="1">IFERROR(__xludf.DUMMYFUNCTION("CONCAT(A1427,REGEXREPLACE(H1427,"".*_L0"",""_L0""))"),"HC_BN1934_MTG_snRNAseq_rep1_L001_I2_001.fastq.gz")</f>
        <v>HC_BN1934_MTG_snRNAseq_rep1_L001_I2_001.fastq.gz</v>
      </c>
      <c r="J1427" s="46" t="str">
        <f t="shared" si="5"/>
        <v>/data/neurogen/ASAP/scRNAseq/data/batch29_ASAP_snRNA-seq_*/Raw_Data_and_Processing/cellranger_processing/cellranger_fastqs/outs/fastq_path/H*/BN1934_S2_L001_I2_001.fastq.gz</v>
      </c>
      <c r="K1427" s="46" t="s">
        <v>1314</v>
      </c>
      <c r="L1427" s="46" t="s">
        <v>4177</v>
      </c>
      <c r="M1427" s="46" t="s">
        <v>1309</v>
      </c>
      <c r="N1427" s="46" t="s">
        <v>1310</v>
      </c>
      <c r="O1427" s="46" t="s">
        <v>1311</v>
      </c>
      <c r="P1427" s="46" t="s">
        <v>1312</v>
      </c>
      <c r="Q1427" s="46" t="s">
        <v>31</v>
      </c>
      <c r="R1427" s="46" t="s">
        <v>31</v>
      </c>
      <c r="S1427" s="46" t="s">
        <v>31</v>
      </c>
      <c r="T1427" s="46" t="s">
        <v>31</v>
      </c>
      <c r="U1427" s="46" t="s">
        <v>49</v>
      </c>
    </row>
    <row r="1428" spans="1:21">
      <c r="A1428" s="46" t="s">
        <v>792</v>
      </c>
      <c r="B1428" s="46" t="s">
        <v>229</v>
      </c>
      <c r="C1428" s="46" t="s">
        <v>666</v>
      </c>
      <c r="D1428" s="46">
        <v>1</v>
      </c>
      <c r="E1428" s="46">
        <v>0</v>
      </c>
      <c r="F1428" s="46" t="s">
        <v>793</v>
      </c>
      <c r="G1428" s="46" t="s">
        <v>1305</v>
      </c>
      <c r="H1428" s="46" t="s">
        <v>4178</v>
      </c>
      <c r="I1428" s="46" t="str">
        <f ca="1">IFERROR(__xludf.DUMMYFUNCTION("CONCAT(A1428,REGEXREPLACE(H1428,"".*_L0"",""_L0""))"),"HC_BN1934_MTG_snRNAseq_rep1_L001_R1_001.fastq.gz")</f>
        <v>HC_BN1934_MTG_snRNAseq_rep1_L001_R1_001.fastq.gz</v>
      </c>
      <c r="J1428" s="46" t="str">
        <f t="shared" si="5"/>
        <v>/data/neurogen/ASAP/scRNAseq/data/batch29_ASAP_snRNA-seq_*/Raw_Data_and_Processing/cellranger_processing/cellranger_fastqs/outs/fastq_path/H*/BN1934_S2_L001_R1_001.fastq.gz</v>
      </c>
      <c r="K1428" s="46" t="s">
        <v>1317</v>
      </c>
      <c r="L1428" s="46" t="s">
        <v>4179</v>
      </c>
      <c r="M1428" s="46" t="s">
        <v>1309</v>
      </c>
      <c r="N1428" s="46" t="s">
        <v>1310</v>
      </c>
      <c r="O1428" s="46" t="s">
        <v>1311</v>
      </c>
      <c r="P1428" s="46" t="s">
        <v>1312</v>
      </c>
      <c r="Q1428" s="46" t="s">
        <v>31</v>
      </c>
      <c r="R1428" s="46" t="s">
        <v>31</v>
      </c>
      <c r="S1428" s="46" t="s">
        <v>31</v>
      </c>
      <c r="T1428" s="46" t="s">
        <v>31</v>
      </c>
      <c r="U1428" s="46" t="s">
        <v>49</v>
      </c>
    </row>
    <row r="1429" spans="1:21">
      <c r="A1429" s="46" t="s">
        <v>792</v>
      </c>
      <c r="B1429" s="46" t="s">
        <v>229</v>
      </c>
      <c r="C1429" s="46" t="s">
        <v>666</v>
      </c>
      <c r="D1429" s="46">
        <v>1</v>
      </c>
      <c r="E1429" s="46">
        <v>0</v>
      </c>
      <c r="F1429" s="46" t="s">
        <v>793</v>
      </c>
      <c r="G1429" s="46" t="s">
        <v>1305</v>
      </c>
      <c r="H1429" s="46" t="s">
        <v>4180</v>
      </c>
      <c r="I1429" s="46" t="str">
        <f ca="1">IFERROR(__xludf.DUMMYFUNCTION("CONCAT(A1429,REGEXREPLACE(H1429,"".*_L0"",""_L0""))"),"HC_BN1934_MTG_snRNAseq_rep1_L001_R2_001.fastq.gz")</f>
        <v>HC_BN1934_MTG_snRNAseq_rep1_L001_R2_001.fastq.gz</v>
      </c>
      <c r="J1429" s="46" t="str">
        <f t="shared" si="5"/>
        <v>/data/neurogen/ASAP/scRNAseq/data/batch29_ASAP_snRNA-seq_*/Raw_Data_and_Processing/cellranger_processing/cellranger_fastqs/outs/fastq_path/H*/BN1934_S2_L001_R2_001.fastq.gz</v>
      </c>
      <c r="K1429" s="46" t="s">
        <v>1320</v>
      </c>
      <c r="L1429" s="46" t="s">
        <v>4181</v>
      </c>
      <c r="M1429" s="46" t="s">
        <v>1309</v>
      </c>
      <c r="N1429" s="46" t="s">
        <v>1310</v>
      </c>
      <c r="O1429" s="46" t="s">
        <v>1311</v>
      </c>
      <c r="P1429" s="46" t="s">
        <v>1312</v>
      </c>
      <c r="Q1429" s="46" t="s">
        <v>31</v>
      </c>
      <c r="R1429" s="46" t="s">
        <v>31</v>
      </c>
      <c r="S1429" s="46" t="s">
        <v>31</v>
      </c>
      <c r="T1429" s="46" t="s">
        <v>31</v>
      </c>
      <c r="U1429" s="46" t="s">
        <v>49</v>
      </c>
    </row>
    <row r="1430" spans="1:21">
      <c r="A1430" s="46" t="s">
        <v>792</v>
      </c>
      <c r="B1430" s="46" t="s">
        <v>229</v>
      </c>
      <c r="C1430" s="46" t="s">
        <v>666</v>
      </c>
      <c r="D1430" s="46">
        <v>1</v>
      </c>
      <c r="E1430" s="46">
        <v>0</v>
      </c>
      <c r="F1430" s="46" t="s">
        <v>793</v>
      </c>
      <c r="G1430" s="46" t="s">
        <v>1305</v>
      </c>
      <c r="H1430" s="46" t="s">
        <v>4182</v>
      </c>
      <c r="I1430" s="46" t="str">
        <f ca="1">IFERROR(__xludf.DUMMYFUNCTION("CONCAT(A1430,REGEXREPLACE(H1430,"".*_L0"",""_L0""))"),"HC_BN1934_MTG_snRNAseq_rep1_L002_I1_001.fastq.gz")</f>
        <v>HC_BN1934_MTG_snRNAseq_rep1_L002_I1_001.fastq.gz</v>
      </c>
      <c r="J1430" s="46" t="str">
        <f t="shared" si="5"/>
        <v>/data/neurogen/ASAP/scRNAseq/data/batch29_ASAP_snRNA-seq_*/Raw_Data_and_Processing/cellranger_processing/cellranger_fastqs/outs/fastq_path/H*/BN1934_S2_L002_I1_001.fastq.gz</v>
      </c>
      <c r="K1430" s="46" t="s">
        <v>1323</v>
      </c>
      <c r="L1430" s="46" t="s">
        <v>4183</v>
      </c>
      <c r="M1430" s="46" t="s">
        <v>1309</v>
      </c>
      <c r="N1430" s="46" t="s">
        <v>1310</v>
      </c>
      <c r="O1430" s="46" t="s">
        <v>1311</v>
      </c>
      <c r="P1430" s="46" t="s">
        <v>1312</v>
      </c>
      <c r="Q1430" s="46" t="s">
        <v>31</v>
      </c>
      <c r="R1430" s="46" t="s">
        <v>31</v>
      </c>
      <c r="S1430" s="46" t="s">
        <v>31</v>
      </c>
      <c r="T1430" s="46" t="s">
        <v>31</v>
      </c>
      <c r="U1430" s="46" t="s">
        <v>49</v>
      </c>
    </row>
    <row r="1431" spans="1:21">
      <c r="A1431" s="46" t="s">
        <v>792</v>
      </c>
      <c r="B1431" s="46" t="s">
        <v>229</v>
      </c>
      <c r="C1431" s="46" t="s">
        <v>666</v>
      </c>
      <c r="D1431" s="46">
        <v>1</v>
      </c>
      <c r="E1431" s="46">
        <v>0</v>
      </c>
      <c r="F1431" s="46" t="s">
        <v>793</v>
      </c>
      <c r="G1431" s="46" t="s">
        <v>1305</v>
      </c>
      <c r="H1431" s="46" t="s">
        <v>4184</v>
      </c>
      <c r="I1431" s="46" t="str">
        <f ca="1">IFERROR(__xludf.DUMMYFUNCTION("CONCAT(A1431,REGEXREPLACE(H1431,"".*_L0"",""_L0""))"),"HC_BN1934_MTG_snRNAseq_rep1_L002_I2_001.fastq.gz")</f>
        <v>HC_BN1934_MTG_snRNAseq_rep1_L002_I2_001.fastq.gz</v>
      </c>
      <c r="J1431" s="46" t="str">
        <f t="shared" si="5"/>
        <v>/data/neurogen/ASAP/scRNAseq/data/batch29_ASAP_snRNA-seq_*/Raw_Data_and_Processing/cellranger_processing/cellranger_fastqs/outs/fastq_path/H*/BN1934_S2_L002_I2_001.fastq.gz</v>
      </c>
      <c r="K1431" s="46" t="s">
        <v>1326</v>
      </c>
      <c r="L1431" s="46" t="s">
        <v>4185</v>
      </c>
      <c r="M1431" s="46" t="s">
        <v>1309</v>
      </c>
      <c r="N1431" s="46" t="s">
        <v>1310</v>
      </c>
      <c r="O1431" s="46" t="s">
        <v>1311</v>
      </c>
      <c r="P1431" s="46" t="s">
        <v>1312</v>
      </c>
      <c r="Q1431" s="46" t="s">
        <v>31</v>
      </c>
      <c r="R1431" s="46" t="s">
        <v>31</v>
      </c>
      <c r="S1431" s="46" t="s">
        <v>31</v>
      </c>
      <c r="T1431" s="46" t="s">
        <v>31</v>
      </c>
      <c r="U1431" s="46" t="s">
        <v>49</v>
      </c>
    </row>
    <row r="1432" spans="1:21">
      <c r="A1432" s="46" t="s">
        <v>792</v>
      </c>
      <c r="B1432" s="46" t="s">
        <v>229</v>
      </c>
      <c r="C1432" s="46" t="s">
        <v>666</v>
      </c>
      <c r="D1432" s="46">
        <v>1</v>
      </c>
      <c r="E1432" s="46">
        <v>0</v>
      </c>
      <c r="F1432" s="46" t="s">
        <v>793</v>
      </c>
      <c r="G1432" s="46" t="s">
        <v>1305</v>
      </c>
      <c r="H1432" s="46" t="s">
        <v>4186</v>
      </c>
      <c r="I1432" s="46" t="str">
        <f ca="1">IFERROR(__xludf.DUMMYFUNCTION("CONCAT(A1432,REGEXREPLACE(H1432,"".*_L0"",""_L0""))"),"HC_BN1934_MTG_snRNAseq_rep1_L002_R1_001.fastq.gz")</f>
        <v>HC_BN1934_MTG_snRNAseq_rep1_L002_R1_001.fastq.gz</v>
      </c>
      <c r="J1432" s="46" t="str">
        <f t="shared" si="5"/>
        <v>/data/neurogen/ASAP/scRNAseq/data/batch29_ASAP_snRNA-seq_*/Raw_Data_and_Processing/cellranger_processing/cellranger_fastqs/outs/fastq_path/H*/BN1934_S2_L002_R1_001.fastq.gz</v>
      </c>
      <c r="K1432" s="46" t="s">
        <v>1329</v>
      </c>
      <c r="L1432" s="46" t="s">
        <v>4187</v>
      </c>
      <c r="M1432" s="46" t="s">
        <v>1309</v>
      </c>
      <c r="N1432" s="46" t="s">
        <v>1310</v>
      </c>
      <c r="O1432" s="46" t="s">
        <v>1311</v>
      </c>
      <c r="P1432" s="46" t="s">
        <v>1312</v>
      </c>
      <c r="Q1432" s="46" t="s">
        <v>31</v>
      </c>
      <c r="R1432" s="46" t="s">
        <v>31</v>
      </c>
      <c r="S1432" s="46" t="s">
        <v>31</v>
      </c>
      <c r="T1432" s="46" t="s">
        <v>31</v>
      </c>
      <c r="U1432" s="46" t="s">
        <v>49</v>
      </c>
    </row>
    <row r="1433" spans="1:21">
      <c r="A1433" s="46" t="s">
        <v>792</v>
      </c>
      <c r="B1433" s="46" t="s">
        <v>229</v>
      </c>
      <c r="C1433" s="46" t="s">
        <v>666</v>
      </c>
      <c r="D1433" s="46">
        <v>1</v>
      </c>
      <c r="E1433" s="46">
        <v>0</v>
      </c>
      <c r="F1433" s="46" t="s">
        <v>793</v>
      </c>
      <c r="G1433" s="46" t="s">
        <v>1305</v>
      </c>
      <c r="H1433" s="46" t="s">
        <v>4188</v>
      </c>
      <c r="I1433" s="46" t="str">
        <f ca="1">IFERROR(__xludf.DUMMYFUNCTION("CONCAT(A1433,REGEXREPLACE(H1433,"".*_L0"",""_L0""))"),"HC_BN1934_MTG_snRNAseq_rep1_L002_R2_001.fastq.gz")</f>
        <v>HC_BN1934_MTG_snRNAseq_rep1_L002_R2_001.fastq.gz</v>
      </c>
      <c r="J1433" s="46" t="str">
        <f t="shared" si="5"/>
        <v>/data/neurogen/ASAP/scRNAseq/data/batch29_ASAP_snRNA-seq_*/Raw_Data_and_Processing/cellranger_processing/cellranger_fastqs/outs/fastq_path/H*/BN1934_S2_L002_R2_001.fastq.gz</v>
      </c>
      <c r="K1433" s="46" t="s">
        <v>1332</v>
      </c>
      <c r="L1433" s="46" t="s">
        <v>4189</v>
      </c>
      <c r="M1433" s="46" t="s">
        <v>1309</v>
      </c>
      <c r="N1433" s="46" t="s">
        <v>1310</v>
      </c>
      <c r="O1433" s="46" t="s">
        <v>1311</v>
      </c>
      <c r="P1433" s="46" t="s">
        <v>1312</v>
      </c>
      <c r="Q1433" s="46" t="s">
        <v>31</v>
      </c>
      <c r="R1433" s="46" t="s">
        <v>31</v>
      </c>
      <c r="S1433" s="46" t="s">
        <v>31</v>
      </c>
      <c r="T1433" s="46" t="s">
        <v>31</v>
      </c>
      <c r="U1433" s="46" t="s">
        <v>49</v>
      </c>
    </row>
    <row r="1434" spans="1:21">
      <c r="A1434" s="46" t="s">
        <v>792</v>
      </c>
      <c r="B1434" s="46" t="s">
        <v>229</v>
      </c>
      <c r="C1434" s="46" t="s">
        <v>666</v>
      </c>
      <c r="D1434" s="46">
        <v>1</v>
      </c>
      <c r="E1434" s="46">
        <v>0</v>
      </c>
      <c r="F1434" s="46" t="s">
        <v>793</v>
      </c>
      <c r="G1434" s="46" t="s">
        <v>1305</v>
      </c>
      <c r="H1434" s="46" t="s">
        <v>4190</v>
      </c>
      <c r="I1434" s="46" t="str">
        <f ca="1">IFERROR(__xludf.DUMMYFUNCTION("CONCAT(A1434,REGEXREPLACE(H1434,"".*_L0"",""_L0""))"),"HC_BN1934_MTG_snRNAseq_rep1_L003_I1_001.fastq.gz")</f>
        <v>HC_BN1934_MTG_snRNAseq_rep1_L003_I1_001.fastq.gz</v>
      </c>
      <c r="J1434" s="46" t="str">
        <f t="shared" si="5"/>
        <v>/data/neurogen/ASAP/scRNAseq/data/batch29_ASAP_snRNA-seq_*/Raw_Data_and_Processing/cellranger_processing/cellranger_fastqs/outs/fastq_path/H*/BN1934_S2_L003_I1_001.fastq.gz</v>
      </c>
      <c r="K1434" s="46" t="s">
        <v>1335</v>
      </c>
      <c r="L1434" s="46" t="s">
        <v>4191</v>
      </c>
      <c r="M1434" s="46" t="s">
        <v>1309</v>
      </c>
      <c r="N1434" s="46" t="s">
        <v>1310</v>
      </c>
      <c r="O1434" s="46" t="s">
        <v>1311</v>
      </c>
      <c r="P1434" s="46" t="s">
        <v>1312</v>
      </c>
      <c r="Q1434" s="46" t="s">
        <v>31</v>
      </c>
      <c r="R1434" s="46" t="s">
        <v>31</v>
      </c>
      <c r="S1434" s="46" t="s">
        <v>31</v>
      </c>
      <c r="T1434" s="46" t="s">
        <v>31</v>
      </c>
      <c r="U1434" s="46" t="s">
        <v>49</v>
      </c>
    </row>
    <row r="1435" spans="1:21">
      <c r="A1435" s="46" t="s">
        <v>792</v>
      </c>
      <c r="B1435" s="46" t="s">
        <v>229</v>
      </c>
      <c r="C1435" s="46" t="s">
        <v>666</v>
      </c>
      <c r="D1435" s="46">
        <v>1</v>
      </c>
      <c r="E1435" s="46">
        <v>0</v>
      </c>
      <c r="F1435" s="46" t="s">
        <v>793</v>
      </c>
      <c r="G1435" s="46" t="s">
        <v>1305</v>
      </c>
      <c r="H1435" s="46" t="s">
        <v>4192</v>
      </c>
      <c r="I1435" s="46" t="str">
        <f ca="1">IFERROR(__xludf.DUMMYFUNCTION("CONCAT(A1435,REGEXREPLACE(H1435,"".*_L0"",""_L0""))"),"HC_BN1934_MTG_snRNAseq_rep1_L003_I2_001.fastq.gz")</f>
        <v>HC_BN1934_MTG_snRNAseq_rep1_L003_I2_001.fastq.gz</v>
      </c>
      <c r="J1435" s="46" t="str">
        <f t="shared" si="5"/>
        <v>/data/neurogen/ASAP/scRNAseq/data/batch29_ASAP_snRNA-seq_*/Raw_Data_and_Processing/cellranger_processing/cellranger_fastqs/outs/fastq_path/H*/BN1934_S2_L003_I2_001.fastq.gz</v>
      </c>
      <c r="K1435" s="46" t="s">
        <v>1338</v>
      </c>
      <c r="L1435" s="47" t="s">
        <v>4193</v>
      </c>
      <c r="M1435" s="46" t="s">
        <v>1309</v>
      </c>
      <c r="N1435" s="46" t="s">
        <v>1310</v>
      </c>
      <c r="O1435" s="46" t="s">
        <v>1311</v>
      </c>
      <c r="P1435" s="46" t="s">
        <v>1312</v>
      </c>
      <c r="Q1435" s="46" t="s">
        <v>31</v>
      </c>
      <c r="R1435" s="46" t="s">
        <v>31</v>
      </c>
      <c r="S1435" s="46" t="s">
        <v>31</v>
      </c>
      <c r="T1435" s="46" t="s">
        <v>31</v>
      </c>
      <c r="U1435" s="46" t="s">
        <v>49</v>
      </c>
    </row>
    <row r="1436" spans="1:21">
      <c r="A1436" s="46" t="s">
        <v>792</v>
      </c>
      <c r="B1436" s="46" t="s">
        <v>229</v>
      </c>
      <c r="C1436" s="46" t="s">
        <v>666</v>
      </c>
      <c r="D1436" s="46">
        <v>1</v>
      </c>
      <c r="E1436" s="46">
        <v>0</v>
      </c>
      <c r="F1436" s="46" t="s">
        <v>793</v>
      </c>
      <c r="G1436" s="46" t="s">
        <v>1305</v>
      </c>
      <c r="H1436" s="46" t="s">
        <v>4194</v>
      </c>
      <c r="I1436" s="46" t="str">
        <f ca="1">IFERROR(__xludf.DUMMYFUNCTION("CONCAT(A1436,REGEXREPLACE(H1436,"".*_L0"",""_L0""))"),"HC_BN1934_MTG_snRNAseq_rep1_L003_R1_001.fastq.gz")</f>
        <v>HC_BN1934_MTG_snRNAseq_rep1_L003_R1_001.fastq.gz</v>
      </c>
      <c r="J1436" s="46" t="str">
        <f t="shared" si="5"/>
        <v>/data/neurogen/ASAP/scRNAseq/data/batch29_ASAP_snRNA-seq_*/Raw_Data_and_Processing/cellranger_processing/cellranger_fastqs/outs/fastq_path/H*/BN1934_S2_L003_R1_001.fastq.gz</v>
      </c>
      <c r="K1436" s="46" t="s">
        <v>1341</v>
      </c>
      <c r="L1436" s="46" t="s">
        <v>4195</v>
      </c>
      <c r="M1436" s="46" t="s">
        <v>1309</v>
      </c>
      <c r="N1436" s="46" t="s">
        <v>1310</v>
      </c>
      <c r="O1436" s="46" t="s">
        <v>1311</v>
      </c>
      <c r="P1436" s="46" t="s">
        <v>1312</v>
      </c>
      <c r="Q1436" s="46" t="s">
        <v>31</v>
      </c>
      <c r="R1436" s="46" t="s">
        <v>31</v>
      </c>
      <c r="S1436" s="46" t="s">
        <v>31</v>
      </c>
      <c r="T1436" s="46" t="s">
        <v>31</v>
      </c>
      <c r="U1436" s="46" t="s">
        <v>49</v>
      </c>
    </row>
    <row r="1437" spans="1:21">
      <c r="A1437" s="46" t="s">
        <v>792</v>
      </c>
      <c r="B1437" s="46" t="s">
        <v>229</v>
      </c>
      <c r="C1437" s="46" t="s">
        <v>666</v>
      </c>
      <c r="D1437" s="46">
        <v>1</v>
      </c>
      <c r="E1437" s="46">
        <v>0</v>
      </c>
      <c r="F1437" s="46" t="s">
        <v>793</v>
      </c>
      <c r="G1437" s="46" t="s">
        <v>1305</v>
      </c>
      <c r="H1437" s="46" t="s">
        <v>4196</v>
      </c>
      <c r="I1437" s="46" t="str">
        <f ca="1">IFERROR(__xludf.DUMMYFUNCTION("CONCAT(A1437,REGEXREPLACE(H1437,"".*_L0"",""_L0""))"),"HC_BN1934_MTG_snRNAseq_rep1_L003_R2_001.fastq.gz")</f>
        <v>HC_BN1934_MTG_snRNAseq_rep1_L003_R2_001.fastq.gz</v>
      </c>
      <c r="J1437" s="46" t="str">
        <f t="shared" si="5"/>
        <v>/data/neurogen/ASAP/scRNAseq/data/batch29_ASAP_snRNA-seq_*/Raw_Data_and_Processing/cellranger_processing/cellranger_fastqs/outs/fastq_path/H*/BN1934_S2_L003_R2_001.fastq.gz</v>
      </c>
      <c r="K1437" s="46" t="s">
        <v>1344</v>
      </c>
      <c r="L1437" s="46" t="s">
        <v>4197</v>
      </c>
      <c r="M1437" s="46" t="s">
        <v>1309</v>
      </c>
      <c r="N1437" s="46" t="s">
        <v>1310</v>
      </c>
      <c r="O1437" s="46" t="s">
        <v>1311</v>
      </c>
      <c r="P1437" s="46" t="s">
        <v>1312</v>
      </c>
      <c r="Q1437" s="46" t="s">
        <v>31</v>
      </c>
      <c r="R1437" s="46" t="s">
        <v>31</v>
      </c>
      <c r="S1437" s="46" t="s">
        <v>31</v>
      </c>
      <c r="T1437" s="46" t="s">
        <v>31</v>
      </c>
      <c r="U1437" s="46" t="s">
        <v>49</v>
      </c>
    </row>
    <row r="1438" spans="1:21">
      <c r="A1438" s="46" t="s">
        <v>792</v>
      </c>
      <c r="B1438" s="46" t="s">
        <v>229</v>
      </c>
      <c r="C1438" s="46" t="s">
        <v>666</v>
      </c>
      <c r="D1438" s="46">
        <v>1</v>
      </c>
      <c r="E1438" s="46">
        <v>0</v>
      </c>
      <c r="F1438" s="46" t="s">
        <v>793</v>
      </c>
      <c r="G1438" s="46" t="s">
        <v>1305</v>
      </c>
      <c r="H1438" s="46" t="s">
        <v>4198</v>
      </c>
      <c r="I1438" s="46" t="str">
        <f ca="1">IFERROR(__xludf.DUMMYFUNCTION("CONCAT(A1438,REGEXREPLACE(H1438,"".*_L0"",""_L0""))"),"HC_BN1934_MTG_snRNAseq_rep1_L004_I1_001.fastq.gz")</f>
        <v>HC_BN1934_MTG_snRNAseq_rep1_L004_I1_001.fastq.gz</v>
      </c>
      <c r="J1438" s="46" t="str">
        <f t="shared" si="5"/>
        <v>/data/neurogen/ASAP/scRNAseq/data/batch29_ASAP_snRNA-seq_*/Raw_Data_and_Processing/cellranger_processing/cellranger_fastqs/outs/fastq_path/H*/BN1934_S2_L004_I1_001.fastq.gz</v>
      </c>
      <c r="K1438" s="46" t="s">
        <v>1347</v>
      </c>
      <c r="L1438" s="46" t="s">
        <v>4199</v>
      </c>
      <c r="M1438" s="46" t="s">
        <v>1309</v>
      </c>
      <c r="N1438" s="46" t="s">
        <v>1310</v>
      </c>
      <c r="O1438" s="46" t="s">
        <v>1311</v>
      </c>
      <c r="P1438" s="46" t="s">
        <v>1312</v>
      </c>
      <c r="Q1438" s="46" t="s">
        <v>31</v>
      </c>
      <c r="R1438" s="46" t="s">
        <v>31</v>
      </c>
      <c r="S1438" s="46" t="s">
        <v>31</v>
      </c>
      <c r="T1438" s="46" t="s">
        <v>31</v>
      </c>
      <c r="U1438" s="46" t="s">
        <v>49</v>
      </c>
    </row>
    <row r="1439" spans="1:21">
      <c r="A1439" s="46" t="s">
        <v>792</v>
      </c>
      <c r="B1439" s="46" t="s">
        <v>229</v>
      </c>
      <c r="C1439" s="46" t="s">
        <v>666</v>
      </c>
      <c r="D1439" s="46">
        <v>1</v>
      </c>
      <c r="E1439" s="46">
        <v>0</v>
      </c>
      <c r="F1439" s="46" t="s">
        <v>793</v>
      </c>
      <c r="G1439" s="46" t="s">
        <v>1305</v>
      </c>
      <c r="H1439" s="46" t="s">
        <v>4200</v>
      </c>
      <c r="I1439" s="46" t="str">
        <f ca="1">IFERROR(__xludf.DUMMYFUNCTION("CONCAT(A1439,REGEXREPLACE(H1439,"".*_L0"",""_L0""))"),"HC_BN1934_MTG_snRNAseq_rep1_L004_I2_001.fastq.gz")</f>
        <v>HC_BN1934_MTG_snRNAseq_rep1_L004_I2_001.fastq.gz</v>
      </c>
      <c r="J1439" s="46" t="str">
        <f t="shared" si="5"/>
        <v>/data/neurogen/ASAP/scRNAseq/data/batch29_ASAP_snRNA-seq_*/Raw_Data_and_Processing/cellranger_processing/cellranger_fastqs/outs/fastq_path/H*/BN1934_S2_L004_I2_001.fastq.gz</v>
      </c>
      <c r="K1439" s="46" t="s">
        <v>1350</v>
      </c>
      <c r="L1439" s="46" t="s">
        <v>4201</v>
      </c>
      <c r="M1439" s="46" t="s">
        <v>1309</v>
      </c>
      <c r="N1439" s="46" t="s">
        <v>1310</v>
      </c>
      <c r="O1439" s="46" t="s">
        <v>1311</v>
      </c>
      <c r="P1439" s="46" t="s">
        <v>1312</v>
      </c>
      <c r="Q1439" s="46" t="s">
        <v>31</v>
      </c>
      <c r="R1439" s="46" t="s">
        <v>31</v>
      </c>
      <c r="S1439" s="46" t="s">
        <v>31</v>
      </c>
      <c r="T1439" s="46" t="s">
        <v>31</v>
      </c>
      <c r="U1439" s="46" t="s">
        <v>49</v>
      </c>
    </row>
    <row r="1440" spans="1:21">
      <c r="A1440" s="46" t="s">
        <v>792</v>
      </c>
      <c r="B1440" s="46" t="s">
        <v>229</v>
      </c>
      <c r="C1440" s="46" t="s">
        <v>666</v>
      </c>
      <c r="D1440" s="46">
        <v>1</v>
      </c>
      <c r="E1440" s="46">
        <v>0</v>
      </c>
      <c r="F1440" s="46" t="s">
        <v>793</v>
      </c>
      <c r="G1440" s="46" t="s">
        <v>1305</v>
      </c>
      <c r="H1440" s="46" t="s">
        <v>4202</v>
      </c>
      <c r="I1440" s="46" t="str">
        <f ca="1">IFERROR(__xludf.DUMMYFUNCTION("CONCAT(A1440,REGEXREPLACE(H1440,"".*_L0"",""_L0""))"),"HC_BN1934_MTG_snRNAseq_rep1_L004_R1_001.fastq.gz")</f>
        <v>HC_BN1934_MTG_snRNAseq_rep1_L004_R1_001.fastq.gz</v>
      </c>
      <c r="J1440" s="46" t="str">
        <f t="shared" si="5"/>
        <v>/data/neurogen/ASAP/scRNAseq/data/batch29_ASAP_snRNA-seq_*/Raw_Data_and_Processing/cellranger_processing/cellranger_fastqs/outs/fastq_path/H*/BN1934_S2_L004_R1_001.fastq.gz</v>
      </c>
      <c r="K1440" s="46" t="s">
        <v>1353</v>
      </c>
      <c r="L1440" s="46" t="s">
        <v>4203</v>
      </c>
      <c r="M1440" s="46" t="s">
        <v>1309</v>
      </c>
      <c r="N1440" s="46" t="s">
        <v>1310</v>
      </c>
      <c r="O1440" s="46" t="s">
        <v>1311</v>
      </c>
      <c r="P1440" s="46" t="s">
        <v>1312</v>
      </c>
      <c r="Q1440" s="46" t="s">
        <v>31</v>
      </c>
      <c r="R1440" s="46" t="s">
        <v>31</v>
      </c>
      <c r="S1440" s="46" t="s">
        <v>31</v>
      </c>
      <c r="T1440" s="46" t="s">
        <v>31</v>
      </c>
      <c r="U1440" s="46" t="s">
        <v>49</v>
      </c>
    </row>
    <row r="1441" spans="1:21">
      <c r="A1441" s="46" t="s">
        <v>792</v>
      </c>
      <c r="B1441" s="46" t="s">
        <v>229</v>
      </c>
      <c r="C1441" s="46" t="s">
        <v>666</v>
      </c>
      <c r="D1441" s="46">
        <v>1</v>
      </c>
      <c r="E1441" s="46">
        <v>0</v>
      </c>
      <c r="F1441" s="46" t="s">
        <v>793</v>
      </c>
      <c r="G1441" s="46" t="s">
        <v>1305</v>
      </c>
      <c r="H1441" s="46" t="s">
        <v>4204</v>
      </c>
      <c r="I1441" s="46" t="str">
        <f ca="1">IFERROR(__xludf.DUMMYFUNCTION("CONCAT(A1441,REGEXREPLACE(H1441,"".*_L0"",""_L0""))"),"HC_BN1934_MTG_snRNAseq_rep1_L004_R2_001.fastq.gz")</f>
        <v>HC_BN1934_MTG_snRNAseq_rep1_L004_R2_001.fastq.gz</v>
      </c>
      <c r="J1441" s="46" t="str">
        <f t="shared" si="5"/>
        <v>/data/neurogen/ASAP/scRNAseq/data/batch29_ASAP_snRNA-seq_*/Raw_Data_and_Processing/cellranger_processing/cellranger_fastqs/outs/fastq_path/H*/BN1934_S2_L004_R2_001.fastq.gz</v>
      </c>
      <c r="K1441" s="46" t="s">
        <v>1356</v>
      </c>
      <c r="L1441" s="46" t="s">
        <v>4205</v>
      </c>
      <c r="M1441" s="46" t="s">
        <v>1309</v>
      </c>
      <c r="N1441" s="46" t="s">
        <v>1310</v>
      </c>
      <c r="O1441" s="46" t="s">
        <v>1311</v>
      </c>
      <c r="P1441" s="46" t="s">
        <v>1312</v>
      </c>
      <c r="Q1441" s="46" t="s">
        <v>31</v>
      </c>
      <c r="R1441" s="46" t="s">
        <v>31</v>
      </c>
      <c r="S1441" s="46" t="s">
        <v>31</v>
      </c>
      <c r="T1441" s="46" t="s">
        <v>31</v>
      </c>
      <c r="U1441" s="46" t="s">
        <v>49</v>
      </c>
    </row>
    <row r="1442" spans="1:21">
      <c r="A1442" s="46" t="s">
        <v>799</v>
      </c>
      <c r="B1442" s="46" t="s">
        <v>241</v>
      </c>
      <c r="C1442" s="46" t="s">
        <v>666</v>
      </c>
      <c r="D1442" s="46">
        <v>1</v>
      </c>
      <c r="E1442" s="46">
        <v>0</v>
      </c>
      <c r="F1442" s="46" t="s">
        <v>793</v>
      </c>
      <c r="G1442" s="46" t="s">
        <v>1305</v>
      </c>
      <c r="H1442" s="46" t="s">
        <v>4206</v>
      </c>
      <c r="I1442" s="46" t="str">
        <f ca="1">IFERROR(__xludf.DUMMYFUNCTION("CONCAT(A1442,REGEXREPLACE(H1442,"".*_L0"",""_L0""))"),"PD_BN2003_MTG_snRNAseq_rep1_L001_I1_001.fastq.gz")</f>
        <v>PD_BN2003_MTG_snRNAseq_rep1_L001_I1_001.fastq.gz</v>
      </c>
      <c r="J1442" s="46" t="str">
        <f t="shared" si="5"/>
        <v>/data/neurogen/ASAP/scRNAseq/data/batch29_ASAP_snRNA-seq_*/Raw_Data_and_Processing/cellranger_processing/cellranger_fastqs/outs/fastq_path/H*/BN2003_S3_L001_I1_001.fastq.gz</v>
      </c>
      <c r="K1442" s="46" t="s">
        <v>1307</v>
      </c>
      <c r="L1442" s="46" t="s">
        <v>4207</v>
      </c>
      <c r="M1442" s="46" t="s">
        <v>1309</v>
      </c>
      <c r="N1442" s="46" t="s">
        <v>1310</v>
      </c>
      <c r="O1442" s="46" t="s">
        <v>1311</v>
      </c>
      <c r="P1442" s="46" t="s">
        <v>1312</v>
      </c>
      <c r="Q1442" s="46" t="s">
        <v>31</v>
      </c>
      <c r="R1442" s="46" t="s">
        <v>31</v>
      </c>
      <c r="S1442" s="46" t="s">
        <v>31</v>
      </c>
      <c r="T1442" s="46" t="s">
        <v>31</v>
      </c>
      <c r="U1442" s="46" t="s">
        <v>49</v>
      </c>
    </row>
    <row r="1443" spans="1:21">
      <c r="A1443" s="46" t="s">
        <v>799</v>
      </c>
      <c r="B1443" s="46" t="s">
        <v>241</v>
      </c>
      <c r="C1443" s="46" t="s">
        <v>666</v>
      </c>
      <c r="D1443" s="46">
        <v>1</v>
      </c>
      <c r="E1443" s="46">
        <v>0</v>
      </c>
      <c r="F1443" s="46" t="s">
        <v>793</v>
      </c>
      <c r="G1443" s="46" t="s">
        <v>1305</v>
      </c>
      <c r="H1443" s="46" t="s">
        <v>4208</v>
      </c>
      <c r="I1443" s="46" t="str">
        <f ca="1">IFERROR(__xludf.DUMMYFUNCTION("CONCAT(A1443,REGEXREPLACE(H1443,"".*_L0"",""_L0""))"),"PD_BN2003_MTG_snRNAseq_rep1_L001_I2_001.fastq.gz")</f>
        <v>PD_BN2003_MTG_snRNAseq_rep1_L001_I2_001.fastq.gz</v>
      </c>
      <c r="J1443" s="46" t="str">
        <f t="shared" si="5"/>
        <v>/data/neurogen/ASAP/scRNAseq/data/batch29_ASAP_snRNA-seq_*/Raw_Data_and_Processing/cellranger_processing/cellranger_fastqs/outs/fastq_path/H*/BN2003_S3_L001_I2_001.fastq.gz</v>
      </c>
      <c r="K1443" s="46" t="s">
        <v>1314</v>
      </c>
      <c r="L1443" s="46" t="s">
        <v>4209</v>
      </c>
      <c r="M1443" s="46" t="s">
        <v>1309</v>
      </c>
      <c r="N1443" s="46" t="s">
        <v>1310</v>
      </c>
      <c r="O1443" s="46" t="s">
        <v>1311</v>
      </c>
      <c r="P1443" s="46" t="s">
        <v>1312</v>
      </c>
      <c r="Q1443" s="46" t="s">
        <v>31</v>
      </c>
      <c r="R1443" s="46" t="s">
        <v>31</v>
      </c>
      <c r="S1443" s="46" t="s">
        <v>31</v>
      </c>
      <c r="T1443" s="46" t="s">
        <v>31</v>
      </c>
      <c r="U1443" s="46" t="s">
        <v>49</v>
      </c>
    </row>
    <row r="1444" spans="1:21">
      <c r="A1444" s="46" t="s">
        <v>799</v>
      </c>
      <c r="B1444" s="46" t="s">
        <v>241</v>
      </c>
      <c r="C1444" s="46" t="s">
        <v>666</v>
      </c>
      <c r="D1444" s="46">
        <v>1</v>
      </c>
      <c r="E1444" s="46">
        <v>0</v>
      </c>
      <c r="F1444" s="46" t="s">
        <v>793</v>
      </c>
      <c r="G1444" s="46" t="s">
        <v>1305</v>
      </c>
      <c r="H1444" s="46" t="s">
        <v>4210</v>
      </c>
      <c r="I1444" s="46" t="str">
        <f ca="1">IFERROR(__xludf.DUMMYFUNCTION("CONCAT(A1444,REGEXREPLACE(H1444,"".*_L0"",""_L0""))"),"PD_BN2003_MTG_snRNAseq_rep1_L001_R1_001.fastq.gz")</f>
        <v>PD_BN2003_MTG_snRNAseq_rep1_L001_R1_001.fastq.gz</v>
      </c>
      <c r="J1444" s="46" t="str">
        <f t="shared" si="5"/>
        <v>/data/neurogen/ASAP/scRNAseq/data/batch29_ASAP_snRNA-seq_*/Raw_Data_and_Processing/cellranger_processing/cellranger_fastqs/outs/fastq_path/H*/BN2003_S3_L001_R1_001.fastq.gz</v>
      </c>
      <c r="K1444" s="46" t="s">
        <v>1317</v>
      </c>
      <c r="L1444" s="46" t="s">
        <v>4211</v>
      </c>
      <c r="M1444" s="46" t="s">
        <v>1309</v>
      </c>
      <c r="N1444" s="46" t="s">
        <v>1310</v>
      </c>
      <c r="O1444" s="46" t="s">
        <v>1311</v>
      </c>
      <c r="P1444" s="46" t="s">
        <v>1312</v>
      </c>
      <c r="Q1444" s="46" t="s">
        <v>31</v>
      </c>
      <c r="R1444" s="46" t="s">
        <v>31</v>
      </c>
      <c r="S1444" s="46" t="s">
        <v>31</v>
      </c>
      <c r="T1444" s="46" t="s">
        <v>31</v>
      </c>
      <c r="U1444" s="46" t="s">
        <v>49</v>
      </c>
    </row>
    <row r="1445" spans="1:21">
      <c r="A1445" s="46" t="s">
        <v>799</v>
      </c>
      <c r="B1445" s="46" t="s">
        <v>241</v>
      </c>
      <c r="C1445" s="46" t="s">
        <v>666</v>
      </c>
      <c r="D1445" s="46">
        <v>1</v>
      </c>
      <c r="E1445" s="46">
        <v>0</v>
      </c>
      <c r="F1445" s="46" t="s">
        <v>793</v>
      </c>
      <c r="G1445" s="46" t="s">
        <v>1305</v>
      </c>
      <c r="H1445" s="46" t="s">
        <v>4212</v>
      </c>
      <c r="I1445" s="46" t="str">
        <f ca="1">IFERROR(__xludf.DUMMYFUNCTION("CONCAT(A1445,REGEXREPLACE(H1445,"".*_L0"",""_L0""))"),"PD_BN2003_MTG_snRNAseq_rep1_L001_R2_001.fastq.gz")</f>
        <v>PD_BN2003_MTG_snRNAseq_rep1_L001_R2_001.fastq.gz</v>
      </c>
      <c r="J1445" s="46" t="str">
        <f t="shared" si="5"/>
        <v>/data/neurogen/ASAP/scRNAseq/data/batch29_ASAP_snRNA-seq_*/Raw_Data_and_Processing/cellranger_processing/cellranger_fastqs/outs/fastq_path/H*/BN2003_S3_L001_R2_001.fastq.gz</v>
      </c>
      <c r="K1445" s="46" t="s">
        <v>1320</v>
      </c>
      <c r="L1445" s="46" t="s">
        <v>4213</v>
      </c>
      <c r="M1445" s="46" t="s">
        <v>1309</v>
      </c>
      <c r="N1445" s="46" t="s">
        <v>1310</v>
      </c>
      <c r="O1445" s="46" t="s">
        <v>1311</v>
      </c>
      <c r="P1445" s="46" t="s">
        <v>1312</v>
      </c>
      <c r="Q1445" s="46" t="s">
        <v>31</v>
      </c>
      <c r="R1445" s="46" t="s">
        <v>31</v>
      </c>
      <c r="S1445" s="46" t="s">
        <v>31</v>
      </c>
      <c r="T1445" s="46" t="s">
        <v>31</v>
      </c>
      <c r="U1445" s="46" t="s">
        <v>49</v>
      </c>
    </row>
    <row r="1446" spans="1:21">
      <c r="A1446" s="46" t="s">
        <v>799</v>
      </c>
      <c r="B1446" s="46" t="s">
        <v>241</v>
      </c>
      <c r="C1446" s="46" t="s">
        <v>666</v>
      </c>
      <c r="D1446" s="46">
        <v>1</v>
      </c>
      <c r="E1446" s="46">
        <v>0</v>
      </c>
      <c r="F1446" s="46" t="s">
        <v>793</v>
      </c>
      <c r="G1446" s="46" t="s">
        <v>1305</v>
      </c>
      <c r="H1446" s="46" t="s">
        <v>4214</v>
      </c>
      <c r="I1446" s="46" t="str">
        <f ca="1">IFERROR(__xludf.DUMMYFUNCTION("CONCAT(A1446,REGEXREPLACE(H1446,"".*_L0"",""_L0""))"),"PD_BN2003_MTG_snRNAseq_rep1_L002_I1_001.fastq.gz")</f>
        <v>PD_BN2003_MTG_snRNAseq_rep1_L002_I1_001.fastq.gz</v>
      </c>
      <c r="J1446" s="46" t="str">
        <f t="shared" si="5"/>
        <v>/data/neurogen/ASAP/scRNAseq/data/batch29_ASAP_snRNA-seq_*/Raw_Data_and_Processing/cellranger_processing/cellranger_fastqs/outs/fastq_path/H*/BN2003_S3_L002_I1_001.fastq.gz</v>
      </c>
      <c r="K1446" s="46" t="s">
        <v>1323</v>
      </c>
      <c r="L1446" s="46" t="s">
        <v>4215</v>
      </c>
      <c r="M1446" s="46" t="s">
        <v>1309</v>
      </c>
      <c r="N1446" s="46" t="s">
        <v>1310</v>
      </c>
      <c r="O1446" s="46" t="s">
        <v>1311</v>
      </c>
      <c r="P1446" s="46" t="s">
        <v>1312</v>
      </c>
      <c r="Q1446" s="46" t="s">
        <v>31</v>
      </c>
      <c r="R1446" s="46" t="s">
        <v>31</v>
      </c>
      <c r="S1446" s="46" t="s">
        <v>31</v>
      </c>
      <c r="T1446" s="46" t="s">
        <v>31</v>
      </c>
      <c r="U1446" s="46" t="s">
        <v>49</v>
      </c>
    </row>
    <row r="1447" spans="1:21">
      <c r="A1447" s="46" t="s">
        <v>799</v>
      </c>
      <c r="B1447" s="46" t="s">
        <v>241</v>
      </c>
      <c r="C1447" s="46" t="s">
        <v>666</v>
      </c>
      <c r="D1447" s="46">
        <v>1</v>
      </c>
      <c r="E1447" s="46">
        <v>0</v>
      </c>
      <c r="F1447" s="46" t="s">
        <v>793</v>
      </c>
      <c r="G1447" s="46" t="s">
        <v>1305</v>
      </c>
      <c r="H1447" s="46" t="s">
        <v>4216</v>
      </c>
      <c r="I1447" s="46" t="str">
        <f ca="1">IFERROR(__xludf.DUMMYFUNCTION("CONCAT(A1447,REGEXREPLACE(H1447,"".*_L0"",""_L0""))"),"PD_BN2003_MTG_snRNAseq_rep1_L002_I2_001.fastq.gz")</f>
        <v>PD_BN2003_MTG_snRNAseq_rep1_L002_I2_001.fastq.gz</v>
      </c>
      <c r="J1447" s="46" t="str">
        <f t="shared" si="5"/>
        <v>/data/neurogen/ASAP/scRNAseq/data/batch29_ASAP_snRNA-seq_*/Raw_Data_and_Processing/cellranger_processing/cellranger_fastqs/outs/fastq_path/H*/BN2003_S3_L002_I2_001.fastq.gz</v>
      </c>
      <c r="K1447" s="46" t="s">
        <v>1326</v>
      </c>
      <c r="L1447" s="46" t="s">
        <v>4217</v>
      </c>
      <c r="M1447" s="46" t="s">
        <v>1309</v>
      </c>
      <c r="N1447" s="46" t="s">
        <v>1310</v>
      </c>
      <c r="O1447" s="46" t="s">
        <v>1311</v>
      </c>
      <c r="P1447" s="46" t="s">
        <v>1312</v>
      </c>
      <c r="Q1447" s="46" t="s">
        <v>31</v>
      </c>
      <c r="R1447" s="46" t="s">
        <v>31</v>
      </c>
      <c r="S1447" s="46" t="s">
        <v>31</v>
      </c>
      <c r="T1447" s="46" t="s">
        <v>31</v>
      </c>
      <c r="U1447" s="46" t="s">
        <v>49</v>
      </c>
    </row>
    <row r="1448" spans="1:21">
      <c r="A1448" s="46" t="s">
        <v>799</v>
      </c>
      <c r="B1448" s="46" t="s">
        <v>241</v>
      </c>
      <c r="C1448" s="46" t="s">
        <v>666</v>
      </c>
      <c r="D1448" s="46">
        <v>1</v>
      </c>
      <c r="E1448" s="46">
        <v>0</v>
      </c>
      <c r="F1448" s="46" t="s">
        <v>793</v>
      </c>
      <c r="G1448" s="46" t="s">
        <v>1305</v>
      </c>
      <c r="H1448" s="46" t="s">
        <v>4218</v>
      </c>
      <c r="I1448" s="46" t="str">
        <f ca="1">IFERROR(__xludf.DUMMYFUNCTION("CONCAT(A1448,REGEXREPLACE(H1448,"".*_L0"",""_L0""))"),"PD_BN2003_MTG_snRNAseq_rep1_L002_R1_001.fastq.gz")</f>
        <v>PD_BN2003_MTG_snRNAseq_rep1_L002_R1_001.fastq.gz</v>
      </c>
      <c r="J1448" s="46" t="str">
        <f t="shared" si="5"/>
        <v>/data/neurogen/ASAP/scRNAseq/data/batch29_ASAP_snRNA-seq_*/Raw_Data_and_Processing/cellranger_processing/cellranger_fastqs/outs/fastq_path/H*/BN2003_S3_L002_R1_001.fastq.gz</v>
      </c>
      <c r="K1448" s="46" t="s">
        <v>1329</v>
      </c>
      <c r="L1448" s="46" t="s">
        <v>4219</v>
      </c>
      <c r="M1448" s="46" t="s">
        <v>1309</v>
      </c>
      <c r="N1448" s="46" t="s">
        <v>1310</v>
      </c>
      <c r="O1448" s="46" t="s">
        <v>1311</v>
      </c>
      <c r="P1448" s="46" t="s">
        <v>1312</v>
      </c>
      <c r="Q1448" s="46" t="s">
        <v>31</v>
      </c>
      <c r="R1448" s="46" t="s">
        <v>31</v>
      </c>
      <c r="S1448" s="46" t="s">
        <v>31</v>
      </c>
      <c r="T1448" s="46" t="s">
        <v>31</v>
      </c>
      <c r="U1448" s="46" t="s">
        <v>49</v>
      </c>
    </row>
    <row r="1449" spans="1:21">
      <c r="A1449" s="46" t="s">
        <v>799</v>
      </c>
      <c r="B1449" s="46" t="s">
        <v>241</v>
      </c>
      <c r="C1449" s="46" t="s">
        <v>666</v>
      </c>
      <c r="D1449" s="46">
        <v>1</v>
      </c>
      <c r="E1449" s="46">
        <v>0</v>
      </c>
      <c r="F1449" s="46" t="s">
        <v>793</v>
      </c>
      <c r="G1449" s="46" t="s">
        <v>1305</v>
      </c>
      <c r="H1449" s="46" t="s">
        <v>4220</v>
      </c>
      <c r="I1449" s="46" t="str">
        <f ca="1">IFERROR(__xludf.DUMMYFUNCTION("CONCAT(A1449,REGEXREPLACE(H1449,"".*_L0"",""_L0""))"),"PD_BN2003_MTG_snRNAseq_rep1_L002_R2_001.fastq.gz")</f>
        <v>PD_BN2003_MTG_snRNAseq_rep1_L002_R2_001.fastq.gz</v>
      </c>
      <c r="J1449" s="46" t="str">
        <f t="shared" si="5"/>
        <v>/data/neurogen/ASAP/scRNAseq/data/batch29_ASAP_snRNA-seq_*/Raw_Data_and_Processing/cellranger_processing/cellranger_fastqs/outs/fastq_path/H*/BN2003_S3_L002_R2_001.fastq.gz</v>
      </c>
      <c r="K1449" s="46" t="s">
        <v>1332</v>
      </c>
      <c r="L1449" s="46" t="s">
        <v>4221</v>
      </c>
      <c r="M1449" s="46" t="s">
        <v>1309</v>
      </c>
      <c r="N1449" s="46" t="s">
        <v>1310</v>
      </c>
      <c r="O1449" s="46" t="s">
        <v>1311</v>
      </c>
      <c r="P1449" s="46" t="s">
        <v>1312</v>
      </c>
      <c r="Q1449" s="46" t="s">
        <v>31</v>
      </c>
      <c r="R1449" s="46" t="s">
        <v>31</v>
      </c>
      <c r="S1449" s="46" t="s">
        <v>31</v>
      </c>
      <c r="T1449" s="46" t="s">
        <v>31</v>
      </c>
      <c r="U1449" s="46" t="s">
        <v>49</v>
      </c>
    </row>
    <row r="1450" spans="1:21">
      <c r="A1450" s="46" t="s">
        <v>799</v>
      </c>
      <c r="B1450" s="46" t="s">
        <v>241</v>
      </c>
      <c r="C1450" s="46" t="s">
        <v>666</v>
      </c>
      <c r="D1450" s="46">
        <v>1</v>
      </c>
      <c r="E1450" s="46">
        <v>0</v>
      </c>
      <c r="F1450" s="46" t="s">
        <v>793</v>
      </c>
      <c r="G1450" s="46" t="s">
        <v>1305</v>
      </c>
      <c r="H1450" s="46" t="s">
        <v>4222</v>
      </c>
      <c r="I1450" s="46" t="str">
        <f ca="1">IFERROR(__xludf.DUMMYFUNCTION("CONCAT(A1450,REGEXREPLACE(H1450,"".*_L0"",""_L0""))"),"PD_BN2003_MTG_snRNAseq_rep1_L003_I1_001.fastq.gz")</f>
        <v>PD_BN2003_MTG_snRNAseq_rep1_L003_I1_001.fastq.gz</v>
      </c>
      <c r="J1450" s="46" t="str">
        <f t="shared" si="5"/>
        <v>/data/neurogen/ASAP/scRNAseq/data/batch29_ASAP_snRNA-seq_*/Raw_Data_and_Processing/cellranger_processing/cellranger_fastqs/outs/fastq_path/H*/BN2003_S3_L003_I1_001.fastq.gz</v>
      </c>
      <c r="K1450" s="46" t="s">
        <v>1335</v>
      </c>
      <c r="L1450" s="46" t="s">
        <v>4223</v>
      </c>
      <c r="M1450" s="46" t="s">
        <v>1309</v>
      </c>
      <c r="N1450" s="46" t="s">
        <v>1310</v>
      </c>
      <c r="O1450" s="46" t="s">
        <v>1311</v>
      </c>
      <c r="P1450" s="46" t="s">
        <v>1312</v>
      </c>
      <c r="Q1450" s="46" t="s">
        <v>31</v>
      </c>
      <c r="R1450" s="46" t="s">
        <v>31</v>
      </c>
      <c r="S1450" s="46" t="s">
        <v>31</v>
      </c>
      <c r="T1450" s="46" t="s">
        <v>31</v>
      </c>
      <c r="U1450" s="46" t="s">
        <v>49</v>
      </c>
    </row>
    <row r="1451" spans="1:21">
      <c r="A1451" s="46" t="s">
        <v>799</v>
      </c>
      <c r="B1451" s="46" t="s">
        <v>241</v>
      </c>
      <c r="C1451" s="46" t="s">
        <v>666</v>
      </c>
      <c r="D1451" s="46">
        <v>1</v>
      </c>
      <c r="E1451" s="46">
        <v>0</v>
      </c>
      <c r="F1451" s="46" t="s">
        <v>793</v>
      </c>
      <c r="G1451" s="46" t="s">
        <v>1305</v>
      </c>
      <c r="H1451" s="46" t="s">
        <v>4224</v>
      </c>
      <c r="I1451" s="46" t="str">
        <f ca="1">IFERROR(__xludf.DUMMYFUNCTION("CONCAT(A1451,REGEXREPLACE(H1451,"".*_L0"",""_L0""))"),"PD_BN2003_MTG_snRNAseq_rep1_L003_I2_001.fastq.gz")</f>
        <v>PD_BN2003_MTG_snRNAseq_rep1_L003_I2_001.fastq.gz</v>
      </c>
      <c r="J1451" s="46" t="str">
        <f t="shared" si="5"/>
        <v>/data/neurogen/ASAP/scRNAseq/data/batch29_ASAP_snRNA-seq_*/Raw_Data_and_Processing/cellranger_processing/cellranger_fastqs/outs/fastq_path/H*/BN2003_S3_L003_I2_001.fastq.gz</v>
      </c>
      <c r="K1451" s="46" t="s">
        <v>1338</v>
      </c>
      <c r="L1451" s="46" t="s">
        <v>4225</v>
      </c>
      <c r="M1451" s="46" t="s">
        <v>1309</v>
      </c>
      <c r="N1451" s="46" t="s">
        <v>1310</v>
      </c>
      <c r="O1451" s="46" t="s">
        <v>1311</v>
      </c>
      <c r="P1451" s="46" t="s">
        <v>1312</v>
      </c>
      <c r="Q1451" s="46" t="s">
        <v>31</v>
      </c>
      <c r="R1451" s="46" t="s">
        <v>31</v>
      </c>
      <c r="S1451" s="46" t="s">
        <v>31</v>
      </c>
      <c r="T1451" s="46" t="s">
        <v>31</v>
      </c>
      <c r="U1451" s="46" t="s">
        <v>49</v>
      </c>
    </row>
    <row r="1452" spans="1:21">
      <c r="A1452" s="46" t="s">
        <v>799</v>
      </c>
      <c r="B1452" s="46" t="s">
        <v>241</v>
      </c>
      <c r="C1452" s="46" t="s">
        <v>666</v>
      </c>
      <c r="D1452" s="46">
        <v>1</v>
      </c>
      <c r="E1452" s="46">
        <v>0</v>
      </c>
      <c r="F1452" s="46" t="s">
        <v>793</v>
      </c>
      <c r="G1452" s="46" t="s">
        <v>1305</v>
      </c>
      <c r="H1452" s="46" t="s">
        <v>4226</v>
      </c>
      <c r="I1452" s="46" t="str">
        <f ca="1">IFERROR(__xludf.DUMMYFUNCTION("CONCAT(A1452,REGEXREPLACE(H1452,"".*_L0"",""_L0""))"),"PD_BN2003_MTG_snRNAseq_rep1_L003_R1_001.fastq.gz")</f>
        <v>PD_BN2003_MTG_snRNAseq_rep1_L003_R1_001.fastq.gz</v>
      </c>
      <c r="J1452" s="46" t="str">
        <f t="shared" si="5"/>
        <v>/data/neurogen/ASAP/scRNAseq/data/batch29_ASAP_snRNA-seq_*/Raw_Data_and_Processing/cellranger_processing/cellranger_fastqs/outs/fastq_path/H*/BN2003_S3_L003_R1_001.fastq.gz</v>
      </c>
      <c r="K1452" s="46" t="s">
        <v>1341</v>
      </c>
      <c r="L1452" s="46" t="s">
        <v>4227</v>
      </c>
      <c r="M1452" s="46" t="s">
        <v>1309</v>
      </c>
      <c r="N1452" s="46" t="s">
        <v>1310</v>
      </c>
      <c r="O1452" s="46" t="s">
        <v>1311</v>
      </c>
      <c r="P1452" s="46" t="s">
        <v>1312</v>
      </c>
      <c r="Q1452" s="46" t="s">
        <v>31</v>
      </c>
      <c r="R1452" s="46" t="s">
        <v>31</v>
      </c>
      <c r="S1452" s="46" t="s">
        <v>31</v>
      </c>
      <c r="T1452" s="46" t="s">
        <v>31</v>
      </c>
      <c r="U1452" s="46" t="s">
        <v>49</v>
      </c>
    </row>
    <row r="1453" spans="1:21">
      <c r="A1453" s="46" t="s">
        <v>799</v>
      </c>
      <c r="B1453" s="46" t="s">
        <v>241</v>
      </c>
      <c r="C1453" s="46" t="s">
        <v>666</v>
      </c>
      <c r="D1453" s="46">
        <v>1</v>
      </c>
      <c r="E1453" s="46">
        <v>0</v>
      </c>
      <c r="F1453" s="46" t="s">
        <v>793</v>
      </c>
      <c r="G1453" s="46" t="s">
        <v>1305</v>
      </c>
      <c r="H1453" s="46" t="s">
        <v>4228</v>
      </c>
      <c r="I1453" s="46" t="str">
        <f ca="1">IFERROR(__xludf.DUMMYFUNCTION("CONCAT(A1453,REGEXREPLACE(H1453,"".*_L0"",""_L0""))"),"PD_BN2003_MTG_snRNAseq_rep1_L003_R2_001.fastq.gz")</f>
        <v>PD_BN2003_MTG_snRNAseq_rep1_L003_R2_001.fastq.gz</v>
      </c>
      <c r="J1453" s="46" t="str">
        <f t="shared" si="5"/>
        <v>/data/neurogen/ASAP/scRNAseq/data/batch29_ASAP_snRNA-seq_*/Raw_Data_and_Processing/cellranger_processing/cellranger_fastqs/outs/fastq_path/H*/BN2003_S3_L003_R2_001.fastq.gz</v>
      </c>
      <c r="K1453" s="46" t="s">
        <v>1344</v>
      </c>
      <c r="L1453" s="46" t="s">
        <v>4229</v>
      </c>
      <c r="M1453" s="46" t="s">
        <v>1309</v>
      </c>
      <c r="N1453" s="46" t="s">
        <v>1310</v>
      </c>
      <c r="O1453" s="46" t="s">
        <v>1311</v>
      </c>
      <c r="P1453" s="46" t="s">
        <v>1312</v>
      </c>
      <c r="Q1453" s="46" t="s">
        <v>31</v>
      </c>
      <c r="R1453" s="46" t="s">
        <v>31</v>
      </c>
      <c r="S1453" s="46" t="s">
        <v>31</v>
      </c>
      <c r="T1453" s="46" t="s">
        <v>31</v>
      </c>
      <c r="U1453" s="46" t="s">
        <v>49</v>
      </c>
    </row>
    <row r="1454" spans="1:21">
      <c r="A1454" s="46" t="s">
        <v>799</v>
      </c>
      <c r="B1454" s="46" t="s">
        <v>241</v>
      </c>
      <c r="C1454" s="46" t="s">
        <v>666</v>
      </c>
      <c r="D1454" s="46">
        <v>1</v>
      </c>
      <c r="E1454" s="46">
        <v>0</v>
      </c>
      <c r="F1454" s="46" t="s">
        <v>793</v>
      </c>
      <c r="G1454" s="46" t="s">
        <v>1305</v>
      </c>
      <c r="H1454" s="46" t="s">
        <v>4230</v>
      </c>
      <c r="I1454" s="46" t="str">
        <f ca="1">IFERROR(__xludf.DUMMYFUNCTION("CONCAT(A1454,REGEXREPLACE(H1454,"".*_L0"",""_L0""))"),"PD_BN2003_MTG_snRNAseq_rep1_L004_I1_001.fastq.gz")</f>
        <v>PD_BN2003_MTG_snRNAseq_rep1_L004_I1_001.fastq.gz</v>
      </c>
      <c r="J1454" s="46" t="str">
        <f t="shared" si="5"/>
        <v>/data/neurogen/ASAP/scRNAseq/data/batch29_ASAP_snRNA-seq_*/Raw_Data_and_Processing/cellranger_processing/cellranger_fastqs/outs/fastq_path/H*/BN2003_S3_L004_I1_001.fastq.gz</v>
      </c>
      <c r="K1454" s="46" t="s">
        <v>1347</v>
      </c>
      <c r="L1454" s="46" t="s">
        <v>4231</v>
      </c>
      <c r="M1454" s="46" t="s">
        <v>1309</v>
      </c>
      <c r="N1454" s="46" t="s">
        <v>1310</v>
      </c>
      <c r="O1454" s="46" t="s">
        <v>1311</v>
      </c>
      <c r="P1454" s="46" t="s">
        <v>1312</v>
      </c>
      <c r="Q1454" s="46" t="s">
        <v>31</v>
      </c>
      <c r="R1454" s="46" t="s">
        <v>31</v>
      </c>
      <c r="S1454" s="46" t="s">
        <v>31</v>
      </c>
      <c r="T1454" s="46" t="s">
        <v>31</v>
      </c>
      <c r="U1454" s="46" t="s">
        <v>49</v>
      </c>
    </row>
    <row r="1455" spans="1:21">
      <c r="A1455" s="46" t="s">
        <v>799</v>
      </c>
      <c r="B1455" s="46" t="s">
        <v>241</v>
      </c>
      <c r="C1455" s="46" t="s">
        <v>666</v>
      </c>
      <c r="D1455" s="46">
        <v>1</v>
      </c>
      <c r="E1455" s="46">
        <v>0</v>
      </c>
      <c r="F1455" s="46" t="s">
        <v>793</v>
      </c>
      <c r="G1455" s="46" t="s">
        <v>1305</v>
      </c>
      <c r="H1455" s="46" t="s">
        <v>4232</v>
      </c>
      <c r="I1455" s="46" t="str">
        <f ca="1">IFERROR(__xludf.DUMMYFUNCTION("CONCAT(A1455,REGEXREPLACE(H1455,"".*_L0"",""_L0""))"),"PD_BN2003_MTG_snRNAseq_rep1_L004_I2_001.fastq.gz")</f>
        <v>PD_BN2003_MTG_snRNAseq_rep1_L004_I2_001.fastq.gz</v>
      </c>
      <c r="J1455" s="46" t="str">
        <f t="shared" si="5"/>
        <v>/data/neurogen/ASAP/scRNAseq/data/batch29_ASAP_snRNA-seq_*/Raw_Data_and_Processing/cellranger_processing/cellranger_fastqs/outs/fastq_path/H*/BN2003_S3_L004_I2_001.fastq.gz</v>
      </c>
      <c r="K1455" s="46" t="s">
        <v>1350</v>
      </c>
      <c r="L1455" s="46" t="s">
        <v>4233</v>
      </c>
      <c r="M1455" s="46" t="s">
        <v>1309</v>
      </c>
      <c r="N1455" s="46" t="s">
        <v>1310</v>
      </c>
      <c r="O1455" s="46" t="s">
        <v>1311</v>
      </c>
      <c r="P1455" s="46" t="s">
        <v>1312</v>
      </c>
      <c r="Q1455" s="46" t="s">
        <v>31</v>
      </c>
      <c r="R1455" s="46" t="s">
        <v>31</v>
      </c>
      <c r="S1455" s="46" t="s">
        <v>31</v>
      </c>
      <c r="T1455" s="46" t="s">
        <v>31</v>
      </c>
      <c r="U1455" s="46" t="s">
        <v>49</v>
      </c>
    </row>
    <row r="1456" spans="1:21">
      <c r="A1456" s="46" t="s">
        <v>799</v>
      </c>
      <c r="B1456" s="46" t="s">
        <v>241</v>
      </c>
      <c r="C1456" s="46" t="s">
        <v>666</v>
      </c>
      <c r="D1456" s="46">
        <v>1</v>
      </c>
      <c r="E1456" s="46">
        <v>0</v>
      </c>
      <c r="F1456" s="46" t="s">
        <v>793</v>
      </c>
      <c r="G1456" s="46" t="s">
        <v>1305</v>
      </c>
      <c r="H1456" s="46" t="s">
        <v>4234</v>
      </c>
      <c r="I1456" s="46" t="str">
        <f ca="1">IFERROR(__xludf.DUMMYFUNCTION("CONCAT(A1456,REGEXREPLACE(H1456,"".*_L0"",""_L0""))"),"PD_BN2003_MTG_snRNAseq_rep1_L004_R1_001.fastq.gz")</f>
        <v>PD_BN2003_MTG_snRNAseq_rep1_L004_R1_001.fastq.gz</v>
      </c>
      <c r="J1456" s="46" t="str">
        <f t="shared" si="5"/>
        <v>/data/neurogen/ASAP/scRNAseq/data/batch29_ASAP_snRNA-seq_*/Raw_Data_and_Processing/cellranger_processing/cellranger_fastqs/outs/fastq_path/H*/BN2003_S3_L004_R1_001.fastq.gz</v>
      </c>
      <c r="K1456" s="46" t="s">
        <v>1353</v>
      </c>
      <c r="L1456" s="46" t="s">
        <v>4235</v>
      </c>
      <c r="M1456" s="46" t="s">
        <v>1309</v>
      </c>
      <c r="N1456" s="46" t="s">
        <v>1310</v>
      </c>
      <c r="O1456" s="46" t="s">
        <v>1311</v>
      </c>
      <c r="P1456" s="46" t="s">
        <v>1312</v>
      </c>
      <c r="Q1456" s="46" t="s">
        <v>31</v>
      </c>
      <c r="R1456" s="46" t="s">
        <v>31</v>
      </c>
      <c r="S1456" s="46" t="s">
        <v>31</v>
      </c>
      <c r="T1456" s="46" t="s">
        <v>31</v>
      </c>
      <c r="U1456" s="46" t="s">
        <v>49</v>
      </c>
    </row>
    <row r="1457" spans="1:21">
      <c r="A1457" s="46" t="s">
        <v>799</v>
      </c>
      <c r="B1457" s="46" t="s">
        <v>241</v>
      </c>
      <c r="C1457" s="46" t="s">
        <v>666</v>
      </c>
      <c r="D1457" s="46">
        <v>1</v>
      </c>
      <c r="E1457" s="46">
        <v>0</v>
      </c>
      <c r="F1457" s="46" t="s">
        <v>793</v>
      </c>
      <c r="G1457" s="46" t="s">
        <v>1305</v>
      </c>
      <c r="H1457" s="46" t="s">
        <v>4236</v>
      </c>
      <c r="I1457" s="46" t="str">
        <f ca="1">IFERROR(__xludf.DUMMYFUNCTION("CONCAT(A1457,REGEXREPLACE(H1457,"".*_L0"",""_L0""))"),"PD_BN2003_MTG_snRNAseq_rep1_L004_R2_001.fastq.gz")</f>
        <v>PD_BN2003_MTG_snRNAseq_rep1_L004_R2_001.fastq.gz</v>
      </c>
      <c r="J1457" s="46" t="str">
        <f t="shared" si="5"/>
        <v>/data/neurogen/ASAP/scRNAseq/data/batch29_ASAP_snRNA-seq_*/Raw_Data_and_Processing/cellranger_processing/cellranger_fastqs/outs/fastq_path/H*/BN2003_S3_L004_R2_001.fastq.gz</v>
      </c>
      <c r="K1457" s="46" t="s">
        <v>1356</v>
      </c>
      <c r="L1457" s="46" t="s">
        <v>4237</v>
      </c>
      <c r="M1457" s="46" t="s">
        <v>1309</v>
      </c>
      <c r="N1457" s="46" t="s">
        <v>1310</v>
      </c>
      <c r="O1457" s="46" t="s">
        <v>1311</v>
      </c>
      <c r="P1457" s="46" t="s">
        <v>1312</v>
      </c>
      <c r="Q1457" s="46" t="s">
        <v>31</v>
      </c>
      <c r="R1457" s="46" t="s">
        <v>31</v>
      </c>
      <c r="S1457" s="46" t="s">
        <v>31</v>
      </c>
      <c r="T1457" s="46" t="s">
        <v>31</v>
      </c>
      <c r="U1457" s="46" t="s">
        <v>49</v>
      </c>
    </row>
    <row r="1458" spans="1:21">
      <c r="A1458" s="46" t="s">
        <v>720</v>
      </c>
      <c r="B1458" s="46" t="s">
        <v>121</v>
      </c>
      <c r="C1458" s="46" t="s">
        <v>666</v>
      </c>
      <c r="D1458" s="46">
        <v>1</v>
      </c>
      <c r="E1458" s="46">
        <v>0</v>
      </c>
      <c r="F1458" s="46" t="s">
        <v>721</v>
      </c>
      <c r="G1458" s="46" t="s">
        <v>1305</v>
      </c>
      <c r="H1458" s="46" t="s">
        <v>4238</v>
      </c>
      <c r="I1458" s="46" t="str">
        <f ca="1">IFERROR(__xludf.DUMMYFUNCTION("CONCAT(A1458,REGEXREPLACE(H1458,"".*_L0"",""_L0""))"),"PD_BN1204_MTG_snRNAseq_rep1_L001_I1_001.fastq.gz")</f>
        <v>PD_BN1204_MTG_snRNAseq_rep1_L001_I1_001.fastq.gz</v>
      </c>
      <c r="J1458" s="46" t="str">
        <f t="shared" si="5"/>
        <v>/data/neurogen/ASAP/scRNAseq/data/batch30_ASAP_snRNA-seq_*/Raw_Data_and_Processing/cellranger_processing/cellranger_fastqs/outs/fastq_path/H*/BN1204_S2_L001_I1_001.fastq.gz</v>
      </c>
      <c r="K1458" s="46" t="s">
        <v>1307</v>
      </c>
      <c r="L1458" s="46" t="s">
        <v>4239</v>
      </c>
      <c r="M1458" s="46" t="s">
        <v>1309</v>
      </c>
      <c r="N1458" s="46" t="s">
        <v>1310</v>
      </c>
      <c r="O1458" s="46" t="s">
        <v>1311</v>
      </c>
      <c r="P1458" s="46" t="s">
        <v>1312</v>
      </c>
      <c r="Q1458" s="46" t="s">
        <v>31</v>
      </c>
      <c r="R1458" s="46" t="s">
        <v>31</v>
      </c>
      <c r="S1458" s="46" t="s">
        <v>31</v>
      </c>
      <c r="T1458" s="46" t="s">
        <v>31</v>
      </c>
      <c r="U1458" s="46" t="s">
        <v>49</v>
      </c>
    </row>
    <row r="1459" spans="1:21">
      <c r="A1459" s="46" t="s">
        <v>720</v>
      </c>
      <c r="B1459" s="46" t="s">
        <v>121</v>
      </c>
      <c r="C1459" s="46" t="s">
        <v>666</v>
      </c>
      <c r="D1459" s="46">
        <v>1</v>
      </c>
      <c r="E1459" s="46">
        <v>0</v>
      </c>
      <c r="F1459" s="46" t="s">
        <v>721</v>
      </c>
      <c r="G1459" s="46" t="s">
        <v>1305</v>
      </c>
      <c r="H1459" s="46" t="s">
        <v>4240</v>
      </c>
      <c r="I1459" s="46" t="str">
        <f ca="1">IFERROR(__xludf.DUMMYFUNCTION("CONCAT(A1459,REGEXREPLACE(H1459,"".*_L0"",""_L0""))"),"PD_BN1204_MTG_snRNAseq_rep1_L001_I2_001.fastq.gz")</f>
        <v>PD_BN1204_MTG_snRNAseq_rep1_L001_I2_001.fastq.gz</v>
      </c>
      <c r="J1459" s="46" t="str">
        <f t="shared" si="5"/>
        <v>/data/neurogen/ASAP/scRNAseq/data/batch30_ASAP_snRNA-seq_*/Raw_Data_and_Processing/cellranger_processing/cellranger_fastqs/outs/fastq_path/H*/BN1204_S2_L001_I2_001.fastq.gz</v>
      </c>
      <c r="K1459" s="46" t="s">
        <v>1314</v>
      </c>
      <c r="L1459" s="46" t="s">
        <v>4241</v>
      </c>
      <c r="M1459" s="46" t="s">
        <v>1309</v>
      </c>
      <c r="N1459" s="46" t="s">
        <v>1310</v>
      </c>
      <c r="O1459" s="46" t="s">
        <v>1311</v>
      </c>
      <c r="P1459" s="46" t="s">
        <v>1312</v>
      </c>
      <c r="Q1459" s="46" t="s">
        <v>31</v>
      </c>
      <c r="R1459" s="46" t="s">
        <v>31</v>
      </c>
      <c r="S1459" s="46" t="s">
        <v>31</v>
      </c>
      <c r="T1459" s="46" t="s">
        <v>31</v>
      </c>
      <c r="U1459" s="46" t="s">
        <v>49</v>
      </c>
    </row>
    <row r="1460" spans="1:21">
      <c r="A1460" s="46" t="s">
        <v>720</v>
      </c>
      <c r="B1460" s="46" t="s">
        <v>121</v>
      </c>
      <c r="C1460" s="46" t="s">
        <v>666</v>
      </c>
      <c r="D1460" s="46">
        <v>1</v>
      </c>
      <c r="E1460" s="46">
        <v>0</v>
      </c>
      <c r="F1460" s="46" t="s">
        <v>721</v>
      </c>
      <c r="G1460" s="46" t="s">
        <v>1305</v>
      </c>
      <c r="H1460" s="46" t="s">
        <v>4242</v>
      </c>
      <c r="I1460" s="46" t="str">
        <f ca="1">IFERROR(__xludf.DUMMYFUNCTION("CONCAT(A1460,REGEXREPLACE(H1460,"".*_L0"",""_L0""))"),"PD_BN1204_MTG_snRNAseq_rep1_L001_R1_001.fastq.gz")</f>
        <v>PD_BN1204_MTG_snRNAseq_rep1_L001_R1_001.fastq.gz</v>
      </c>
      <c r="J1460" s="46" t="str">
        <f t="shared" si="5"/>
        <v>/data/neurogen/ASAP/scRNAseq/data/batch30_ASAP_snRNA-seq_*/Raw_Data_and_Processing/cellranger_processing/cellranger_fastqs/outs/fastq_path/H*/BN1204_S2_L001_R1_001.fastq.gz</v>
      </c>
      <c r="K1460" s="46" t="s">
        <v>1317</v>
      </c>
      <c r="L1460" s="46" t="s">
        <v>4243</v>
      </c>
      <c r="M1460" s="46" t="s">
        <v>1309</v>
      </c>
      <c r="N1460" s="46" t="s">
        <v>1310</v>
      </c>
      <c r="O1460" s="46" t="s">
        <v>1311</v>
      </c>
      <c r="P1460" s="46" t="s">
        <v>1312</v>
      </c>
      <c r="Q1460" s="46" t="s">
        <v>31</v>
      </c>
      <c r="R1460" s="46" t="s">
        <v>31</v>
      </c>
      <c r="S1460" s="46" t="s">
        <v>31</v>
      </c>
      <c r="T1460" s="46" t="s">
        <v>31</v>
      </c>
      <c r="U1460" s="46" t="s">
        <v>49</v>
      </c>
    </row>
    <row r="1461" spans="1:21">
      <c r="A1461" s="46" t="s">
        <v>720</v>
      </c>
      <c r="B1461" s="46" t="s">
        <v>121</v>
      </c>
      <c r="C1461" s="46" t="s">
        <v>666</v>
      </c>
      <c r="D1461" s="46">
        <v>1</v>
      </c>
      <c r="E1461" s="46">
        <v>0</v>
      </c>
      <c r="F1461" s="46" t="s">
        <v>721</v>
      </c>
      <c r="G1461" s="46" t="s">
        <v>1305</v>
      </c>
      <c r="H1461" s="46" t="s">
        <v>4244</v>
      </c>
      <c r="I1461" s="46" t="str">
        <f ca="1">IFERROR(__xludf.DUMMYFUNCTION("CONCAT(A1461,REGEXREPLACE(H1461,"".*_L0"",""_L0""))"),"PD_BN1204_MTG_snRNAseq_rep1_L001_R2_001.fastq.gz")</f>
        <v>PD_BN1204_MTG_snRNAseq_rep1_L001_R2_001.fastq.gz</v>
      </c>
      <c r="J1461" s="46" t="str">
        <f t="shared" si="5"/>
        <v>/data/neurogen/ASAP/scRNAseq/data/batch30_ASAP_snRNA-seq_*/Raw_Data_and_Processing/cellranger_processing/cellranger_fastqs/outs/fastq_path/H*/BN1204_S2_L001_R2_001.fastq.gz</v>
      </c>
      <c r="K1461" s="46" t="s">
        <v>1320</v>
      </c>
      <c r="L1461" s="46" t="s">
        <v>4245</v>
      </c>
      <c r="M1461" s="46" t="s">
        <v>1309</v>
      </c>
      <c r="N1461" s="46" t="s">
        <v>1310</v>
      </c>
      <c r="O1461" s="46" t="s">
        <v>1311</v>
      </c>
      <c r="P1461" s="46" t="s">
        <v>1312</v>
      </c>
      <c r="Q1461" s="46" t="s">
        <v>31</v>
      </c>
      <c r="R1461" s="46" t="s">
        <v>31</v>
      </c>
      <c r="S1461" s="46" t="s">
        <v>31</v>
      </c>
      <c r="T1461" s="46" t="s">
        <v>31</v>
      </c>
      <c r="U1461" s="46" t="s">
        <v>49</v>
      </c>
    </row>
    <row r="1462" spans="1:21">
      <c r="A1462" s="46" t="s">
        <v>720</v>
      </c>
      <c r="B1462" s="46" t="s">
        <v>121</v>
      </c>
      <c r="C1462" s="46" t="s">
        <v>666</v>
      </c>
      <c r="D1462" s="46">
        <v>1</v>
      </c>
      <c r="E1462" s="46">
        <v>0</v>
      </c>
      <c r="F1462" s="46" t="s">
        <v>721</v>
      </c>
      <c r="G1462" s="46" t="s">
        <v>1305</v>
      </c>
      <c r="H1462" s="46" t="s">
        <v>4246</v>
      </c>
      <c r="I1462" s="46" t="str">
        <f ca="1">IFERROR(__xludf.DUMMYFUNCTION("CONCAT(A1462,REGEXREPLACE(H1462,"".*_L0"",""_L0""))"),"PD_BN1204_MTG_snRNAseq_rep1_L002_I1_001.fastq.gz")</f>
        <v>PD_BN1204_MTG_snRNAseq_rep1_L002_I1_001.fastq.gz</v>
      </c>
      <c r="J1462" s="46" t="str">
        <f t="shared" si="5"/>
        <v>/data/neurogen/ASAP/scRNAseq/data/batch30_ASAP_snRNA-seq_*/Raw_Data_and_Processing/cellranger_processing/cellranger_fastqs/outs/fastq_path/H*/BN1204_S2_L002_I1_001.fastq.gz</v>
      </c>
      <c r="K1462" s="46" t="s">
        <v>1323</v>
      </c>
      <c r="L1462" s="46" t="s">
        <v>4247</v>
      </c>
      <c r="M1462" s="46" t="s">
        <v>1309</v>
      </c>
      <c r="N1462" s="46" t="s">
        <v>1310</v>
      </c>
      <c r="O1462" s="46" t="s">
        <v>1311</v>
      </c>
      <c r="P1462" s="46" t="s">
        <v>1312</v>
      </c>
      <c r="Q1462" s="46" t="s">
        <v>31</v>
      </c>
      <c r="R1462" s="46" t="s">
        <v>31</v>
      </c>
      <c r="S1462" s="46" t="s">
        <v>31</v>
      </c>
      <c r="T1462" s="46" t="s">
        <v>31</v>
      </c>
      <c r="U1462" s="46" t="s">
        <v>49</v>
      </c>
    </row>
    <row r="1463" spans="1:21">
      <c r="A1463" s="46" t="s">
        <v>720</v>
      </c>
      <c r="B1463" s="46" t="s">
        <v>121</v>
      </c>
      <c r="C1463" s="46" t="s">
        <v>666</v>
      </c>
      <c r="D1463" s="46">
        <v>1</v>
      </c>
      <c r="E1463" s="46">
        <v>0</v>
      </c>
      <c r="F1463" s="46" t="s">
        <v>721</v>
      </c>
      <c r="G1463" s="46" t="s">
        <v>1305</v>
      </c>
      <c r="H1463" s="46" t="s">
        <v>4248</v>
      </c>
      <c r="I1463" s="46" t="str">
        <f ca="1">IFERROR(__xludf.DUMMYFUNCTION("CONCAT(A1463,REGEXREPLACE(H1463,"".*_L0"",""_L0""))"),"PD_BN1204_MTG_snRNAseq_rep1_L002_I2_001.fastq.gz")</f>
        <v>PD_BN1204_MTG_snRNAseq_rep1_L002_I2_001.fastq.gz</v>
      </c>
      <c r="J1463" s="46" t="str">
        <f t="shared" si="5"/>
        <v>/data/neurogen/ASAP/scRNAseq/data/batch30_ASAP_snRNA-seq_*/Raw_Data_and_Processing/cellranger_processing/cellranger_fastqs/outs/fastq_path/H*/BN1204_S2_L002_I2_001.fastq.gz</v>
      </c>
      <c r="K1463" s="46" t="s">
        <v>1326</v>
      </c>
      <c r="L1463" s="46" t="s">
        <v>4249</v>
      </c>
      <c r="M1463" s="46" t="s">
        <v>1309</v>
      </c>
      <c r="N1463" s="46" t="s">
        <v>1310</v>
      </c>
      <c r="O1463" s="46" t="s">
        <v>1311</v>
      </c>
      <c r="P1463" s="46" t="s">
        <v>1312</v>
      </c>
      <c r="Q1463" s="46" t="s">
        <v>31</v>
      </c>
      <c r="R1463" s="46" t="s">
        <v>31</v>
      </c>
      <c r="S1463" s="46" t="s">
        <v>31</v>
      </c>
      <c r="T1463" s="46" t="s">
        <v>31</v>
      </c>
      <c r="U1463" s="46" t="s">
        <v>49</v>
      </c>
    </row>
    <row r="1464" spans="1:21">
      <c r="A1464" s="46" t="s">
        <v>720</v>
      </c>
      <c r="B1464" s="46" t="s">
        <v>121</v>
      </c>
      <c r="C1464" s="46" t="s">
        <v>666</v>
      </c>
      <c r="D1464" s="46">
        <v>1</v>
      </c>
      <c r="E1464" s="46">
        <v>0</v>
      </c>
      <c r="F1464" s="46" t="s">
        <v>721</v>
      </c>
      <c r="G1464" s="46" t="s">
        <v>1305</v>
      </c>
      <c r="H1464" s="46" t="s">
        <v>4250</v>
      </c>
      <c r="I1464" s="46" t="str">
        <f ca="1">IFERROR(__xludf.DUMMYFUNCTION("CONCAT(A1464,REGEXREPLACE(H1464,"".*_L0"",""_L0""))"),"PD_BN1204_MTG_snRNAseq_rep1_L002_R1_001.fastq.gz")</f>
        <v>PD_BN1204_MTG_snRNAseq_rep1_L002_R1_001.fastq.gz</v>
      </c>
      <c r="J1464" s="46" t="str">
        <f t="shared" si="5"/>
        <v>/data/neurogen/ASAP/scRNAseq/data/batch30_ASAP_snRNA-seq_*/Raw_Data_and_Processing/cellranger_processing/cellranger_fastqs/outs/fastq_path/H*/BN1204_S2_L002_R1_001.fastq.gz</v>
      </c>
      <c r="K1464" s="46" t="s">
        <v>1329</v>
      </c>
      <c r="L1464" s="46" t="s">
        <v>4251</v>
      </c>
      <c r="M1464" s="46" t="s">
        <v>1309</v>
      </c>
      <c r="N1464" s="46" t="s">
        <v>1310</v>
      </c>
      <c r="O1464" s="46" t="s">
        <v>1311</v>
      </c>
      <c r="P1464" s="46" t="s">
        <v>1312</v>
      </c>
      <c r="Q1464" s="46" t="s">
        <v>31</v>
      </c>
      <c r="R1464" s="46" t="s">
        <v>31</v>
      </c>
      <c r="S1464" s="46" t="s">
        <v>31</v>
      </c>
      <c r="T1464" s="46" t="s">
        <v>31</v>
      </c>
      <c r="U1464" s="46" t="s">
        <v>49</v>
      </c>
    </row>
    <row r="1465" spans="1:21">
      <c r="A1465" s="46" t="s">
        <v>720</v>
      </c>
      <c r="B1465" s="46" t="s">
        <v>121</v>
      </c>
      <c r="C1465" s="46" t="s">
        <v>666</v>
      </c>
      <c r="D1465" s="46">
        <v>1</v>
      </c>
      <c r="E1465" s="46">
        <v>0</v>
      </c>
      <c r="F1465" s="46" t="s">
        <v>721</v>
      </c>
      <c r="G1465" s="46" t="s">
        <v>1305</v>
      </c>
      <c r="H1465" s="46" t="s">
        <v>4252</v>
      </c>
      <c r="I1465" s="46" t="str">
        <f ca="1">IFERROR(__xludf.DUMMYFUNCTION("CONCAT(A1465,REGEXREPLACE(H1465,"".*_L0"",""_L0""))"),"PD_BN1204_MTG_snRNAseq_rep1_L002_R2_001.fastq.gz")</f>
        <v>PD_BN1204_MTG_snRNAseq_rep1_L002_R2_001.fastq.gz</v>
      </c>
      <c r="J1465" s="46" t="str">
        <f t="shared" si="5"/>
        <v>/data/neurogen/ASAP/scRNAseq/data/batch30_ASAP_snRNA-seq_*/Raw_Data_and_Processing/cellranger_processing/cellranger_fastqs/outs/fastq_path/H*/BN1204_S2_L002_R2_001.fastq.gz</v>
      </c>
      <c r="K1465" s="46" t="s">
        <v>1332</v>
      </c>
      <c r="L1465" s="46" t="s">
        <v>4253</v>
      </c>
      <c r="M1465" s="46" t="s">
        <v>1309</v>
      </c>
      <c r="N1465" s="46" t="s">
        <v>1310</v>
      </c>
      <c r="O1465" s="46" t="s">
        <v>1311</v>
      </c>
      <c r="P1465" s="46" t="s">
        <v>1312</v>
      </c>
      <c r="Q1465" s="46" t="s">
        <v>31</v>
      </c>
      <c r="R1465" s="46" t="s">
        <v>31</v>
      </c>
      <c r="S1465" s="46" t="s">
        <v>31</v>
      </c>
      <c r="T1465" s="46" t="s">
        <v>31</v>
      </c>
      <c r="U1465" s="46" t="s">
        <v>49</v>
      </c>
    </row>
    <row r="1466" spans="1:21">
      <c r="A1466" s="46" t="s">
        <v>720</v>
      </c>
      <c r="B1466" s="46" t="s">
        <v>121</v>
      </c>
      <c r="C1466" s="46" t="s">
        <v>666</v>
      </c>
      <c r="D1466" s="46">
        <v>1</v>
      </c>
      <c r="E1466" s="46">
        <v>0</v>
      </c>
      <c r="F1466" s="46" t="s">
        <v>721</v>
      </c>
      <c r="G1466" s="46" t="s">
        <v>1305</v>
      </c>
      <c r="H1466" s="46" t="s">
        <v>4254</v>
      </c>
      <c r="I1466" s="46" t="str">
        <f ca="1">IFERROR(__xludf.DUMMYFUNCTION("CONCAT(A1466,REGEXREPLACE(H1466,"".*_L0"",""_L0""))"),"PD_BN1204_MTG_snRNAseq_rep1_L003_I1_001.fastq.gz")</f>
        <v>PD_BN1204_MTG_snRNAseq_rep1_L003_I1_001.fastq.gz</v>
      </c>
      <c r="J1466" s="46" t="str">
        <f t="shared" si="5"/>
        <v>/data/neurogen/ASAP/scRNAseq/data/batch30_ASAP_snRNA-seq_*/Raw_Data_and_Processing/cellranger_processing/cellranger_fastqs/outs/fastq_path/H*/BN1204_S2_L003_I1_001.fastq.gz</v>
      </c>
      <c r="K1466" s="46" t="s">
        <v>1335</v>
      </c>
      <c r="L1466" s="46" t="s">
        <v>4255</v>
      </c>
      <c r="M1466" s="46" t="s">
        <v>1309</v>
      </c>
      <c r="N1466" s="46" t="s">
        <v>1310</v>
      </c>
      <c r="O1466" s="46" t="s">
        <v>1311</v>
      </c>
      <c r="P1466" s="46" t="s">
        <v>1312</v>
      </c>
      <c r="Q1466" s="46" t="s">
        <v>31</v>
      </c>
      <c r="R1466" s="46" t="s">
        <v>31</v>
      </c>
      <c r="S1466" s="46" t="s">
        <v>31</v>
      </c>
      <c r="T1466" s="46" t="s">
        <v>31</v>
      </c>
      <c r="U1466" s="46" t="s">
        <v>49</v>
      </c>
    </row>
    <row r="1467" spans="1:21">
      <c r="A1467" s="46" t="s">
        <v>720</v>
      </c>
      <c r="B1467" s="46" t="s">
        <v>121</v>
      </c>
      <c r="C1467" s="46" t="s">
        <v>666</v>
      </c>
      <c r="D1467" s="46">
        <v>1</v>
      </c>
      <c r="E1467" s="46">
        <v>0</v>
      </c>
      <c r="F1467" s="46" t="s">
        <v>721</v>
      </c>
      <c r="G1467" s="46" t="s">
        <v>1305</v>
      </c>
      <c r="H1467" s="46" t="s">
        <v>4256</v>
      </c>
      <c r="I1467" s="46" t="str">
        <f ca="1">IFERROR(__xludf.DUMMYFUNCTION("CONCAT(A1467,REGEXREPLACE(H1467,"".*_L0"",""_L0""))"),"PD_BN1204_MTG_snRNAseq_rep1_L003_I2_001.fastq.gz")</f>
        <v>PD_BN1204_MTG_snRNAseq_rep1_L003_I2_001.fastq.gz</v>
      </c>
      <c r="J1467" s="46" t="str">
        <f t="shared" si="5"/>
        <v>/data/neurogen/ASAP/scRNAseq/data/batch30_ASAP_snRNA-seq_*/Raw_Data_and_Processing/cellranger_processing/cellranger_fastqs/outs/fastq_path/H*/BN1204_S2_L003_I2_001.fastq.gz</v>
      </c>
      <c r="K1467" s="46" t="s">
        <v>1338</v>
      </c>
      <c r="L1467" s="46" t="s">
        <v>4257</v>
      </c>
      <c r="M1467" s="46" t="s">
        <v>1309</v>
      </c>
      <c r="N1467" s="46" t="s">
        <v>1310</v>
      </c>
      <c r="O1467" s="46" t="s">
        <v>1311</v>
      </c>
      <c r="P1467" s="46" t="s">
        <v>1312</v>
      </c>
      <c r="Q1467" s="46" t="s">
        <v>31</v>
      </c>
      <c r="R1467" s="46" t="s">
        <v>31</v>
      </c>
      <c r="S1467" s="46" t="s">
        <v>31</v>
      </c>
      <c r="T1467" s="46" t="s">
        <v>31</v>
      </c>
      <c r="U1467" s="46" t="s">
        <v>49</v>
      </c>
    </row>
    <row r="1468" spans="1:21">
      <c r="A1468" s="46" t="s">
        <v>720</v>
      </c>
      <c r="B1468" s="46" t="s">
        <v>121</v>
      </c>
      <c r="C1468" s="46" t="s">
        <v>666</v>
      </c>
      <c r="D1468" s="46">
        <v>1</v>
      </c>
      <c r="E1468" s="46">
        <v>0</v>
      </c>
      <c r="F1468" s="46" t="s">
        <v>721</v>
      </c>
      <c r="G1468" s="46" t="s">
        <v>1305</v>
      </c>
      <c r="H1468" s="46" t="s">
        <v>4258</v>
      </c>
      <c r="I1468" s="46" t="str">
        <f ca="1">IFERROR(__xludf.DUMMYFUNCTION("CONCAT(A1468,REGEXREPLACE(H1468,"".*_L0"",""_L0""))"),"PD_BN1204_MTG_snRNAseq_rep1_L003_R1_001.fastq.gz")</f>
        <v>PD_BN1204_MTG_snRNAseq_rep1_L003_R1_001.fastq.gz</v>
      </c>
      <c r="J1468" s="46" t="str">
        <f t="shared" si="5"/>
        <v>/data/neurogen/ASAP/scRNAseq/data/batch30_ASAP_snRNA-seq_*/Raw_Data_and_Processing/cellranger_processing/cellranger_fastqs/outs/fastq_path/H*/BN1204_S2_L003_R1_001.fastq.gz</v>
      </c>
      <c r="K1468" s="46" t="s">
        <v>1341</v>
      </c>
      <c r="L1468" s="47" t="s">
        <v>4259</v>
      </c>
      <c r="M1468" s="46" t="s">
        <v>1309</v>
      </c>
      <c r="N1468" s="46" t="s">
        <v>1310</v>
      </c>
      <c r="O1468" s="46" t="s">
        <v>1311</v>
      </c>
      <c r="P1468" s="46" t="s">
        <v>1312</v>
      </c>
      <c r="Q1468" s="46" t="s">
        <v>31</v>
      </c>
      <c r="R1468" s="46" t="s">
        <v>31</v>
      </c>
      <c r="S1468" s="46" t="s">
        <v>31</v>
      </c>
      <c r="T1468" s="46" t="s">
        <v>31</v>
      </c>
      <c r="U1468" s="46" t="s">
        <v>49</v>
      </c>
    </row>
    <row r="1469" spans="1:21">
      <c r="A1469" s="46" t="s">
        <v>720</v>
      </c>
      <c r="B1469" s="46" t="s">
        <v>121</v>
      </c>
      <c r="C1469" s="46" t="s">
        <v>666</v>
      </c>
      <c r="D1469" s="46">
        <v>1</v>
      </c>
      <c r="E1469" s="46">
        <v>0</v>
      </c>
      <c r="F1469" s="46" t="s">
        <v>721</v>
      </c>
      <c r="G1469" s="46" t="s">
        <v>1305</v>
      </c>
      <c r="H1469" s="46" t="s">
        <v>4260</v>
      </c>
      <c r="I1469" s="46" t="str">
        <f ca="1">IFERROR(__xludf.DUMMYFUNCTION("CONCAT(A1469,REGEXREPLACE(H1469,"".*_L0"",""_L0""))"),"PD_BN1204_MTG_snRNAseq_rep1_L003_R2_001.fastq.gz")</f>
        <v>PD_BN1204_MTG_snRNAseq_rep1_L003_R2_001.fastq.gz</v>
      </c>
      <c r="J1469" s="46" t="str">
        <f t="shared" si="5"/>
        <v>/data/neurogen/ASAP/scRNAseq/data/batch30_ASAP_snRNA-seq_*/Raw_Data_and_Processing/cellranger_processing/cellranger_fastqs/outs/fastq_path/H*/BN1204_S2_L003_R2_001.fastq.gz</v>
      </c>
      <c r="K1469" s="46" t="s">
        <v>1344</v>
      </c>
      <c r="L1469" s="46" t="s">
        <v>4261</v>
      </c>
      <c r="M1469" s="46" t="s">
        <v>1309</v>
      </c>
      <c r="N1469" s="46" t="s">
        <v>1310</v>
      </c>
      <c r="O1469" s="46" t="s">
        <v>1311</v>
      </c>
      <c r="P1469" s="46" t="s">
        <v>1312</v>
      </c>
      <c r="Q1469" s="46" t="s">
        <v>31</v>
      </c>
      <c r="R1469" s="46" t="s">
        <v>31</v>
      </c>
      <c r="S1469" s="46" t="s">
        <v>31</v>
      </c>
      <c r="T1469" s="46" t="s">
        <v>31</v>
      </c>
      <c r="U1469" s="46" t="s">
        <v>49</v>
      </c>
    </row>
    <row r="1470" spans="1:21">
      <c r="A1470" s="46" t="s">
        <v>720</v>
      </c>
      <c r="B1470" s="46" t="s">
        <v>121</v>
      </c>
      <c r="C1470" s="46" t="s">
        <v>666</v>
      </c>
      <c r="D1470" s="46">
        <v>1</v>
      </c>
      <c r="E1470" s="46">
        <v>0</v>
      </c>
      <c r="F1470" s="46" t="s">
        <v>721</v>
      </c>
      <c r="G1470" s="46" t="s">
        <v>1305</v>
      </c>
      <c r="H1470" s="46" t="s">
        <v>4262</v>
      </c>
      <c r="I1470" s="46" t="str">
        <f ca="1">IFERROR(__xludf.DUMMYFUNCTION("CONCAT(A1470,REGEXREPLACE(H1470,"".*_L0"",""_L0""))"),"PD_BN1204_MTG_snRNAseq_rep1_L004_I1_001.fastq.gz")</f>
        <v>PD_BN1204_MTG_snRNAseq_rep1_L004_I1_001.fastq.gz</v>
      </c>
      <c r="J1470" s="46" t="str">
        <f t="shared" si="5"/>
        <v>/data/neurogen/ASAP/scRNAseq/data/batch30_ASAP_snRNA-seq_*/Raw_Data_and_Processing/cellranger_processing/cellranger_fastqs/outs/fastq_path/H*/BN1204_S2_L004_I1_001.fastq.gz</v>
      </c>
      <c r="K1470" s="46" t="s">
        <v>1347</v>
      </c>
      <c r="L1470" s="46" t="s">
        <v>4263</v>
      </c>
      <c r="M1470" s="46" t="s">
        <v>1309</v>
      </c>
      <c r="N1470" s="46" t="s">
        <v>1310</v>
      </c>
      <c r="O1470" s="46" t="s">
        <v>1311</v>
      </c>
      <c r="P1470" s="46" t="s">
        <v>1312</v>
      </c>
      <c r="Q1470" s="46" t="s">
        <v>31</v>
      </c>
      <c r="R1470" s="46" t="s">
        <v>31</v>
      </c>
      <c r="S1470" s="46" t="s">
        <v>31</v>
      </c>
      <c r="T1470" s="46" t="s">
        <v>31</v>
      </c>
      <c r="U1470" s="46" t="s">
        <v>49</v>
      </c>
    </row>
    <row r="1471" spans="1:21">
      <c r="A1471" s="46" t="s">
        <v>720</v>
      </c>
      <c r="B1471" s="46" t="s">
        <v>121</v>
      </c>
      <c r="C1471" s="46" t="s">
        <v>666</v>
      </c>
      <c r="D1471" s="46">
        <v>1</v>
      </c>
      <c r="E1471" s="46">
        <v>0</v>
      </c>
      <c r="F1471" s="46" t="s">
        <v>721</v>
      </c>
      <c r="G1471" s="46" t="s">
        <v>1305</v>
      </c>
      <c r="H1471" s="46" t="s">
        <v>4264</v>
      </c>
      <c r="I1471" s="46" t="str">
        <f ca="1">IFERROR(__xludf.DUMMYFUNCTION("CONCAT(A1471,REGEXREPLACE(H1471,"".*_L0"",""_L0""))"),"PD_BN1204_MTG_snRNAseq_rep1_L004_I2_001.fastq.gz")</f>
        <v>PD_BN1204_MTG_snRNAseq_rep1_L004_I2_001.fastq.gz</v>
      </c>
      <c r="J1471" s="46" t="str">
        <f t="shared" si="5"/>
        <v>/data/neurogen/ASAP/scRNAseq/data/batch30_ASAP_snRNA-seq_*/Raw_Data_and_Processing/cellranger_processing/cellranger_fastqs/outs/fastq_path/H*/BN1204_S2_L004_I2_001.fastq.gz</v>
      </c>
      <c r="K1471" s="46" t="s">
        <v>1350</v>
      </c>
      <c r="L1471" s="46" t="s">
        <v>4265</v>
      </c>
      <c r="M1471" s="46" t="s">
        <v>1309</v>
      </c>
      <c r="N1471" s="46" t="s">
        <v>1310</v>
      </c>
      <c r="O1471" s="46" t="s">
        <v>1311</v>
      </c>
      <c r="P1471" s="46" t="s">
        <v>1312</v>
      </c>
      <c r="Q1471" s="46" t="s">
        <v>31</v>
      </c>
      <c r="R1471" s="46" t="s">
        <v>31</v>
      </c>
      <c r="S1471" s="46" t="s">
        <v>31</v>
      </c>
      <c r="T1471" s="46" t="s">
        <v>31</v>
      </c>
      <c r="U1471" s="46" t="s">
        <v>49</v>
      </c>
    </row>
    <row r="1472" spans="1:21">
      <c r="A1472" s="46" t="s">
        <v>720</v>
      </c>
      <c r="B1472" s="46" t="s">
        <v>121</v>
      </c>
      <c r="C1472" s="46" t="s">
        <v>666</v>
      </c>
      <c r="D1472" s="46">
        <v>1</v>
      </c>
      <c r="E1472" s="46">
        <v>0</v>
      </c>
      <c r="F1472" s="46" t="s">
        <v>721</v>
      </c>
      <c r="G1472" s="46" t="s">
        <v>1305</v>
      </c>
      <c r="H1472" s="46" t="s">
        <v>4266</v>
      </c>
      <c r="I1472" s="46" t="str">
        <f ca="1">IFERROR(__xludf.DUMMYFUNCTION("CONCAT(A1472,REGEXREPLACE(H1472,"".*_L0"",""_L0""))"),"PD_BN1204_MTG_snRNAseq_rep1_L004_R1_001.fastq.gz")</f>
        <v>PD_BN1204_MTG_snRNAseq_rep1_L004_R1_001.fastq.gz</v>
      </c>
      <c r="J1472" s="46" t="str">
        <f t="shared" si="5"/>
        <v>/data/neurogen/ASAP/scRNAseq/data/batch30_ASAP_snRNA-seq_*/Raw_Data_and_Processing/cellranger_processing/cellranger_fastqs/outs/fastq_path/H*/BN1204_S2_L004_R1_001.fastq.gz</v>
      </c>
      <c r="K1472" s="46" t="s">
        <v>1353</v>
      </c>
      <c r="L1472" s="46" t="s">
        <v>4267</v>
      </c>
      <c r="M1472" s="46" t="s">
        <v>1309</v>
      </c>
      <c r="N1472" s="46" t="s">
        <v>1310</v>
      </c>
      <c r="O1472" s="46" t="s">
        <v>1311</v>
      </c>
      <c r="P1472" s="46" t="s">
        <v>1312</v>
      </c>
      <c r="Q1472" s="46" t="s">
        <v>31</v>
      </c>
      <c r="R1472" s="46" t="s">
        <v>31</v>
      </c>
      <c r="S1472" s="46" t="s">
        <v>31</v>
      </c>
      <c r="T1472" s="46" t="s">
        <v>31</v>
      </c>
      <c r="U1472" s="46" t="s">
        <v>49</v>
      </c>
    </row>
    <row r="1473" spans="1:21">
      <c r="A1473" s="46" t="s">
        <v>720</v>
      </c>
      <c r="B1473" s="46" t="s">
        <v>121</v>
      </c>
      <c r="C1473" s="46" t="s">
        <v>666</v>
      </c>
      <c r="D1473" s="46">
        <v>1</v>
      </c>
      <c r="E1473" s="46">
        <v>0</v>
      </c>
      <c r="F1473" s="46" t="s">
        <v>721</v>
      </c>
      <c r="G1473" s="46" t="s">
        <v>1305</v>
      </c>
      <c r="H1473" s="46" t="s">
        <v>4268</v>
      </c>
      <c r="I1473" s="46" t="str">
        <f ca="1">IFERROR(__xludf.DUMMYFUNCTION("CONCAT(A1473,REGEXREPLACE(H1473,"".*_L0"",""_L0""))"),"PD_BN1204_MTG_snRNAseq_rep1_L004_R2_001.fastq.gz")</f>
        <v>PD_BN1204_MTG_snRNAseq_rep1_L004_R2_001.fastq.gz</v>
      </c>
      <c r="J1473" s="46" t="str">
        <f t="shared" si="5"/>
        <v>/data/neurogen/ASAP/scRNAseq/data/batch30_ASAP_snRNA-seq_*/Raw_Data_and_Processing/cellranger_processing/cellranger_fastqs/outs/fastq_path/H*/BN1204_S2_L004_R2_001.fastq.gz</v>
      </c>
      <c r="K1473" s="46" t="s">
        <v>1356</v>
      </c>
      <c r="L1473" s="46" t="s">
        <v>4269</v>
      </c>
      <c r="M1473" s="46" t="s">
        <v>1309</v>
      </c>
      <c r="N1473" s="46" t="s">
        <v>1310</v>
      </c>
      <c r="O1473" s="46" t="s">
        <v>1311</v>
      </c>
      <c r="P1473" s="46" t="s">
        <v>1312</v>
      </c>
      <c r="Q1473" s="46" t="s">
        <v>31</v>
      </c>
      <c r="R1473" s="46" t="s">
        <v>31</v>
      </c>
      <c r="S1473" s="46" t="s">
        <v>31</v>
      </c>
      <c r="T1473" s="46" t="s">
        <v>31</v>
      </c>
      <c r="U1473" s="46" t="s">
        <v>49</v>
      </c>
    </row>
    <row r="1474" spans="1:21">
      <c r="A1474" s="46" t="s">
        <v>758</v>
      </c>
      <c r="B1474" s="46" t="s">
        <v>175</v>
      </c>
      <c r="C1474" s="46" t="s">
        <v>666</v>
      </c>
      <c r="D1474" s="46">
        <v>1</v>
      </c>
      <c r="E1474" s="46">
        <v>0</v>
      </c>
      <c r="F1474" s="46" t="s">
        <v>721</v>
      </c>
      <c r="G1474" s="46" t="s">
        <v>1305</v>
      </c>
      <c r="H1474" s="46" t="s">
        <v>4270</v>
      </c>
      <c r="I1474" s="46" t="str">
        <f ca="1">IFERROR(__xludf.DUMMYFUNCTION("CONCAT(A1474,REGEXREPLACE(H1474,"".*_L0"",""_L0""))"),"HC_BN1730_MTG_snRNAseq_rep1_L001_I1_001.fastq.gz")</f>
        <v>HC_BN1730_MTG_snRNAseq_rep1_L001_I1_001.fastq.gz</v>
      </c>
      <c r="J1474" s="46" t="str">
        <f t="shared" si="5"/>
        <v>/data/neurogen/ASAP/scRNAseq/data/batch30_ASAP_snRNA-seq_*/Raw_Data_and_Processing/cellranger_processing/cellranger_fastqs/outs/fastq_path/H*/BN1730_S3_L001_I1_001.fastq.gz</v>
      </c>
      <c r="K1474" s="46" t="s">
        <v>1307</v>
      </c>
      <c r="L1474" s="46" t="s">
        <v>4271</v>
      </c>
      <c r="M1474" s="46" t="s">
        <v>1309</v>
      </c>
      <c r="N1474" s="46" t="s">
        <v>1310</v>
      </c>
      <c r="O1474" s="46" t="s">
        <v>1311</v>
      </c>
      <c r="P1474" s="46" t="s">
        <v>1312</v>
      </c>
      <c r="Q1474" s="46" t="s">
        <v>31</v>
      </c>
      <c r="R1474" s="46" t="s">
        <v>31</v>
      </c>
      <c r="S1474" s="46" t="s">
        <v>31</v>
      </c>
      <c r="T1474" s="46" t="s">
        <v>31</v>
      </c>
      <c r="U1474" s="46" t="s">
        <v>49</v>
      </c>
    </row>
    <row r="1475" spans="1:21">
      <c r="A1475" s="46" t="s">
        <v>758</v>
      </c>
      <c r="B1475" s="46" t="s">
        <v>175</v>
      </c>
      <c r="C1475" s="46" t="s">
        <v>666</v>
      </c>
      <c r="D1475" s="46">
        <v>1</v>
      </c>
      <c r="E1475" s="46">
        <v>0</v>
      </c>
      <c r="F1475" s="46" t="s">
        <v>721</v>
      </c>
      <c r="G1475" s="46" t="s">
        <v>1305</v>
      </c>
      <c r="H1475" s="46" t="s">
        <v>4272</v>
      </c>
      <c r="I1475" s="46" t="str">
        <f ca="1">IFERROR(__xludf.DUMMYFUNCTION("CONCAT(A1475,REGEXREPLACE(H1475,"".*_L0"",""_L0""))"),"HC_BN1730_MTG_snRNAseq_rep1_L001_I2_001.fastq.gz")</f>
        <v>HC_BN1730_MTG_snRNAseq_rep1_L001_I2_001.fastq.gz</v>
      </c>
      <c r="J1475" s="46" t="str">
        <f t="shared" si="5"/>
        <v>/data/neurogen/ASAP/scRNAseq/data/batch30_ASAP_snRNA-seq_*/Raw_Data_and_Processing/cellranger_processing/cellranger_fastqs/outs/fastq_path/H*/BN1730_S3_L001_I2_001.fastq.gz</v>
      </c>
      <c r="K1475" s="46" t="s">
        <v>1314</v>
      </c>
      <c r="L1475" s="46" t="s">
        <v>4273</v>
      </c>
      <c r="M1475" s="46" t="s">
        <v>1309</v>
      </c>
      <c r="N1475" s="46" t="s">
        <v>1310</v>
      </c>
      <c r="O1475" s="46" t="s">
        <v>1311</v>
      </c>
      <c r="P1475" s="46" t="s">
        <v>1312</v>
      </c>
      <c r="Q1475" s="46" t="s">
        <v>31</v>
      </c>
      <c r="R1475" s="46" t="s">
        <v>31</v>
      </c>
      <c r="S1475" s="46" t="s">
        <v>31</v>
      </c>
      <c r="T1475" s="46" t="s">
        <v>31</v>
      </c>
      <c r="U1475" s="46" t="s">
        <v>49</v>
      </c>
    </row>
    <row r="1476" spans="1:21">
      <c r="A1476" s="46" t="s">
        <v>758</v>
      </c>
      <c r="B1476" s="46" t="s">
        <v>175</v>
      </c>
      <c r="C1476" s="46" t="s">
        <v>666</v>
      </c>
      <c r="D1476" s="46">
        <v>1</v>
      </c>
      <c r="E1476" s="46">
        <v>0</v>
      </c>
      <c r="F1476" s="46" t="s">
        <v>721</v>
      </c>
      <c r="G1476" s="46" t="s">
        <v>1305</v>
      </c>
      <c r="H1476" s="46" t="s">
        <v>4274</v>
      </c>
      <c r="I1476" s="46" t="str">
        <f ca="1">IFERROR(__xludf.DUMMYFUNCTION("CONCAT(A1476,REGEXREPLACE(H1476,"".*_L0"",""_L0""))"),"HC_BN1730_MTG_snRNAseq_rep1_L001_R1_001.fastq.gz")</f>
        <v>HC_BN1730_MTG_snRNAseq_rep1_L001_R1_001.fastq.gz</v>
      </c>
      <c r="J1476" s="46" t="str">
        <f t="shared" si="5"/>
        <v>/data/neurogen/ASAP/scRNAseq/data/batch30_ASAP_snRNA-seq_*/Raw_Data_and_Processing/cellranger_processing/cellranger_fastqs/outs/fastq_path/H*/BN1730_S3_L001_R1_001.fastq.gz</v>
      </c>
      <c r="K1476" s="46" t="s">
        <v>1317</v>
      </c>
      <c r="L1476" s="46" t="s">
        <v>4275</v>
      </c>
      <c r="M1476" s="46" t="s">
        <v>1309</v>
      </c>
      <c r="N1476" s="46" t="s">
        <v>1310</v>
      </c>
      <c r="O1476" s="46" t="s">
        <v>1311</v>
      </c>
      <c r="P1476" s="46" t="s">
        <v>1312</v>
      </c>
      <c r="Q1476" s="46" t="s">
        <v>31</v>
      </c>
      <c r="R1476" s="46" t="s">
        <v>31</v>
      </c>
      <c r="S1476" s="46" t="s">
        <v>31</v>
      </c>
      <c r="T1476" s="46" t="s">
        <v>31</v>
      </c>
      <c r="U1476" s="46" t="s">
        <v>49</v>
      </c>
    </row>
    <row r="1477" spans="1:21">
      <c r="A1477" s="46" t="s">
        <v>758</v>
      </c>
      <c r="B1477" s="46" t="s">
        <v>175</v>
      </c>
      <c r="C1477" s="46" t="s">
        <v>666</v>
      </c>
      <c r="D1477" s="46">
        <v>1</v>
      </c>
      <c r="E1477" s="46">
        <v>0</v>
      </c>
      <c r="F1477" s="46" t="s">
        <v>721</v>
      </c>
      <c r="G1477" s="46" t="s">
        <v>1305</v>
      </c>
      <c r="H1477" s="46" t="s">
        <v>4276</v>
      </c>
      <c r="I1477" s="46" t="str">
        <f ca="1">IFERROR(__xludf.DUMMYFUNCTION("CONCAT(A1477,REGEXREPLACE(H1477,"".*_L0"",""_L0""))"),"HC_BN1730_MTG_snRNAseq_rep1_L001_R2_001.fastq.gz")</f>
        <v>HC_BN1730_MTG_snRNAseq_rep1_L001_R2_001.fastq.gz</v>
      </c>
      <c r="J1477" s="46" t="str">
        <f t="shared" si="5"/>
        <v>/data/neurogen/ASAP/scRNAseq/data/batch30_ASAP_snRNA-seq_*/Raw_Data_and_Processing/cellranger_processing/cellranger_fastqs/outs/fastq_path/H*/BN1730_S3_L001_R2_001.fastq.gz</v>
      </c>
      <c r="K1477" s="46" t="s">
        <v>1320</v>
      </c>
      <c r="L1477" s="46" t="s">
        <v>4277</v>
      </c>
      <c r="M1477" s="46" t="s">
        <v>1309</v>
      </c>
      <c r="N1477" s="46" t="s">
        <v>1310</v>
      </c>
      <c r="O1477" s="46" t="s">
        <v>1311</v>
      </c>
      <c r="P1477" s="46" t="s">
        <v>1312</v>
      </c>
      <c r="Q1477" s="46" t="s">
        <v>31</v>
      </c>
      <c r="R1477" s="46" t="s">
        <v>31</v>
      </c>
      <c r="S1477" s="46" t="s">
        <v>31</v>
      </c>
      <c r="T1477" s="46" t="s">
        <v>31</v>
      </c>
      <c r="U1477" s="46" t="s">
        <v>49</v>
      </c>
    </row>
    <row r="1478" spans="1:21">
      <c r="A1478" s="46" t="s">
        <v>758</v>
      </c>
      <c r="B1478" s="46" t="s">
        <v>175</v>
      </c>
      <c r="C1478" s="46" t="s">
        <v>666</v>
      </c>
      <c r="D1478" s="46">
        <v>1</v>
      </c>
      <c r="E1478" s="46">
        <v>0</v>
      </c>
      <c r="F1478" s="46" t="s">
        <v>721</v>
      </c>
      <c r="G1478" s="46" t="s">
        <v>1305</v>
      </c>
      <c r="H1478" s="46" t="s">
        <v>4278</v>
      </c>
      <c r="I1478" s="46" t="str">
        <f ca="1">IFERROR(__xludf.DUMMYFUNCTION("CONCAT(A1478,REGEXREPLACE(H1478,"".*_L0"",""_L0""))"),"HC_BN1730_MTG_snRNAseq_rep1_L002_I1_001.fastq.gz")</f>
        <v>HC_BN1730_MTG_snRNAseq_rep1_L002_I1_001.fastq.gz</v>
      </c>
      <c r="J1478" s="46" t="str">
        <f t="shared" si="5"/>
        <v>/data/neurogen/ASAP/scRNAseq/data/batch30_ASAP_snRNA-seq_*/Raw_Data_and_Processing/cellranger_processing/cellranger_fastqs/outs/fastq_path/H*/BN1730_S3_L002_I1_001.fastq.gz</v>
      </c>
      <c r="K1478" s="46" t="s">
        <v>1323</v>
      </c>
      <c r="L1478" s="46" t="s">
        <v>4279</v>
      </c>
      <c r="M1478" s="46" t="s">
        <v>1309</v>
      </c>
      <c r="N1478" s="46" t="s">
        <v>1310</v>
      </c>
      <c r="O1478" s="46" t="s">
        <v>1311</v>
      </c>
      <c r="P1478" s="46" t="s">
        <v>1312</v>
      </c>
      <c r="Q1478" s="46" t="s">
        <v>31</v>
      </c>
      <c r="R1478" s="46" t="s">
        <v>31</v>
      </c>
      <c r="S1478" s="46" t="s">
        <v>31</v>
      </c>
      <c r="T1478" s="46" t="s">
        <v>31</v>
      </c>
      <c r="U1478" s="46" t="s">
        <v>49</v>
      </c>
    </row>
    <row r="1479" spans="1:21">
      <c r="A1479" s="46" t="s">
        <v>758</v>
      </c>
      <c r="B1479" s="46" t="s">
        <v>175</v>
      </c>
      <c r="C1479" s="46" t="s">
        <v>666</v>
      </c>
      <c r="D1479" s="46">
        <v>1</v>
      </c>
      <c r="E1479" s="46">
        <v>0</v>
      </c>
      <c r="F1479" s="46" t="s">
        <v>721</v>
      </c>
      <c r="G1479" s="46" t="s">
        <v>1305</v>
      </c>
      <c r="H1479" s="46" t="s">
        <v>4280</v>
      </c>
      <c r="I1479" s="46" t="str">
        <f ca="1">IFERROR(__xludf.DUMMYFUNCTION("CONCAT(A1479,REGEXREPLACE(H1479,"".*_L0"",""_L0""))"),"HC_BN1730_MTG_snRNAseq_rep1_L002_I2_001.fastq.gz")</f>
        <v>HC_BN1730_MTG_snRNAseq_rep1_L002_I2_001.fastq.gz</v>
      </c>
      <c r="J1479" s="46" t="str">
        <f t="shared" si="5"/>
        <v>/data/neurogen/ASAP/scRNAseq/data/batch30_ASAP_snRNA-seq_*/Raw_Data_and_Processing/cellranger_processing/cellranger_fastqs/outs/fastq_path/H*/BN1730_S3_L002_I2_001.fastq.gz</v>
      </c>
      <c r="K1479" s="46" t="s">
        <v>1326</v>
      </c>
      <c r="L1479" s="46" t="s">
        <v>4281</v>
      </c>
      <c r="M1479" s="46" t="s">
        <v>1309</v>
      </c>
      <c r="N1479" s="46" t="s">
        <v>1310</v>
      </c>
      <c r="O1479" s="46" t="s">
        <v>1311</v>
      </c>
      <c r="P1479" s="46" t="s">
        <v>1312</v>
      </c>
      <c r="Q1479" s="46" t="s">
        <v>31</v>
      </c>
      <c r="R1479" s="46" t="s">
        <v>31</v>
      </c>
      <c r="S1479" s="46" t="s">
        <v>31</v>
      </c>
      <c r="T1479" s="46" t="s">
        <v>31</v>
      </c>
      <c r="U1479" s="46" t="s">
        <v>49</v>
      </c>
    </row>
    <row r="1480" spans="1:21">
      <c r="A1480" s="46" t="s">
        <v>758</v>
      </c>
      <c r="B1480" s="46" t="s">
        <v>175</v>
      </c>
      <c r="C1480" s="46" t="s">
        <v>666</v>
      </c>
      <c r="D1480" s="46">
        <v>1</v>
      </c>
      <c r="E1480" s="46">
        <v>0</v>
      </c>
      <c r="F1480" s="46" t="s">
        <v>721</v>
      </c>
      <c r="G1480" s="46" t="s">
        <v>1305</v>
      </c>
      <c r="H1480" s="46" t="s">
        <v>4282</v>
      </c>
      <c r="I1480" s="46" t="str">
        <f ca="1">IFERROR(__xludf.DUMMYFUNCTION("CONCAT(A1480,REGEXREPLACE(H1480,"".*_L0"",""_L0""))"),"HC_BN1730_MTG_snRNAseq_rep1_L002_R1_001.fastq.gz")</f>
        <v>HC_BN1730_MTG_snRNAseq_rep1_L002_R1_001.fastq.gz</v>
      </c>
      <c r="J1480" s="46" t="str">
        <f t="shared" si="5"/>
        <v>/data/neurogen/ASAP/scRNAseq/data/batch30_ASAP_snRNA-seq_*/Raw_Data_and_Processing/cellranger_processing/cellranger_fastqs/outs/fastq_path/H*/BN1730_S3_L002_R1_001.fastq.gz</v>
      </c>
      <c r="K1480" s="46" t="s">
        <v>1329</v>
      </c>
      <c r="L1480" s="46" t="s">
        <v>4283</v>
      </c>
      <c r="M1480" s="46" t="s">
        <v>1309</v>
      </c>
      <c r="N1480" s="46" t="s">
        <v>1310</v>
      </c>
      <c r="O1480" s="46" t="s">
        <v>1311</v>
      </c>
      <c r="P1480" s="46" t="s">
        <v>1312</v>
      </c>
      <c r="Q1480" s="46" t="s">
        <v>31</v>
      </c>
      <c r="R1480" s="46" t="s">
        <v>31</v>
      </c>
      <c r="S1480" s="46" t="s">
        <v>31</v>
      </c>
      <c r="T1480" s="46" t="s">
        <v>31</v>
      </c>
      <c r="U1480" s="46" t="s">
        <v>49</v>
      </c>
    </row>
    <row r="1481" spans="1:21">
      <c r="A1481" s="46" t="s">
        <v>758</v>
      </c>
      <c r="B1481" s="46" t="s">
        <v>175</v>
      </c>
      <c r="C1481" s="46" t="s">
        <v>666</v>
      </c>
      <c r="D1481" s="46">
        <v>1</v>
      </c>
      <c r="E1481" s="46">
        <v>0</v>
      </c>
      <c r="F1481" s="46" t="s">
        <v>721</v>
      </c>
      <c r="G1481" s="46" t="s">
        <v>1305</v>
      </c>
      <c r="H1481" s="46" t="s">
        <v>4284</v>
      </c>
      <c r="I1481" s="46" t="str">
        <f ca="1">IFERROR(__xludf.DUMMYFUNCTION("CONCAT(A1481,REGEXREPLACE(H1481,"".*_L0"",""_L0""))"),"HC_BN1730_MTG_snRNAseq_rep1_L002_R2_001.fastq.gz")</f>
        <v>HC_BN1730_MTG_snRNAseq_rep1_L002_R2_001.fastq.gz</v>
      </c>
      <c r="J1481" s="46" t="str">
        <f t="shared" si="5"/>
        <v>/data/neurogen/ASAP/scRNAseq/data/batch30_ASAP_snRNA-seq_*/Raw_Data_and_Processing/cellranger_processing/cellranger_fastqs/outs/fastq_path/H*/BN1730_S3_L002_R2_001.fastq.gz</v>
      </c>
      <c r="K1481" s="46" t="s">
        <v>1332</v>
      </c>
      <c r="L1481" s="46" t="s">
        <v>4285</v>
      </c>
      <c r="M1481" s="46" t="s">
        <v>1309</v>
      </c>
      <c r="N1481" s="46" t="s">
        <v>1310</v>
      </c>
      <c r="O1481" s="46" t="s">
        <v>1311</v>
      </c>
      <c r="P1481" s="46" t="s">
        <v>1312</v>
      </c>
      <c r="Q1481" s="46" t="s">
        <v>31</v>
      </c>
      <c r="R1481" s="46" t="s">
        <v>31</v>
      </c>
      <c r="S1481" s="46" t="s">
        <v>31</v>
      </c>
      <c r="T1481" s="46" t="s">
        <v>31</v>
      </c>
      <c r="U1481" s="46" t="s">
        <v>49</v>
      </c>
    </row>
    <row r="1482" spans="1:21">
      <c r="A1482" s="46" t="s">
        <v>758</v>
      </c>
      <c r="B1482" s="46" t="s">
        <v>175</v>
      </c>
      <c r="C1482" s="46" t="s">
        <v>666</v>
      </c>
      <c r="D1482" s="46">
        <v>1</v>
      </c>
      <c r="E1482" s="46">
        <v>0</v>
      </c>
      <c r="F1482" s="46" t="s">
        <v>721</v>
      </c>
      <c r="G1482" s="46" t="s">
        <v>1305</v>
      </c>
      <c r="H1482" s="46" t="s">
        <v>4286</v>
      </c>
      <c r="I1482" s="46" t="str">
        <f ca="1">IFERROR(__xludf.DUMMYFUNCTION("CONCAT(A1482,REGEXREPLACE(H1482,"".*_L0"",""_L0""))"),"HC_BN1730_MTG_snRNAseq_rep1_L003_I1_001.fastq.gz")</f>
        <v>HC_BN1730_MTG_snRNAseq_rep1_L003_I1_001.fastq.gz</v>
      </c>
      <c r="J1482" s="46" t="str">
        <f t="shared" si="5"/>
        <v>/data/neurogen/ASAP/scRNAseq/data/batch30_ASAP_snRNA-seq_*/Raw_Data_and_Processing/cellranger_processing/cellranger_fastqs/outs/fastq_path/H*/BN1730_S3_L003_I1_001.fastq.gz</v>
      </c>
      <c r="K1482" s="46" t="s">
        <v>1335</v>
      </c>
      <c r="L1482" s="46" t="s">
        <v>4287</v>
      </c>
      <c r="M1482" s="46" t="s">
        <v>1309</v>
      </c>
      <c r="N1482" s="46" t="s">
        <v>1310</v>
      </c>
      <c r="O1482" s="46" t="s">
        <v>1311</v>
      </c>
      <c r="P1482" s="46" t="s">
        <v>1312</v>
      </c>
      <c r="Q1482" s="46" t="s">
        <v>31</v>
      </c>
      <c r="R1482" s="46" t="s">
        <v>31</v>
      </c>
      <c r="S1482" s="46" t="s">
        <v>31</v>
      </c>
      <c r="T1482" s="46" t="s">
        <v>31</v>
      </c>
      <c r="U1482" s="46" t="s">
        <v>49</v>
      </c>
    </row>
    <row r="1483" spans="1:21">
      <c r="A1483" s="46" t="s">
        <v>758</v>
      </c>
      <c r="B1483" s="46" t="s">
        <v>175</v>
      </c>
      <c r="C1483" s="46" t="s">
        <v>666</v>
      </c>
      <c r="D1483" s="46">
        <v>1</v>
      </c>
      <c r="E1483" s="46">
        <v>0</v>
      </c>
      <c r="F1483" s="46" t="s">
        <v>721</v>
      </c>
      <c r="G1483" s="46" t="s">
        <v>1305</v>
      </c>
      <c r="H1483" s="46" t="s">
        <v>4288</v>
      </c>
      <c r="I1483" s="46" t="str">
        <f ca="1">IFERROR(__xludf.DUMMYFUNCTION("CONCAT(A1483,REGEXREPLACE(H1483,"".*_L0"",""_L0""))"),"HC_BN1730_MTG_snRNAseq_rep1_L003_I2_001.fastq.gz")</f>
        <v>HC_BN1730_MTG_snRNAseq_rep1_L003_I2_001.fastq.gz</v>
      </c>
      <c r="J1483" s="46" t="str">
        <f t="shared" si="5"/>
        <v>/data/neurogen/ASAP/scRNAseq/data/batch30_ASAP_snRNA-seq_*/Raw_Data_and_Processing/cellranger_processing/cellranger_fastqs/outs/fastq_path/H*/BN1730_S3_L003_I2_001.fastq.gz</v>
      </c>
      <c r="K1483" s="46" t="s">
        <v>1338</v>
      </c>
      <c r="L1483" s="46" t="s">
        <v>4289</v>
      </c>
      <c r="M1483" s="46" t="s">
        <v>1309</v>
      </c>
      <c r="N1483" s="46" t="s">
        <v>1310</v>
      </c>
      <c r="O1483" s="46" t="s">
        <v>1311</v>
      </c>
      <c r="P1483" s="46" t="s">
        <v>1312</v>
      </c>
      <c r="Q1483" s="46" t="s">
        <v>31</v>
      </c>
      <c r="R1483" s="46" t="s">
        <v>31</v>
      </c>
      <c r="S1483" s="46" t="s">
        <v>31</v>
      </c>
      <c r="T1483" s="46" t="s">
        <v>31</v>
      </c>
      <c r="U1483" s="46" t="s">
        <v>49</v>
      </c>
    </row>
    <row r="1484" spans="1:21">
      <c r="A1484" s="46" t="s">
        <v>758</v>
      </c>
      <c r="B1484" s="46" t="s">
        <v>175</v>
      </c>
      <c r="C1484" s="46" t="s">
        <v>666</v>
      </c>
      <c r="D1484" s="46">
        <v>1</v>
      </c>
      <c r="E1484" s="46">
        <v>0</v>
      </c>
      <c r="F1484" s="46" t="s">
        <v>721</v>
      </c>
      <c r="G1484" s="46" t="s">
        <v>1305</v>
      </c>
      <c r="H1484" s="46" t="s">
        <v>4290</v>
      </c>
      <c r="I1484" s="46" t="str">
        <f ca="1">IFERROR(__xludf.DUMMYFUNCTION("CONCAT(A1484,REGEXREPLACE(H1484,"".*_L0"",""_L0""))"),"HC_BN1730_MTG_snRNAseq_rep1_L003_R1_001.fastq.gz")</f>
        <v>HC_BN1730_MTG_snRNAseq_rep1_L003_R1_001.fastq.gz</v>
      </c>
      <c r="J1484" s="46" t="str">
        <f t="shared" si="5"/>
        <v>/data/neurogen/ASAP/scRNAseq/data/batch30_ASAP_snRNA-seq_*/Raw_Data_and_Processing/cellranger_processing/cellranger_fastqs/outs/fastq_path/H*/BN1730_S3_L003_R1_001.fastq.gz</v>
      </c>
      <c r="K1484" s="46" t="s">
        <v>1341</v>
      </c>
      <c r="L1484" s="46" t="s">
        <v>4291</v>
      </c>
      <c r="M1484" s="46" t="s">
        <v>1309</v>
      </c>
      <c r="N1484" s="46" t="s">
        <v>1310</v>
      </c>
      <c r="O1484" s="46" t="s">
        <v>1311</v>
      </c>
      <c r="P1484" s="46" t="s">
        <v>1312</v>
      </c>
      <c r="Q1484" s="46" t="s">
        <v>31</v>
      </c>
      <c r="R1484" s="46" t="s">
        <v>31</v>
      </c>
      <c r="S1484" s="46" t="s">
        <v>31</v>
      </c>
      <c r="T1484" s="46" t="s">
        <v>31</v>
      </c>
      <c r="U1484" s="46" t="s">
        <v>49</v>
      </c>
    </row>
    <row r="1485" spans="1:21">
      <c r="A1485" s="46" t="s">
        <v>758</v>
      </c>
      <c r="B1485" s="46" t="s">
        <v>175</v>
      </c>
      <c r="C1485" s="46" t="s">
        <v>666</v>
      </c>
      <c r="D1485" s="46">
        <v>1</v>
      </c>
      <c r="E1485" s="46">
        <v>0</v>
      </c>
      <c r="F1485" s="46" t="s">
        <v>721</v>
      </c>
      <c r="G1485" s="46" t="s">
        <v>1305</v>
      </c>
      <c r="H1485" s="46" t="s">
        <v>4292</v>
      </c>
      <c r="I1485" s="46" t="str">
        <f ca="1">IFERROR(__xludf.DUMMYFUNCTION("CONCAT(A1485,REGEXREPLACE(H1485,"".*_L0"",""_L0""))"),"HC_BN1730_MTG_snRNAseq_rep1_L003_R2_001.fastq.gz")</f>
        <v>HC_BN1730_MTG_snRNAseq_rep1_L003_R2_001.fastq.gz</v>
      </c>
      <c r="J1485" s="46" t="str">
        <f t="shared" si="5"/>
        <v>/data/neurogen/ASAP/scRNAseq/data/batch30_ASAP_snRNA-seq_*/Raw_Data_and_Processing/cellranger_processing/cellranger_fastqs/outs/fastq_path/H*/BN1730_S3_L003_R2_001.fastq.gz</v>
      </c>
      <c r="K1485" s="46" t="s">
        <v>1344</v>
      </c>
      <c r="L1485" s="46" t="s">
        <v>4293</v>
      </c>
      <c r="M1485" s="46" t="s">
        <v>1309</v>
      </c>
      <c r="N1485" s="46" t="s">
        <v>1310</v>
      </c>
      <c r="O1485" s="46" t="s">
        <v>1311</v>
      </c>
      <c r="P1485" s="46" t="s">
        <v>1312</v>
      </c>
      <c r="Q1485" s="46" t="s">
        <v>31</v>
      </c>
      <c r="R1485" s="46" t="s">
        <v>31</v>
      </c>
      <c r="S1485" s="46" t="s">
        <v>31</v>
      </c>
      <c r="T1485" s="46" t="s">
        <v>31</v>
      </c>
      <c r="U1485" s="46" t="s">
        <v>49</v>
      </c>
    </row>
    <row r="1486" spans="1:21">
      <c r="A1486" s="46" t="s">
        <v>758</v>
      </c>
      <c r="B1486" s="46" t="s">
        <v>175</v>
      </c>
      <c r="C1486" s="46" t="s">
        <v>666</v>
      </c>
      <c r="D1486" s="46">
        <v>1</v>
      </c>
      <c r="E1486" s="46">
        <v>0</v>
      </c>
      <c r="F1486" s="46" t="s">
        <v>721</v>
      </c>
      <c r="G1486" s="46" t="s">
        <v>1305</v>
      </c>
      <c r="H1486" s="46" t="s">
        <v>4294</v>
      </c>
      <c r="I1486" s="46" t="str">
        <f ca="1">IFERROR(__xludf.DUMMYFUNCTION("CONCAT(A1486,REGEXREPLACE(H1486,"".*_L0"",""_L0""))"),"HC_BN1730_MTG_snRNAseq_rep1_L004_I1_001.fastq.gz")</f>
        <v>HC_BN1730_MTG_snRNAseq_rep1_L004_I1_001.fastq.gz</v>
      </c>
      <c r="J1486" s="46" t="str">
        <f t="shared" si="5"/>
        <v>/data/neurogen/ASAP/scRNAseq/data/batch30_ASAP_snRNA-seq_*/Raw_Data_and_Processing/cellranger_processing/cellranger_fastqs/outs/fastq_path/H*/BN1730_S3_L004_I1_001.fastq.gz</v>
      </c>
      <c r="K1486" s="46" t="s">
        <v>1347</v>
      </c>
      <c r="L1486" s="46" t="s">
        <v>4295</v>
      </c>
      <c r="M1486" s="46" t="s">
        <v>1309</v>
      </c>
      <c r="N1486" s="46" t="s">
        <v>1310</v>
      </c>
      <c r="O1486" s="46" t="s">
        <v>1311</v>
      </c>
      <c r="P1486" s="46" t="s">
        <v>1312</v>
      </c>
      <c r="Q1486" s="46" t="s">
        <v>31</v>
      </c>
      <c r="R1486" s="46" t="s">
        <v>31</v>
      </c>
      <c r="S1486" s="46" t="s">
        <v>31</v>
      </c>
      <c r="T1486" s="46" t="s">
        <v>31</v>
      </c>
      <c r="U1486" s="46" t="s">
        <v>49</v>
      </c>
    </row>
    <row r="1487" spans="1:21">
      <c r="A1487" s="46" t="s">
        <v>758</v>
      </c>
      <c r="B1487" s="46" t="s">
        <v>175</v>
      </c>
      <c r="C1487" s="46" t="s">
        <v>666</v>
      </c>
      <c r="D1487" s="46">
        <v>1</v>
      </c>
      <c r="E1487" s="46">
        <v>0</v>
      </c>
      <c r="F1487" s="46" t="s">
        <v>721</v>
      </c>
      <c r="G1487" s="46" t="s">
        <v>1305</v>
      </c>
      <c r="H1487" s="46" t="s">
        <v>4296</v>
      </c>
      <c r="I1487" s="46" t="str">
        <f ca="1">IFERROR(__xludf.DUMMYFUNCTION("CONCAT(A1487,REGEXREPLACE(H1487,"".*_L0"",""_L0""))"),"HC_BN1730_MTG_snRNAseq_rep1_L004_I2_001.fastq.gz")</f>
        <v>HC_BN1730_MTG_snRNAseq_rep1_L004_I2_001.fastq.gz</v>
      </c>
      <c r="J1487" s="46" t="str">
        <f t="shared" si="5"/>
        <v>/data/neurogen/ASAP/scRNAseq/data/batch30_ASAP_snRNA-seq_*/Raw_Data_and_Processing/cellranger_processing/cellranger_fastqs/outs/fastq_path/H*/BN1730_S3_L004_I2_001.fastq.gz</v>
      </c>
      <c r="K1487" s="46" t="s">
        <v>1350</v>
      </c>
      <c r="L1487" s="46" t="s">
        <v>4297</v>
      </c>
      <c r="M1487" s="46" t="s">
        <v>1309</v>
      </c>
      <c r="N1487" s="46" t="s">
        <v>1310</v>
      </c>
      <c r="O1487" s="46" t="s">
        <v>1311</v>
      </c>
      <c r="P1487" s="46" t="s">
        <v>1312</v>
      </c>
      <c r="Q1487" s="46" t="s">
        <v>31</v>
      </c>
      <c r="R1487" s="46" t="s">
        <v>31</v>
      </c>
      <c r="S1487" s="46" t="s">
        <v>31</v>
      </c>
      <c r="T1487" s="46" t="s">
        <v>31</v>
      </c>
      <c r="U1487" s="46" t="s">
        <v>49</v>
      </c>
    </row>
    <row r="1488" spans="1:21">
      <c r="A1488" s="46" t="s">
        <v>758</v>
      </c>
      <c r="B1488" s="46" t="s">
        <v>175</v>
      </c>
      <c r="C1488" s="46" t="s">
        <v>666</v>
      </c>
      <c r="D1488" s="46">
        <v>1</v>
      </c>
      <c r="E1488" s="46">
        <v>0</v>
      </c>
      <c r="F1488" s="46" t="s">
        <v>721</v>
      </c>
      <c r="G1488" s="46" t="s">
        <v>1305</v>
      </c>
      <c r="H1488" s="46" t="s">
        <v>4298</v>
      </c>
      <c r="I1488" s="46" t="str">
        <f ca="1">IFERROR(__xludf.DUMMYFUNCTION("CONCAT(A1488,REGEXREPLACE(H1488,"".*_L0"",""_L0""))"),"HC_BN1730_MTG_snRNAseq_rep1_L004_R1_001.fastq.gz")</f>
        <v>HC_BN1730_MTG_snRNAseq_rep1_L004_R1_001.fastq.gz</v>
      </c>
      <c r="J1488" s="46" t="str">
        <f t="shared" si="5"/>
        <v>/data/neurogen/ASAP/scRNAseq/data/batch30_ASAP_snRNA-seq_*/Raw_Data_and_Processing/cellranger_processing/cellranger_fastqs/outs/fastq_path/H*/BN1730_S3_L004_R1_001.fastq.gz</v>
      </c>
      <c r="K1488" s="46" t="s">
        <v>1353</v>
      </c>
      <c r="L1488" s="46" t="s">
        <v>4299</v>
      </c>
      <c r="M1488" s="46" t="s">
        <v>1309</v>
      </c>
      <c r="N1488" s="46" t="s">
        <v>1310</v>
      </c>
      <c r="O1488" s="46" t="s">
        <v>1311</v>
      </c>
      <c r="P1488" s="46" t="s">
        <v>1312</v>
      </c>
      <c r="Q1488" s="46" t="s">
        <v>31</v>
      </c>
      <c r="R1488" s="46" t="s">
        <v>31</v>
      </c>
      <c r="S1488" s="46" t="s">
        <v>31</v>
      </c>
      <c r="T1488" s="46" t="s">
        <v>31</v>
      </c>
      <c r="U1488" s="46" t="s">
        <v>49</v>
      </c>
    </row>
    <row r="1489" spans="1:21">
      <c r="A1489" s="46" t="s">
        <v>758</v>
      </c>
      <c r="B1489" s="46" t="s">
        <v>175</v>
      </c>
      <c r="C1489" s="46" t="s">
        <v>666</v>
      </c>
      <c r="D1489" s="46">
        <v>1</v>
      </c>
      <c r="E1489" s="46">
        <v>0</v>
      </c>
      <c r="F1489" s="46" t="s">
        <v>721</v>
      </c>
      <c r="G1489" s="46" t="s">
        <v>1305</v>
      </c>
      <c r="H1489" s="46" t="s">
        <v>4300</v>
      </c>
      <c r="I1489" s="46" t="str">
        <f ca="1">IFERROR(__xludf.DUMMYFUNCTION("CONCAT(A1489,REGEXREPLACE(H1489,"".*_L0"",""_L0""))"),"HC_BN1730_MTG_snRNAseq_rep1_L004_R2_001.fastq.gz")</f>
        <v>HC_BN1730_MTG_snRNAseq_rep1_L004_R2_001.fastq.gz</v>
      </c>
      <c r="J1489" s="46" t="str">
        <f t="shared" si="5"/>
        <v>/data/neurogen/ASAP/scRNAseq/data/batch30_ASAP_snRNA-seq_*/Raw_Data_and_Processing/cellranger_processing/cellranger_fastqs/outs/fastq_path/H*/BN1730_S3_L004_R2_001.fastq.gz</v>
      </c>
      <c r="K1489" s="46" t="s">
        <v>1356</v>
      </c>
      <c r="L1489" s="46" t="s">
        <v>4301</v>
      </c>
      <c r="M1489" s="46" t="s">
        <v>1309</v>
      </c>
      <c r="N1489" s="46" t="s">
        <v>1310</v>
      </c>
      <c r="O1489" s="46" t="s">
        <v>1311</v>
      </c>
      <c r="P1489" s="46" t="s">
        <v>1312</v>
      </c>
      <c r="Q1489" s="46" t="s">
        <v>31</v>
      </c>
      <c r="R1489" s="46" t="s">
        <v>31</v>
      </c>
      <c r="S1489" s="46" t="s">
        <v>31</v>
      </c>
      <c r="T1489" s="46" t="s">
        <v>31</v>
      </c>
      <c r="U1489" s="46" t="s">
        <v>49</v>
      </c>
    </row>
    <row r="1490" spans="1:21">
      <c r="A1490" s="46" t="s">
        <v>801</v>
      </c>
      <c r="B1490" s="46" t="s">
        <v>245</v>
      </c>
      <c r="C1490" s="46" t="s">
        <v>666</v>
      </c>
      <c r="D1490" s="46">
        <v>1</v>
      </c>
      <c r="E1490" s="46">
        <v>0</v>
      </c>
      <c r="F1490" s="46" t="s">
        <v>721</v>
      </c>
      <c r="G1490" s="46" t="s">
        <v>1305</v>
      </c>
      <c r="H1490" s="46" t="s">
        <v>4302</v>
      </c>
      <c r="I1490" s="46" t="str">
        <f ca="1">IFERROR(__xludf.DUMMYFUNCTION("CONCAT(A1490,REGEXREPLACE(H1490,"".*_L0"",""_L0""))"),"HC_BN9944_MTG_snRNAseq_rep1_L001_I1_001.fastq.gz")</f>
        <v>HC_BN9944_MTG_snRNAseq_rep1_L001_I1_001.fastq.gz</v>
      </c>
      <c r="J1490" s="46" t="str">
        <f t="shared" si="5"/>
        <v>/data/neurogen/ASAP/scRNAseq/data/batch30_ASAP_snRNA-seq_*/Raw_Data_and_Processing/cellranger_processing/cellranger_fastqs/outs/fastq_path/H*/BN9944_S1_L001_I1_001.fastq.gz</v>
      </c>
      <c r="K1490" s="46" t="s">
        <v>1307</v>
      </c>
      <c r="L1490" s="46" t="s">
        <v>4303</v>
      </c>
      <c r="M1490" s="46" t="s">
        <v>1309</v>
      </c>
      <c r="N1490" s="46" t="s">
        <v>1310</v>
      </c>
      <c r="O1490" s="46" t="s">
        <v>1311</v>
      </c>
      <c r="P1490" s="46" t="s">
        <v>1312</v>
      </c>
      <c r="Q1490" s="46" t="s">
        <v>31</v>
      </c>
      <c r="R1490" s="46" t="s">
        <v>31</v>
      </c>
      <c r="S1490" s="46" t="s">
        <v>31</v>
      </c>
      <c r="T1490" s="46" t="s">
        <v>31</v>
      </c>
      <c r="U1490" s="46" t="s">
        <v>49</v>
      </c>
    </row>
    <row r="1491" spans="1:21">
      <c r="A1491" s="46" t="s">
        <v>801</v>
      </c>
      <c r="B1491" s="46" t="s">
        <v>245</v>
      </c>
      <c r="C1491" s="46" t="s">
        <v>666</v>
      </c>
      <c r="D1491" s="46">
        <v>1</v>
      </c>
      <c r="E1491" s="46">
        <v>0</v>
      </c>
      <c r="F1491" s="46" t="s">
        <v>721</v>
      </c>
      <c r="G1491" s="46" t="s">
        <v>1305</v>
      </c>
      <c r="H1491" s="46" t="s">
        <v>4304</v>
      </c>
      <c r="I1491" s="46" t="str">
        <f ca="1">IFERROR(__xludf.DUMMYFUNCTION("CONCAT(A1491,REGEXREPLACE(H1491,"".*_L0"",""_L0""))"),"HC_BN9944_MTG_snRNAseq_rep1_L001_I2_001.fastq.gz")</f>
        <v>HC_BN9944_MTG_snRNAseq_rep1_L001_I2_001.fastq.gz</v>
      </c>
      <c r="J1491" s="46" t="str">
        <f t="shared" si="5"/>
        <v>/data/neurogen/ASAP/scRNAseq/data/batch30_ASAP_snRNA-seq_*/Raw_Data_and_Processing/cellranger_processing/cellranger_fastqs/outs/fastq_path/H*/BN9944_S1_L001_I2_001.fastq.gz</v>
      </c>
      <c r="K1491" s="46" t="s">
        <v>1314</v>
      </c>
      <c r="L1491" s="46" t="s">
        <v>4305</v>
      </c>
      <c r="M1491" s="46" t="s">
        <v>1309</v>
      </c>
      <c r="N1491" s="46" t="s">
        <v>1310</v>
      </c>
      <c r="O1491" s="46" t="s">
        <v>1311</v>
      </c>
      <c r="P1491" s="46" t="s">
        <v>1312</v>
      </c>
      <c r="Q1491" s="46" t="s">
        <v>31</v>
      </c>
      <c r="R1491" s="46" t="s">
        <v>31</v>
      </c>
      <c r="S1491" s="46" t="s">
        <v>31</v>
      </c>
      <c r="T1491" s="46" t="s">
        <v>31</v>
      </c>
      <c r="U1491" s="46" t="s">
        <v>49</v>
      </c>
    </row>
    <row r="1492" spans="1:21">
      <c r="A1492" s="46" t="s">
        <v>801</v>
      </c>
      <c r="B1492" s="46" t="s">
        <v>245</v>
      </c>
      <c r="C1492" s="46" t="s">
        <v>666</v>
      </c>
      <c r="D1492" s="46">
        <v>1</v>
      </c>
      <c r="E1492" s="46">
        <v>0</v>
      </c>
      <c r="F1492" s="46" t="s">
        <v>721</v>
      </c>
      <c r="G1492" s="46" t="s">
        <v>1305</v>
      </c>
      <c r="H1492" s="46" t="s">
        <v>4306</v>
      </c>
      <c r="I1492" s="46" t="str">
        <f ca="1">IFERROR(__xludf.DUMMYFUNCTION("CONCAT(A1492,REGEXREPLACE(H1492,"".*_L0"",""_L0""))"),"HC_BN9944_MTG_snRNAseq_rep1_L001_R1_001.fastq.gz")</f>
        <v>HC_BN9944_MTG_snRNAseq_rep1_L001_R1_001.fastq.gz</v>
      </c>
      <c r="J1492" s="46" t="str">
        <f t="shared" si="5"/>
        <v>/data/neurogen/ASAP/scRNAseq/data/batch30_ASAP_snRNA-seq_*/Raw_Data_and_Processing/cellranger_processing/cellranger_fastqs/outs/fastq_path/H*/BN9944_S1_L001_R1_001.fastq.gz</v>
      </c>
      <c r="K1492" s="46" t="s">
        <v>1317</v>
      </c>
      <c r="L1492" s="46" t="s">
        <v>4307</v>
      </c>
      <c r="M1492" s="46" t="s">
        <v>1309</v>
      </c>
      <c r="N1492" s="46" t="s">
        <v>1310</v>
      </c>
      <c r="O1492" s="46" t="s">
        <v>1311</v>
      </c>
      <c r="P1492" s="46" t="s">
        <v>1312</v>
      </c>
      <c r="Q1492" s="46" t="s">
        <v>31</v>
      </c>
      <c r="R1492" s="46" t="s">
        <v>31</v>
      </c>
      <c r="S1492" s="46" t="s">
        <v>31</v>
      </c>
      <c r="T1492" s="46" t="s">
        <v>31</v>
      </c>
      <c r="U1492" s="46" t="s">
        <v>49</v>
      </c>
    </row>
    <row r="1493" spans="1:21">
      <c r="A1493" s="46" t="s">
        <v>801</v>
      </c>
      <c r="B1493" s="46" t="s">
        <v>245</v>
      </c>
      <c r="C1493" s="46" t="s">
        <v>666</v>
      </c>
      <c r="D1493" s="46">
        <v>1</v>
      </c>
      <c r="E1493" s="46">
        <v>0</v>
      </c>
      <c r="F1493" s="46" t="s">
        <v>721</v>
      </c>
      <c r="G1493" s="46" t="s">
        <v>1305</v>
      </c>
      <c r="H1493" s="46" t="s">
        <v>4308</v>
      </c>
      <c r="I1493" s="46" t="str">
        <f ca="1">IFERROR(__xludf.DUMMYFUNCTION("CONCAT(A1493,REGEXREPLACE(H1493,"".*_L0"",""_L0""))"),"HC_BN9944_MTG_snRNAseq_rep1_L001_R2_001.fastq.gz")</f>
        <v>HC_BN9944_MTG_snRNAseq_rep1_L001_R2_001.fastq.gz</v>
      </c>
      <c r="J1493" s="46" t="str">
        <f t="shared" si="5"/>
        <v>/data/neurogen/ASAP/scRNAseq/data/batch30_ASAP_snRNA-seq_*/Raw_Data_and_Processing/cellranger_processing/cellranger_fastqs/outs/fastq_path/H*/BN9944_S1_L001_R2_001.fastq.gz</v>
      </c>
      <c r="K1493" s="46" t="s">
        <v>1320</v>
      </c>
      <c r="L1493" s="46" t="s">
        <v>4309</v>
      </c>
      <c r="M1493" s="46" t="s">
        <v>1309</v>
      </c>
      <c r="N1493" s="46" t="s">
        <v>1310</v>
      </c>
      <c r="O1493" s="46" t="s">
        <v>1311</v>
      </c>
      <c r="P1493" s="46" t="s">
        <v>1312</v>
      </c>
      <c r="Q1493" s="46" t="s">
        <v>31</v>
      </c>
      <c r="R1493" s="46" t="s">
        <v>31</v>
      </c>
      <c r="S1493" s="46" t="s">
        <v>31</v>
      </c>
      <c r="T1493" s="46" t="s">
        <v>31</v>
      </c>
      <c r="U1493" s="46" t="s">
        <v>49</v>
      </c>
    </row>
    <row r="1494" spans="1:21">
      <c r="A1494" s="46" t="s">
        <v>801</v>
      </c>
      <c r="B1494" s="46" t="s">
        <v>245</v>
      </c>
      <c r="C1494" s="46" t="s">
        <v>666</v>
      </c>
      <c r="D1494" s="46">
        <v>1</v>
      </c>
      <c r="E1494" s="46">
        <v>0</v>
      </c>
      <c r="F1494" s="46" t="s">
        <v>721</v>
      </c>
      <c r="G1494" s="46" t="s">
        <v>1305</v>
      </c>
      <c r="H1494" s="46" t="s">
        <v>4310</v>
      </c>
      <c r="I1494" s="46" t="str">
        <f ca="1">IFERROR(__xludf.DUMMYFUNCTION("CONCAT(A1494,REGEXREPLACE(H1494,"".*_L0"",""_L0""))"),"HC_BN9944_MTG_snRNAseq_rep1_L002_I1_001.fastq.gz")</f>
        <v>HC_BN9944_MTG_snRNAseq_rep1_L002_I1_001.fastq.gz</v>
      </c>
      <c r="J1494" s="46" t="str">
        <f t="shared" si="5"/>
        <v>/data/neurogen/ASAP/scRNAseq/data/batch30_ASAP_snRNA-seq_*/Raw_Data_and_Processing/cellranger_processing/cellranger_fastqs/outs/fastq_path/H*/BN9944_S1_L002_I1_001.fastq.gz</v>
      </c>
      <c r="K1494" s="46" t="s">
        <v>1323</v>
      </c>
      <c r="L1494" s="46" t="s">
        <v>4311</v>
      </c>
      <c r="M1494" s="46" t="s">
        <v>1309</v>
      </c>
      <c r="N1494" s="46" t="s">
        <v>1310</v>
      </c>
      <c r="O1494" s="46" t="s">
        <v>1311</v>
      </c>
      <c r="P1494" s="46" t="s">
        <v>1312</v>
      </c>
      <c r="Q1494" s="46" t="s">
        <v>31</v>
      </c>
      <c r="R1494" s="46" t="s">
        <v>31</v>
      </c>
      <c r="S1494" s="46" t="s">
        <v>31</v>
      </c>
      <c r="T1494" s="46" t="s">
        <v>31</v>
      </c>
      <c r="U1494" s="46" t="s">
        <v>49</v>
      </c>
    </row>
    <row r="1495" spans="1:21">
      <c r="A1495" s="46" t="s">
        <v>801</v>
      </c>
      <c r="B1495" s="46" t="s">
        <v>245</v>
      </c>
      <c r="C1495" s="46" t="s">
        <v>666</v>
      </c>
      <c r="D1495" s="46">
        <v>1</v>
      </c>
      <c r="E1495" s="46">
        <v>0</v>
      </c>
      <c r="F1495" s="46" t="s">
        <v>721</v>
      </c>
      <c r="G1495" s="46" t="s">
        <v>1305</v>
      </c>
      <c r="H1495" s="46" t="s">
        <v>4312</v>
      </c>
      <c r="I1495" s="46" t="str">
        <f ca="1">IFERROR(__xludf.DUMMYFUNCTION("CONCAT(A1495,REGEXREPLACE(H1495,"".*_L0"",""_L0""))"),"HC_BN9944_MTG_snRNAseq_rep1_L002_I2_001.fastq.gz")</f>
        <v>HC_BN9944_MTG_snRNAseq_rep1_L002_I2_001.fastq.gz</v>
      </c>
      <c r="J1495" s="46" t="str">
        <f t="shared" si="5"/>
        <v>/data/neurogen/ASAP/scRNAseq/data/batch30_ASAP_snRNA-seq_*/Raw_Data_and_Processing/cellranger_processing/cellranger_fastqs/outs/fastq_path/H*/BN9944_S1_L002_I2_001.fastq.gz</v>
      </c>
      <c r="K1495" s="46" t="s">
        <v>1326</v>
      </c>
      <c r="L1495" s="46" t="s">
        <v>4313</v>
      </c>
      <c r="M1495" s="46" t="s">
        <v>1309</v>
      </c>
      <c r="N1495" s="46" t="s">
        <v>1310</v>
      </c>
      <c r="O1495" s="46" t="s">
        <v>1311</v>
      </c>
      <c r="P1495" s="46" t="s">
        <v>1312</v>
      </c>
      <c r="Q1495" s="46" t="s">
        <v>31</v>
      </c>
      <c r="R1495" s="46" t="s">
        <v>31</v>
      </c>
      <c r="S1495" s="46" t="s">
        <v>31</v>
      </c>
      <c r="T1495" s="46" t="s">
        <v>31</v>
      </c>
      <c r="U1495" s="46" t="s">
        <v>49</v>
      </c>
    </row>
    <row r="1496" spans="1:21">
      <c r="A1496" s="46" t="s">
        <v>801</v>
      </c>
      <c r="B1496" s="46" t="s">
        <v>245</v>
      </c>
      <c r="C1496" s="46" t="s">
        <v>666</v>
      </c>
      <c r="D1496" s="46">
        <v>1</v>
      </c>
      <c r="E1496" s="46">
        <v>0</v>
      </c>
      <c r="F1496" s="46" t="s">
        <v>721</v>
      </c>
      <c r="G1496" s="46" t="s">
        <v>1305</v>
      </c>
      <c r="H1496" s="46" t="s">
        <v>4314</v>
      </c>
      <c r="I1496" s="46" t="str">
        <f ca="1">IFERROR(__xludf.DUMMYFUNCTION("CONCAT(A1496,REGEXREPLACE(H1496,"".*_L0"",""_L0""))"),"HC_BN9944_MTG_snRNAseq_rep1_L002_R1_001.fastq.gz")</f>
        <v>HC_BN9944_MTG_snRNAseq_rep1_L002_R1_001.fastq.gz</v>
      </c>
      <c r="J1496" s="46" t="str">
        <f t="shared" si="5"/>
        <v>/data/neurogen/ASAP/scRNAseq/data/batch30_ASAP_snRNA-seq_*/Raw_Data_and_Processing/cellranger_processing/cellranger_fastqs/outs/fastq_path/H*/BN9944_S1_L002_R1_001.fastq.gz</v>
      </c>
      <c r="K1496" s="46" t="s">
        <v>1329</v>
      </c>
      <c r="L1496" s="46" t="s">
        <v>4315</v>
      </c>
      <c r="M1496" s="46" t="s">
        <v>1309</v>
      </c>
      <c r="N1496" s="46" t="s">
        <v>1310</v>
      </c>
      <c r="O1496" s="46" t="s">
        <v>1311</v>
      </c>
      <c r="P1496" s="46" t="s">
        <v>1312</v>
      </c>
      <c r="Q1496" s="46" t="s">
        <v>31</v>
      </c>
      <c r="R1496" s="46" t="s">
        <v>31</v>
      </c>
      <c r="S1496" s="46" t="s">
        <v>31</v>
      </c>
      <c r="T1496" s="46" t="s">
        <v>31</v>
      </c>
      <c r="U1496" s="46" t="s">
        <v>49</v>
      </c>
    </row>
    <row r="1497" spans="1:21">
      <c r="A1497" s="46" t="s">
        <v>801</v>
      </c>
      <c r="B1497" s="46" t="s">
        <v>245</v>
      </c>
      <c r="C1497" s="46" t="s">
        <v>666</v>
      </c>
      <c r="D1497" s="46">
        <v>1</v>
      </c>
      <c r="E1497" s="46">
        <v>0</v>
      </c>
      <c r="F1497" s="46" t="s">
        <v>721</v>
      </c>
      <c r="G1497" s="46" t="s">
        <v>1305</v>
      </c>
      <c r="H1497" s="46" t="s">
        <v>4316</v>
      </c>
      <c r="I1497" s="46" t="str">
        <f ca="1">IFERROR(__xludf.DUMMYFUNCTION("CONCAT(A1497,REGEXREPLACE(H1497,"".*_L0"",""_L0""))"),"HC_BN9944_MTG_snRNAseq_rep1_L002_R2_001.fastq.gz")</f>
        <v>HC_BN9944_MTG_snRNAseq_rep1_L002_R2_001.fastq.gz</v>
      </c>
      <c r="J1497" s="46" t="str">
        <f t="shared" si="5"/>
        <v>/data/neurogen/ASAP/scRNAseq/data/batch30_ASAP_snRNA-seq_*/Raw_Data_and_Processing/cellranger_processing/cellranger_fastqs/outs/fastq_path/H*/BN9944_S1_L002_R2_001.fastq.gz</v>
      </c>
      <c r="K1497" s="46" t="s">
        <v>1332</v>
      </c>
      <c r="L1497" s="46" t="s">
        <v>4317</v>
      </c>
      <c r="M1497" s="46" t="s">
        <v>1309</v>
      </c>
      <c r="N1497" s="46" t="s">
        <v>1310</v>
      </c>
      <c r="O1497" s="46" t="s">
        <v>1311</v>
      </c>
      <c r="P1497" s="46" t="s">
        <v>1312</v>
      </c>
      <c r="Q1497" s="46" t="s">
        <v>31</v>
      </c>
      <c r="R1497" s="46" t="s">
        <v>31</v>
      </c>
      <c r="S1497" s="46" t="s">
        <v>31</v>
      </c>
      <c r="T1497" s="46" t="s">
        <v>31</v>
      </c>
      <c r="U1497" s="46" t="s">
        <v>49</v>
      </c>
    </row>
    <row r="1498" spans="1:21">
      <c r="A1498" s="46" t="s">
        <v>801</v>
      </c>
      <c r="B1498" s="46" t="s">
        <v>245</v>
      </c>
      <c r="C1498" s="46" t="s">
        <v>666</v>
      </c>
      <c r="D1498" s="46">
        <v>1</v>
      </c>
      <c r="E1498" s="46">
        <v>0</v>
      </c>
      <c r="F1498" s="46" t="s">
        <v>721</v>
      </c>
      <c r="G1498" s="46" t="s">
        <v>1305</v>
      </c>
      <c r="H1498" s="46" t="s">
        <v>4318</v>
      </c>
      <c r="I1498" s="46" t="str">
        <f ca="1">IFERROR(__xludf.DUMMYFUNCTION("CONCAT(A1498,REGEXREPLACE(H1498,"".*_L0"",""_L0""))"),"HC_BN9944_MTG_snRNAseq_rep1_L003_I1_001.fastq.gz")</f>
        <v>HC_BN9944_MTG_snRNAseq_rep1_L003_I1_001.fastq.gz</v>
      </c>
      <c r="J1498" s="46" t="str">
        <f t="shared" si="5"/>
        <v>/data/neurogen/ASAP/scRNAseq/data/batch30_ASAP_snRNA-seq_*/Raw_Data_and_Processing/cellranger_processing/cellranger_fastqs/outs/fastq_path/H*/BN9944_S1_L003_I1_001.fastq.gz</v>
      </c>
      <c r="K1498" s="46" t="s">
        <v>1335</v>
      </c>
      <c r="L1498" s="46" t="s">
        <v>4319</v>
      </c>
      <c r="M1498" s="46" t="s">
        <v>1309</v>
      </c>
      <c r="N1498" s="46" t="s">
        <v>1310</v>
      </c>
      <c r="O1498" s="46" t="s">
        <v>1311</v>
      </c>
      <c r="P1498" s="46" t="s">
        <v>1312</v>
      </c>
      <c r="Q1498" s="46" t="s">
        <v>31</v>
      </c>
      <c r="R1498" s="46" t="s">
        <v>31</v>
      </c>
      <c r="S1498" s="46" t="s">
        <v>31</v>
      </c>
      <c r="T1498" s="46" t="s">
        <v>31</v>
      </c>
      <c r="U1498" s="46" t="s">
        <v>49</v>
      </c>
    </row>
    <row r="1499" spans="1:21">
      <c r="A1499" s="46" t="s">
        <v>801</v>
      </c>
      <c r="B1499" s="46" t="s">
        <v>245</v>
      </c>
      <c r="C1499" s="46" t="s">
        <v>666</v>
      </c>
      <c r="D1499" s="46">
        <v>1</v>
      </c>
      <c r="E1499" s="46">
        <v>0</v>
      </c>
      <c r="F1499" s="46" t="s">
        <v>721</v>
      </c>
      <c r="G1499" s="46" t="s">
        <v>1305</v>
      </c>
      <c r="H1499" s="46" t="s">
        <v>4320</v>
      </c>
      <c r="I1499" s="46" t="str">
        <f ca="1">IFERROR(__xludf.DUMMYFUNCTION("CONCAT(A1499,REGEXREPLACE(H1499,"".*_L0"",""_L0""))"),"HC_BN9944_MTG_snRNAseq_rep1_L003_I2_001.fastq.gz")</f>
        <v>HC_BN9944_MTG_snRNAseq_rep1_L003_I2_001.fastq.gz</v>
      </c>
      <c r="J1499" s="46" t="str">
        <f t="shared" si="5"/>
        <v>/data/neurogen/ASAP/scRNAseq/data/batch30_ASAP_snRNA-seq_*/Raw_Data_and_Processing/cellranger_processing/cellranger_fastqs/outs/fastq_path/H*/BN9944_S1_L003_I2_001.fastq.gz</v>
      </c>
      <c r="K1499" s="46" t="s">
        <v>1338</v>
      </c>
      <c r="L1499" s="47" t="s">
        <v>4321</v>
      </c>
      <c r="M1499" s="46" t="s">
        <v>1309</v>
      </c>
      <c r="N1499" s="46" t="s">
        <v>1310</v>
      </c>
      <c r="O1499" s="46" t="s">
        <v>1311</v>
      </c>
      <c r="P1499" s="46" t="s">
        <v>1312</v>
      </c>
      <c r="Q1499" s="46" t="s">
        <v>31</v>
      </c>
      <c r="R1499" s="46" t="s">
        <v>31</v>
      </c>
      <c r="S1499" s="46" t="s">
        <v>31</v>
      </c>
      <c r="T1499" s="46" t="s">
        <v>31</v>
      </c>
      <c r="U1499" s="46" t="s">
        <v>49</v>
      </c>
    </row>
    <row r="1500" spans="1:21">
      <c r="A1500" s="46" t="s">
        <v>801</v>
      </c>
      <c r="B1500" s="46" t="s">
        <v>245</v>
      </c>
      <c r="C1500" s="46" t="s">
        <v>666</v>
      </c>
      <c r="D1500" s="46">
        <v>1</v>
      </c>
      <c r="E1500" s="46">
        <v>0</v>
      </c>
      <c r="F1500" s="46" t="s">
        <v>721</v>
      </c>
      <c r="G1500" s="46" t="s">
        <v>1305</v>
      </c>
      <c r="H1500" s="46" t="s">
        <v>4322</v>
      </c>
      <c r="I1500" s="46" t="str">
        <f ca="1">IFERROR(__xludf.DUMMYFUNCTION("CONCAT(A1500,REGEXREPLACE(H1500,"".*_L0"",""_L0""))"),"HC_BN9944_MTG_snRNAseq_rep1_L003_R1_001.fastq.gz")</f>
        <v>HC_BN9944_MTG_snRNAseq_rep1_L003_R1_001.fastq.gz</v>
      </c>
      <c r="J1500" s="46" t="str">
        <f t="shared" si="5"/>
        <v>/data/neurogen/ASAP/scRNAseq/data/batch30_ASAP_snRNA-seq_*/Raw_Data_and_Processing/cellranger_processing/cellranger_fastqs/outs/fastq_path/H*/BN9944_S1_L003_R1_001.fastq.gz</v>
      </c>
      <c r="K1500" s="46" t="s">
        <v>1341</v>
      </c>
      <c r="L1500" s="46" t="s">
        <v>4323</v>
      </c>
      <c r="M1500" s="46" t="s">
        <v>1309</v>
      </c>
      <c r="N1500" s="46" t="s">
        <v>1310</v>
      </c>
      <c r="O1500" s="46" t="s">
        <v>1311</v>
      </c>
      <c r="P1500" s="46" t="s">
        <v>1312</v>
      </c>
      <c r="Q1500" s="46" t="s">
        <v>31</v>
      </c>
      <c r="R1500" s="46" t="s">
        <v>31</v>
      </c>
      <c r="S1500" s="46" t="s">
        <v>31</v>
      </c>
      <c r="T1500" s="46" t="s">
        <v>31</v>
      </c>
      <c r="U1500" s="46" t="s">
        <v>49</v>
      </c>
    </row>
    <row r="1501" spans="1:21">
      <c r="A1501" s="46" t="s">
        <v>801</v>
      </c>
      <c r="B1501" s="46" t="s">
        <v>245</v>
      </c>
      <c r="C1501" s="46" t="s">
        <v>666</v>
      </c>
      <c r="D1501" s="46">
        <v>1</v>
      </c>
      <c r="E1501" s="46">
        <v>0</v>
      </c>
      <c r="F1501" s="46" t="s">
        <v>721</v>
      </c>
      <c r="G1501" s="46" t="s">
        <v>1305</v>
      </c>
      <c r="H1501" s="46" t="s">
        <v>4324</v>
      </c>
      <c r="I1501" s="46" t="str">
        <f ca="1">IFERROR(__xludf.DUMMYFUNCTION("CONCAT(A1501,REGEXREPLACE(H1501,"".*_L0"",""_L0""))"),"HC_BN9944_MTG_snRNAseq_rep1_L003_R2_001.fastq.gz")</f>
        <v>HC_BN9944_MTG_snRNAseq_rep1_L003_R2_001.fastq.gz</v>
      </c>
      <c r="J1501" s="46" t="str">
        <f t="shared" si="5"/>
        <v>/data/neurogen/ASAP/scRNAseq/data/batch30_ASAP_snRNA-seq_*/Raw_Data_and_Processing/cellranger_processing/cellranger_fastqs/outs/fastq_path/H*/BN9944_S1_L003_R2_001.fastq.gz</v>
      </c>
      <c r="K1501" s="46" t="s">
        <v>1344</v>
      </c>
      <c r="L1501" s="46" t="s">
        <v>4325</v>
      </c>
      <c r="M1501" s="46" t="s">
        <v>1309</v>
      </c>
      <c r="N1501" s="46" t="s">
        <v>1310</v>
      </c>
      <c r="O1501" s="46" t="s">
        <v>1311</v>
      </c>
      <c r="P1501" s="46" t="s">
        <v>1312</v>
      </c>
      <c r="Q1501" s="46" t="s">
        <v>31</v>
      </c>
      <c r="R1501" s="46" t="s">
        <v>31</v>
      </c>
      <c r="S1501" s="46" t="s">
        <v>31</v>
      </c>
      <c r="T1501" s="46" t="s">
        <v>31</v>
      </c>
      <c r="U1501" s="46" t="s">
        <v>49</v>
      </c>
    </row>
    <row r="1502" spans="1:21">
      <c r="A1502" s="46" t="s">
        <v>801</v>
      </c>
      <c r="B1502" s="46" t="s">
        <v>245</v>
      </c>
      <c r="C1502" s="46" t="s">
        <v>666</v>
      </c>
      <c r="D1502" s="46">
        <v>1</v>
      </c>
      <c r="E1502" s="46">
        <v>0</v>
      </c>
      <c r="F1502" s="46" t="s">
        <v>721</v>
      </c>
      <c r="G1502" s="46" t="s">
        <v>1305</v>
      </c>
      <c r="H1502" s="46" t="s">
        <v>4326</v>
      </c>
      <c r="I1502" s="46" t="str">
        <f ca="1">IFERROR(__xludf.DUMMYFUNCTION("CONCAT(A1502,REGEXREPLACE(H1502,"".*_L0"",""_L0""))"),"HC_BN9944_MTG_snRNAseq_rep1_L004_I1_001.fastq.gz")</f>
        <v>HC_BN9944_MTG_snRNAseq_rep1_L004_I1_001.fastq.gz</v>
      </c>
      <c r="J1502" s="46" t="str">
        <f t="shared" si="5"/>
        <v>/data/neurogen/ASAP/scRNAseq/data/batch30_ASAP_snRNA-seq_*/Raw_Data_and_Processing/cellranger_processing/cellranger_fastqs/outs/fastq_path/H*/BN9944_S1_L004_I1_001.fastq.gz</v>
      </c>
      <c r="K1502" s="46" t="s">
        <v>1347</v>
      </c>
      <c r="L1502" s="46" t="s">
        <v>4327</v>
      </c>
      <c r="M1502" s="46" t="s">
        <v>1309</v>
      </c>
      <c r="N1502" s="46" t="s">
        <v>1310</v>
      </c>
      <c r="O1502" s="46" t="s">
        <v>1311</v>
      </c>
      <c r="P1502" s="46" t="s">
        <v>1312</v>
      </c>
      <c r="Q1502" s="46" t="s">
        <v>31</v>
      </c>
      <c r="R1502" s="46" t="s">
        <v>31</v>
      </c>
      <c r="S1502" s="46" t="s">
        <v>31</v>
      </c>
      <c r="T1502" s="46" t="s">
        <v>31</v>
      </c>
      <c r="U1502" s="46" t="s">
        <v>49</v>
      </c>
    </row>
    <row r="1503" spans="1:21">
      <c r="A1503" s="46" t="s">
        <v>801</v>
      </c>
      <c r="B1503" s="46" t="s">
        <v>245</v>
      </c>
      <c r="C1503" s="46" t="s">
        <v>666</v>
      </c>
      <c r="D1503" s="46">
        <v>1</v>
      </c>
      <c r="E1503" s="46">
        <v>0</v>
      </c>
      <c r="F1503" s="46" t="s">
        <v>721</v>
      </c>
      <c r="G1503" s="46" t="s">
        <v>1305</v>
      </c>
      <c r="H1503" s="46" t="s">
        <v>4328</v>
      </c>
      <c r="I1503" s="46" t="str">
        <f ca="1">IFERROR(__xludf.DUMMYFUNCTION("CONCAT(A1503,REGEXREPLACE(H1503,"".*_L0"",""_L0""))"),"HC_BN9944_MTG_snRNAseq_rep1_L004_I2_001.fastq.gz")</f>
        <v>HC_BN9944_MTG_snRNAseq_rep1_L004_I2_001.fastq.gz</v>
      </c>
      <c r="J1503" s="46" t="str">
        <f t="shared" si="5"/>
        <v>/data/neurogen/ASAP/scRNAseq/data/batch30_ASAP_snRNA-seq_*/Raw_Data_and_Processing/cellranger_processing/cellranger_fastqs/outs/fastq_path/H*/BN9944_S1_L004_I2_001.fastq.gz</v>
      </c>
      <c r="K1503" s="46" t="s">
        <v>1350</v>
      </c>
      <c r="L1503" s="46" t="s">
        <v>4329</v>
      </c>
      <c r="M1503" s="46" t="s">
        <v>1309</v>
      </c>
      <c r="N1503" s="46" t="s">
        <v>1310</v>
      </c>
      <c r="O1503" s="46" t="s">
        <v>1311</v>
      </c>
      <c r="P1503" s="46" t="s">
        <v>1312</v>
      </c>
      <c r="Q1503" s="46" t="s">
        <v>31</v>
      </c>
      <c r="R1503" s="46" t="s">
        <v>31</v>
      </c>
      <c r="S1503" s="46" t="s">
        <v>31</v>
      </c>
      <c r="T1503" s="46" t="s">
        <v>31</v>
      </c>
      <c r="U1503" s="46" t="s">
        <v>49</v>
      </c>
    </row>
    <row r="1504" spans="1:21">
      <c r="A1504" s="46" t="s">
        <v>801</v>
      </c>
      <c r="B1504" s="46" t="s">
        <v>245</v>
      </c>
      <c r="C1504" s="46" t="s">
        <v>666</v>
      </c>
      <c r="D1504" s="46">
        <v>1</v>
      </c>
      <c r="E1504" s="46">
        <v>0</v>
      </c>
      <c r="F1504" s="46" t="s">
        <v>721</v>
      </c>
      <c r="G1504" s="46" t="s">
        <v>1305</v>
      </c>
      <c r="H1504" s="46" t="s">
        <v>4330</v>
      </c>
      <c r="I1504" s="46" t="str">
        <f ca="1">IFERROR(__xludf.DUMMYFUNCTION("CONCAT(A1504,REGEXREPLACE(H1504,"".*_L0"",""_L0""))"),"HC_BN9944_MTG_snRNAseq_rep1_L004_R1_001.fastq.gz")</f>
        <v>HC_BN9944_MTG_snRNAseq_rep1_L004_R1_001.fastq.gz</v>
      </c>
      <c r="J1504" s="46" t="str">
        <f t="shared" si="5"/>
        <v>/data/neurogen/ASAP/scRNAseq/data/batch30_ASAP_snRNA-seq_*/Raw_Data_and_Processing/cellranger_processing/cellranger_fastqs/outs/fastq_path/H*/BN9944_S1_L004_R1_001.fastq.gz</v>
      </c>
      <c r="K1504" s="46" t="s">
        <v>1353</v>
      </c>
      <c r="L1504" s="46" t="s">
        <v>4331</v>
      </c>
      <c r="M1504" s="46" t="s">
        <v>1309</v>
      </c>
      <c r="N1504" s="46" t="s">
        <v>1310</v>
      </c>
      <c r="O1504" s="46" t="s">
        <v>1311</v>
      </c>
      <c r="P1504" s="46" t="s">
        <v>1312</v>
      </c>
      <c r="Q1504" s="46" t="s">
        <v>31</v>
      </c>
      <c r="R1504" s="46" t="s">
        <v>31</v>
      </c>
      <c r="S1504" s="46" t="s">
        <v>31</v>
      </c>
      <c r="T1504" s="46" t="s">
        <v>31</v>
      </c>
      <c r="U1504" s="46" t="s">
        <v>49</v>
      </c>
    </row>
    <row r="1505" spans="1:21">
      <c r="A1505" s="46" t="s">
        <v>801</v>
      </c>
      <c r="B1505" s="46" t="s">
        <v>245</v>
      </c>
      <c r="C1505" s="46" t="s">
        <v>666</v>
      </c>
      <c r="D1505" s="46">
        <v>1</v>
      </c>
      <c r="E1505" s="46">
        <v>0</v>
      </c>
      <c r="F1505" s="46" t="s">
        <v>721</v>
      </c>
      <c r="G1505" s="46" t="s">
        <v>1305</v>
      </c>
      <c r="H1505" s="46" t="s">
        <v>4332</v>
      </c>
      <c r="I1505" s="46" t="str">
        <f ca="1">IFERROR(__xludf.DUMMYFUNCTION("CONCAT(A1505,REGEXREPLACE(H1505,"".*_L0"",""_L0""))"),"HC_BN9944_MTG_snRNAseq_rep1_L004_R2_001.fastq.gz")</f>
        <v>HC_BN9944_MTG_snRNAseq_rep1_L004_R2_001.fastq.gz</v>
      </c>
      <c r="J1505" s="46" t="str">
        <f t="shared" si="5"/>
        <v>/data/neurogen/ASAP/scRNAseq/data/batch30_ASAP_snRNA-seq_*/Raw_Data_and_Processing/cellranger_processing/cellranger_fastqs/outs/fastq_path/H*/BN9944_S1_L004_R2_001.fastq.gz</v>
      </c>
      <c r="K1505" s="46" t="s">
        <v>1356</v>
      </c>
      <c r="L1505" s="46" t="s">
        <v>4333</v>
      </c>
      <c r="M1505" s="46" t="s">
        <v>1309</v>
      </c>
      <c r="N1505" s="46" t="s">
        <v>1310</v>
      </c>
      <c r="O1505" s="46" t="s">
        <v>1311</v>
      </c>
      <c r="P1505" s="46" t="s">
        <v>1312</v>
      </c>
      <c r="Q1505" s="46" t="s">
        <v>31</v>
      </c>
      <c r="R1505" s="46" t="s">
        <v>31</v>
      </c>
      <c r="S1505" s="46" t="s">
        <v>31</v>
      </c>
      <c r="T1505" s="46" t="s">
        <v>31</v>
      </c>
      <c r="U1505" s="46" t="s">
        <v>49</v>
      </c>
    </row>
    <row r="1506" spans="1:21">
      <c r="A1506" s="46" t="s">
        <v>726</v>
      </c>
      <c r="B1506" s="46" t="s">
        <v>125</v>
      </c>
      <c r="C1506" s="46" t="s">
        <v>666</v>
      </c>
      <c r="D1506" s="46">
        <v>1</v>
      </c>
      <c r="E1506" s="46">
        <v>0</v>
      </c>
      <c r="F1506" s="46" t="s">
        <v>727</v>
      </c>
      <c r="G1506" s="46" t="s">
        <v>1305</v>
      </c>
      <c r="H1506" s="46" t="s">
        <v>4334</v>
      </c>
      <c r="I1506" s="46" t="str">
        <f ca="1">IFERROR(__xludf.DUMMYFUNCTION("CONCAT(A1506,REGEXREPLACE(H1506,"".*_L0"",""_L0""))"),"PD_BN1266_MTG_snRNAseq_rep1_L001_I1_001.fastq.gz")</f>
        <v>PD_BN1266_MTG_snRNAseq_rep1_L001_I1_001.fastq.gz</v>
      </c>
      <c r="J1506" s="46" t="str">
        <f t="shared" si="5"/>
        <v>/data/neurogen/ASAP/scRNAseq/data/batch31_ASAP_snRNA-seq_*/Raw_Data_and_Processing/cellranger_processing/cellranger_fastqs/outs/fastq_path/H*/BN1266_S1_L001_I1_001.fastq.gz</v>
      </c>
      <c r="K1506" s="46" t="s">
        <v>1307</v>
      </c>
      <c r="L1506" s="46" t="s">
        <v>4335</v>
      </c>
      <c r="M1506" s="46" t="s">
        <v>1309</v>
      </c>
      <c r="N1506" s="46" t="s">
        <v>1310</v>
      </c>
      <c r="O1506" s="46" t="s">
        <v>1311</v>
      </c>
      <c r="P1506" s="46" t="s">
        <v>1312</v>
      </c>
      <c r="Q1506" s="46" t="s">
        <v>31</v>
      </c>
      <c r="R1506" s="46" t="s">
        <v>31</v>
      </c>
      <c r="S1506" s="46" t="s">
        <v>31</v>
      </c>
      <c r="T1506" s="46" t="s">
        <v>31</v>
      </c>
      <c r="U1506" s="46" t="s">
        <v>49</v>
      </c>
    </row>
    <row r="1507" spans="1:21">
      <c r="A1507" s="46" t="s">
        <v>726</v>
      </c>
      <c r="B1507" s="46" t="s">
        <v>125</v>
      </c>
      <c r="C1507" s="46" t="s">
        <v>666</v>
      </c>
      <c r="D1507" s="46">
        <v>1</v>
      </c>
      <c r="E1507" s="46">
        <v>0</v>
      </c>
      <c r="F1507" s="46" t="s">
        <v>727</v>
      </c>
      <c r="G1507" s="46" t="s">
        <v>1305</v>
      </c>
      <c r="H1507" s="46" t="s">
        <v>4336</v>
      </c>
      <c r="I1507" s="46" t="str">
        <f ca="1">IFERROR(__xludf.DUMMYFUNCTION("CONCAT(A1507,REGEXREPLACE(H1507,"".*_L0"",""_L0""))"),"PD_BN1266_MTG_snRNAseq_rep1_L001_I2_001.fastq.gz")</f>
        <v>PD_BN1266_MTG_snRNAseq_rep1_L001_I2_001.fastq.gz</v>
      </c>
      <c r="J1507" s="46" t="str">
        <f t="shared" si="5"/>
        <v>/data/neurogen/ASAP/scRNAseq/data/batch31_ASAP_snRNA-seq_*/Raw_Data_and_Processing/cellranger_processing/cellranger_fastqs/outs/fastq_path/H*/BN1266_S1_L001_I2_001.fastq.gz</v>
      </c>
      <c r="K1507" s="46" t="s">
        <v>1314</v>
      </c>
      <c r="L1507" s="46" t="s">
        <v>4337</v>
      </c>
      <c r="M1507" s="46" t="s">
        <v>1309</v>
      </c>
      <c r="N1507" s="46" t="s">
        <v>1310</v>
      </c>
      <c r="O1507" s="46" t="s">
        <v>1311</v>
      </c>
      <c r="P1507" s="46" t="s">
        <v>1312</v>
      </c>
      <c r="Q1507" s="46" t="s">
        <v>31</v>
      </c>
      <c r="R1507" s="46" t="s">
        <v>31</v>
      </c>
      <c r="S1507" s="46" t="s">
        <v>31</v>
      </c>
      <c r="T1507" s="46" t="s">
        <v>31</v>
      </c>
      <c r="U1507" s="46" t="s">
        <v>49</v>
      </c>
    </row>
    <row r="1508" spans="1:21">
      <c r="A1508" s="46" t="s">
        <v>726</v>
      </c>
      <c r="B1508" s="46" t="s">
        <v>125</v>
      </c>
      <c r="C1508" s="46" t="s">
        <v>666</v>
      </c>
      <c r="D1508" s="46">
        <v>1</v>
      </c>
      <c r="E1508" s="46">
        <v>0</v>
      </c>
      <c r="F1508" s="46" t="s">
        <v>727</v>
      </c>
      <c r="G1508" s="46" t="s">
        <v>1305</v>
      </c>
      <c r="H1508" s="46" t="s">
        <v>4338</v>
      </c>
      <c r="I1508" s="46" t="str">
        <f ca="1">IFERROR(__xludf.DUMMYFUNCTION("CONCAT(A1508,REGEXREPLACE(H1508,"".*_L0"",""_L0""))"),"PD_BN1266_MTG_snRNAseq_rep1_L001_R1_001.fastq.gz")</f>
        <v>PD_BN1266_MTG_snRNAseq_rep1_L001_R1_001.fastq.gz</v>
      </c>
      <c r="J1508" s="46" t="str">
        <f t="shared" si="5"/>
        <v>/data/neurogen/ASAP/scRNAseq/data/batch31_ASAP_snRNA-seq_*/Raw_Data_and_Processing/cellranger_processing/cellranger_fastqs/outs/fastq_path/H*/BN1266_S1_L001_R1_001.fastq.gz</v>
      </c>
      <c r="K1508" s="46" t="s">
        <v>1317</v>
      </c>
      <c r="L1508" s="46" t="s">
        <v>4339</v>
      </c>
      <c r="M1508" s="46" t="s">
        <v>1309</v>
      </c>
      <c r="N1508" s="46" t="s">
        <v>1310</v>
      </c>
      <c r="O1508" s="46" t="s">
        <v>1311</v>
      </c>
      <c r="P1508" s="46" t="s">
        <v>1312</v>
      </c>
      <c r="Q1508" s="46" t="s">
        <v>31</v>
      </c>
      <c r="R1508" s="46" t="s">
        <v>31</v>
      </c>
      <c r="S1508" s="46" t="s">
        <v>31</v>
      </c>
      <c r="T1508" s="46" t="s">
        <v>31</v>
      </c>
      <c r="U1508" s="46" t="s">
        <v>49</v>
      </c>
    </row>
    <row r="1509" spans="1:21">
      <c r="A1509" s="46" t="s">
        <v>726</v>
      </c>
      <c r="B1509" s="46" t="s">
        <v>125</v>
      </c>
      <c r="C1509" s="46" t="s">
        <v>666</v>
      </c>
      <c r="D1509" s="46">
        <v>1</v>
      </c>
      <c r="E1509" s="46">
        <v>0</v>
      </c>
      <c r="F1509" s="46" t="s">
        <v>727</v>
      </c>
      <c r="G1509" s="46" t="s">
        <v>1305</v>
      </c>
      <c r="H1509" s="46" t="s">
        <v>4340</v>
      </c>
      <c r="I1509" s="46" t="str">
        <f ca="1">IFERROR(__xludf.DUMMYFUNCTION("CONCAT(A1509,REGEXREPLACE(H1509,"".*_L0"",""_L0""))"),"PD_BN1266_MTG_snRNAseq_rep1_L001_R2_001.fastq.gz")</f>
        <v>PD_BN1266_MTG_snRNAseq_rep1_L001_R2_001.fastq.gz</v>
      </c>
      <c r="J1509" s="46" t="str">
        <f t="shared" si="5"/>
        <v>/data/neurogen/ASAP/scRNAseq/data/batch31_ASAP_snRNA-seq_*/Raw_Data_and_Processing/cellranger_processing/cellranger_fastqs/outs/fastq_path/H*/BN1266_S1_L001_R2_001.fastq.gz</v>
      </c>
      <c r="K1509" s="46" t="s">
        <v>1320</v>
      </c>
      <c r="L1509" s="46" t="s">
        <v>4341</v>
      </c>
      <c r="M1509" s="46" t="s">
        <v>1309</v>
      </c>
      <c r="N1509" s="46" t="s">
        <v>1310</v>
      </c>
      <c r="O1509" s="46" t="s">
        <v>1311</v>
      </c>
      <c r="P1509" s="46" t="s">
        <v>1312</v>
      </c>
      <c r="Q1509" s="46" t="s">
        <v>31</v>
      </c>
      <c r="R1509" s="46" t="s">
        <v>31</v>
      </c>
      <c r="S1509" s="46" t="s">
        <v>31</v>
      </c>
      <c r="T1509" s="46" t="s">
        <v>31</v>
      </c>
      <c r="U1509" s="46" t="s">
        <v>49</v>
      </c>
    </row>
    <row r="1510" spans="1:21">
      <c r="A1510" s="46" t="s">
        <v>726</v>
      </c>
      <c r="B1510" s="46" t="s">
        <v>125</v>
      </c>
      <c r="C1510" s="46" t="s">
        <v>666</v>
      </c>
      <c r="D1510" s="46">
        <v>1</v>
      </c>
      <c r="E1510" s="46">
        <v>0</v>
      </c>
      <c r="F1510" s="46" t="s">
        <v>727</v>
      </c>
      <c r="G1510" s="46" t="s">
        <v>1305</v>
      </c>
      <c r="H1510" s="46" t="s">
        <v>4342</v>
      </c>
      <c r="I1510" s="46" t="str">
        <f ca="1">IFERROR(__xludf.DUMMYFUNCTION("CONCAT(A1510,REGEXREPLACE(H1510,"".*_L0"",""_L0""))"),"PD_BN1266_MTG_snRNAseq_rep1_L002_I1_001.fastq.gz")</f>
        <v>PD_BN1266_MTG_snRNAseq_rep1_L002_I1_001.fastq.gz</v>
      </c>
      <c r="J1510" s="46" t="str">
        <f t="shared" si="5"/>
        <v>/data/neurogen/ASAP/scRNAseq/data/batch31_ASAP_snRNA-seq_*/Raw_Data_and_Processing/cellranger_processing/cellranger_fastqs/outs/fastq_path/H*/BN1266_S1_L002_I1_001.fastq.gz</v>
      </c>
      <c r="K1510" s="46" t="s">
        <v>1323</v>
      </c>
      <c r="L1510" s="46" t="s">
        <v>4343</v>
      </c>
      <c r="M1510" s="46" t="s">
        <v>1309</v>
      </c>
      <c r="N1510" s="46" t="s">
        <v>1310</v>
      </c>
      <c r="O1510" s="46" t="s">
        <v>1311</v>
      </c>
      <c r="P1510" s="46" t="s">
        <v>1312</v>
      </c>
      <c r="Q1510" s="46" t="s">
        <v>31</v>
      </c>
      <c r="R1510" s="46" t="s">
        <v>31</v>
      </c>
      <c r="S1510" s="46" t="s">
        <v>31</v>
      </c>
      <c r="T1510" s="46" t="s">
        <v>31</v>
      </c>
      <c r="U1510" s="46" t="s">
        <v>49</v>
      </c>
    </row>
    <row r="1511" spans="1:21">
      <c r="A1511" s="46" t="s">
        <v>726</v>
      </c>
      <c r="B1511" s="46" t="s">
        <v>125</v>
      </c>
      <c r="C1511" s="46" t="s">
        <v>666</v>
      </c>
      <c r="D1511" s="46">
        <v>1</v>
      </c>
      <c r="E1511" s="46">
        <v>0</v>
      </c>
      <c r="F1511" s="46" t="s">
        <v>727</v>
      </c>
      <c r="G1511" s="46" t="s">
        <v>1305</v>
      </c>
      <c r="H1511" s="46" t="s">
        <v>4344</v>
      </c>
      <c r="I1511" s="46" t="str">
        <f ca="1">IFERROR(__xludf.DUMMYFUNCTION("CONCAT(A1511,REGEXREPLACE(H1511,"".*_L0"",""_L0""))"),"PD_BN1266_MTG_snRNAseq_rep1_L002_I2_001.fastq.gz")</f>
        <v>PD_BN1266_MTG_snRNAseq_rep1_L002_I2_001.fastq.gz</v>
      </c>
      <c r="J1511" s="46" t="str">
        <f t="shared" si="5"/>
        <v>/data/neurogen/ASAP/scRNAseq/data/batch31_ASAP_snRNA-seq_*/Raw_Data_and_Processing/cellranger_processing/cellranger_fastqs/outs/fastq_path/H*/BN1266_S1_L002_I2_001.fastq.gz</v>
      </c>
      <c r="K1511" s="46" t="s">
        <v>1326</v>
      </c>
      <c r="L1511" s="46" t="s">
        <v>4345</v>
      </c>
      <c r="M1511" s="46" t="s">
        <v>1309</v>
      </c>
      <c r="N1511" s="46" t="s">
        <v>1310</v>
      </c>
      <c r="O1511" s="46" t="s">
        <v>1311</v>
      </c>
      <c r="P1511" s="46" t="s">
        <v>1312</v>
      </c>
      <c r="Q1511" s="46" t="s">
        <v>31</v>
      </c>
      <c r="R1511" s="46" t="s">
        <v>31</v>
      </c>
      <c r="S1511" s="46" t="s">
        <v>31</v>
      </c>
      <c r="T1511" s="46" t="s">
        <v>31</v>
      </c>
      <c r="U1511" s="46" t="s">
        <v>49</v>
      </c>
    </row>
    <row r="1512" spans="1:21">
      <c r="A1512" s="46" t="s">
        <v>726</v>
      </c>
      <c r="B1512" s="46" t="s">
        <v>125</v>
      </c>
      <c r="C1512" s="46" t="s">
        <v>666</v>
      </c>
      <c r="D1512" s="46">
        <v>1</v>
      </c>
      <c r="E1512" s="46">
        <v>0</v>
      </c>
      <c r="F1512" s="46" t="s">
        <v>727</v>
      </c>
      <c r="G1512" s="46" t="s">
        <v>1305</v>
      </c>
      <c r="H1512" s="46" t="s">
        <v>4346</v>
      </c>
      <c r="I1512" s="46" t="str">
        <f ca="1">IFERROR(__xludf.DUMMYFUNCTION("CONCAT(A1512,REGEXREPLACE(H1512,"".*_L0"",""_L0""))"),"PD_BN1266_MTG_snRNAseq_rep1_L002_R1_001.fastq.gz")</f>
        <v>PD_BN1266_MTG_snRNAseq_rep1_L002_R1_001.fastq.gz</v>
      </c>
      <c r="J1512" s="46" t="str">
        <f t="shared" si="5"/>
        <v>/data/neurogen/ASAP/scRNAseq/data/batch31_ASAP_snRNA-seq_*/Raw_Data_and_Processing/cellranger_processing/cellranger_fastqs/outs/fastq_path/H*/BN1266_S1_L002_R1_001.fastq.gz</v>
      </c>
      <c r="K1512" s="46" t="s">
        <v>1329</v>
      </c>
      <c r="L1512" s="46" t="s">
        <v>4347</v>
      </c>
      <c r="M1512" s="46" t="s">
        <v>1309</v>
      </c>
      <c r="N1512" s="46" t="s">
        <v>1310</v>
      </c>
      <c r="O1512" s="46" t="s">
        <v>1311</v>
      </c>
      <c r="P1512" s="46" t="s">
        <v>1312</v>
      </c>
      <c r="Q1512" s="46" t="s">
        <v>31</v>
      </c>
      <c r="R1512" s="46" t="s">
        <v>31</v>
      </c>
      <c r="S1512" s="46" t="s">
        <v>31</v>
      </c>
      <c r="T1512" s="46" t="s">
        <v>31</v>
      </c>
      <c r="U1512" s="46" t="s">
        <v>49</v>
      </c>
    </row>
    <row r="1513" spans="1:21">
      <c r="A1513" s="46" t="s">
        <v>726</v>
      </c>
      <c r="B1513" s="46" t="s">
        <v>125</v>
      </c>
      <c r="C1513" s="46" t="s">
        <v>666</v>
      </c>
      <c r="D1513" s="46">
        <v>1</v>
      </c>
      <c r="E1513" s="46">
        <v>0</v>
      </c>
      <c r="F1513" s="46" t="s">
        <v>727</v>
      </c>
      <c r="G1513" s="46" t="s">
        <v>1305</v>
      </c>
      <c r="H1513" s="46" t="s">
        <v>4348</v>
      </c>
      <c r="I1513" s="46" t="str">
        <f ca="1">IFERROR(__xludf.DUMMYFUNCTION("CONCAT(A1513,REGEXREPLACE(H1513,"".*_L0"",""_L0""))"),"PD_BN1266_MTG_snRNAseq_rep1_L002_R2_001.fastq.gz")</f>
        <v>PD_BN1266_MTG_snRNAseq_rep1_L002_R2_001.fastq.gz</v>
      </c>
      <c r="J1513" s="46" t="str">
        <f t="shared" si="5"/>
        <v>/data/neurogen/ASAP/scRNAseq/data/batch31_ASAP_snRNA-seq_*/Raw_Data_and_Processing/cellranger_processing/cellranger_fastqs/outs/fastq_path/H*/BN1266_S1_L002_R2_001.fastq.gz</v>
      </c>
      <c r="K1513" s="46" t="s">
        <v>1332</v>
      </c>
      <c r="L1513" s="46" t="s">
        <v>4349</v>
      </c>
      <c r="M1513" s="46" t="s">
        <v>1309</v>
      </c>
      <c r="N1513" s="46" t="s">
        <v>1310</v>
      </c>
      <c r="O1513" s="46" t="s">
        <v>1311</v>
      </c>
      <c r="P1513" s="46" t="s">
        <v>1312</v>
      </c>
      <c r="Q1513" s="46" t="s">
        <v>31</v>
      </c>
      <c r="R1513" s="46" t="s">
        <v>31</v>
      </c>
      <c r="S1513" s="46" t="s">
        <v>31</v>
      </c>
      <c r="T1513" s="46" t="s">
        <v>31</v>
      </c>
      <c r="U1513" s="46" t="s">
        <v>49</v>
      </c>
    </row>
    <row r="1514" spans="1:21">
      <c r="A1514" s="46" t="s">
        <v>726</v>
      </c>
      <c r="B1514" s="46" t="s">
        <v>125</v>
      </c>
      <c r="C1514" s="46" t="s">
        <v>666</v>
      </c>
      <c r="D1514" s="46">
        <v>1</v>
      </c>
      <c r="E1514" s="46">
        <v>0</v>
      </c>
      <c r="F1514" s="46" t="s">
        <v>727</v>
      </c>
      <c r="G1514" s="46" t="s">
        <v>1305</v>
      </c>
      <c r="H1514" s="46" t="s">
        <v>4350</v>
      </c>
      <c r="I1514" s="46" t="str">
        <f ca="1">IFERROR(__xludf.DUMMYFUNCTION("CONCAT(A1514,REGEXREPLACE(H1514,"".*_L0"",""_L0""))"),"PD_BN1266_MTG_snRNAseq_rep1_L003_I1_001.fastq.gz")</f>
        <v>PD_BN1266_MTG_snRNAseq_rep1_L003_I1_001.fastq.gz</v>
      </c>
      <c r="J1514" s="46" t="str">
        <f t="shared" si="5"/>
        <v>/data/neurogen/ASAP/scRNAseq/data/batch31_ASAP_snRNA-seq_*/Raw_Data_and_Processing/cellranger_processing/cellranger_fastqs/outs/fastq_path/H*/BN1266_S1_L003_I1_001.fastq.gz</v>
      </c>
      <c r="K1514" s="46" t="s">
        <v>1335</v>
      </c>
      <c r="L1514" s="46" t="s">
        <v>4351</v>
      </c>
      <c r="M1514" s="46" t="s">
        <v>1309</v>
      </c>
      <c r="N1514" s="46" t="s">
        <v>1310</v>
      </c>
      <c r="O1514" s="46" t="s">
        <v>1311</v>
      </c>
      <c r="P1514" s="46" t="s">
        <v>1312</v>
      </c>
      <c r="Q1514" s="46" t="s">
        <v>31</v>
      </c>
      <c r="R1514" s="46" t="s">
        <v>31</v>
      </c>
      <c r="S1514" s="46" t="s">
        <v>31</v>
      </c>
      <c r="T1514" s="46" t="s">
        <v>31</v>
      </c>
      <c r="U1514" s="46" t="s">
        <v>49</v>
      </c>
    </row>
    <row r="1515" spans="1:21">
      <c r="A1515" s="46" t="s">
        <v>726</v>
      </c>
      <c r="B1515" s="46" t="s">
        <v>125</v>
      </c>
      <c r="C1515" s="46" t="s">
        <v>666</v>
      </c>
      <c r="D1515" s="46">
        <v>1</v>
      </c>
      <c r="E1515" s="46">
        <v>0</v>
      </c>
      <c r="F1515" s="46" t="s">
        <v>727</v>
      </c>
      <c r="G1515" s="46" t="s">
        <v>1305</v>
      </c>
      <c r="H1515" s="46" t="s">
        <v>4352</v>
      </c>
      <c r="I1515" s="46" t="str">
        <f ca="1">IFERROR(__xludf.DUMMYFUNCTION("CONCAT(A1515,REGEXREPLACE(H1515,"".*_L0"",""_L0""))"),"PD_BN1266_MTG_snRNAseq_rep1_L003_I2_001.fastq.gz")</f>
        <v>PD_BN1266_MTG_snRNAseq_rep1_L003_I2_001.fastq.gz</v>
      </c>
      <c r="J1515" s="46" t="str">
        <f t="shared" si="5"/>
        <v>/data/neurogen/ASAP/scRNAseq/data/batch31_ASAP_snRNA-seq_*/Raw_Data_and_Processing/cellranger_processing/cellranger_fastqs/outs/fastq_path/H*/BN1266_S1_L003_I2_001.fastq.gz</v>
      </c>
      <c r="K1515" s="46" t="s">
        <v>1338</v>
      </c>
      <c r="L1515" s="46" t="s">
        <v>4353</v>
      </c>
      <c r="M1515" s="46" t="s">
        <v>1309</v>
      </c>
      <c r="N1515" s="46" t="s">
        <v>1310</v>
      </c>
      <c r="O1515" s="46" t="s">
        <v>1311</v>
      </c>
      <c r="P1515" s="46" t="s">
        <v>1312</v>
      </c>
      <c r="Q1515" s="46" t="s">
        <v>31</v>
      </c>
      <c r="R1515" s="46" t="s">
        <v>31</v>
      </c>
      <c r="S1515" s="46" t="s">
        <v>31</v>
      </c>
      <c r="T1515" s="46" t="s">
        <v>31</v>
      </c>
      <c r="U1515" s="46" t="s">
        <v>49</v>
      </c>
    </row>
    <row r="1516" spans="1:21">
      <c r="A1516" s="46" t="s">
        <v>726</v>
      </c>
      <c r="B1516" s="46" t="s">
        <v>125</v>
      </c>
      <c r="C1516" s="46" t="s">
        <v>666</v>
      </c>
      <c r="D1516" s="46">
        <v>1</v>
      </c>
      <c r="E1516" s="46">
        <v>0</v>
      </c>
      <c r="F1516" s="46" t="s">
        <v>727</v>
      </c>
      <c r="G1516" s="46" t="s">
        <v>1305</v>
      </c>
      <c r="H1516" s="46" t="s">
        <v>4354</v>
      </c>
      <c r="I1516" s="46" t="str">
        <f ca="1">IFERROR(__xludf.DUMMYFUNCTION("CONCAT(A1516,REGEXREPLACE(H1516,"".*_L0"",""_L0""))"),"PD_BN1266_MTG_snRNAseq_rep1_L003_R1_001.fastq.gz")</f>
        <v>PD_BN1266_MTG_snRNAseq_rep1_L003_R1_001.fastq.gz</v>
      </c>
      <c r="J1516" s="46" t="str">
        <f t="shared" si="5"/>
        <v>/data/neurogen/ASAP/scRNAseq/data/batch31_ASAP_snRNA-seq_*/Raw_Data_and_Processing/cellranger_processing/cellranger_fastqs/outs/fastq_path/H*/BN1266_S1_L003_R1_001.fastq.gz</v>
      </c>
      <c r="K1516" s="46" t="s">
        <v>1341</v>
      </c>
      <c r="L1516" s="46" t="s">
        <v>4355</v>
      </c>
      <c r="M1516" s="46" t="s">
        <v>1309</v>
      </c>
      <c r="N1516" s="46" t="s">
        <v>1310</v>
      </c>
      <c r="O1516" s="46" t="s">
        <v>1311</v>
      </c>
      <c r="P1516" s="46" t="s">
        <v>1312</v>
      </c>
      <c r="Q1516" s="46" t="s">
        <v>31</v>
      </c>
      <c r="R1516" s="46" t="s">
        <v>31</v>
      </c>
      <c r="S1516" s="46" t="s">
        <v>31</v>
      </c>
      <c r="T1516" s="46" t="s">
        <v>31</v>
      </c>
      <c r="U1516" s="46" t="s">
        <v>49</v>
      </c>
    </row>
    <row r="1517" spans="1:21">
      <c r="A1517" s="46" t="s">
        <v>726</v>
      </c>
      <c r="B1517" s="46" t="s">
        <v>125</v>
      </c>
      <c r="C1517" s="46" t="s">
        <v>666</v>
      </c>
      <c r="D1517" s="46">
        <v>1</v>
      </c>
      <c r="E1517" s="46">
        <v>0</v>
      </c>
      <c r="F1517" s="46" t="s">
        <v>727</v>
      </c>
      <c r="G1517" s="46" t="s">
        <v>1305</v>
      </c>
      <c r="H1517" s="46" t="s">
        <v>4356</v>
      </c>
      <c r="I1517" s="46" t="str">
        <f ca="1">IFERROR(__xludf.DUMMYFUNCTION("CONCAT(A1517,REGEXREPLACE(H1517,"".*_L0"",""_L0""))"),"PD_BN1266_MTG_snRNAseq_rep1_L003_R2_001.fastq.gz")</f>
        <v>PD_BN1266_MTG_snRNAseq_rep1_L003_R2_001.fastq.gz</v>
      </c>
      <c r="J1517" s="46" t="str">
        <f t="shared" si="5"/>
        <v>/data/neurogen/ASAP/scRNAseq/data/batch31_ASAP_snRNA-seq_*/Raw_Data_and_Processing/cellranger_processing/cellranger_fastqs/outs/fastq_path/H*/BN1266_S1_L003_R2_001.fastq.gz</v>
      </c>
      <c r="K1517" s="46" t="s">
        <v>1344</v>
      </c>
      <c r="L1517" s="46" t="s">
        <v>4357</v>
      </c>
      <c r="M1517" s="46" t="s">
        <v>1309</v>
      </c>
      <c r="N1517" s="46" t="s">
        <v>1310</v>
      </c>
      <c r="O1517" s="46" t="s">
        <v>1311</v>
      </c>
      <c r="P1517" s="46" t="s">
        <v>1312</v>
      </c>
      <c r="Q1517" s="46" t="s">
        <v>31</v>
      </c>
      <c r="R1517" s="46" t="s">
        <v>31</v>
      </c>
      <c r="S1517" s="46" t="s">
        <v>31</v>
      </c>
      <c r="T1517" s="46" t="s">
        <v>31</v>
      </c>
      <c r="U1517" s="46" t="s">
        <v>49</v>
      </c>
    </row>
    <row r="1518" spans="1:21">
      <c r="A1518" s="46" t="s">
        <v>726</v>
      </c>
      <c r="B1518" s="46" t="s">
        <v>125</v>
      </c>
      <c r="C1518" s="46" t="s">
        <v>666</v>
      </c>
      <c r="D1518" s="46">
        <v>1</v>
      </c>
      <c r="E1518" s="46">
        <v>0</v>
      </c>
      <c r="F1518" s="46" t="s">
        <v>727</v>
      </c>
      <c r="G1518" s="46" t="s">
        <v>1305</v>
      </c>
      <c r="H1518" s="46" t="s">
        <v>4358</v>
      </c>
      <c r="I1518" s="46" t="str">
        <f ca="1">IFERROR(__xludf.DUMMYFUNCTION("CONCAT(A1518,REGEXREPLACE(H1518,"".*_L0"",""_L0""))"),"PD_BN1266_MTG_snRNAseq_rep1_L004_I1_001.fastq.gz")</f>
        <v>PD_BN1266_MTG_snRNAseq_rep1_L004_I1_001.fastq.gz</v>
      </c>
      <c r="J1518" s="46" t="str">
        <f t="shared" si="5"/>
        <v>/data/neurogen/ASAP/scRNAseq/data/batch31_ASAP_snRNA-seq_*/Raw_Data_and_Processing/cellranger_processing/cellranger_fastqs/outs/fastq_path/H*/BN1266_S1_L004_I1_001.fastq.gz</v>
      </c>
      <c r="K1518" s="46" t="s">
        <v>1347</v>
      </c>
      <c r="L1518" s="46" t="s">
        <v>4359</v>
      </c>
      <c r="M1518" s="46" t="s">
        <v>1309</v>
      </c>
      <c r="N1518" s="46" t="s">
        <v>1310</v>
      </c>
      <c r="O1518" s="46" t="s">
        <v>1311</v>
      </c>
      <c r="P1518" s="46" t="s">
        <v>1312</v>
      </c>
      <c r="Q1518" s="46" t="s">
        <v>31</v>
      </c>
      <c r="R1518" s="46" t="s">
        <v>31</v>
      </c>
      <c r="S1518" s="46" t="s">
        <v>31</v>
      </c>
      <c r="T1518" s="46" t="s">
        <v>31</v>
      </c>
      <c r="U1518" s="46" t="s">
        <v>49</v>
      </c>
    </row>
    <row r="1519" spans="1:21">
      <c r="A1519" s="46" t="s">
        <v>726</v>
      </c>
      <c r="B1519" s="46" t="s">
        <v>125</v>
      </c>
      <c r="C1519" s="46" t="s">
        <v>666</v>
      </c>
      <c r="D1519" s="46">
        <v>1</v>
      </c>
      <c r="E1519" s="46">
        <v>0</v>
      </c>
      <c r="F1519" s="46" t="s">
        <v>727</v>
      </c>
      <c r="G1519" s="46" t="s">
        <v>1305</v>
      </c>
      <c r="H1519" s="46" t="s">
        <v>4360</v>
      </c>
      <c r="I1519" s="46" t="str">
        <f ca="1">IFERROR(__xludf.DUMMYFUNCTION("CONCAT(A1519,REGEXREPLACE(H1519,"".*_L0"",""_L0""))"),"PD_BN1266_MTG_snRNAseq_rep1_L004_I2_001.fastq.gz")</f>
        <v>PD_BN1266_MTG_snRNAseq_rep1_L004_I2_001.fastq.gz</v>
      </c>
      <c r="J1519" s="46" t="str">
        <f t="shared" si="5"/>
        <v>/data/neurogen/ASAP/scRNAseq/data/batch31_ASAP_snRNA-seq_*/Raw_Data_and_Processing/cellranger_processing/cellranger_fastqs/outs/fastq_path/H*/BN1266_S1_L004_I2_001.fastq.gz</v>
      </c>
      <c r="K1519" s="46" t="s">
        <v>1350</v>
      </c>
      <c r="L1519" s="46" t="s">
        <v>4361</v>
      </c>
      <c r="M1519" s="46" t="s">
        <v>1309</v>
      </c>
      <c r="N1519" s="46" t="s">
        <v>1310</v>
      </c>
      <c r="O1519" s="46" t="s">
        <v>1311</v>
      </c>
      <c r="P1519" s="46" t="s">
        <v>1312</v>
      </c>
      <c r="Q1519" s="46" t="s">
        <v>31</v>
      </c>
      <c r="R1519" s="46" t="s">
        <v>31</v>
      </c>
      <c r="S1519" s="46" t="s">
        <v>31</v>
      </c>
      <c r="T1519" s="46" t="s">
        <v>31</v>
      </c>
      <c r="U1519" s="46" t="s">
        <v>49</v>
      </c>
    </row>
    <row r="1520" spans="1:21">
      <c r="A1520" s="46" t="s">
        <v>726</v>
      </c>
      <c r="B1520" s="46" t="s">
        <v>125</v>
      </c>
      <c r="C1520" s="46" t="s">
        <v>666</v>
      </c>
      <c r="D1520" s="46">
        <v>1</v>
      </c>
      <c r="E1520" s="46">
        <v>0</v>
      </c>
      <c r="F1520" s="46" t="s">
        <v>727</v>
      </c>
      <c r="G1520" s="46" t="s">
        <v>1305</v>
      </c>
      <c r="H1520" s="46" t="s">
        <v>4362</v>
      </c>
      <c r="I1520" s="46" t="str">
        <f ca="1">IFERROR(__xludf.DUMMYFUNCTION("CONCAT(A1520,REGEXREPLACE(H1520,"".*_L0"",""_L0""))"),"PD_BN1266_MTG_snRNAseq_rep1_L004_R1_001.fastq.gz")</f>
        <v>PD_BN1266_MTG_snRNAseq_rep1_L004_R1_001.fastq.gz</v>
      </c>
      <c r="J1520" s="46" t="str">
        <f t="shared" si="5"/>
        <v>/data/neurogen/ASAP/scRNAseq/data/batch31_ASAP_snRNA-seq_*/Raw_Data_and_Processing/cellranger_processing/cellranger_fastqs/outs/fastq_path/H*/BN1266_S1_L004_R1_001.fastq.gz</v>
      </c>
      <c r="K1520" s="46" t="s">
        <v>1353</v>
      </c>
      <c r="L1520" s="46" t="s">
        <v>4363</v>
      </c>
      <c r="M1520" s="46" t="s">
        <v>1309</v>
      </c>
      <c r="N1520" s="46" t="s">
        <v>1310</v>
      </c>
      <c r="O1520" s="46" t="s">
        <v>1311</v>
      </c>
      <c r="P1520" s="46" t="s">
        <v>1312</v>
      </c>
      <c r="Q1520" s="46" t="s">
        <v>31</v>
      </c>
      <c r="R1520" s="46" t="s">
        <v>31</v>
      </c>
      <c r="S1520" s="46" t="s">
        <v>31</v>
      </c>
      <c r="T1520" s="46" t="s">
        <v>31</v>
      </c>
      <c r="U1520" s="46" t="s">
        <v>49</v>
      </c>
    </row>
    <row r="1521" spans="1:21">
      <c r="A1521" s="46" t="s">
        <v>726</v>
      </c>
      <c r="B1521" s="46" t="s">
        <v>125</v>
      </c>
      <c r="C1521" s="46" t="s">
        <v>666</v>
      </c>
      <c r="D1521" s="46">
        <v>1</v>
      </c>
      <c r="E1521" s="46">
        <v>0</v>
      </c>
      <c r="F1521" s="46" t="s">
        <v>727</v>
      </c>
      <c r="G1521" s="46" t="s">
        <v>1305</v>
      </c>
      <c r="H1521" s="46" t="s">
        <v>4364</v>
      </c>
      <c r="I1521" s="46" t="str">
        <f ca="1">IFERROR(__xludf.DUMMYFUNCTION("CONCAT(A1521,REGEXREPLACE(H1521,"".*_L0"",""_L0""))"),"PD_BN1266_MTG_snRNAseq_rep1_L004_R2_001.fastq.gz")</f>
        <v>PD_BN1266_MTG_snRNAseq_rep1_L004_R2_001.fastq.gz</v>
      </c>
      <c r="J1521" s="46" t="str">
        <f t="shared" si="5"/>
        <v>/data/neurogen/ASAP/scRNAseq/data/batch31_ASAP_snRNA-seq_*/Raw_Data_and_Processing/cellranger_processing/cellranger_fastqs/outs/fastq_path/H*/BN1266_S1_L004_R2_001.fastq.gz</v>
      </c>
      <c r="K1521" s="46" t="s">
        <v>1356</v>
      </c>
      <c r="L1521" s="46" t="s">
        <v>4365</v>
      </c>
      <c r="M1521" s="46" t="s">
        <v>1309</v>
      </c>
      <c r="N1521" s="46" t="s">
        <v>1310</v>
      </c>
      <c r="O1521" s="46" t="s">
        <v>1311</v>
      </c>
      <c r="P1521" s="46" t="s">
        <v>1312</v>
      </c>
      <c r="Q1521" s="46" t="s">
        <v>31</v>
      </c>
      <c r="R1521" s="46" t="s">
        <v>31</v>
      </c>
      <c r="S1521" s="46" t="s">
        <v>31</v>
      </c>
      <c r="T1521" s="46" t="s">
        <v>31</v>
      </c>
      <c r="U1521" s="46" t="s">
        <v>49</v>
      </c>
    </row>
    <row r="1522" spans="1:21">
      <c r="A1522" s="46" t="s">
        <v>730</v>
      </c>
      <c r="B1522" s="46" t="s">
        <v>131</v>
      </c>
      <c r="C1522" s="46" t="s">
        <v>666</v>
      </c>
      <c r="D1522" s="46">
        <v>1</v>
      </c>
      <c r="E1522" s="46">
        <v>0</v>
      </c>
      <c r="F1522" s="46" t="s">
        <v>727</v>
      </c>
      <c r="G1522" s="46" t="s">
        <v>1305</v>
      </c>
      <c r="H1522" s="46" t="s">
        <v>4366</v>
      </c>
      <c r="I1522" s="46" t="str">
        <f ca="1">IFERROR(__xludf.DUMMYFUNCTION("CONCAT(A1522,REGEXREPLACE(H1522,"".*_L0"",""_L0""))"),"PD_BN1317_MTG_snRNAseq_rep1_L001_I1_001.fastq.gz")</f>
        <v>PD_BN1317_MTG_snRNAseq_rep1_L001_I1_001.fastq.gz</v>
      </c>
      <c r="J1522" s="46" t="str">
        <f t="shared" si="5"/>
        <v>/data/neurogen/ASAP/scRNAseq/data/batch31_ASAP_snRNA-seq_*/Raw_Data_and_Processing/cellranger_processing/cellranger_fastqs/outs/fastq_path/H*/BN1317_S2_L001_I1_001.fastq.gz</v>
      </c>
      <c r="K1522" s="46" t="s">
        <v>1307</v>
      </c>
      <c r="L1522" s="46" t="s">
        <v>4367</v>
      </c>
      <c r="M1522" s="46" t="s">
        <v>1309</v>
      </c>
      <c r="N1522" s="46" t="s">
        <v>1310</v>
      </c>
      <c r="O1522" s="46" t="s">
        <v>1311</v>
      </c>
      <c r="P1522" s="46" t="s">
        <v>1312</v>
      </c>
      <c r="Q1522" s="46" t="s">
        <v>31</v>
      </c>
      <c r="R1522" s="46" t="s">
        <v>31</v>
      </c>
      <c r="S1522" s="46" t="s">
        <v>31</v>
      </c>
      <c r="T1522" s="46" t="s">
        <v>31</v>
      </c>
      <c r="U1522" s="46" t="s">
        <v>49</v>
      </c>
    </row>
    <row r="1523" spans="1:21">
      <c r="A1523" s="46" t="s">
        <v>730</v>
      </c>
      <c r="B1523" s="46" t="s">
        <v>131</v>
      </c>
      <c r="C1523" s="46" t="s">
        <v>666</v>
      </c>
      <c r="D1523" s="46">
        <v>1</v>
      </c>
      <c r="E1523" s="46">
        <v>0</v>
      </c>
      <c r="F1523" s="46" t="s">
        <v>727</v>
      </c>
      <c r="G1523" s="46" t="s">
        <v>1305</v>
      </c>
      <c r="H1523" s="46" t="s">
        <v>4368</v>
      </c>
      <c r="I1523" s="46" t="str">
        <f ca="1">IFERROR(__xludf.DUMMYFUNCTION("CONCAT(A1523,REGEXREPLACE(H1523,"".*_L0"",""_L0""))"),"PD_BN1317_MTG_snRNAseq_rep1_L001_I2_001.fastq.gz")</f>
        <v>PD_BN1317_MTG_snRNAseq_rep1_L001_I2_001.fastq.gz</v>
      </c>
      <c r="J1523" s="46" t="str">
        <f t="shared" si="5"/>
        <v>/data/neurogen/ASAP/scRNAseq/data/batch31_ASAP_snRNA-seq_*/Raw_Data_and_Processing/cellranger_processing/cellranger_fastqs/outs/fastq_path/H*/BN1317_S2_L001_I2_001.fastq.gz</v>
      </c>
      <c r="K1523" s="46" t="s">
        <v>1314</v>
      </c>
      <c r="L1523" s="46" t="s">
        <v>4369</v>
      </c>
      <c r="M1523" s="46" t="s">
        <v>1309</v>
      </c>
      <c r="N1523" s="46" t="s">
        <v>1310</v>
      </c>
      <c r="O1523" s="46" t="s">
        <v>1311</v>
      </c>
      <c r="P1523" s="46" t="s">
        <v>1312</v>
      </c>
      <c r="Q1523" s="46" t="s">
        <v>31</v>
      </c>
      <c r="R1523" s="46" t="s">
        <v>31</v>
      </c>
      <c r="S1523" s="46" t="s">
        <v>31</v>
      </c>
      <c r="T1523" s="46" t="s">
        <v>31</v>
      </c>
      <c r="U1523" s="46" t="s">
        <v>49</v>
      </c>
    </row>
    <row r="1524" spans="1:21">
      <c r="A1524" s="46" t="s">
        <v>730</v>
      </c>
      <c r="B1524" s="46" t="s">
        <v>131</v>
      </c>
      <c r="C1524" s="46" t="s">
        <v>666</v>
      </c>
      <c r="D1524" s="46">
        <v>1</v>
      </c>
      <c r="E1524" s="46">
        <v>0</v>
      </c>
      <c r="F1524" s="46" t="s">
        <v>727</v>
      </c>
      <c r="G1524" s="46" t="s">
        <v>1305</v>
      </c>
      <c r="H1524" s="46" t="s">
        <v>4370</v>
      </c>
      <c r="I1524" s="46" t="str">
        <f ca="1">IFERROR(__xludf.DUMMYFUNCTION("CONCAT(A1524,REGEXREPLACE(H1524,"".*_L0"",""_L0""))"),"PD_BN1317_MTG_snRNAseq_rep1_L001_R1_001.fastq.gz")</f>
        <v>PD_BN1317_MTG_snRNAseq_rep1_L001_R1_001.fastq.gz</v>
      </c>
      <c r="J1524" s="46" t="str">
        <f t="shared" si="5"/>
        <v>/data/neurogen/ASAP/scRNAseq/data/batch31_ASAP_snRNA-seq_*/Raw_Data_and_Processing/cellranger_processing/cellranger_fastqs/outs/fastq_path/H*/BN1317_S2_L001_R1_001.fastq.gz</v>
      </c>
      <c r="K1524" s="46" t="s">
        <v>1317</v>
      </c>
      <c r="L1524" s="46" t="s">
        <v>4371</v>
      </c>
      <c r="M1524" s="46" t="s">
        <v>1309</v>
      </c>
      <c r="N1524" s="46" t="s">
        <v>1310</v>
      </c>
      <c r="O1524" s="46" t="s">
        <v>1311</v>
      </c>
      <c r="P1524" s="46" t="s">
        <v>1312</v>
      </c>
      <c r="Q1524" s="46" t="s">
        <v>31</v>
      </c>
      <c r="R1524" s="46" t="s">
        <v>31</v>
      </c>
      <c r="S1524" s="46" t="s">
        <v>31</v>
      </c>
      <c r="T1524" s="46" t="s">
        <v>31</v>
      </c>
      <c r="U1524" s="46" t="s">
        <v>49</v>
      </c>
    </row>
    <row r="1525" spans="1:21">
      <c r="A1525" s="46" t="s">
        <v>730</v>
      </c>
      <c r="B1525" s="46" t="s">
        <v>131</v>
      </c>
      <c r="C1525" s="46" t="s">
        <v>666</v>
      </c>
      <c r="D1525" s="46">
        <v>1</v>
      </c>
      <c r="E1525" s="46">
        <v>0</v>
      </c>
      <c r="F1525" s="46" t="s">
        <v>727</v>
      </c>
      <c r="G1525" s="46" t="s">
        <v>1305</v>
      </c>
      <c r="H1525" s="46" t="s">
        <v>4372</v>
      </c>
      <c r="I1525" s="46" t="str">
        <f ca="1">IFERROR(__xludf.DUMMYFUNCTION("CONCAT(A1525,REGEXREPLACE(H1525,"".*_L0"",""_L0""))"),"PD_BN1317_MTG_snRNAseq_rep1_L001_R2_001.fastq.gz")</f>
        <v>PD_BN1317_MTG_snRNAseq_rep1_L001_R2_001.fastq.gz</v>
      </c>
      <c r="J1525" s="46" t="str">
        <f t="shared" si="5"/>
        <v>/data/neurogen/ASAP/scRNAseq/data/batch31_ASAP_snRNA-seq_*/Raw_Data_and_Processing/cellranger_processing/cellranger_fastqs/outs/fastq_path/H*/BN1317_S2_L001_R2_001.fastq.gz</v>
      </c>
      <c r="K1525" s="46" t="s">
        <v>1320</v>
      </c>
      <c r="L1525" s="46" t="s">
        <v>4373</v>
      </c>
      <c r="M1525" s="46" t="s">
        <v>1309</v>
      </c>
      <c r="N1525" s="46" t="s">
        <v>1310</v>
      </c>
      <c r="O1525" s="46" t="s">
        <v>1311</v>
      </c>
      <c r="P1525" s="46" t="s">
        <v>1312</v>
      </c>
      <c r="Q1525" s="46" t="s">
        <v>31</v>
      </c>
      <c r="R1525" s="46" t="s">
        <v>31</v>
      </c>
      <c r="S1525" s="46" t="s">
        <v>31</v>
      </c>
      <c r="T1525" s="46" t="s">
        <v>31</v>
      </c>
      <c r="U1525" s="46" t="s">
        <v>49</v>
      </c>
    </row>
    <row r="1526" spans="1:21">
      <c r="A1526" s="46" t="s">
        <v>730</v>
      </c>
      <c r="B1526" s="46" t="s">
        <v>131</v>
      </c>
      <c r="C1526" s="46" t="s">
        <v>666</v>
      </c>
      <c r="D1526" s="46">
        <v>1</v>
      </c>
      <c r="E1526" s="46">
        <v>0</v>
      </c>
      <c r="F1526" s="46" t="s">
        <v>727</v>
      </c>
      <c r="G1526" s="46" t="s">
        <v>1305</v>
      </c>
      <c r="H1526" s="46" t="s">
        <v>4374</v>
      </c>
      <c r="I1526" s="46" t="str">
        <f ca="1">IFERROR(__xludf.DUMMYFUNCTION("CONCAT(A1526,REGEXREPLACE(H1526,"".*_L0"",""_L0""))"),"PD_BN1317_MTG_snRNAseq_rep1_L002_I1_001.fastq.gz")</f>
        <v>PD_BN1317_MTG_snRNAseq_rep1_L002_I1_001.fastq.gz</v>
      </c>
      <c r="J1526" s="46" t="str">
        <f t="shared" si="5"/>
        <v>/data/neurogen/ASAP/scRNAseq/data/batch31_ASAP_snRNA-seq_*/Raw_Data_and_Processing/cellranger_processing/cellranger_fastqs/outs/fastq_path/H*/BN1317_S2_L002_I1_001.fastq.gz</v>
      </c>
      <c r="K1526" s="46" t="s">
        <v>1323</v>
      </c>
      <c r="L1526" s="46" t="s">
        <v>4375</v>
      </c>
      <c r="M1526" s="46" t="s">
        <v>1309</v>
      </c>
      <c r="N1526" s="46" t="s">
        <v>1310</v>
      </c>
      <c r="O1526" s="46" t="s">
        <v>1311</v>
      </c>
      <c r="P1526" s="46" t="s">
        <v>1312</v>
      </c>
      <c r="Q1526" s="46" t="s">
        <v>31</v>
      </c>
      <c r="R1526" s="46" t="s">
        <v>31</v>
      </c>
      <c r="S1526" s="46" t="s">
        <v>31</v>
      </c>
      <c r="T1526" s="46" t="s">
        <v>31</v>
      </c>
      <c r="U1526" s="46" t="s">
        <v>49</v>
      </c>
    </row>
    <row r="1527" spans="1:21">
      <c r="A1527" s="46" t="s">
        <v>730</v>
      </c>
      <c r="B1527" s="46" t="s">
        <v>131</v>
      </c>
      <c r="C1527" s="46" t="s">
        <v>666</v>
      </c>
      <c r="D1527" s="46">
        <v>1</v>
      </c>
      <c r="E1527" s="46">
        <v>0</v>
      </c>
      <c r="F1527" s="46" t="s">
        <v>727</v>
      </c>
      <c r="G1527" s="46" t="s">
        <v>1305</v>
      </c>
      <c r="H1527" s="46" t="s">
        <v>4376</v>
      </c>
      <c r="I1527" s="46" t="str">
        <f ca="1">IFERROR(__xludf.DUMMYFUNCTION("CONCAT(A1527,REGEXREPLACE(H1527,"".*_L0"",""_L0""))"),"PD_BN1317_MTG_snRNAseq_rep1_L002_I2_001.fastq.gz")</f>
        <v>PD_BN1317_MTG_snRNAseq_rep1_L002_I2_001.fastq.gz</v>
      </c>
      <c r="J1527" s="46" t="str">
        <f t="shared" si="5"/>
        <v>/data/neurogen/ASAP/scRNAseq/data/batch31_ASAP_snRNA-seq_*/Raw_Data_and_Processing/cellranger_processing/cellranger_fastqs/outs/fastq_path/H*/BN1317_S2_L002_I2_001.fastq.gz</v>
      </c>
      <c r="K1527" s="46" t="s">
        <v>1326</v>
      </c>
      <c r="L1527" s="46" t="s">
        <v>4377</v>
      </c>
      <c r="M1527" s="46" t="s">
        <v>1309</v>
      </c>
      <c r="N1527" s="46" t="s">
        <v>1310</v>
      </c>
      <c r="O1527" s="46" t="s">
        <v>1311</v>
      </c>
      <c r="P1527" s="46" t="s">
        <v>1312</v>
      </c>
      <c r="Q1527" s="46" t="s">
        <v>31</v>
      </c>
      <c r="R1527" s="46" t="s">
        <v>31</v>
      </c>
      <c r="S1527" s="46" t="s">
        <v>31</v>
      </c>
      <c r="T1527" s="46" t="s">
        <v>31</v>
      </c>
      <c r="U1527" s="46" t="s">
        <v>49</v>
      </c>
    </row>
    <row r="1528" spans="1:21">
      <c r="A1528" s="46" t="s">
        <v>730</v>
      </c>
      <c r="B1528" s="46" t="s">
        <v>131</v>
      </c>
      <c r="C1528" s="46" t="s">
        <v>666</v>
      </c>
      <c r="D1528" s="46">
        <v>1</v>
      </c>
      <c r="E1528" s="46">
        <v>0</v>
      </c>
      <c r="F1528" s="46" t="s">
        <v>727</v>
      </c>
      <c r="G1528" s="46" t="s">
        <v>1305</v>
      </c>
      <c r="H1528" s="46" t="s">
        <v>4378</v>
      </c>
      <c r="I1528" s="46" t="str">
        <f ca="1">IFERROR(__xludf.DUMMYFUNCTION("CONCAT(A1528,REGEXREPLACE(H1528,"".*_L0"",""_L0""))"),"PD_BN1317_MTG_snRNAseq_rep1_L002_R1_001.fastq.gz")</f>
        <v>PD_BN1317_MTG_snRNAseq_rep1_L002_R1_001.fastq.gz</v>
      </c>
      <c r="J1528" s="46" t="str">
        <f t="shared" si="5"/>
        <v>/data/neurogen/ASAP/scRNAseq/data/batch31_ASAP_snRNA-seq_*/Raw_Data_and_Processing/cellranger_processing/cellranger_fastqs/outs/fastq_path/H*/BN1317_S2_L002_R1_001.fastq.gz</v>
      </c>
      <c r="K1528" s="46" t="s">
        <v>1329</v>
      </c>
      <c r="L1528" s="46" t="s">
        <v>4379</v>
      </c>
      <c r="M1528" s="46" t="s">
        <v>1309</v>
      </c>
      <c r="N1528" s="46" t="s">
        <v>1310</v>
      </c>
      <c r="O1528" s="46" t="s">
        <v>1311</v>
      </c>
      <c r="P1528" s="46" t="s">
        <v>1312</v>
      </c>
      <c r="Q1528" s="46" t="s">
        <v>31</v>
      </c>
      <c r="R1528" s="46" t="s">
        <v>31</v>
      </c>
      <c r="S1528" s="46" t="s">
        <v>31</v>
      </c>
      <c r="T1528" s="46" t="s">
        <v>31</v>
      </c>
      <c r="U1528" s="46" t="s">
        <v>49</v>
      </c>
    </row>
    <row r="1529" spans="1:21">
      <c r="A1529" s="46" t="s">
        <v>730</v>
      </c>
      <c r="B1529" s="46" t="s">
        <v>131</v>
      </c>
      <c r="C1529" s="46" t="s">
        <v>666</v>
      </c>
      <c r="D1529" s="46">
        <v>1</v>
      </c>
      <c r="E1529" s="46">
        <v>0</v>
      </c>
      <c r="F1529" s="46" t="s">
        <v>727</v>
      </c>
      <c r="G1529" s="46" t="s">
        <v>1305</v>
      </c>
      <c r="H1529" s="46" t="s">
        <v>4380</v>
      </c>
      <c r="I1529" s="46" t="str">
        <f ca="1">IFERROR(__xludf.DUMMYFUNCTION("CONCAT(A1529,REGEXREPLACE(H1529,"".*_L0"",""_L0""))"),"PD_BN1317_MTG_snRNAseq_rep1_L002_R2_001.fastq.gz")</f>
        <v>PD_BN1317_MTG_snRNAseq_rep1_L002_R2_001.fastq.gz</v>
      </c>
      <c r="J1529" s="46" t="str">
        <f t="shared" si="5"/>
        <v>/data/neurogen/ASAP/scRNAseq/data/batch31_ASAP_snRNA-seq_*/Raw_Data_and_Processing/cellranger_processing/cellranger_fastqs/outs/fastq_path/H*/BN1317_S2_L002_R2_001.fastq.gz</v>
      </c>
      <c r="K1529" s="46" t="s">
        <v>1332</v>
      </c>
      <c r="L1529" s="46" t="s">
        <v>4381</v>
      </c>
      <c r="M1529" s="46" t="s">
        <v>1309</v>
      </c>
      <c r="N1529" s="46" t="s">
        <v>1310</v>
      </c>
      <c r="O1529" s="46" t="s">
        <v>1311</v>
      </c>
      <c r="P1529" s="46" t="s">
        <v>1312</v>
      </c>
      <c r="Q1529" s="46" t="s">
        <v>31</v>
      </c>
      <c r="R1529" s="46" t="s">
        <v>31</v>
      </c>
      <c r="S1529" s="46" t="s">
        <v>31</v>
      </c>
      <c r="T1529" s="46" t="s">
        <v>31</v>
      </c>
      <c r="U1529" s="46" t="s">
        <v>49</v>
      </c>
    </row>
    <row r="1530" spans="1:21">
      <c r="A1530" s="46" t="s">
        <v>730</v>
      </c>
      <c r="B1530" s="46" t="s">
        <v>131</v>
      </c>
      <c r="C1530" s="46" t="s">
        <v>666</v>
      </c>
      <c r="D1530" s="46">
        <v>1</v>
      </c>
      <c r="E1530" s="46">
        <v>0</v>
      </c>
      <c r="F1530" s="46" t="s">
        <v>727</v>
      </c>
      <c r="G1530" s="46" t="s">
        <v>1305</v>
      </c>
      <c r="H1530" s="46" t="s">
        <v>4382</v>
      </c>
      <c r="I1530" s="46" t="str">
        <f ca="1">IFERROR(__xludf.DUMMYFUNCTION("CONCAT(A1530,REGEXREPLACE(H1530,"".*_L0"",""_L0""))"),"PD_BN1317_MTG_snRNAseq_rep1_L003_I1_001.fastq.gz")</f>
        <v>PD_BN1317_MTG_snRNAseq_rep1_L003_I1_001.fastq.gz</v>
      </c>
      <c r="J1530" s="46" t="str">
        <f t="shared" si="5"/>
        <v>/data/neurogen/ASAP/scRNAseq/data/batch31_ASAP_snRNA-seq_*/Raw_Data_and_Processing/cellranger_processing/cellranger_fastqs/outs/fastq_path/H*/BN1317_S2_L003_I1_001.fastq.gz</v>
      </c>
      <c r="K1530" s="46" t="s">
        <v>1335</v>
      </c>
      <c r="L1530" s="46" t="s">
        <v>4383</v>
      </c>
      <c r="M1530" s="46" t="s">
        <v>1309</v>
      </c>
      <c r="N1530" s="46" t="s">
        <v>1310</v>
      </c>
      <c r="O1530" s="46" t="s">
        <v>1311</v>
      </c>
      <c r="P1530" s="46" t="s">
        <v>1312</v>
      </c>
      <c r="Q1530" s="46" t="s">
        <v>31</v>
      </c>
      <c r="R1530" s="46" t="s">
        <v>31</v>
      </c>
      <c r="S1530" s="46" t="s">
        <v>31</v>
      </c>
      <c r="T1530" s="46" t="s">
        <v>31</v>
      </c>
      <c r="U1530" s="46" t="s">
        <v>49</v>
      </c>
    </row>
    <row r="1531" spans="1:21">
      <c r="A1531" s="46" t="s">
        <v>730</v>
      </c>
      <c r="B1531" s="46" t="s">
        <v>131</v>
      </c>
      <c r="C1531" s="46" t="s">
        <v>666</v>
      </c>
      <c r="D1531" s="46">
        <v>1</v>
      </c>
      <c r="E1531" s="46">
        <v>0</v>
      </c>
      <c r="F1531" s="46" t="s">
        <v>727</v>
      </c>
      <c r="G1531" s="46" t="s">
        <v>1305</v>
      </c>
      <c r="H1531" s="46" t="s">
        <v>4384</v>
      </c>
      <c r="I1531" s="46" t="str">
        <f ca="1">IFERROR(__xludf.DUMMYFUNCTION("CONCAT(A1531,REGEXREPLACE(H1531,"".*_L0"",""_L0""))"),"PD_BN1317_MTG_snRNAseq_rep1_L003_I2_001.fastq.gz")</f>
        <v>PD_BN1317_MTG_snRNAseq_rep1_L003_I2_001.fastq.gz</v>
      </c>
      <c r="J1531" s="46" t="str">
        <f t="shared" si="5"/>
        <v>/data/neurogen/ASAP/scRNAseq/data/batch31_ASAP_snRNA-seq_*/Raw_Data_and_Processing/cellranger_processing/cellranger_fastqs/outs/fastq_path/H*/BN1317_S2_L003_I2_001.fastq.gz</v>
      </c>
      <c r="K1531" s="46" t="s">
        <v>1338</v>
      </c>
      <c r="L1531" s="46" t="s">
        <v>4385</v>
      </c>
      <c r="M1531" s="46" t="s">
        <v>1309</v>
      </c>
      <c r="N1531" s="46" t="s">
        <v>1310</v>
      </c>
      <c r="O1531" s="46" t="s">
        <v>1311</v>
      </c>
      <c r="P1531" s="46" t="s">
        <v>1312</v>
      </c>
      <c r="Q1531" s="46" t="s">
        <v>31</v>
      </c>
      <c r="R1531" s="46" t="s">
        <v>31</v>
      </c>
      <c r="S1531" s="46" t="s">
        <v>31</v>
      </c>
      <c r="T1531" s="46" t="s">
        <v>31</v>
      </c>
      <c r="U1531" s="46" t="s">
        <v>49</v>
      </c>
    </row>
    <row r="1532" spans="1:21">
      <c r="A1532" s="46" t="s">
        <v>730</v>
      </c>
      <c r="B1532" s="46" t="s">
        <v>131</v>
      </c>
      <c r="C1532" s="46" t="s">
        <v>666</v>
      </c>
      <c r="D1532" s="46">
        <v>1</v>
      </c>
      <c r="E1532" s="46">
        <v>0</v>
      </c>
      <c r="F1532" s="46" t="s">
        <v>727</v>
      </c>
      <c r="G1532" s="46" t="s">
        <v>1305</v>
      </c>
      <c r="H1532" s="46" t="s">
        <v>4386</v>
      </c>
      <c r="I1532" s="46" t="str">
        <f ca="1">IFERROR(__xludf.DUMMYFUNCTION("CONCAT(A1532,REGEXREPLACE(H1532,"".*_L0"",""_L0""))"),"PD_BN1317_MTG_snRNAseq_rep1_L003_R1_001.fastq.gz")</f>
        <v>PD_BN1317_MTG_snRNAseq_rep1_L003_R1_001.fastq.gz</v>
      </c>
      <c r="J1532" s="46" t="str">
        <f t="shared" ref="J1532:J1553" si="6">CONCATENATE("/data/neurogen/ASAP/scRNAseq/data/",F1532,"_ASAP_snRNA-seq_*/Raw_Data_and_Processing/cellranger_processing/cellranger_fastqs/outs/fastq_path/H*/",H1532)</f>
        <v>/data/neurogen/ASAP/scRNAseq/data/batch31_ASAP_snRNA-seq_*/Raw_Data_and_Processing/cellranger_processing/cellranger_fastqs/outs/fastq_path/H*/BN1317_S2_L003_R1_001.fastq.gz</v>
      </c>
      <c r="K1532" s="46" t="s">
        <v>1341</v>
      </c>
      <c r="L1532" s="46" t="s">
        <v>4387</v>
      </c>
      <c r="M1532" s="46" t="s">
        <v>1309</v>
      </c>
      <c r="N1532" s="46" t="s">
        <v>1310</v>
      </c>
      <c r="O1532" s="46" t="s">
        <v>1311</v>
      </c>
      <c r="P1532" s="46" t="s">
        <v>1312</v>
      </c>
      <c r="Q1532" s="46" t="s">
        <v>31</v>
      </c>
      <c r="R1532" s="46" t="s">
        <v>31</v>
      </c>
      <c r="S1532" s="46" t="s">
        <v>31</v>
      </c>
      <c r="T1532" s="46" t="s">
        <v>31</v>
      </c>
      <c r="U1532" s="46" t="s">
        <v>49</v>
      </c>
    </row>
    <row r="1533" spans="1:21">
      <c r="A1533" s="46" t="s">
        <v>730</v>
      </c>
      <c r="B1533" s="46" t="s">
        <v>131</v>
      </c>
      <c r="C1533" s="46" t="s">
        <v>666</v>
      </c>
      <c r="D1533" s="46">
        <v>1</v>
      </c>
      <c r="E1533" s="46">
        <v>0</v>
      </c>
      <c r="F1533" s="46" t="s">
        <v>727</v>
      </c>
      <c r="G1533" s="46" t="s">
        <v>1305</v>
      </c>
      <c r="H1533" s="46" t="s">
        <v>4388</v>
      </c>
      <c r="I1533" s="46" t="str">
        <f ca="1">IFERROR(__xludf.DUMMYFUNCTION("CONCAT(A1533,REGEXREPLACE(H1533,"".*_L0"",""_L0""))"),"PD_BN1317_MTG_snRNAseq_rep1_L003_R2_001.fastq.gz")</f>
        <v>PD_BN1317_MTG_snRNAseq_rep1_L003_R2_001.fastq.gz</v>
      </c>
      <c r="J1533" s="46" t="str">
        <f t="shared" si="6"/>
        <v>/data/neurogen/ASAP/scRNAseq/data/batch31_ASAP_snRNA-seq_*/Raw_Data_and_Processing/cellranger_processing/cellranger_fastqs/outs/fastq_path/H*/BN1317_S2_L003_R2_001.fastq.gz</v>
      </c>
      <c r="K1533" s="46" t="s">
        <v>1344</v>
      </c>
      <c r="L1533" s="46" t="s">
        <v>4389</v>
      </c>
      <c r="M1533" s="46" t="s">
        <v>1309</v>
      </c>
      <c r="N1533" s="46" t="s">
        <v>1310</v>
      </c>
      <c r="O1533" s="46" t="s">
        <v>1311</v>
      </c>
      <c r="P1533" s="46" t="s">
        <v>1312</v>
      </c>
      <c r="Q1533" s="46" t="s">
        <v>31</v>
      </c>
      <c r="R1533" s="46" t="s">
        <v>31</v>
      </c>
      <c r="S1533" s="46" t="s">
        <v>31</v>
      </c>
      <c r="T1533" s="46" t="s">
        <v>31</v>
      </c>
      <c r="U1533" s="46" t="s">
        <v>49</v>
      </c>
    </row>
    <row r="1534" spans="1:21">
      <c r="A1534" s="46" t="s">
        <v>730</v>
      </c>
      <c r="B1534" s="46" t="s">
        <v>131</v>
      </c>
      <c r="C1534" s="46" t="s">
        <v>666</v>
      </c>
      <c r="D1534" s="46">
        <v>1</v>
      </c>
      <c r="E1534" s="46">
        <v>0</v>
      </c>
      <c r="F1534" s="46" t="s">
        <v>727</v>
      </c>
      <c r="G1534" s="46" t="s">
        <v>1305</v>
      </c>
      <c r="H1534" s="46" t="s">
        <v>4390</v>
      </c>
      <c r="I1534" s="46" t="str">
        <f ca="1">IFERROR(__xludf.DUMMYFUNCTION("CONCAT(A1534,REGEXREPLACE(H1534,"".*_L0"",""_L0""))"),"PD_BN1317_MTG_snRNAseq_rep1_L004_I1_001.fastq.gz")</f>
        <v>PD_BN1317_MTG_snRNAseq_rep1_L004_I1_001.fastq.gz</v>
      </c>
      <c r="J1534" s="46" t="str">
        <f t="shared" si="6"/>
        <v>/data/neurogen/ASAP/scRNAseq/data/batch31_ASAP_snRNA-seq_*/Raw_Data_and_Processing/cellranger_processing/cellranger_fastqs/outs/fastq_path/H*/BN1317_S2_L004_I1_001.fastq.gz</v>
      </c>
      <c r="K1534" s="46" t="s">
        <v>1347</v>
      </c>
      <c r="L1534" s="46" t="s">
        <v>4391</v>
      </c>
      <c r="M1534" s="46" t="s">
        <v>1309</v>
      </c>
      <c r="N1534" s="46" t="s">
        <v>1310</v>
      </c>
      <c r="O1534" s="46" t="s">
        <v>1311</v>
      </c>
      <c r="P1534" s="46" t="s">
        <v>1312</v>
      </c>
      <c r="Q1534" s="46" t="s">
        <v>31</v>
      </c>
      <c r="R1534" s="46" t="s">
        <v>31</v>
      </c>
      <c r="S1534" s="46" t="s">
        <v>31</v>
      </c>
      <c r="T1534" s="46" t="s">
        <v>31</v>
      </c>
      <c r="U1534" s="46" t="s">
        <v>49</v>
      </c>
    </row>
    <row r="1535" spans="1:21">
      <c r="A1535" s="46" t="s">
        <v>730</v>
      </c>
      <c r="B1535" s="46" t="s">
        <v>131</v>
      </c>
      <c r="C1535" s="46" t="s">
        <v>666</v>
      </c>
      <c r="D1535" s="46">
        <v>1</v>
      </c>
      <c r="E1535" s="46">
        <v>0</v>
      </c>
      <c r="F1535" s="46" t="s">
        <v>727</v>
      </c>
      <c r="G1535" s="46" t="s">
        <v>1305</v>
      </c>
      <c r="H1535" s="46" t="s">
        <v>4392</v>
      </c>
      <c r="I1535" s="46" t="str">
        <f ca="1">IFERROR(__xludf.DUMMYFUNCTION("CONCAT(A1535,REGEXREPLACE(H1535,"".*_L0"",""_L0""))"),"PD_BN1317_MTG_snRNAseq_rep1_L004_I2_001.fastq.gz")</f>
        <v>PD_BN1317_MTG_snRNAseq_rep1_L004_I2_001.fastq.gz</v>
      </c>
      <c r="J1535" s="46" t="str">
        <f t="shared" si="6"/>
        <v>/data/neurogen/ASAP/scRNAseq/data/batch31_ASAP_snRNA-seq_*/Raw_Data_and_Processing/cellranger_processing/cellranger_fastqs/outs/fastq_path/H*/BN1317_S2_L004_I2_001.fastq.gz</v>
      </c>
      <c r="K1535" s="46" t="s">
        <v>1350</v>
      </c>
      <c r="L1535" s="46" t="s">
        <v>4393</v>
      </c>
      <c r="M1535" s="46" t="s">
        <v>1309</v>
      </c>
      <c r="N1535" s="46" t="s">
        <v>1310</v>
      </c>
      <c r="O1535" s="46" t="s">
        <v>1311</v>
      </c>
      <c r="P1535" s="46" t="s">
        <v>1312</v>
      </c>
      <c r="Q1535" s="46" t="s">
        <v>31</v>
      </c>
      <c r="R1535" s="46" t="s">
        <v>31</v>
      </c>
      <c r="S1535" s="46" t="s">
        <v>31</v>
      </c>
      <c r="T1535" s="46" t="s">
        <v>31</v>
      </c>
      <c r="U1535" s="46" t="s">
        <v>49</v>
      </c>
    </row>
    <row r="1536" spans="1:21">
      <c r="A1536" s="46" t="s">
        <v>730</v>
      </c>
      <c r="B1536" s="46" t="s">
        <v>131</v>
      </c>
      <c r="C1536" s="46" t="s">
        <v>666</v>
      </c>
      <c r="D1536" s="46">
        <v>1</v>
      </c>
      <c r="E1536" s="46">
        <v>0</v>
      </c>
      <c r="F1536" s="46" t="s">
        <v>727</v>
      </c>
      <c r="G1536" s="46" t="s">
        <v>1305</v>
      </c>
      <c r="H1536" s="46" t="s">
        <v>4394</v>
      </c>
      <c r="I1536" s="46" t="str">
        <f ca="1">IFERROR(__xludf.DUMMYFUNCTION("CONCAT(A1536,REGEXREPLACE(H1536,"".*_L0"",""_L0""))"),"PD_BN1317_MTG_snRNAseq_rep1_L004_R1_001.fastq.gz")</f>
        <v>PD_BN1317_MTG_snRNAseq_rep1_L004_R1_001.fastq.gz</v>
      </c>
      <c r="J1536" s="46" t="str">
        <f t="shared" si="6"/>
        <v>/data/neurogen/ASAP/scRNAseq/data/batch31_ASAP_snRNA-seq_*/Raw_Data_and_Processing/cellranger_processing/cellranger_fastqs/outs/fastq_path/H*/BN1317_S2_L004_R1_001.fastq.gz</v>
      </c>
      <c r="K1536" s="46" t="s">
        <v>1353</v>
      </c>
      <c r="L1536" s="46" t="s">
        <v>4395</v>
      </c>
      <c r="M1536" s="46" t="s">
        <v>1309</v>
      </c>
      <c r="N1536" s="46" t="s">
        <v>1310</v>
      </c>
      <c r="O1536" s="46" t="s">
        <v>1311</v>
      </c>
      <c r="P1536" s="46" t="s">
        <v>1312</v>
      </c>
      <c r="Q1536" s="46" t="s">
        <v>31</v>
      </c>
      <c r="R1536" s="46" t="s">
        <v>31</v>
      </c>
      <c r="S1536" s="46" t="s">
        <v>31</v>
      </c>
      <c r="T1536" s="46" t="s">
        <v>31</v>
      </c>
      <c r="U1536" s="46" t="s">
        <v>49</v>
      </c>
    </row>
    <row r="1537" spans="1:21">
      <c r="A1537" s="46" t="s">
        <v>730</v>
      </c>
      <c r="B1537" s="46" t="s">
        <v>131</v>
      </c>
      <c r="C1537" s="46" t="s">
        <v>666</v>
      </c>
      <c r="D1537" s="46">
        <v>1</v>
      </c>
      <c r="E1537" s="46">
        <v>0</v>
      </c>
      <c r="F1537" s="46" t="s">
        <v>727</v>
      </c>
      <c r="G1537" s="46" t="s">
        <v>1305</v>
      </c>
      <c r="H1537" s="46" t="s">
        <v>4396</v>
      </c>
      <c r="I1537" s="46" t="str">
        <f ca="1">IFERROR(__xludf.DUMMYFUNCTION("CONCAT(A1537,REGEXREPLACE(H1537,"".*_L0"",""_L0""))"),"PD_BN1317_MTG_snRNAseq_rep1_L004_R2_001.fastq.gz")</f>
        <v>PD_BN1317_MTG_snRNAseq_rep1_L004_R2_001.fastq.gz</v>
      </c>
      <c r="J1537" s="46" t="str">
        <f t="shared" si="6"/>
        <v>/data/neurogen/ASAP/scRNAseq/data/batch31_ASAP_snRNA-seq_*/Raw_Data_and_Processing/cellranger_processing/cellranger_fastqs/outs/fastq_path/H*/BN1317_S2_L004_R2_001.fastq.gz</v>
      </c>
      <c r="K1537" s="46" t="s">
        <v>1356</v>
      </c>
      <c r="L1537" s="46" t="s">
        <v>4397</v>
      </c>
      <c r="M1537" s="46" t="s">
        <v>1309</v>
      </c>
      <c r="N1537" s="46" t="s">
        <v>1310</v>
      </c>
      <c r="O1537" s="46" t="s">
        <v>1311</v>
      </c>
      <c r="P1537" s="46" t="s">
        <v>1312</v>
      </c>
      <c r="Q1537" s="46" t="s">
        <v>31</v>
      </c>
      <c r="R1537" s="46" t="s">
        <v>31</v>
      </c>
      <c r="S1537" s="46" t="s">
        <v>31</v>
      </c>
      <c r="T1537" s="46" t="s">
        <v>31</v>
      </c>
      <c r="U1537" s="46" t="s">
        <v>49</v>
      </c>
    </row>
    <row r="1538" spans="1:21">
      <c r="A1538" s="46" t="s">
        <v>766</v>
      </c>
      <c r="B1538" s="46" t="s">
        <v>189</v>
      </c>
      <c r="C1538" s="46" t="s">
        <v>666</v>
      </c>
      <c r="D1538" s="46">
        <v>1</v>
      </c>
      <c r="E1538" s="46">
        <v>0</v>
      </c>
      <c r="F1538" s="46" t="s">
        <v>727</v>
      </c>
      <c r="G1538" s="46" t="s">
        <v>1305</v>
      </c>
      <c r="H1538" s="46" t="s">
        <v>4398</v>
      </c>
      <c r="I1538" s="46" t="str">
        <f ca="1">IFERROR(__xludf.DUMMYFUNCTION("CONCAT(A1538,REGEXREPLACE(H1538,"".*_L0"",""_L0""))"),"HC_BN1762_MTG_snRNAseq_rep1_L001_I1_001.fastq.gz")</f>
        <v>HC_BN1762_MTG_snRNAseq_rep1_L001_I1_001.fastq.gz</v>
      </c>
      <c r="J1538" s="46" t="str">
        <f t="shared" si="6"/>
        <v>/data/neurogen/ASAP/scRNAseq/data/batch31_ASAP_snRNA-seq_*/Raw_Data_and_Processing/cellranger_processing/cellranger_fastqs/outs/fastq_path/H*/BN1762_S3_L001_I1_001.fastq.gz</v>
      </c>
      <c r="K1538" s="46" t="s">
        <v>1307</v>
      </c>
      <c r="L1538" s="46" t="s">
        <v>4399</v>
      </c>
      <c r="M1538" s="46" t="s">
        <v>1309</v>
      </c>
      <c r="N1538" s="46" t="s">
        <v>1310</v>
      </c>
      <c r="O1538" s="46" t="s">
        <v>1311</v>
      </c>
      <c r="P1538" s="46" t="s">
        <v>1312</v>
      </c>
      <c r="Q1538" s="46" t="s">
        <v>31</v>
      </c>
      <c r="R1538" s="46" t="s">
        <v>31</v>
      </c>
      <c r="S1538" s="46" t="s">
        <v>31</v>
      </c>
      <c r="T1538" s="46" t="s">
        <v>31</v>
      </c>
      <c r="U1538" s="46" t="s">
        <v>49</v>
      </c>
    </row>
    <row r="1539" spans="1:21">
      <c r="A1539" s="46" t="s">
        <v>766</v>
      </c>
      <c r="B1539" s="46" t="s">
        <v>189</v>
      </c>
      <c r="C1539" s="46" t="s">
        <v>666</v>
      </c>
      <c r="D1539" s="46">
        <v>1</v>
      </c>
      <c r="E1539" s="46">
        <v>0</v>
      </c>
      <c r="F1539" s="46" t="s">
        <v>727</v>
      </c>
      <c r="G1539" s="46" t="s">
        <v>1305</v>
      </c>
      <c r="H1539" s="46" t="s">
        <v>4400</v>
      </c>
      <c r="I1539" s="46" t="str">
        <f ca="1">IFERROR(__xludf.DUMMYFUNCTION("CONCAT(A1539,REGEXREPLACE(H1539,"".*_L0"",""_L0""))"),"HC_BN1762_MTG_snRNAseq_rep1_L001_I2_001.fastq.gz")</f>
        <v>HC_BN1762_MTG_snRNAseq_rep1_L001_I2_001.fastq.gz</v>
      </c>
      <c r="J1539" s="46" t="str">
        <f t="shared" si="6"/>
        <v>/data/neurogen/ASAP/scRNAseq/data/batch31_ASAP_snRNA-seq_*/Raw_Data_and_Processing/cellranger_processing/cellranger_fastqs/outs/fastq_path/H*/BN1762_S3_L001_I2_001.fastq.gz</v>
      </c>
      <c r="K1539" s="46" t="s">
        <v>1314</v>
      </c>
      <c r="L1539" s="46" t="s">
        <v>4401</v>
      </c>
      <c r="M1539" s="46" t="s">
        <v>1309</v>
      </c>
      <c r="N1539" s="46" t="s">
        <v>1310</v>
      </c>
      <c r="O1539" s="46" t="s">
        <v>1311</v>
      </c>
      <c r="P1539" s="46" t="s">
        <v>1312</v>
      </c>
      <c r="Q1539" s="46" t="s">
        <v>31</v>
      </c>
      <c r="R1539" s="46" t="s">
        <v>31</v>
      </c>
      <c r="S1539" s="46" t="s">
        <v>31</v>
      </c>
      <c r="T1539" s="46" t="s">
        <v>31</v>
      </c>
      <c r="U1539" s="46" t="s">
        <v>49</v>
      </c>
    </row>
    <row r="1540" spans="1:21">
      <c r="A1540" s="46" t="s">
        <v>766</v>
      </c>
      <c r="B1540" s="46" t="s">
        <v>189</v>
      </c>
      <c r="C1540" s="46" t="s">
        <v>666</v>
      </c>
      <c r="D1540" s="46">
        <v>1</v>
      </c>
      <c r="E1540" s="46">
        <v>0</v>
      </c>
      <c r="F1540" s="46" t="s">
        <v>727</v>
      </c>
      <c r="G1540" s="46" t="s">
        <v>1305</v>
      </c>
      <c r="H1540" s="46" t="s">
        <v>4402</v>
      </c>
      <c r="I1540" s="46" t="str">
        <f ca="1">IFERROR(__xludf.DUMMYFUNCTION("CONCAT(A1540,REGEXREPLACE(H1540,"".*_L0"",""_L0""))"),"HC_BN1762_MTG_snRNAseq_rep1_L001_R1_001.fastq.gz")</f>
        <v>HC_BN1762_MTG_snRNAseq_rep1_L001_R1_001.fastq.gz</v>
      </c>
      <c r="J1540" s="46" t="str">
        <f t="shared" si="6"/>
        <v>/data/neurogen/ASAP/scRNAseq/data/batch31_ASAP_snRNA-seq_*/Raw_Data_and_Processing/cellranger_processing/cellranger_fastqs/outs/fastq_path/H*/BN1762_S3_L001_R1_001.fastq.gz</v>
      </c>
      <c r="K1540" s="46" t="s">
        <v>1317</v>
      </c>
      <c r="L1540" s="46" t="s">
        <v>4403</v>
      </c>
      <c r="M1540" s="46" t="s">
        <v>1309</v>
      </c>
      <c r="N1540" s="46" t="s">
        <v>1310</v>
      </c>
      <c r="O1540" s="46" t="s">
        <v>1311</v>
      </c>
      <c r="P1540" s="46" t="s">
        <v>1312</v>
      </c>
      <c r="Q1540" s="46" t="s">
        <v>31</v>
      </c>
      <c r="R1540" s="46" t="s">
        <v>31</v>
      </c>
      <c r="S1540" s="46" t="s">
        <v>31</v>
      </c>
      <c r="T1540" s="46" t="s">
        <v>31</v>
      </c>
      <c r="U1540" s="46" t="s">
        <v>49</v>
      </c>
    </row>
    <row r="1541" spans="1:21">
      <c r="A1541" s="46" t="s">
        <v>766</v>
      </c>
      <c r="B1541" s="46" t="s">
        <v>189</v>
      </c>
      <c r="C1541" s="46" t="s">
        <v>666</v>
      </c>
      <c r="D1541" s="46">
        <v>1</v>
      </c>
      <c r="E1541" s="46">
        <v>0</v>
      </c>
      <c r="F1541" s="46" t="s">
        <v>727</v>
      </c>
      <c r="G1541" s="46" t="s">
        <v>1305</v>
      </c>
      <c r="H1541" s="46" t="s">
        <v>4404</v>
      </c>
      <c r="I1541" s="46" t="str">
        <f ca="1">IFERROR(__xludf.DUMMYFUNCTION("CONCAT(A1541,REGEXREPLACE(H1541,"".*_L0"",""_L0""))"),"HC_BN1762_MTG_snRNAseq_rep1_L001_R2_001.fastq.gz")</f>
        <v>HC_BN1762_MTG_snRNAseq_rep1_L001_R2_001.fastq.gz</v>
      </c>
      <c r="J1541" s="46" t="str">
        <f t="shared" si="6"/>
        <v>/data/neurogen/ASAP/scRNAseq/data/batch31_ASAP_snRNA-seq_*/Raw_Data_and_Processing/cellranger_processing/cellranger_fastqs/outs/fastq_path/H*/BN1762_S3_L001_R2_001.fastq.gz</v>
      </c>
      <c r="K1541" s="46" t="s">
        <v>1320</v>
      </c>
      <c r="L1541" s="46" t="s">
        <v>4405</v>
      </c>
      <c r="M1541" s="46" t="s">
        <v>1309</v>
      </c>
      <c r="N1541" s="46" t="s">
        <v>1310</v>
      </c>
      <c r="O1541" s="46" t="s">
        <v>1311</v>
      </c>
      <c r="P1541" s="46" t="s">
        <v>1312</v>
      </c>
      <c r="Q1541" s="46" t="s">
        <v>31</v>
      </c>
      <c r="R1541" s="46" t="s">
        <v>31</v>
      </c>
      <c r="S1541" s="46" t="s">
        <v>31</v>
      </c>
      <c r="T1541" s="46" t="s">
        <v>31</v>
      </c>
      <c r="U1541" s="46" t="s">
        <v>49</v>
      </c>
    </row>
    <row r="1542" spans="1:21">
      <c r="A1542" s="46" t="s">
        <v>766</v>
      </c>
      <c r="B1542" s="46" t="s">
        <v>189</v>
      </c>
      <c r="C1542" s="46" t="s">
        <v>666</v>
      </c>
      <c r="D1542" s="46">
        <v>1</v>
      </c>
      <c r="E1542" s="46">
        <v>0</v>
      </c>
      <c r="F1542" s="46" t="s">
        <v>727</v>
      </c>
      <c r="G1542" s="46" t="s">
        <v>1305</v>
      </c>
      <c r="H1542" s="46" t="s">
        <v>4406</v>
      </c>
      <c r="I1542" s="46" t="str">
        <f ca="1">IFERROR(__xludf.DUMMYFUNCTION("CONCAT(A1542,REGEXREPLACE(H1542,"".*_L0"",""_L0""))"),"HC_BN1762_MTG_snRNAseq_rep1_L002_I1_001.fastq.gz")</f>
        <v>HC_BN1762_MTG_snRNAseq_rep1_L002_I1_001.fastq.gz</v>
      </c>
      <c r="J1542" s="46" t="str">
        <f t="shared" si="6"/>
        <v>/data/neurogen/ASAP/scRNAseq/data/batch31_ASAP_snRNA-seq_*/Raw_Data_and_Processing/cellranger_processing/cellranger_fastqs/outs/fastq_path/H*/BN1762_S3_L002_I1_001.fastq.gz</v>
      </c>
      <c r="K1542" s="46" t="s">
        <v>1323</v>
      </c>
      <c r="L1542" s="46" t="s">
        <v>4407</v>
      </c>
      <c r="M1542" s="46" t="s">
        <v>1309</v>
      </c>
      <c r="N1542" s="46" t="s">
        <v>1310</v>
      </c>
      <c r="O1542" s="46" t="s">
        <v>1311</v>
      </c>
      <c r="P1542" s="46" t="s">
        <v>1312</v>
      </c>
      <c r="Q1542" s="46" t="s">
        <v>31</v>
      </c>
      <c r="R1542" s="46" t="s">
        <v>31</v>
      </c>
      <c r="S1542" s="46" t="s">
        <v>31</v>
      </c>
      <c r="T1542" s="46" t="s">
        <v>31</v>
      </c>
      <c r="U1542" s="46" t="s">
        <v>49</v>
      </c>
    </row>
    <row r="1543" spans="1:21">
      <c r="A1543" s="46" t="s">
        <v>766</v>
      </c>
      <c r="B1543" s="46" t="s">
        <v>189</v>
      </c>
      <c r="C1543" s="46" t="s">
        <v>666</v>
      </c>
      <c r="D1543" s="46">
        <v>1</v>
      </c>
      <c r="E1543" s="46">
        <v>0</v>
      </c>
      <c r="F1543" s="46" t="s">
        <v>727</v>
      </c>
      <c r="G1543" s="46" t="s">
        <v>1305</v>
      </c>
      <c r="H1543" s="46" t="s">
        <v>4408</v>
      </c>
      <c r="I1543" s="46" t="str">
        <f ca="1">IFERROR(__xludf.DUMMYFUNCTION("CONCAT(A1543,REGEXREPLACE(H1543,"".*_L0"",""_L0""))"),"HC_BN1762_MTG_snRNAseq_rep1_L002_I2_001.fastq.gz")</f>
        <v>HC_BN1762_MTG_snRNAseq_rep1_L002_I2_001.fastq.gz</v>
      </c>
      <c r="J1543" s="46" t="str">
        <f t="shared" si="6"/>
        <v>/data/neurogen/ASAP/scRNAseq/data/batch31_ASAP_snRNA-seq_*/Raw_Data_and_Processing/cellranger_processing/cellranger_fastqs/outs/fastq_path/H*/BN1762_S3_L002_I2_001.fastq.gz</v>
      </c>
      <c r="K1543" s="46" t="s">
        <v>1326</v>
      </c>
      <c r="L1543" s="46" t="s">
        <v>4409</v>
      </c>
      <c r="M1543" s="46" t="s">
        <v>1309</v>
      </c>
      <c r="N1543" s="46" t="s">
        <v>1310</v>
      </c>
      <c r="O1543" s="46" t="s">
        <v>1311</v>
      </c>
      <c r="P1543" s="46" t="s">
        <v>1312</v>
      </c>
      <c r="Q1543" s="46" t="s">
        <v>31</v>
      </c>
      <c r="R1543" s="46" t="s">
        <v>31</v>
      </c>
      <c r="S1543" s="46" t="s">
        <v>31</v>
      </c>
      <c r="T1543" s="46" t="s">
        <v>31</v>
      </c>
      <c r="U1543" s="46" t="s">
        <v>49</v>
      </c>
    </row>
    <row r="1544" spans="1:21">
      <c r="A1544" s="46" t="s">
        <v>766</v>
      </c>
      <c r="B1544" s="46" t="s">
        <v>189</v>
      </c>
      <c r="C1544" s="46" t="s">
        <v>666</v>
      </c>
      <c r="D1544" s="46">
        <v>1</v>
      </c>
      <c r="E1544" s="46">
        <v>0</v>
      </c>
      <c r="F1544" s="46" t="s">
        <v>727</v>
      </c>
      <c r="G1544" s="46" t="s">
        <v>1305</v>
      </c>
      <c r="H1544" s="46" t="s">
        <v>4410</v>
      </c>
      <c r="I1544" s="46" t="str">
        <f ca="1">IFERROR(__xludf.DUMMYFUNCTION("CONCAT(A1544,REGEXREPLACE(H1544,"".*_L0"",""_L0""))"),"HC_BN1762_MTG_snRNAseq_rep1_L002_R1_001.fastq.gz")</f>
        <v>HC_BN1762_MTG_snRNAseq_rep1_L002_R1_001.fastq.gz</v>
      </c>
      <c r="J1544" s="46" t="str">
        <f t="shared" si="6"/>
        <v>/data/neurogen/ASAP/scRNAseq/data/batch31_ASAP_snRNA-seq_*/Raw_Data_and_Processing/cellranger_processing/cellranger_fastqs/outs/fastq_path/H*/BN1762_S3_L002_R1_001.fastq.gz</v>
      </c>
      <c r="K1544" s="46" t="s">
        <v>1329</v>
      </c>
      <c r="L1544" s="47" t="s">
        <v>4411</v>
      </c>
      <c r="M1544" s="46" t="s">
        <v>1309</v>
      </c>
      <c r="N1544" s="46" t="s">
        <v>1310</v>
      </c>
      <c r="O1544" s="46" t="s">
        <v>1311</v>
      </c>
      <c r="P1544" s="46" t="s">
        <v>1312</v>
      </c>
      <c r="Q1544" s="46" t="s">
        <v>31</v>
      </c>
      <c r="R1544" s="46" t="s">
        <v>31</v>
      </c>
      <c r="S1544" s="46" t="s">
        <v>31</v>
      </c>
      <c r="T1544" s="46" t="s">
        <v>31</v>
      </c>
      <c r="U1544" s="46" t="s">
        <v>49</v>
      </c>
    </row>
    <row r="1545" spans="1:21">
      <c r="A1545" s="46" t="s">
        <v>766</v>
      </c>
      <c r="B1545" s="46" t="s">
        <v>189</v>
      </c>
      <c r="C1545" s="46" t="s">
        <v>666</v>
      </c>
      <c r="D1545" s="46">
        <v>1</v>
      </c>
      <c r="E1545" s="46">
        <v>0</v>
      </c>
      <c r="F1545" s="46" t="s">
        <v>727</v>
      </c>
      <c r="G1545" s="46" t="s">
        <v>1305</v>
      </c>
      <c r="H1545" s="46" t="s">
        <v>4412</v>
      </c>
      <c r="I1545" s="46" t="str">
        <f ca="1">IFERROR(__xludf.DUMMYFUNCTION("CONCAT(A1545,REGEXREPLACE(H1545,"".*_L0"",""_L0""))"),"HC_BN1762_MTG_snRNAseq_rep1_L002_R2_001.fastq.gz")</f>
        <v>HC_BN1762_MTG_snRNAseq_rep1_L002_R2_001.fastq.gz</v>
      </c>
      <c r="J1545" s="46" t="str">
        <f t="shared" si="6"/>
        <v>/data/neurogen/ASAP/scRNAseq/data/batch31_ASAP_snRNA-seq_*/Raw_Data_and_Processing/cellranger_processing/cellranger_fastqs/outs/fastq_path/H*/BN1762_S3_L002_R2_001.fastq.gz</v>
      </c>
      <c r="K1545" s="46" t="s">
        <v>1332</v>
      </c>
      <c r="L1545" s="46" t="s">
        <v>4413</v>
      </c>
      <c r="M1545" s="46" t="s">
        <v>1309</v>
      </c>
      <c r="N1545" s="46" t="s">
        <v>1310</v>
      </c>
      <c r="O1545" s="46" t="s">
        <v>1311</v>
      </c>
      <c r="P1545" s="46" t="s">
        <v>1312</v>
      </c>
      <c r="Q1545" s="46" t="s">
        <v>31</v>
      </c>
      <c r="R1545" s="46" t="s">
        <v>31</v>
      </c>
      <c r="S1545" s="46" t="s">
        <v>31</v>
      </c>
      <c r="T1545" s="46" t="s">
        <v>31</v>
      </c>
      <c r="U1545" s="46" t="s">
        <v>49</v>
      </c>
    </row>
    <row r="1546" spans="1:21">
      <c r="A1546" s="46" t="s">
        <v>766</v>
      </c>
      <c r="B1546" s="46" t="s">
        <v>189</v>
      </c>
      <c r="C1546" s="46" t="s">
        <v>666</v>
      </c>
      <c r="D1546" s="46">
        <v>1</v>
      </c>
      <c r="E1546" s="46">
        <v>0</v>
      </c>
      <c r="F1546" s="46" t="s">
        <v>727</v>
      </c>
      <c r="G1546" s="46" t="s">
        <v>1305</v>
      </c>
      <c r="H1546" s="46" t="s">
        <v>4414</v>
      </c>
      <c r="I1546" s="46" t="str">
        <f ca="1">IFERROR(__xludf.DUMMYFUNCTION("CONCAT(A1546,REGEXREPLACE(H1546,"".*_L0"",""_L0""))"),"HC_BN1762_MTG_snRNAseq_rep1_L003_I1_001.fastq.gz")</f>
        <v>HC_BN1762_MTG_snRNAseq_rep1_L003_I1_001.fastq.gz</v>
      </c>
      <c r="J1546" s="46" t="str">
        <f t="shared" si="6"/>
        <v>/data/neurogen/ASAP/scRNAseq/data/batch31_ASAP_snRNA-seq_*/Raw_Data_and_Processing/cellranger_processing/cellranger_fastqs/outs/fastq_path/H*/BN1762_S3_L003_I1_001.fastq.gz</v>
      </c>
      <c r="K1546" s="46" t="s">
        <v>1335</v>
      </c>
      <c r="L1546" s="46" t="s">
        <v>4415</v>
      </c>
      <c r="M1546" s="46" t="s">
        <v>1309</v>
      </c>
      <c r="N1546" s="46" t="s">
        <v>1310</v>
      </c>
      <c r="O1546" s="46" t="s">
        <v>1311</v>
      </c>
      <c r="P1546" s="46" t="s">
        <v>1312</v>
      </c>
      <c r="Q1546" s="46" t="s">
        <v>31</v>
      </c>
      <c r="R1546" s="46" t="s">
        <v>31</v>
      </c>
      <c r="S1546" s="46" t="s">
        <v>31</v>
      </c>
      <c r="T1546" s="46" t="s">
        <v>31</v>
      </c>
      <c r="U1546" s="46" t="s">
        <v>49</v>
      </c>
    </row>
    <row r="1547" spans="1:21">
      <c r="A1547" s="46" t="s">
        <v>766</v>
      </c>
      <c r="B1547" s="46" t="s">
        <v>189</v>
      </c>
      <c r="C1547" s="46" t="s">
        <v>666</v>
      </c>
      <c r="D1547" s="46">
        <v>1</v>
      </c>
      <c r="E1547" s="46">
        <v>0</v>
      </c>
      <c r="F1547" s="46" t="s">
        <v>727</v>
      </c>
      <c r="G1547" s="46" t="s">
        <v>1305</v>
      </c>
      <c r="H1547" s="46" t="s">
        <v>4416</v>
      </c>
      <c r="I1547" s="46" t="str">
        <f ca="1">IFERROR(__xludf.DUMMYFUNCTION("CONCAT(A1547,REGEXREPLACE(H1547,"".*_L0"",""_L0""))"),"HC_BN1762_MTG_snRNAseq_rep1_L003_I2_001.fastq.gz")</f>
        <v>HC_BN1762_MTG_snRNAseq_rep1_L003_I2_001.fastq.gz</v>
      </c>
      <c r="J1547" s="46" t="str">
        <f t="shared" si="6"/>
        <v>/data/neurogen/ASAP/scRNAseq/data/batch31_ASAP_snRNA-seq_*/Raw_Data_and_Processing/cellranger_processing/cellranger_fastqs/outs/fastq_path/H*/BN1762_S3_L003_I2_001.fastq.gz</v>
      </c>
      <c r="K1547" s="46" t="s">
        <v>1338</v>
      </c>
      <c r="L1547" s="46" t="s">
        <v>4417</v>
      </c>
      <c r="M1547" s="46" t="s">
        <v>1309</v>
      </c>
      <c r="N1547" s="46" t="s">
        <v>1310</v>
      </c>
      <c r="O1547" s="46" t="s">
        <v>1311</v>
      </c>
      <c r="P1547" s="46" t="s">
        <v>1312</v>
      </c>
      <c r="Q1547" s="46" t="s">
        <v>31</v>
      </c>
      <c r="R1547" s="46" t="s">
        <v>31</v>
      </c>
      <c r="S1547" s="46" t="s">
        <v>31</v>
      </c>
      <c r="T1547" s="46" t="s">
        <v>31</v>
      </c>
      <c r="U1547" s="46" t="s">
        <v>49</v>
      </c>
    </row>
    <row r="1548" spans="1:21">
      <c r="A1548" s="46" t="s">
        <v>766</v>
      </c>
      <c r="B1548" s="46" t="s">
        <v>189</v>
      </c>
      <c r="C1548" s="46" t="s">
        <v>666</v>
      </c>
      <c r="D1548" s="46">
        <v>1</v>
      </c>
      <c r="E1548" s="46">
        <v>0</v>
      </c>
      <c r="F1548" s="46" t="s">
        <v>727</v>
      </c>
      <c r="G1548" s="46" t="s">
        <v>1305</v>
      </c>
      <c r="H1548" s="46" t="s">
        <v>4418</v>
      </c>
      <c r="I1548" s="46" t="str">
        <f ca="1">IFERROR(__xludf.DUMMYFUNCTION("CONCAT(A1548,REGEXREPLACE(H1548,"".*_L0"",""_L0""))"),"HC_BN1762_MTG_snRNAseq_rep1_L003_R1_001.fastq.gz")</f>
        <v>HC_BN1762_MTG_snRNAseq_rep1_L003_R1_001.fastq.gz</v>
      </c>
      <c r="J1548" s="46" t="str">
        <f t="shared" si="6"/>
        <v>/data/neurogen/ASAP/scRNAseq/data/batch31_ASAP_snRNA-seq_*/Raw_Data_and_Processing/cellranger_processing/cellranger_fastqs/outs/fastq_path/H*/BN1762_S3_L003_R1_001.fastq.gz</v>
      </c>
      <c r="K1548" s="46" t="s">
        <v>1341</v>
      </c>
      <c r="L1548" s="46" t="s">
        <v>4419</v>
      </c>
      <c r="M1548" s="46" t="s">
        <v>1309</v>
      </c>
      <c r="N1548" s="46" t="s">
        <v>1310</v>
      </c>
      <c r="O1548" s="46" t="s">
        <v>1311</v>
      </c>
      <c r="P1548" s="46" t="s">
        <v>1312</v>
      </c>
      <c r="Q1548" s="46" t="s">
        <v>31</v>
      </c>
      <c r="R1548" s="46" t="s">
        <v>31</v>
      </c>
      <c r="S1548" s="46" t="s">
        <v>31</v>
      </c>
      <c r="T1548" s="46" t="s">
        <v>31</v>
      </c>
      <c r="U1548" s="46" t="s">
        <v>49</v>
      </c>
    </row>
    <row r="1549" spans="1:21">
      <c r="A1549" s="46" t="s">
        <v>766</v>
      </c>
      <c r="B1549" s="46" t="s">
        <v>189</v>
      </c>
      <c r="C1549" s="46" t="s">
        <v>666</v>
      </c>
      <c r="D1549" s="46">
        <v>1</v>
      </c>
      <c r="E1549" s="46">
        <v>0</v>
      </c>
      <c r="F1549" s="46" t="s">
        <v>727</v>
      </c>
      <c r="G1549" s="46" t="s">
        <v>1305</v>
      </c>
      <c r="H1549" s="46" t="s">
        <v>4420</v>
      </c>
      <c r="I1549" s="46" t="str">
        <f ca="1">IFERROR(__xludf.DUMMYFUNCTION("CONCAT(A1549,REGEXREPLACE(H1549,"".*_L0"",""_L0""))"),"HC_BN1762_MTG_snRNAseq_rep1_L003_R2_001.fastq.gz")</f>
        <v>HC_BN1762_MTG_snRNAseq_rep1_L003_R2_001.fastq.gz</v>
      </c>
      <c r="J1549" s="46" t="str">
        <f t="shared" si="6"/>
        <v>/data/neurogen/ASAP/scRNAseq/data/batch31_ASAP_snRNA-seq_*/Raw_Data_and_Processing/cellranger_processing/cellranger_fastqs/outs/fastq_path/H*/BN1762_S3_L003_R2_001.fastq.gz</v>
      </c>
      <c r="K1549" s="46" t="s">
        <v>1344</v>
      </c>
      <c r="L1549" s="46" t="s">
        <v>4421</v>
      </c>
      <c r="M1549" s="46" t="s">
        <v>1309</v>
      </c>
      <c r="N1549" s="46" t="s">
        <v>1310</v>
      </c>
      <c r="O1549" s="46" t="s">
        <v>1311</v>
      </c>
      <c r="P1549" s="46" t="s">
        <v>1312</v>
      </c>
      <c r="Q1549" s="46" t="s">
        <v>31</v>
      </c>
      <c r="R1549" s="46" t="s">
        <v>31</v>
      </c>
      <c r="S1549" s="46" t="s">
        <v>31</v>
      </c>
      <c r="T1549" s="46" t="s">
        <v>31</v>
      </c>
      <c r="U1549" s="46" t="s">
        <v>49</v>
      </c>
    </row>
    <row r="1550" spans="1:21">
      <c r="A1550" s="46" t="s">
        <v>766</v>
      </c>
      <c r="B1550" s="46" t="s">
        <v>189</v>
      </c>
      <c r="C1550" s="46" t="s">
        <v>666</v>
      </c>
      <c r="D1550" s="46">
        <v>1</v>
      </c>
      <c r="E1550" s="46">
        <v>0</v>
      </c>
      <c r="F1550" s="46" t="s">
        <v>727</v>
      </c>
      <c r="G1550" s="46" t="s">
        <v>1305</v>
      </c>
      <c r="H1550" s="46" t="s">
        <v>4422</v>
      </c>
      <c r="I1550" s="46" t="str">
        <f ca="1">IFERROR(__xludf.DUMMYFUNCTION("CONCAT(A1550,REGEXREPLACE(H1550,"".*_L0"",""_L0""))"),"HC_BN1762_MTG_snRNAseq_rep1_L004_I1_001.fastq.gz")</f>
        <v>HC_BN1762_MTG_snRNAseq_rep1_L004_I1_001.fastq.gz</v>
      </c>
      <c r="J1550" s="46" t="str">
        <f t="shared" si="6"/>
        <v>/data/neurogen/ASAP/scRNAseq/data/batch31_ASAP_snRNA-seq_*/Raw_Data_and_Processing/cellranger_processing/cellranger_fastqs/outs/fastq_path/H*/BN1762_S3_L004_I1_001.fastq.gz</v>
      </c>
      <c r="K1550" s="46" t="s">
        <v>1347</v>
      </c>
      <c r="L1550" s="46" t="s">
        <v>4423</v>
      </c>
      <c r="M1550" s="46" t="s">
        <v>1309</v>
      </c>
      <c r="N1550" s="46" t="s">
        <v>1310</v>
      </c>
      <c r="O1550" s="46" t="s">
        <v>1311</v>
      </c>
      <c r="P1550" s="46" t="s">
        <v>1312</v>
      </c>
      <c r="Q1550" s="46" t="s">
        <v>31</v>
      </c>
      <c r="R1550" s="46" t="s">
        <v>31</v>
      </c>
      <c r="S1550" s="46" t="s">
        <v>31</v>
      </c>
      <c r="T1550" s="46" t="s">
        <v>31</v>
      </c>
      <c r="U1550" s="46" t="s">
        <v>49</v>
      </c>
    </row>
    <row r="1551" spans="1:21">
      <c r="A1551" s="46" t="s">
        <v>766</v>
      </c>
      <c r="B1551" s="46" t="s">
        <v>189</v>
      </c>
      <c r="C1551" s="46" t="s">
        <v>666</v>
      </c>
      <c r="D1551" s="46">
        <v>1</v>
      </c>
      <c r="E1551" s="46">
        <v>0</v>
      </c>
      <c r="F1551" s="46" t="s">
        <v>727</v>
      </c>
      <c r="G1551" s="46" t="s">
        <v>1305</v>
      </c>
      <c r="H1551" s="46" t="s">
        <v>4424</v>
      </c>
      <c r="I1551" s="46" t="str">
        <f ca="1">IFERROR(__xludf.DUMMYFUNCTION("CONCAT(A1551,REGEXREPLACE(H1551,"".*_L0"",""_L0""))"),"HC_BN1762_MTG_snRNAseq_rep1_L004_I2_001.fastq.gz")</f>
        <v>HC_BN1762_MTG_snRNAseq_rep1_L004_I2_001.fastq.gz</v>
      </c>
      <c r="J1551" s="46" t="str">
        <f t="shared" si="6"/>
        <v>/data/neurogen/ASAP/scRNAseq/data/batch31_ASAP_snRNA-seq_*/Raw_Data_and_Processing/cellranger_processing/cellranger_fastqs/outs/fastq_path/H*/BN1762_S3_L004_I2_001.fastq.gz</v>
      </c>
      <c r="K1551" s="46" t="s">
        <v>1350</v>
      </c>
      <c r="L1551" s="46" t="s">
        <v>4425</v>
      </c>
      <c r="M1551" s="46" t="s">
        <v>1309</v>
      </c>
      <c r="N1551" s="46" t="s">
        <v>1310</v>
      </c>
      <c r="O1551" s="46" t="s">
        <v>1311</v>
      </c>
      <c r="P1551" s="46" t="s">
        <v>1312</v>
      </c>
      <c r="Q1551" s="46" t="s">
        <v>31</v>
      </c>
      <c r="R1551" s="46" t="s">
        <v>31</v>
      </c>
      <c r="S1551" s="46" t="s">
        <v>31</v>
      </c>
      <c r="T1551" s="46" t="s">
        <v>31</v>
      </c>
      <c r="U1551" s="46" t="s">
        <v>49</v>
      </c>
    </row>
    <row r="1552" spans="1:21">
      <c r="A1552" s="46" t="s">
        <v>766</v>
      </c>
      <c r="B1552" s="46" t="s">
        <v>189</v>
      </c>
      <c r="C1552" s="46" t="s">
        <v>666</v>
      </c>
      <c r="D1552" s="46">
        <v>1</v>
      </c>
      <c r="E1552" s="46">
        <v>0</v>
      </c>
      <c r="F1552" s="46" t="s">
        <v>727</v>
      </c>
      <c r="G1552" s="46" t="s">
        <v>1305</v>
      </c>
      <c r="H1552" s="46" t="s">
        <v>4426</v>
      </c>
      <c r="I1552" s="46" t="str">
        <f ca="1">IFERROR(__xludf.DUMMYFUNCTION("CONCAT(A1552,REGEXREPLACE(H1552,"".*_L0"",""_L0""))"),"HC_BN1762_MTG_snRNAseq_rep1_L004_R1_001.fastq.gz")</f>
        <v>HC_BN1762_MTG_snRNAseq_rep1_L004_R1_001.fastq.gz</v>
      </c>
      <c r="J1552" s="46" t="str">
        <f t="shared" si="6"/>
        <v>/data/neurogen/ASAP/scRNAseq/data/batch31_ASAP_snRNA-seq_*/Raw_Data_and_Processing/cellranger_processing/cellranger_fastqs/outs/fastq_path/H*/BN1762_S3_L004_R1_001.fastq.gz</v>
      </c>
      <c r="K1552" s="46" t="s">
        <v>1353</v>
      </c>
      <c r="L1552" s="46" t="s">
        <v>4427</v>
      </c>
      <c r="M1552" s="46" t="s">
        <v>1309</v>
      </c>
      <c r="N1552" s="46" t="s">
        <v>1310</v>
      </c>
      <c r="O1552" s="46" t="s">
        <v>1311</v>
      </c>
      <c r="P1552" s="46" t="s">
        <v>1312</v>
      </c>
      <c r="Q1552" s="46" t="s">
        <v>31</v>
      </c>
      <c r="R1552" s="46" t="s">
        <v>31</v>
      </c>
      <c r="S1552" s="46" t="s">
        <v>31</v>
      </c>
      <c r="T1552" s="46" t="s">
        <v>31</v>
      </c>
      <c r="U1552" s="46" t="s">
        <v>49</v>
      </c>
    </row>
    <row r="1553" spans="1:21">
      <c r="A1553" s="46" t="s">
        <v>766</v>
      </c>
      <c r="B1553" s="46" t="s">
        <v>189</v>
      </c>
      <c r="C1553" s="46" t="s">
        <v>666</v>
      </c>
      <c r="D1553" s="46">
        <v>1</v>
      </c>
      <c r="E1553" s="46">
        <v>0</v>
      </c>
      <c r="F1553" s="46" t="s">
        <v>727</v>
      </c>
      <c r="G1553" s="46" t="s">
        <v>1305</v>
      </c>
      <c r="H1553" s="46" t="s">
        <v>4428</v>
      </c>
      <c r="I1553" s="46" t="str">
        <f ca="1">IFERROR(__xludf.DUMMYFUNCTION("CONCAT(A1553,REGEXREPLACE(H1553,"".*_L0"",""_L0""))"),"HC_BN1762_MTG_snRNAseq_rep1_L004_R2_001.fastq.gz")</f>
        <v>HC_BN1762_MTG_snRNAseq_rep1_L004_R2_001.fastq.gz</v>
      </c>
      <c r="J1553" s="46" t="str">
        <f t="shared" si="6"/>
        <v>/data/neurogen/ASAP/scRNAseq/data/batch31_ASAP_snRNA-seq_*/Raw_Data_and_Processing/cellranger_processing/cellranger_fastqs/outs/fastq_path/H*/BN1762_S3_L004_R2_001.fastq.gz</v>
      </c>
      <c r="K1553" s="46" t="s">
        <v>1356</v>
      </c>
      <c r="L1553" s="46" t="s">
        <v>4429</v>
      </c>
      <c r="M1553" s="46" t="s">
        <v>1309</v>
      </c>
      <c r="N1553" s="46" t="s">
        <v>1310</v>
      </c>
      <c r="O1553" s="46" t="s">
        <v>1311</v>
      </c>
      <c r="P1553" s="46" t="s">
        <v>1312</v>
      </c>
      <c r="Q1553" s="46" t="s">
        <v>31</v>
      </c>
      <c r="R1553" s="46" t="s">
        <v>31</v>
      </c>
      <c r="S1553" s="46" t="s">
        <v>31</v>
      </c>
      <c r="T1553" s="46" t="s">
        <v>31</v>
      </c>
      <c r="U1553" s="46" t="s">
        <v>49</v>
      </c>
    </row>
    <row r="1554" spans="1:21">
      <c r="A1554" s="48" t="s">
        <v>1208</v>
      </c>
      <c r="B1554" s="48" t="s">
        <v>52</v>
      </c>
      <c r="C1554" s="48" t="s">
        <v>666</v>
      </c>
      <c r="D1554" s="48">
        <v>1</v>
      </c>
      <c r="E1554" s="48">
        <v>0</v>
      </c>
      <c r="F1554" t="s">
        <v>696</v>
      </c>
      <c r="G1554" s="48" t="s">
        <v>1305</v>
      </c>
      <c r="H1554" s="48" t="s">
        <v>1328</v>
      </c>
      <c r="I1554" s="48" t="s">
        <v>1328</v>
      </c>
      <c r="J1554" s="48" t="s">
        <v>4430</v>
      </c>
      <c r="K1554" s="48" t="s">
        <v>1329</v>
      </c>
      <c r="L1554" s="48" t="s">
        <v>4431</v>
      </c>
      <c r="M1554" s="48" t="s">
        <v>4432</v>
      </c>
      <c r="N1554" s="48" t="s">
        <v>1310</v>
      </c>
      <c r="O1554" s="48" t="s">
        <v>1311</v>
      </c>
      <c r="P1554" s="48" t="s">
        <v>1312</v>
      </c>
      <c r="Q1554" s="48" t="s">
        <v>31</v>
      </c>
      <c r="R1554" s="48" t="s">
        <v>31</v>
      </c>
      <c r="S1554" s="48" t="s">
        <v>31</v>
      </c>
      <c r="T1554" s="48" t="s">
        <v>31</v>
      </c>
      <c r="U1554" s="46" t="s">
        <v>1154</v>
      </c>
    </row>
    <row r="1555" spans="1:21">
      <c r="A1555" s="48" t="s">
        <v>1208</v>
      </c>
      <c r="B1555" s="48" t="s">
        <v>52</v>
      </c>
      <c r="C1555" s="48" t="s">
        <v>666</v>
      </c>
      <c r="D1555" s="48">
        <v>1</v>
      </c>
      <c r="E1555" s="48">
        <v>0</v>
      </c>
      <c r="F1555" t="s">
        <v>696</v>
      </c>
      <c r="G1555" s="48" t="s">
        <v>1305</v>
      </c>
      <c r="H1555" s="48" t="s">
        <v>1331</v>
      </c>
      <c r="I1555" s="48" t="s">
        <v>1331</v>
      </c>
      <c r="J1555" s="48" t="s">
        <v>4433</v>
      </c>
      <c r="K1555" s="48" t="s">
        <v>1332</v>
      </c>
      <c r="L1555" s="48" t="s">
        <v>4434</v>
      </c>
      <c r="M1555" s="48" t="s">
        <v>4432</v>
      </c>
      <c r="N1555" s="48" t="s">
        <v>1310</v>
      </c>
      <c r="O1555" s="48" t="s">
        <v>1311</v>
      </c>
      <c r="P1555" s="48" t="s">
        <v>1312</v>
      </c>
      <c r="Q1555" s="48" t="s">
        <v>31</v>
      </c>
      <c r="R1555" s="48" t="s">
        <v>31</v>
      </c>
      <c r="S1555" s="48" t="s">
        <v>31</v>
      </c>
      <c r="T1555" s="48" t="s">
        <v>31</v>
      </c>
      <c r="U1555" s="46" t="s">
        <v>1154</v>
      </c>
    </row>
    <row r="1556" spans="1:21">
      <c r="A1556" s="48" t="s">
        <v>1208</v>
      </c>
      <c r="B1556" s="48" t="s">
        <v>52</v>
      </c>
      <c r="C1556" s="48" t="s">
        <v>666</v>
      </c>
      <c r="D1556" s="48">
        <v>1</v>
      </c>
      <c r="E1556" s="48">
        <v>0</v>
      </c>
      <c r="F1556" t="s">
        <v>696</v>
      </c>
      <c r="G1556" s="48" t="s">
        <v>1305</v>
      </c>
      <c r="H1556" s="48" t="s">
        <v>1319</v>
      </c>
      <c r="I1556" s="48" t="s">
        <v>1319</v>
      </c>
      <c r="J1556" s="48" t="s">
        <v>4435</v>
      </c>
      <c r="K1556" s="48" t="s">
        <v>1320</v>
      </c>
      <c r="L1556" s="48" t="s">
        <v>4436</v>
      </c>
      <c r="M1556" s="48" t="s">
        <v>4432</v>
      </c>
      <c r="N1556" s="48" t="s">
        <v>1310</v>
      </c>
      <c r="O1556" s="48" t="s">
        <v>1311</v>
      </c>
      <c r="P1556" s="48" t="s">
        <v>1312</v>
      </c>
      <c r="Q1556" s="48" t="s">
        <v>31</v>
      </c>
      <c r="R1556" s="48" t="s">
        <v>31</v>
      </c>
      <c r="S1556" s="48" t="s">
        <v>31</v>
      </c>
      <c r="T1556" s="48" t="s">
        <v>31</v>
      </c>
      <c r="U1556" s="46" t="s">
        <v>1154</v>
      </c>
    </row>
    <row r="1557" spans="1:21">
      <c r="A1557" s="48" t="s">
        <v>1208</v>
      </c>
      <c r="B1557" s="48" t="s">
        <v>52</v>
      </c>
      <c r="C1557" s="48" t="s">
        <v>666</v>
      </c>
      <c r="D1557" s="48">
        <v>1</v>
      </c>
      <c r="E1557" s="48">
        <v>0</v>
      </c>
      <c r="F1557" t="s">
        <v>696</v>
      </c>
      <c r="G1557" s="48" t="s">
        <v>1305</v>
      </c>
      <c r="H1557" s="48" t="s">
        <v>1322</v>
      </c>
      <c r="I1557" s="48" t="s">
        <v>1322</v>
      </c>
      <c r="J1557" s="48" t="s">
        <v>4437</v>
      </c>
      <c r="K1557" s="48" t="s">
        <v>1323</v>
      </c>
      <c r="L1557" s="48" t="s">
        <v>4438</v>
      </c>
      <c r="M1557" s="48" t="s">
        <v>4432</v>
      </c>
      <c r="N1557" s="48" t="s">
        <v>1310</v>
      </c>
      <c r="O1557" s="48" t="s">
        <v>1311</v>
      </c>
      <c r="P1557" s="48" t="s">
        <v>1312</v>
      </c>
      <c r="Q1557" s="48" t="s">
        <v>31</v>
      </c>
      <c r="R1557" s="48" t="s">
        <v>31</v>
      </c>
      <c r="S1557" s="48" t="s">
        <v>31</v>
      </c>
      <c r="T1557" s="48" t="s">
        <v>31</v>
      </c>
      <c r="U1557" s="46" t="s">
        <v>1154</v>
      </c>
    </row>
    <row r="1558" spans="1:21">
      <c r="A1558" s="48" t="s">
        <v>1208</v>
      </c>
      <c r="B1558" s="48" t="s">
        <v>52</v>
      </c>
      <c r="C1558" s="48" t="s">
        <v>666</v>
      </c>
      <c r="D1558" s="48">
        <v>1</v>
      </c>
      <c r="E1558" s="48">
        <v>0</v>
      </c>
      <c r="F1558" t="s">
        <v>696</v>
      </c>
      <c r="G1558" s="48" t="s">
        <v>1305</v>
      </c>
      <c r="H1558" s="48" t="s">
        <v>1316</v>
      </c>
      <c r="I1558" s="48" t="s">
        <v>1316</v>
      </c>
      <c r="J1558" s="48" t="s">
        <v>4439</v>
      </c>
      <c r="K1558" s="48" t="s">
        <v>1317</v>
      </c>
      <c r="L1558" s="48" t="s">
        <v>4440</v>
      </c>
      <c r="M1558" s="48" t="s">
        <v>4432</v>
      </c>
      <c r="N1558" s="48" t="s">
        <v>1310</v>
      </c>
      <c r="O1558" s="48" t="s">
        <v>1311</v>
      </c>
      <c r="P1558" s="48" t="s">
        <v>1312</v>
      </c>
      <c r="Q1558" s="48" t="s">
        <v>31</v>
      </c>
      <c r="R1558" s="48" t="s">
        <v>31</v>
      </c>
      <c r="S1558" s="48" t="s">
        <v>31</v>
      </c>
      <c r="T1558" s="48" t="s">
        <v>31</v>
      </c>
      <c r="U1558" s="46" t="s">
        <v>1154</v>
      </c>
    </row>
    <row r="1559" spans="1:21">
      <c r="A1559" s="48" t="s">
        <v>1208</v>
      </c>
      <c r="B1559" s="48" t="s">
        <v>52</v>
      </c>
      <c r="C1559" s="48" t="s">
        <v>666</v>
      </c>
      <c r="D1559" s="48">
        <v>1</v>
      </c>
      <c r="E1559" s="48">
        <v>0</v>
      </c>
      <c r="F1559" t="s">
        <v>696</v>
      </c>
      <c r="G1559" s="48" t="s">
        <v>1305</v>
      </c>
      <c r="H1559" s="48" t="s">
        <v>1325</v>
      </c>
      <c r="I1559" s="48" t="s">
        <v>1325</v>
      </c>
      <c r="J1559" s="48" t="s">
        <v>4441</v>
      </c>
      <c r="K1559" s="48" t="s">
        <v>1326</v>
      </c>
      <c r="L1559" s="48" t="s">
        <v>4442</v>
      </c>
      <c r="M1559" s="48" t="s">
        <v>4432</v>
      </c>
      <c r="N1559" s="48" t="s">
        <v>1310</v>
      </c>
      <c r="O1559" s="48" t="s">
        <v>1311</v>
      </c>
      <c r="P1559" s="48" t="s">
        <v>1312</v>
      </c>
      <c r="Q1559" s="48" t="s">
        <v>31</v>
      </c>
      <c r="R1559" s="48" t="s">
        <v>31</v>
      </c>
      <c r="S1559" s="48" t="s">
        <v>31</v>
      </c>
      <c r="T1559" s="48" t="s">
        <v>31</v>
      </c>
      <c r="U1559" s="46" t="s">
        <v>1154</v>
      </c>
    </row>
    <row r="1560" spans="1:21">
      <c r="A1560" s="48" t="s">
        <v>1208</v>
      </c>
      <c r="B1560" s="48" t="s">
        <v>52</v>
      </c>
      <c r="C1560" s="48" t="s">
        <v>666</v>
      </c>
      <c r="D1560" s="48">
        <v>1</v>
      </c>
      <c r="E1560" s="48">
        <v>0</v>
      </c>
      <c r="F1560" t="s">
        <v>696</v>
      </c>
      <c r="G1560" s="48" t="s">
        <v>1305</v>
      </c>
      <c r="H1560" s="48" t="s">
        <v>1313</v>
      </c>
      <c r="I1560" s="48" t="s">
        <v>1313</v>
      </c>
      <c r="J1560" s="48" t="s">
        <v>4443</v>
      </c>
      <c r="K1560" s="48" t="s">
        <v>1314</v>
      </c>
      <c r="L1560" s="48" t="s">
        <v>4444</v>
      </c>
      <c r="M1560" s="48" t="s">
        <v>4432</v>
      </c>
      <c r="N1560" s="48" t="s">
        <v>1310</v>
      </c>
      <c r="O1560" s="48" t="s">
        <v>1311</v>
      </c>
      <c r="P1560" s="48" t="s">
        <v>1312</v>
      </c>
      <c r="Q1560" s="48" t="s">
        <v>31</v>
      </c>
      <c r="R1560" s="48" t="s">
        <v>31</v>
      </c>
      <c r="S1560" s="48" t="s">
        <v>31</v>
      </c>
      <c r="T1560" s="48" t="s">
        <v>31</v>
      </c>
      <c r="U1560" s="46" t="s">
        <v>1154</v>
      </c>
    </row>
    <row r="1561" spans="1:21">
      <c r="A1561" s="48" t="s">
        <v>1208</v>
      </c>
      <c r="B1561" s="48" t="s">
        <v>52</v>
      </c>
      <c r="C1561" s="48" t="s">
        <v>666</v>
      </c>
      <c r="D1561" s="48">
        <v>1</v>
      </c>
      <c r="E1561" s="48">
        <v>0</v>
      </c>
      <c r="F1561" t="s">
        <v>696</v>
      </c>
      <c r="G1561" s="48" t="s">
        <v>1305</v>
      </c>
      <c r="H1561" s="48" t="s">
        <v>1306</v>
      </c>
      <c r="I1561" s="48" t="s">
        <v>1306</v>
      </c>
      <c r="J1561" s="48" t="s">
        <v>4445</v>
      </c>
      <c r="K1561" s="48" t="s">
        <v>1307</v>
      </c>
      <c r="L1561" s="48" t="s">
        <v>4446</v>
      </c>
      <c r="M1561" s="48" t="s">
        <v>4432</v>
      </c>
      <c r="N1561" s="48" t="s">
        <v>1310</v>
      </c>
      <c r="O1561" s="48" t="s">
        <v>1311</v>
      </c>
      <c r="P1561" s="48" t="s">
        <v>1312</v>
      </c>
      <c r="Q1561" s="48" t="s">
        <v>31</v>
      </c>
      <c r="R1561" s="48" t="s">
        <v>31</v>
      </c>
      <c r="S1561" s="48" t="s">
        <v>31</v>
      </c>
      <c r="T1561" s="48" t="s">
        <v>31</v>
      </c>
      <c r="U1561" s="46" t="s">
        <v>1154</v>
      </c>
    </row>
    <row r="1562" spans="1:21">
      <c r="A1562" s="48" t="s">
        <v>1168</v>
      </c>
      <c r="B1562" s="48" t="s">
        <v>65</v>
      </c>
      <c r="C1562" s="48" t="s">
        <v>666</v>
      </c>
      <c r="D1562" s="48">
        <v>1</v>
      </c>
      <c r="E1562" s="48">
        <v>0</v>
      </c>
      <c r="F1562" t="s">
        <v>686</v>
      </c>
      <c r="G1562" s="48" t="s">
        <v>1305</v>
      </c>
      <c r="H1562" s="48" t="s">
        <v>4447</v>
      </c>
      <c r="I1562" s="48" t="s">
        <v>4447</v>
      </c>
      <c r="J1562" s="48" t="s">
        <v>4448</v>
      </c>
      <c r="K1562" s="48" t="s">
        <v>1317</v>
      </c>
      <c r="L1562" s="48" t="s">
        <v>4449</v>
      </c>
      <c r="M1562" s="48" t="s">
        <v>4432</v>
      </c>
      <c r="N1562" s="48" t="s">
        <v>1310</v>
      </c>
      <c r="O1562" s="48" t="s">
        <v>1311</v>
      </c>
      <c r="P1562" s="48" t="s">
        <v>1312</v>
      </c>
      <c r="Q1562" s="48" t="s">
        <v>31</v>
      </c>
      <c r="R1562" s="48" t="s">
        <v>31</v>
      </c>
      <c r="S1562" s="48" t="s">
        <v>31</v>
      </c>
      <c r="T1562" s="48" t="s">
        <v>31</v>
      </c>
      <c r="U1562" s="46" t="s">
        <v>1154</v>
      </c>
    </row>
    <row r="1563" spans="1:21">
      <c r="A1563" s="48" t="s">
        <v>1168</v>
      </c>
      <c r="B1563" s="48" t="s">
        <v>65</v>
      </c>
      <c r="C1563" s="48" t="s">
        <v>666</v>
      </c>
      <c r="D1563" s="48">
        <v>1</v>
      </c>
      <c r="E1563" s="48">
        <v>0</v>
      </c>
      <c r="F1563" t="s">
        <v>686</v>
      </c>
      <c r="G1563" s="48" t="s">
        <v>1305</v>
      </c>
      <c r="H1563" s="48" t="s">
        <v>4450</v>
      </c>
      <c r="I1563" s="48" t="s">
        <v>4450</v>
      </c>
      <c r="J1563" s="48" t="s">
        <v>4451</v>
      </c>
      <c r="K1563" s="48" t="s">
        <v>1323</v>
      </c>
      <c r="L1563" s="48" t="s">
        <v>4452</v>
      </c>
      <c r="M1563" s="48" t="s">
        <v>4432</v>
      </c>
      <c r="N1563" s="48" t="s">
        <v>1310</v>
      </c>
      <c r="O1563" s="48" t="s">
        <v>1311</v>
      </c>
      <c r="P1563" s="48" t="s">
        <v>1312</v>
      </c>
      <c r="Q1563" s="48" t="s">
        <v>31</v>
      </c>
      <c r="R1563" s="48" t="s">
        <v>31</v>
      </c>
      <c r="S1563" s="48" t="s">
        <v>31</v>
      </c>
      <c r="T1563" s="48" t="s">
        <v>31</v>
      </c>
      <c r="U1563" s="46" t="s">
        <v>1154</v>
      </c>
    </row>
    <row r="1564" spans="1:21">
      <c r="A1564" s="48" t="s">
        <v>1168</v>
      </c>
      <c r="B1564" s="48" t="s">
        <v>65</v>
      </c>
      <c r="C1564" s="48" t="s">
        <v>666</v>
      </c>
      <c r="D1564" s="48">
        <v>1</v>
      </c>
      <c r="E1564" s="48">
        <v>0</v>
      </c>
      <c r="F1564" t="s">
        <v>686</v>
      </c>
      <c r="G1564" s="48" t="s">
        <v>1305</v>
      </c>
      <c r="H1564" s="48" t="s">
        <v>4453</v>
      </c>
      <c r="I1564" s="48" t="s">
        <v>4453</v>
      </c>
      <c r="J1564" s="48" t="s">
        <v>4454</v>
      </c>
      <c r="K1564" s="48" t="s">
        <v>1332</v>
      </c>
      <c r="L1564" s="48" t="s">
        <v>4455</v>
      </c>
      <c r="M1564" s="48" t="s">
        <v>4432</v>
      </c>
      <c r="N1564" s="48" t="s">
        <v>1310</v>
      </c>
      <c r="O1564" s="48" t="s">
        <v>1311</v>
      </c>
      <c r="P1564" s="48" t="s">
        <v>1312</v>
      </c>
      <c r="Q1564" s="48" t="s">
        <v>31</v>
      </c>
      <c r="R1564" s="48" t="s">
        <v>31</v>
      </c>
      <c r="S1564" s="48" t="s">
        <v>31</v>
      </c>
      <c r="T1564" s="48" t="s">
        <v>31</v>
      </c>
      <c r="U1564" s="46" t="s">
        <v>1154</v>
      </c>
    </row>
    <row r="1565" spans="1:21">
      <c r="A1565" s="48" t="s">
        <v>1168</v>
      </c>
      <c r="B1565" s="48" t="s">
        <v>65</v>
      </c>
      <c r="C1565" s="48" t="s">
        <v>666</v>
      </c>
      <c r="D1565" s="48">
        <v>1</v>
      </c>
      <c r="E1565" s="48">
        <v>0</v>
      </c>
      <c r="F1565" t="s">
        <v>686</v>
      </c>
      <c r="G1565" s="48" t="s">
        <v>1305</v>
      </c>
      <c r="H1565" s="48" t="s">
        <v>4456</v>
      </c>
      <c r="I1565" s="48" t="s">
        <v>4456</v>
      </c>
      <c r="J1565" s="48" t="s">
        <v>4457</v>
      </c>
      <c r="K1565" s="48" t="s">
        <v>1329</v>
      </c>
      <c r="L1565" s="48" t="s">
        <v>4458</v>
      </c>
      <c r="M1565" s="48" t="s">
        <v>4432</v>
      </c>
      <c r="N1565" s="48" t="s">
        <v>1310</v>
      </c>
      <c r="O1565" s="48" t="s">
        <v>1311</v>
      </c>
      <c r="P1565" s="48" t="s">
        <v>1312</v>
      </c>
      <c r="Q1565" s="48" t="s">
        <v>31</v>
      </c>
      <c r="R1565" s="48" t="s">
        <v>31</v>
      </c>
      <c r="S1565" s="48" t="s">
        <v>31</v>
      </c>
      <c r="T1565" s="48" t="s">
        <v>31</v>
      </c>
      <c r="U1565" s="46" t="s">
        <v>1154</v>
      </c>
    </row>
    <row r="1566" spans="1:21">
      <c r="A1566" s="48" t="s">
        <v>1168</v>
      </c>
      <c r="B1566" s="48" t="s">
        <v>65</v>
      </c>
      <c r="C1566" s="48" t="s">
        <v>666</v>
      </c>
      <c r="D1566" s="48">
        <v>1</v>
      </c>
      <c r="E1566" s="48">
        <v>0</v>
      </c>
      <c r="F1566" t="s">
        <v>686</v>
      </c>
      <c r="G1566" s="48" t="s">
        <v>1305</v>
      </c>
      <c r="H1566" s="48" t="s">
        <v>4459</v>
      </c>
      <c r="I1566" s="48" t="s">
        <v>4459</v>
      </c>
      <c r="J1566" s="48" t="s">
        <v>4460</v>
      </c>
      <c r="K1566" s="48" t="s">
        <v>1314</v>
      </c>
      <c r="L1566" s="48" t="s">
        <v>4461</v>
      </c>
      <c r="M1566" s="48" t="s">
        <v>4432</v>
      </c>
      <c r="N1566" s="48" t="s">
        <v>1310</v>
      </c>
      <c r="O1566" s="48" t="s">
        <v>1311</v>
      </c>
      <c r="P1566" s="48" t="s">
        <v>1312</v>
      </c>
      <c r="Q1566" s="48" t="s">
        <v>31</v>
      </c>
      <c r="R1566" s="48" t="s">
        <v>31</v>
      </c>
      <c r="S1566" s="48" t="s">
        <v>31</v>
      </c>
      <c r="T1566" s="48" t="s">
        <v>31</v>
      </c>
      <c r="U1566" s="46" t="s">
        <v>1154</v>
      </c>
    </row>
    <row r="1567" spans="1:21">
      <c r="A1567" s="48" t="s">
        <v>1168</v>
      </c>
      <c r="B1567" s="48" t="s">
        <v>65</v>
      </c>
      <c r="C1567" s="48" t="s">
        <v>666</v>
      </c>
      <c r="D1567" s="48">
        <v>1</v>
      </c>
      <c r="E1567" s="48">
        <v>0</v>
      </c>
      <c r="F1567" t="s">
        <v>686</v>
      </c>
      <c r="G1567" s="48" t="s">
        <v>1305</v>
      </c>
      <c r="H1567" s="48" t="s">
        <v>4462</v>
      </c>
      <c r="I1567" s="48" t="s">
        <v>4462</v>
      </c>
      <c r="J1567" s="48" t="s">
        <v>4463</v>
      </c>
      <c r="K1567" s="48" t="s">
        <v>1320</v>
      </c>
      <c r="L1567" s="48" t="s">
        <v>4464</v>
      </c>
      <c r="M1567" s="48" t="s">
        <v>4432</v>
      </c>
      <c r="N1567" s="48" t="s">
        <v>1310</v>
      </c>
      <c r="O1567" s="48" t="s">
        <v>1311</v>
      </c>
      <c r="P1567" s="48" t="s">
        <v>1312</v>
      </c>
      <c r="Q1567" s="48" t="s">
        <v>31</v>
      </c>
      <c r="R1567" s="48" t="s">
        <v>31</v>
      </c>
      <c r="S1567" s="48" t="s">
        <v>31</v>
      </c>
      <c r="T1567" s="48" t="s">
        <v>31</v>
      </c>
      <c r="U1567" s="46" t="s">
        <v>1154</v>
      </c>
    </row>
    <row r="1568" spans="1:21">
      <c r="A1568" s="48" t="s">
        <v>1168</v>
      </c>
      <c r="B1568" s="48" t="s">
        <v>65</v>
      </c>
      <c r="C1568" s="48" t="s">
        <v>666</v>
      </c>
      <c r="D1568" s="48">
        <v>1</v>
      </c>
      <c r="E1568" s="48">
        <v>0</v>
      </c>
      <c r="F1568" t="s">
        <v>686</v>
      </c>
      <c r="G1568" s="48" t="s">
        <v>1305</v>
      </c>
      <c r="H1568" s="48" t="s">
        <v>4465</v>
      </c>
      <c r="I1568" s="48" t="s">
        <v>4465</v>
      </c>
      <c r="J1568" s="48" t="s">
        <v>4466</v>
      </c>
      <c r="K1568" s="48" t="s">
        <v>1326</v>
      </c>
      <c r="L1568" s="48" t="s">
        <v>4467</v>
      </c>
      <c r="M1568" s="48" t="s">
        <v>4432</v>
      </c>
      <c r="N1568" s="48" t="s">
        <v>1310</v>
      </c>
      <c r="O1568" s="48" t="s">
        <v>1311</v>
      </c>
      <c r="P1568" s="48" t="s">
        <v>1312</v>
      </c>
      <c r="Q1568" s="48" t="s">
        <v>31</v>
      </c>
      <c r="R1568" s="48" t="s">
        <v>31</v>
      </c>
      <c r="S1568" s="48" t="s">
        <v>31</v>
      </c>
      <c r="T1568" s="48" t="s">
        <v>31</v>
      </c>
      <c r="U1568" s="46" t="s">
        <v>1154</v>
      </c>
    </row>
    <row r="1569" spans="1:21">
      <c r="A1569" s="48" t="s">
        <v>1168</v>
      </c>
      <c r="B1569" s="48" t="s">
        <v>65</v>
      </c>
      <c r="C1569" s="48" t="s">
        <v>666</v>
      </c>
      <c r="D1569" s="48">
        <v>1</v>
      </c>
      <c r="E1569" s="48">
        <v>0</v>
      </c>
      <c r="F1569" t="s">
        <v>686</v>
      </c>
      <c r="G1569" s="48" t="s">
        <v>1305</v>
      </c>
      <c r="H1569" s="48" t="s">
        <v>4468</v>
      </c>
      <c r="I1569" s="48" t="s">
        <v>4468</v>
      </c>
      <c r="J1569" s="48" t="s">
        <v>4469</v>
      </c>
      <c r="K1569" s="48" t="s">
        <v>1307</v>
      </c>
      <c r="L1569" s="48" t="s">
        <v>4470</v>
      </c>
      <c r="M1569" s="48" t="s">
        <v>4432</v>
      </c>
      <c r="N1569" s="48" t="s">
        <v>1310</v>
      </c>
      <c r="O1569" s="48" t="s">
        <v>1311</v>
      </c>
      <c r="P1569" s="48" t="s">
        <v>1312</v>
      </c>
      <c r="Q1569" s="48" t="s">
        <v>31</v>
      </c>
      <c r="R1569" s="48" t="s">
        <v>31</v>
      </c>
      <c r="S1569" s="48" t="s">
        <v>31</v>
      </c>
      <c r="T1569" s="48" t="s">
        <v>31</v>
      </c>
      <c r="U1569" s="46" t="s">
        <v>1154</v>
      </c>
    </row>
    <row r="1570" spans="1:21">
      <c r="A1570" s="48" t="s">
        <v>1246</v>
      </c>
      <c r="B1570" s="48" t="s">
        <v>66</v>
      </c>
      <c r="C1570" s="48" t="s">
        <v>666</v>
      </c>
      <c r="D1570" s="48">
        <v>1</v>
      </c>
      <c r="E1570" s="48">
        <v>0</v>
      </c>
      <c r="F1570" t="s">
        <v>696</v>
      </c>
      <c r="G1570" s="48" t="s">
        <v>1305</v>
      </c>
      <c r="H1570" s="48" t="s">
        <v>1368</v>
      </c>
      <c r="I1570" s="48" t="s">
        <v>1368</v>
      </c>
      <c r="J1570" s="48" t="s">
        <v>4471</v>
      </c>
      <c r="K1570" s="48" t="s">
        <v>1326</v>
      </c>
      <c r="L1570" s="48" t="s">
        <v>4472</v>
      </c>
      <c r="M1570" s="48" t="s">
        <v>4432</v>
      </c>
      <c r="N1570" s="48" t="s">
        <v>1310</v>
      </c>
      <c r="O1570" s="48" t="s">
        <v>1311</v>
      </c>
      <c r="P1570" s="48" t="s">
        <v>1312</v>
      </c>
      <c r="Q1570" s="48" t="s">
        <v>31</v>
      </c>
      <c r="R1570" s="48" t="s">
        <v>31</v>
      </c>
      <c r="S1570" s="48" t="s">
        <v>31</v>
      </c>
      <c r="T1570" s="48" t="s">
        <v>31</v>
      </c>
      <c r="U1570" s="46" t="s">
        <v>1154</v>
      </c>
    </row>
    <row r="1571" spans="1:21">
      <c r="A1571" s="48" t="s">
        <v>1246</v>
      </c>
      <c r="B1571" s="48" t="s">
        <v>66</v>
      </c>
      <c r="C1571" s="48" t="s">
        <v>666</v>
      </c>
      <c r="D1571" s="48">
        <v>1</v>
      </c>
      <c r="E1571" s="48">
        <v>0</v>
      </c>
      <c r="F1571" t="s">
        <v>696</v>
      </c>
      <c r="G1571" s="48" t="s">
        <v>1305</v>
      </c>
      <c r="H1571" s="48" t="s">
        <v>1362</v>
      </c>
      <c r="I1571" s="48" t="s">
        <v>1362</v>
      </c>
      <c r="J1571" s="48" t="s">
        <v>4473</v>
      </c>
      <c r="K1571" s="48" t="s">
        <v>1317</v>
      </c>
      <c r="L1571" s="48" t="s">
        <v>4474</v>
      </c>
      <c r="M1571" s="48" t="s">
        <v>4432</v>
      </c>
      <c r="N1571" s="48" t="s">
        <v>1310</v>
      </c>
      <c r="O1571" s="48" t="s">
        <v>1311</v>
      </c>
      <c r="P1571" s="48" t="s">
        <v>1312</v>
      </c>
      <c r="Q1571" s="48" t="s">
        <v>31</v>
      </c>
      <c r="R1571" s="48" t="s">
        <v>31</v>
      </c>
      <c r="S1571" s="48" t="s">
        <v>31</v>
      </c>
      <c r="T1571" s="48" t="s">
        <v>31</v>
      </c>
      <c r="U1571" s="46" t="s">
        <v>1154</v>
      </c>
    </row>
    <row r="1572" spans="1:21">
      <c r="A1572" s="48" t="s">
        <v>1246</v>
      </c>
      <c r="B1572" s="48" t="s">
        <v>66</v>
      </c>
      <c r="C1572" s="48" t="s">
        <v>666</v>
      </c>
      <c r="D1572" s="48">
        <v>1</v>
      </c>
      <c r="E1572" s="48">
        <v>0</v>
      </c>
      <c r="F1572" t="s">
        <v>696</v>
      </c>
      <c r="G1572" s="48" t="s">
        <v>1305</v>
      </c>
      <c r="H1572" s="48" t="s">
        <v>1370</v>
      </c>
      <c r="I1572" s="48" t="s">
        <v>1370</v>
      </c>
      <c r="J1572" s="48" t="s">
        <v>4475</v>
      </c>
      <c r="K1572" s="48" t="s">
        <v>1329</v>
      </c>
      <c r="L1572" s="48" t="s">
        <v>4476</v>
      </c>
      <c r="M1572" s="48" t="s">
        <v>4432</v>
      </c>
      <c r="N1572" s="48" t="s">
        <v>1310</v>
      </c>
      <c r="O1572" s="48" t="s">
        <v>1311</v>
      </c>
      <c r="P1572" s="48" t="s">
        <v>1312</v>
      </c>
      <c r="Q1572" s="48" t="s">
        <v>31</v>
      </c>
      <c r="R1572" s="48" t="s">
        <v>31</v>
      </c>
      <c r="S1572" s="48" t="s">
        <v>31</v>
      </c>
      <c r="T1572" s="48" t="s">
        <v>31</v>
      </c>
      <c r="U1572" s="46" t="s">
        <v>1154</v>
      </c>
    </row>
    <row r="1573" spans="1:21">
      <c r="A1573" s="48" t="s">
        <v>1246</v>
      </c>
      <c r="B1573" s="48" t="s">
        <v>66</v>
      </c>
      <c r="C1573" s="48" t="s">
        <v>666</v>
      </c>
      <c r="D1573" s="48">
        <v>1</v>
      </c>
      <c r="E1573" s="48">
        <v>0</v>
      </c>
      <c r="F1573" t="s">
        <v>696</v>
      </c>
      <c r="G1573" s="48" t="s">
        <v>1305</v>
      </c>
      <c r="H1573" s="48" t="s">
        <v>1366</v>
      </c>
      <c r="I1573" s="48" t="s">
        <v>1366</v>
      </c>
      <c r="J1573" s="48" t="s">
        <v>4477</v>
      </c>
      <c r="K1573" s="48" t="s">
        <v>1323</v>
      </c>
      <c r="L1573" s="49" t="s">
        <v>4478</v>
      </c>
      <c r="M1573" s="48" t="s">
        <v>4432</v>
      </c>
      <c r="N1573" s="48" t="s">
        <v>1310</v>
      </c>
      <c r="O1573" s="48" t="s">
        <v>1311</v>
      </c>
      <c r="P1573" s="48" t="s">
        <v>1312</v>
      </c>
      <c r="Q1573" s="48" t="s">
        <v>31</v>
      </c>
      <c r="R1573" s="48" t="s">
        <v>31</v>
      </c>
      <c r="S1573" s="48" t="s">
        <v>31</v>
      </c>
      <c r="T1573" s="48" t="s">
        <v>31</v>
      </c>
      <c r="U1573" s="46" t="s">
        <v>1154</v>
      </c>
    </row>
    <row r="1574" spans="1:21">
      <c r="A1574" s="48" t="s">
        <v>1246</v>
      </c>
      <c r="B1574" s="48" t="s">
        <v>66</v>
      </c>
      <c r="C1574" s="48" t="s">
        <v>666</v>
      </c>
      <c r="D1574" s="48">
        <v>1</v>
      </c>
      <c r="E1574" s="48">
        <v>0</v>
      </c>
      <c r="F1574" t="s">
        <v>696</v>
      </c>
      <c r="G1574" s="48" t="s">
        <v>1305</v>
      </c>
      <c r="H1574" s="48" t="s">
        <v>1360</v>
      </c>
      <c r="I1574" s="48" t="s">
        <v>1360</v>
      </c>
      <c r="J1574" s="48" t="s">
        <v>4479</v>
      </c>
      <c r="K1574" s="48" t="s">
        <v>1314</v>
      </c>
      <c r="L1574" s="48" t="s">
        <v>4480</v>
      </c>
      <c r="M1574" s="48" t="s">
        <v>4432</v>
      </c>
      <c r="N1574" s="48" t="s">
        <v>1310</v>
      </c>
      <c r="O1574" s="48" t="s">
        <v>1311</v>
      </c>
      <c r="P1574" s="48" t="s">
        <v>1312</v>
      </c>
      <c r="Q1574" s="48" t="s">
        <v>31</v>
      </c>
      <c r="R1574" s="48" t="s">
        <v>31</v>
      </c>
      <c r="S1574" s="48" t="s">
        <v>31</v>
      </c>
      <c r="T1574" s="48" t="s">
        <v>31</v>
      </c>
      <c r="U1574" s="46" t="s">
        <v>1154</v>
      </c>
    </row>
    <row r="1575" spans="1:21">
      <c r="A1575" s="48" t="s">
        <v>1246</v>
      </c>
      <c r="B1575" s="48" t="s">
        <v>66</v>
      </c>
      <c r="C1575" s="48" t="s">
        <v>666</v>
      </c>
      <c r="D1575" s="48">
        <v>1</v>
      </c>
      <c r="E1575" s="48">
        <v>0</v>
      </c>
      <c r="F1575" t="s">
        <v>696</v>
      </c>
      <c r="G1575" s="48" t="s">
        <v>1305</v>
      </c>
      <c r="H1575" s="48" t="s">
        <v>1364</v>
      </c>
      <c r="I1575" s="48" t="s">
        <v>1364</v>
      </c>
      <c r="J1575" s="48" t="s">
        <v>4481</v>
      </c>
      <c r="K1575" s="48" t="s">
        <v>1320</v>
      </c>
      <c r="L1575" s="48" t="s">
        <v>4482</v>
      </c>
      <c r="M1575" s="48" t="s">
        <v>4432</v>
      </c>
      <c r="N1575" s="48" t="s">
        <v>1310</v>
      </c>
      <c r="O1575" s="48" t="s">
        <v>1311</v>
      </c>
      <c r="P1575" s="48" t="s">
        <v>1312</v>
      </c>
      <c r="Q1575" s="48" t="s">
        <v>31</v>
      </c>
      <c r="R1575" s="48" t="s">
        <v>31</v>
      </c>
      <c r="S1575" s="48" t="s">
        <v>31</v>
      </c>
      <c r="T1575" s="48" t="s">
        <v>31</v>
      </c>
      <c r="U1575" s="46" t="s">
        <v>1154</v>
      </c>
    </row>
    <row r="1576" spans="1:21">
      <c r="A1576" s="48" t="s">
        <v>1246</v>
      </c>
      <c r="B1576" s="48" t="s">
        <v>66</v>
      </c>
      <c r="C1576" s="48" t="s">
        <v>666</v>
      </c>
      <c r="D1576" s="48">
        <v>1</v>
      </c>
      <c r="E1576" s="48">
        <v>0</v>
      </c>
      <c r="F1576" t="s">
        <v>696</v>
      </c>
      <c r="G1576" s="48" t="s">
        <v>1305</v>
      </c>
      <c r="H1576" s="48" t="s">
        <v>1372</v>
      </c>
      <c r="I1576" s="48" t="s">
        <v>1372</v>
      </c>
      <c r="J1576" s="48" t="s">
        <v>4483</v>
      </c>
      <c r="K1576" s="48" t="s">
        <v>1332</v>
      </c>
      <c r="L1576" s="48" t="s">
        <v>4484</v>
      </c>
      <c r="M1576" s="48" t="s">
        <v>4432</v>
      </c>
      <c r="N1576" s="48" t="s">
        <v>1310</v>
      </c>
      <c r="O1576" s="48" t="s">
        <v>1311</v>
      </c>
      <c r="P1576" s="48" t="s">
        <v>1312</v>
      </c>
      <c r="Q1576" s="48" t="s">
        <v>31</v>
      </c>
      <c r="R1576" s="48" t="s">
        <v>31</v>
      </c>
      <c r="S1576" s="48" t="s">
        <v>31</v>
      </c>
      <c r="T1576" s="48" t="s">
        <v>31</v>
      </c>
      <c r="U1576" s="46" t="s">
        <v>1154</v>
      </c>
    </row>
    <row r="1577" spans="1:21">
      <c r="A1577" s="48" t="s">
        <v>1246</v>
      </c>
      <c r="B1577" s="48" t="s">
        <v>66</v>
      </c>
      <c r="C1577" s="48" t="s">
        <v>666</v>
      </c>
      <c r="D1577" s="48">
        <v>1</v>
      </c>
      <c r="E1577" s="48">
        <v>0</v>
      </c>
      <c r="F1577" t="s">
        <v>696</v>
      </c>
      <c r="G1577" s="48" t="s">
        <v>1305</v>
      </c>
      <c r="H1577" s="48" t="s">
        <v>1358</v>
      </c>
      <c r="I1577" s="48" t="s">
        <v>1358</v>
      </c>
      <c r="J1577" s="48" t="s">
        <v>4485</v>
      </c>
      <c r="K1577" s="48" t="s">
        <v>1307</v>
      </c>
      <c r="L1577" s="48" t="s">
        <v>4486</v>
      </c>
      <c r="M1577" s="48" t="s">
        <v>4432</v>
      </c>
      <c r="N1577" s="48" t="s">
        <v>1310</v>
      </c>
      <c r="O1577" s="48" t="s">
        <v>1311</v>
      </c>
      <c r="P1577" s="48" t="s">
        <v>1312</v>
      </c>
      <c r="Q1577" s="48" t="s">
        <v>31</v>
      </c>
      <c r="R1577" s="48" t="s">
        <v>31</v>
      </c>
      <c r="S1577" s="48" t="s">
        <v>31</v>
      </c>
      <c r="T1577" s="48" t="s">
        <v>31</v>
      </c>
      <c r="U1577" s="46" t="s">
        <v>1154</v>
      </c>
    </row>
    <row r="1578" spans="1:21">
      <c r="A1578" s="48" t="s">
        <v>1216</v>
      </c>
      <c r="B1578" s="48" t="s">
        <v>71</v>
      </c>
      <c r="C1578" s="48" t="s">
        <v>666</v>
      </c>
      <c r="D1578" s="48">
        <v>1</v>
      </c>
      <c r="E1578" s="48">
        <v>0</v>
      </c>
      <c r="F1578" t="s">
        <v>686</v>
      </c>
      <c r="G1578" s="48" t="s">
        <v>1305</v>
      </c>
      <c r="H1578" s="48" t="s">
        <v>4487</v>
      </c>
      <c r="I1578" s="48" t="s">
        <v>4487</v>
      </c>
      <c r="J1578" s="48" t="s">
        <v>4488</v>
      </c>
      <c r="K1578" s="48" t="s">
        <v>1317</v>
      </c>
      <c r="L1578" s="48" t="s">
        <v>4489</v>
      </c>
      <c r="M1578" s="48" t="s">
        <v>4432</v>
      </c>
      <c r="N1578" s="48" t="s">
        <v>1310</v>
      </c>
      <c r="O1578" s="48" t="s">
        <v>1311</v>
      </c>
      <c r="P1578" s="48" t="s">
        <v>1312</v>
      </c>
      <c r="Q1578" s="48" t="s">
        <v>31</v>
      </c>
      <c r="R1578" s="48" t="s">
        <v>31</v>
      </c>
      <c r="S1578" s="48" t="s">
        <v>31</v>
      </c>
      <c r="T1578" s="48" t="s">
        <v>31</v>
      </c>
      <c r="U1578" s="46" t="s">
        <v>1154</v>
      </c>
    </row>
    <row r="1579" spans="1:21">
      <c r="A1579" s="48" t="s">
        <v>1216</v>
      </c>
      <c r="B1579" s="48" t="s">
        <v>71</v>
      </c>
      <c r="C1579" s="48" t="s">
        <v>666</v>
      </c>
      <c r="D1579" s="48">
        <v>1</v>
      </c>
      <c r="E1579" s="48">
        <v>0</v>
      </c>
      <c r="F1579" t="s">
        <v>686</v>
      </c>
      <c r="G1579" s="48" t="s">
        <v>1305</v>
      </c>
      <c r="H1579" s="48" t="s">
        <v>4490</v>
      </c>
      <c r="I1579" s="48" t="s">
        <v>4490</v>
      </c>
      <c r="J1579" s="48" t="s">
        <v>4491</v>
      </c>
      <c r="K1579" s="48" t="s">
        <v>1323</v>
      </c>
      <c r="L1579" s="48" t="s">
        <v>4492</v>
      </c>
      <c r="M1579" s="48" t="s">
        <v>4432</v>
      </c>
      <c r="N1579" s="48" t="s">
        <v>1310</v>
      </c>
      <c r="O1579" s="48" t="s">
        <v>1311</v>
      </c>
      <c r="P1579" s="48" t="s">
        <v>1312</v>
      </c>
      <c r="Q1579" s="48" t="s">
        <v>31</v>
      </c>
      <c r="R1579" s="48" t="s">
        <v>31</v>
      </c>
      <c r="S1579" s="48" t="s">
        <v>31</v>
      </c>
      <c r="T1579" s="48" t="s">
        <v>31</v>
      </c>
      <c r="U1579" s="46" t="s">
        <v>1154</v>
      </c>
    </row>
    <row r="1580" spans="1:21">
      <c r="A1580" s="48" t="s">
        <v>1216</v>
      </c>
      <c r="B1580" s="48" t="s">
        <v>71</v>
      </c>
      <c r="C1580" s="48" t="s">
        <v>666</v>
      </c>
      <c r="D1580" s="48">
        <v>1</v>
      </c>
      <c r="E1580" s="48">
        <v>0</v>
      </c>
      <c r="F1580" t="s">
        <v>686</v>
      </c>
      <c r="G1580" s="48" t="s">
        <v>1305</v>
      </c>
      <c r="H1580" s="48" t="s">
        <v>4493</v>
      </c>
      <c r="I1580" s="48" t="s">
        <v>4493</v>
      </c>
      <c r="J1580" s="48" t="s">
        <v>4494</v>
      </c>
      <c r="K1580" s="48" t="s">
        <v>1307</v>
      </c>
      <c r="L1580" s="49" t="s">
        <v>4495</v>
      </c>
      <c r="M1580" s="48" t="s">
        <v>4432</v>
      </c>
      <c r="N1580" s="48" t="s">
        <v>1310</v>
      </c>
      <c r="O1580" s="48" t="s">
        <v>1311</v>
      </c>
      <c r="P1580" s="48" t="s">
        <v>1312</v>
      </c>
      <c r="Q1580" s="48" t="s">
        <v>31</v>
      </c>
      <c r="R1580" s="48" t="s">
        <v>31</v>
      </c>
      <c r="S1580" s="48" t="s">
        <v>31</v>
      </c>
      <c r="T1580" s="48" t="s">
        <v>31</v>
      </c>
      <c r="U1580" s="46" t="s">
        <v>1154</v>
      </c>
    </row>
    <row r="1581" spans="1:21">
      <c r="A1581" s="48" t="s">
        <v>1216</v>
      </c>
      <c r="B1581" s="48" t="s">
        <v>71</v>
      </c>
      <c r="C1581" s="48" t="s">
        <v>666</v>
      </c>
      <c r="D1581" s="48">
        <v>1</v>
      </c>
      <c r="E1581" s="48">
        <v>0</v>
      </c>
      <c r="F1581" t="s">
        <v>686</v>
      </c>
      <c r="G1581" s="48" t="s">
        <v>1305</v>
      </c>
      <c r="H1581" s="48" t="s">
        <v>4496</v>
      </c>
      <c r="I1581" s="48" t="s">
        <v>4496</v>
      </c>
      <c r="J1581" s="48" t="s">
        <v>4497</v>
      </c>
      <c r="K1581" s="48" t="s">
        <v>1332</v>
      </c>
      <c r="L1581" s="48" t="s">
        <v>4498</v>
      </c>
      <c r="M1581" s="48" t="s">
        <v>4432</v>
      </c>
      <c r="N1581" s="48" t="s">
        <v>1310</v>
      </c>
      <c r="O1581" s="48" t="s">
        <v>1311</v>
      </c>
      <c r="P1581" s="48" t="s">
        <v>1312</v>
      </c>
      <c r="Q1581" s="48" t="s">
        <v>31</v>
      </c>
      <c r="R1581" s="48" t="s">
        <v>31</v>
      </c>
      <c r="S1581" s="48" t="s">
        <v>31</v>
      </c>
      <c r="T1581" s="48" t="s">
        <v>31</v>
      </c>
      <c r="U1581" s="46" t="s">
        <v>1154</v>
      </c>
    </row>
    <row r="1582" spans="1:21">
      <c r="A1582" s="48" t="s">
        <v>1216</v>
      </c>
      <c r="B1582" s="48" t="s">
        <v>71</v>
      </c>
      <c r="C1582" s="48" t="s">
        <v>666</v>
      </c>
      <c r="D1582" s="48">
        <v>1</v>
      </c>
      <c r="E1582" s="48">
        <v>0</v>
      </c>
      <c r="F1582" t="s">
        <v>686</v>
      </c>
      <c r="G1582" s="48" t="s">
        <v>1305</v>
      </c>
      <c r="H1582" s="48" t="s">
        <v>4499</v>
      </c>
      <c r="I1582" s="48" t="s">
        <v>4499</v>
      </c>
      <c r="J1582" s="48" t="s">
        <v>4500</v>
      </c>
      <c r="K1582" s="48" t="s">
        <v>1326</v>
      </c>
      <c r="L1582" s="48" t="s">
        <v>4501</v>
      </c>
      <c r="M1582" s="48" t="s">
        <v>4432</v>
      </c>
      <c r="N1582" s="48" t="s">
        <v>1310</v>
      </c>
      <c r="O1582" s="48" t="s">
        <v>1311</v>
      </c>
      <c r="P1582" s="48" t="s">
        <v>1312</v>
      </c>
      <c r="Q1582" s="48" t="s">
        <v>31</v>
      </c>
      <c r="R1582" s="48" t="s">
        <v>31</v>
      </c>
      <c r="S1582" s="48" t="s">
        <v>31</v>
      </c>
      <c r="T1582" s="48" t="s">
        <v>31</v>
      </c>
      <c r="U1582" s="46" t="s">
        <v>1154</v>
      </c>
    </row>
    <row r="1583" spans="1:21">
      <c r="A1583" s="48" t="s">
        <v>1216</v>
      </c>
      <c r="B1583" s="48" t="s">
        <v>71</v>
      </c>
      <c r="C1583" s="48" t="s">
        <v>666</v>
      </c>
      <c r="D1583" s="48">
        <v>1</v>
      </c>
      <c r="E1583" s="48">
        <v>0</v>
      </c>
      <c r="F1583" t="s">
        <v>686</v>
      </c>
      <c r="G1583" s="48" t="s">
        <v>1305</v>
      </c>
      <c r="H1583" s="48" t="s">
        <v>4502</v>
      </c>
      <c r="I1583" s="48" t="s">
        <v>4502</v>
      </c>
      <c r="J1583" s="48" t="s">
        <v>4503</v>
      </c>
      <c r="K1583" s="48" t="s">
        <v>1320</v>
      </c>
      <c r="L1583" s="48" t="s">
        <v>4504</v>
      </c>
      <c r="M1583" s="48" t="s">
        <v>4432</v>
      </c>
      <c r="N1583" s="48" t="s">
        <v>1310</v>
      </c>
      <c r="O1583" s="48" t="s">
        <v>1311</v>
      </c>
      <c r="P1583" s="48" t="s">
        <v>1312</v>
      </c>
      <c r="Q1583" s="48" t="s">
        <v>31</v>
      </c>
      <c r="R1583" s="48" t="s">
        <v>31</v>
      </c>
      <c r="S1583" s="48" t="s">
        <v>31</v>
      </c>
      <c r="T1583" s="48" t="s">
        <v>31</v>
      </c>
      <c r="U1583" s="46" t="s">
        <v>1154</v>
      </c>
    </row>
    <row r="1584" spans="1:21">
      <c r="A1584" s="48" t="s">
        <v>1216</v>
      </c>
      <c r="B1584" s="48" t="s">
        <v>71</v>
      </c>
      <c r="C1584" s="48" t="s">
        <v>666</v>
      </c>
      <c r="D1584" s="48">
        <v>1</v>
      </c>
      <c r="E1584" s="48">
        <v>0</v>
      </c>
      <c r="F1584" t="s">
        <v>686</v>
      </c>
      <c r="G1584" s="48" t="s">
        <v>1305</v>
      </c>
      <c r="H1584" s="48" t="s">
        <v>4505</v>
      </c>
      <c r="I1584" s="48" t="s">
        <v>4505</v>
      </c>
      <c r="J1584" s="48" t="s">
        <v>4506</v>
      </c>
      <c r="K1584" s="48" t="s">
        <v>1314</v>
      </c>
      <c r="L1584" s="48" t="s">
        <v>4507</v>
      </c>
      <c r="M1584" s="48" t="s">
        <v>4432</v>
      </c>
      <c r="N1584" s="48" t="s">
        <v>1310</v>
      </c>
      <c r="O1584" s="48" t="s">
        <v>1311</v>
      </c>
      <c r="P1584" s="48" t="s">
        <v>1312</v>
      </c>
      <c r="Q1584" s="48" t="s">
        <v>31</v>
      </c>
      <c r="R1584" s="48" t="s">
        <v>31</v>
      </c>
      <c r="S1584" s="48" t="s">
        <v>31</v>
      </c>
      <c r="T1584" s="48" t="s">
        <v>31</v>
      </c>
      <c r="U1584" s="46" t="s">
        <v>1154</v>
      </c>
    </row>
    <row r="1585" spans="1:21">
      <c r="A1585" s="48" t="s">
        <v>1216</v>
      </c>
      <c r="B1585" s="48" t="s">
        <v>71</v>
      </c>
      <c r="C1585" s="48" t="s">
        <v>666</v>
      </c>
      <c r="D1585" s="48">
        <v>1</v>
      </c>
      <c r="E1585" s="48">
        <v>0</v>
      </c>
      <c r="F1585" t="s">
        <v>686</v>
      </c>
      <c r="G1585" s="48" t="s">
        <v>1305</v>
      </c>
      <c r="H1585" s="48" t="s">
        <v>4508</v>
      </c>
      <c r="I1585" s="48" t="s">
        <v>4508</v>
      </c>
      <c r="J1585" s="48" t="s">
        <v>4509</v>
      </c>
      <c r="K1585" s="48" t="s">
        <v>1329</v>
      </c>
      <c r="L1585" s="48" t="s">
        <v>4510</v>
      </c>
      <c r="M1585" s="48" t="s">
        <v>4432</v>
      </c>
      <c r="N1585" s="48" t="s">
        <v>1310</v>
      </c>
      <c r="O1585" s="48" t="s">
        <v>1311</v>
      </c>
      <c r="P1585" s="48" t="s">
        <v>1312</v>
      </c>
      <c r="Q1585" s="48" t="s">
        <v>31</v>
      </c>
      <c r="R1585" s="48" t="s">
        <v>31</v>
      </c>
      <c r="S1585" s="48" t="s">
        <v>31</v>
      </c>
      <c r="T1585" s="48" t="s">
        <v>31</v>
      </c>
      <c r="U1585" s="46" t="s">
        <v>1154</v>
      </c>
    </row>
    <row r="1586" spans="1:21">
      <c r="A1586" s="48" t="s">
        <v>1258</v>
      </c>
      <c r="B1586" s="48" t="s">
        <v>74</v>
      </c>
      <c r="C1586" s="48" t="s">
        <v>666</v>
      </c>
      <c r="D1586" s="48">
        <v>5</v>
      </c>
      <c r="E1586" s="48">
        <v>1</v>
      </c>
      <c r="F1586" t="s">
        <v>679</v>
      </c>
      <c r="G1586" s="48" t="s">
        <v>1305</v>
      </c>
      <c r="H1586" s="48" t="s">
        <v>4511</v>
      </c>
      <c r="I1586" s="48" t="s">
        <v>4511</v>
      </c>
      <c r="J1586" s="48" t="s">
        <v>4512</v>
      </c>
      <c r="K1586" s="48" t="s">
        <v>1329</v>
      </c>
      <c r="L1586" s="48" t="s">
        <v>4513</v>
      </c>
      <c r="M1586" s="48" t="s">
        <v>4432</v>
      </c>
      <c r="N1586" s="48" t="s">
        <v>1310</v>
      </c>
      <c r="O1586" s="48" t="s">
        <v>1311</v>
      </c>
      <c r="P1586" s="48" t="s">
        <v>1312</v>
      </c>
      <c r="Q1586" s="48" t="s">
        <v>31</v>
      </c>
      <c r="R1586" s="48" t="s">
        <v>31</v>
      </c>
      <c r="S1586" s="48" t="s">
        <v>31</v>
      </c>
      <c r="T1586" s="48" t="s">
        <v>31</v>
      </c>
      <c r="U1586" s="46" t="s">
        <v>1154</v>
      </c>
    </row>
    <row r="1587" spans="1:21">
      <c r="A1587" s="48" t="s">
        <v>1258</v>
      </c>
      <c r="B1587" s="48" t="s">
        <v>74</v>
      </c>
      <c r="C1587" s="48" t="s">
        <v>666</v>
      </c>
      <c r="D1587" s="48">
        <v>5</v>
      </c>
      <c r="E1587" s="48">
        <v>1</v>
      </c>
      <c r="F1587" t="s">
        <v>679</v>
      </c>
      <c r="G1587" s="48" t="s">
        <v>1305</v>
      </c>
      <c r="H1587" s="48" t="s">
        <v>4514</v>
      </c>
      <c r="I1587" s="48" t="s">
        <v>4514</v>
      </c>
      <c r="J1587" s="48" t="s">
        <v>4515</v>
      </c>
      <c r="K1587" s="48" t="s">
        <v>1323</v>
      </c>
      <c r="L1587" s="48" t="s">
        <v>4516</v>
      </c>
      <c r="M1587" s="48" t="s">
        <v>4432</v>
      </c>
      <c r="N1587" s="48" t="s">
        <v>1310</v>
      </c>
      <c r="O1587" s="48" t="s">
        <v>1311</v>
      </c>
      <c r="P1587" s="48" t="s">
        <v>1312</v>
      </c>
      <c r="Q1587" s="48" t="s">
        <v>31</v>
      </c>
      <c r="R1587" s="48" t="s">
        <v>31</v>
      </c>
      <c r="S1587" s="48" t="s">
        <v>31</v>
      </c>
      <c r="T1587" s="48" t="s">
        <v>31</v>
      </c>
      <c r="U1587" s="46" t="s">
        <v>1154</v>
      </c>
    </row>
    <row r="1588" spans="1:21">
      <c r="A1588" s="48" t="s">
        <v>1258</v>
      </c>
      <c r="B1588" s="48" t="s">
        <v>74</v>
      </c>
      <c r="C1588" s="48" t="s">
        <v>666</v>
      </c>
      <c r="D1588" s="48">
        <v>5</v>
      </c>
      <c r="E1588" s="48">
        <v>1</v>
      </c>
      <c r="F1588" t="s">
        <v>679</v>
      </c>
      <c r="G1588" s="48" t="s">
        <v>1305</v>
      </c>
      <c r="H1588" s="48" t="s">
        <v>4517</v>
      </c>
      <c r="I1588" s="48" t="s">
        <v>4517</v>
      </c>
      <c r="J1588" s="48" t="s">
        <v>4518</v>
      </c>
      <c r="K1588" s="48" t="s">
        <v>1320</v>
      </c>
      <c r="L1588" s="48" t="s">
        <v>4519</v>
      </c>
      <c r="M1588" s="48" t="s">
        <v>4432</v>
      </c>
      <c r="N1588" s="48" t="s">
        <v>1310</v>
      </c>
      <c r="O1588" s="48" t="s">
        <v>1311</v>
      </c>
      <c r="P1588" s="48" t="s">
        <v>1312</v>
      </c>
      <c r="Q1588" s="48" t="s">
        <v>31</v>
      </c>
      <c r="R1588" s="48" t="s">
        <v>31</v>
      </c>
      <c r="S1588" s="48" t="s">
        <v>31</v>
      </c>
      <c r="T1588" s="48" t="s">
        <v>31</v>
      </c>
      <c r="U1588" s="46" t="s">
        <v>1154</v>
      </c>
    </row>
    <row r="1589" spans="1:21">
      <c r="A1589" s="48" t="s">
        <v>1258</v>
      </c>
      <c r="B1589" s="48" t="s">
        <v>74</v>
      </c>
      <c r="C1589" s="48" t="s">
        <v>666</v>
      </c>
      <c r="D1589" s="48">
        <v>5</v>
      </c>
      <c r="E1589" s="48">
        <v>1</v>
      </c>
      <c r="F1589" t="s">
        <v>679</v>
      </c>
      <c r="G1589" s="48" t="s">
        <v>1305</v>
      </c>
      <c r="H1589" s="48" t="s">
        <v>4520</v>
      </c>
      <c r="I1589" s="48" t="s">
        <v>4520</v>
      </c>
      <c r="J1589" s="48" t="s">
        <v>4521</v>
      </c>
      <c r="K1589" s="48" t="s">
        <v>1317</v>
      </c>
      <c r="L1589" s="48" t="s">
        <v>4522</v>
      </c>
      <c r="M1589" s="48" t="s">
        <v>4432</v>
      </c>
      <c r="N1589" s="48" t="s">
        <v>1310</v>
      </c>
      <c r="O1589" s="48" t="s">
        <v>1311</v>
      </c>
      <c r="P1589" s="48" t="s">
        <v>1312</v>
      </c>
      <c r="Q1589" s="48" t="s">
        <v>31</v>
      </c>
      <c r="R1589" s="48" t="s">
        <v>31</v>
      </c>
      <c r="S1589" s="48" t="s">
        <v>31</v>
      </c>
      <c r="T1589" s="48" t="s">
        <v>31</v>
      </c>
      <c r="U1589" s="46" t="s">
        <v>1154</v>
      </c>
    </row>
    <row r="1590" spans="1:21">
      <c r="A1590" s="48" t="s">
        <v>1258</v>
      </c>
      <c r="B1590" s="48" t="s">
        <v>74</v>
      </c>
      <c r="C1590" s="48" t="s">
        <v>666</v>
      </c>
      <c r="D1590" s="48">
        <v>5</v>
      </c>
      <c r="E1590" s="48">
        <v>1</v>
      </c>
      <c r="F1590" t="s">
        <v>679</v>
      </c>
      <c r="G1590" s="48" t="s">
        <v>1305</v>
      </c>
      <c r="H1590" s="48" t="s">
        <v>4523</v>
      </c>
      <c r="I1590" s="48" t="s">
        <v>4523</v>
      </c>
      <c r="J1590" s="48" t="s">
        <v>4524</v>
      </c>
      <c r="K1590" s="48" t="s">
        <v>1307</v>
      </c>
      <c r="L1590" s="48" t="s">
        <v>4525</v>
      </c>
      <c r="M1590" s="48" t="s">
        <v>4432</v>
      </c>
      <c r="N1590" s="48" t="s">
        <v>1310</v>
      </c>
      <c r="O1590" s="48" t="s">
        <v>1311</v>
      </c>
      <c r="P1590" s="48" t="s">
        <v>1312</v>
      </c>
      <c r="Q1590" s="48" t="s">
        <v>31</v>
      </c>
      <c r="R1590" s="48" t="s">
        <v>31</v>
      </c>
      <c r="S1590" s="48" t="s">
        <v>31</v>
      </c>
      <c r="T1590" s="48" t="s">
        <v>31</v>
      </c>
      <c r="U1590" s="46" t="s">
        <v>1154</v>
      </c>
    </row>
    <row r="1591" spans="1:21">
      <c r="A1591" s="48" t="s">
        <v>1258</v>
      </c>
      <c r="B1591" s="48" t="s">
        <v>74</v>
      </c>
      <c r="C1591" s="48" t="s">
        <v>666</v>
      </c>
      <c r="D1591" s="48">
        <v>5</v>
      </c>
      <c r="E1591" s="48">
        <v>1</v>
      </c>
      <c r="F1591" t="s">
        <v>679</v>
      </c>
      <c r="G1591" s="48" t="s">
        <v>1305</v>
      </c>
      <c r="H1591" s="48" t="s">
        <v>4526</v>
      </c>
      <c r="I1591" s="48" t="s">
        <v>4526</v>
      </c>
      <c r="J1591" s="48" t="s">
        <v>4527</v>
      </c>
      <c r="K1591" s="48" t="s">
        <v>1314</v>
      </c>
      <c r="L1591" s="48" t="s">
        <v>4528</v>
      </c>
      <c r="M1591" s="48" t="s">
        <v>4432</v>
      </c>
      <c r="N1591" s="48" t="s">
        <v>1310</v>
      </c>
      <c r="O1591" s="48" t="s">
        <v>1311</v>
      </c>
      <c r="P1591" s="48" t="s">
        <v>1312</v>
      </c>
      <c r="Q1591" s="48" t="s">
        <v>31</v>
      </c>
      <c r="R1591" s="48" t="s">
        <v>31</v>
      </c>
      <c r="S1591" s="48" t="s">
        <v>31</v>
      </c>
      <c r="T1591" s="48" t="s">
        <v>31</v>
      </c>
      <c r="U1591" s="46" t="s">
        <v>1154</v>
      </c>
    </row>
    <row r="1592" spans="1:21">
      <c r="A1592" s="48" t="s">
        <v>1258</v>
      </c>
      <c r="B1592" s="48" t="s">
        <v>74</v>
      </c>
      <c r="C1592" s="48" t="s">
        <v>666</v>
      </c>
      <c r="D1592" s="48">
        <v>5</v>
      </c>
      <c r="E1592" s="48">
        <v>1</v>
      </c>
      <c r="F1592" t="s">
        <v>679</v>
      </c>
      <c r="G1592" s="48" t="s">
        <v>1305</v>
      </c>
      <c r="H1592" s="48" t="s">
        <v>4529</v>
      </c>
      <c r="I1592" s="48" t="s">
        <v>4529</v>
      </c>
      <c r="J1592" s="48" t="s">
        <v>4530</v>
      </c>
      <c r="K1592" s="48" t="s">
        <v>1326</v>
      </c>
      <c r="L1592" s="48" t="s">
        <v>4531</v>
      </c>
      <c r="M1592" s="48" t="s">
        <v>4432</v>
      </c>
      <c r="N1592" s="48" t="s">
        <v>1310</v>
      </c>
      <c r="O1592" s="48" t="s">
        <v>1311</v>
      </c>
      <c r="P1592" s="48" t="s">
        <v>1312</v>
      </c>
      <c r="Q1592" s="48" t="s">
        <v>31</v>
      </c>
      <c r="R1592" s="48" t="s">
        <v>31</v>
      </c>
      <c r="S1592" s="48" t="s">
        <v>31</v>
      </c>
      <c r="T1592" s="48" t="s">
        <v>31</v>
      </c>
      <c r="U1592" s="46" t="s">
        <v>1154</v>
      </c>
    </row>
    <row r="1593" spans="1:21">
      <c r="A1593" s="48" t="s">
        <v>1258</v>
      </c>
      <c r="B1593" s="48" t="s">
        <v>74</v>
      </c>
      <c r="C1593" s="48" t="s">
        <v>666</v>
      </c>
      <c r="D1593" s="48">
        <v>5</v>
      </c>
      <c r="E1593" s="48">
        <v>1</v>
      </c>
      <c r="F1593" t="s">
        <v>679</v>
      </c>
      <c r="G1593" s="48" t="s">
        <v>1305</v>
      </c>
      <c r="H1593" s="48" t="s">
        <v>4532</v>
      </c>
      <c r="I1593" s="48" t="s">
        <v>4532</v>
      </c>
      <c r="J1593" s="48" t="s">
        <v>4533</v>
      </c>
      <c r="K1593" s="48" t="s">
        <v>1332</v>
      </c>
      <c r="L1593" s="48" t="s">
        <v>4534</v>
      </c>
      <c r="M1593" s="48" t="s">
        <v>4432</v>
      </c>
      <c r="N1593" s="48" t="s">
        <v>1310</v>
      </c>
      <c r="O1593" s="48" t="s">
        <v>1311</v>
      </c>
      <c r="P1593" s="48" t="s">
        <v>1312</v>
      </c>
      <c r="Q1593" s="48" t="s">
        <v>31</v>
      </c>
      <c r="R1593" s="48" t="s">
        <v>31</v>
      </c>
      <c r="S1593" s="48" t="s">
        <v>31</v>
      </c>
      <c r="T1593" s="48" t="s">
        <v>31</v>
      </c>
      <c r="U1593" s="46" t="s">
        <v>1154</v>
      </c>
    </row>
    <row r="1594" spans="1:21">
      <c r="A1594" s="48" t="s">
        <v>1212</v>
      </c>
      <c r="B1594" s="48" t="s">
        <v>74</v>
      </c>
      <c r="C1594" s="48" t="s">
        <v>689</v>
      </c>
      <c r="D1594" s="48">
        <v>5</v>
      </c>
      <c r="E1594" s="48">
        <v>1</v>
      </c>
      <c r="F1594" t="s">
        <v>679</v>
      </c>
      <c r="G1594" s="48" t="s">
        <v>1305</v>
      </c>
      <c r="H1594" s="48" t="s">
        <v>4535</v>
      </c>
      <c r="I1594" s="48" t="s">
        <v>4535</v>
      </c>
      <c r="J1594" s="48" t="s">
        <v>4536</v>
      </c>
      <c r="K1594" s="48" t="s">
        <v>1323</v>
      </c>
      <c r="L1594" s="48" t="s">
        <v>4537</v>
      </c>
      <c r="M1594" s="48" t="s">
        <v>4432</v>
      </c>
      <c r="N1594" s="48" t="s">
        <v>1310</v>
      </c>
      <c r="O1594" s="48" t="s">
        <v>1311</v>
      </c>
      <c r="P1594" s="48" t="s">
        <v>1312</v>
      </c>
      <c r="Q1594" s="48" t="s">
        <v>31</v>
      </c>
      <c r="R1594" s="48" t="s">
        <v>31</v>
      </c>
      <c r="S1594" s="48" t="s">
        <v>31</v>
      </c>
      <c r="T1594" s="48" t="s">
        <v>31</v>
      </c>
      <c r="U1594" s="46" t="s">
        <v>1154</v>
      </c>
    </row>
    <row r="1595" spans="1:21">
      <c r="A1595" s="48" t="s">
        <v>1212</v>
      </c>
      <c r="B1595" s="48" t="s">
        <v>74</v>
      </c>
      <c r="C1595" s="48" t="s">
        <v>689</v>
      </c>
      <c r="D1595" s="48">
        <v>5</v>
      </c>
      <c r="E1595" s="48">
        <v>1</v>
      </c>
      <c r="F1595" t="s">
        <v>679</v>
      </c>
      <c r="G1595" s="48" t="s">
        <v>1305</v>
      </c>
      <c r="H1595" s="48" t="s">
        <v>4538</v>
      </c>
      <c r="I1595" s="48" t="s">
        <v>4538</v>
      </c>
      <c r="J1595" s="48" t="s">
        <v>4539</v>
      </c>
      <c r="K1595" s="48" t="s">
        <v>1332</v>
      </c>
      <c r="L1595" s="48" t="s">
        <v>4540</v>
      </c>
      <c r="M1595" s="48" t="s">
        <v>4432</v>
      </c>
      <c r="N1595" s="48" t="s">
        <v>1310</v>
      </c>
      <c r="O1595" s="48" t="s">
        <v>1311</v>
      </c>
      <c r="P1595" s="48" t="s">
        <v>1312</v>
      </c>
      <c r="Q1595" s="48" t="s">
        <v>31</v>
      </c>
      <c r="R1595" s="48" t="s">
        <v>31</v>
      </c>
      <c r="S1595" s="48" t="s">
        <v>31</v>
      </c>
      <c r="T1595" s="48" t="s">
        <v>31</v>
      </c>
      <c r="U1595" s="46" t="s">
        <v>1154</v>
      </c>
    </row>
    <row r="1596" spans="1:21">
      <c r="A1596" s="48" t="s">
        <v>1212</v>
      </c>
      <c r="B1596" s="48" t="s">
        <v>74</v>
      </c>
      <c r="C1596" s="48" t="s">
        <v>689</v>
      </c>
      <c r="D1596" s="48">
        <v>5</v>
      </c>
      <c r="E1596" s="48">
        <v>1</v>
      </c>
      <c r="F1596" t="s">
        <v>679</v>
      </c>
      <c r="G1596" s="48" t="s">
        <v>1305</v>
      </c>
      <c r="H1596" s="48" t="s">
        <v>4541</v>
      </c>
      <c r="I1596" s="48" t="s">
        <v>4541</v>
      </c>
      <c r="J1596" s="48" t="s">
        <v>4542</v>
      </c>
      <c r="K1596" s="48" t="s">
        <v>1320</v>
      </c>
      <c r="L1596" s="48" t="s">
        <v>4543</v>
      </c>
      <c r="M1596" s="48" t="s">
        <v>4432</v>
      </c>
      <c r="N1596" s="48" t="s">
        <v>1310</v>
      </c>
      <c r="O1596" s="48" t="s">
        <v>1311</v>
      </c>
      <c r="P1596" s="48" t="s">
        <v>1312</v>
      </c>
      <c r="Q1596" s="48" t="s">
        <v>31</v>
      </c>
      <c r="R1596" s="48" t="s">
        <v>31</v>
      </c>
      <c r="S1596" s="48" t="s">
        <v>31</v>
      </c>
      <c r="T1596" s="48" t="s">
        <v>31</v>
      </c>
      <c r="U1596" s="46" t="s">
        <v>1154</v>
      </c>
    </row>
    <row r="1597" spans="1:21">
      <c r="A1597" s="48" t="s">
        <v>1212</v>
      </c>
      <c r="B1597" s="48" t="s">
        <v>74</v>
      </c>
      <c r="C1597" s="48" t="s">
        <v>689</v>
      </c>
      <c r="D1597" s="48">
        <v>5</v>
      </c>
      <c r="E1597" s="48">
        <v>1</v>
      </c>
      <c r="F1597" t="s">
        <v>679</v>
      </c>
      <c r="G1597" s="48" t="s">
        <v>1305</v>
      </c>
      <c r="H1597" s="48" t="s">
        <v>4544</v>
      </c>
      <c r="I1597" s="48" t="s">
        <v>4544</v>
      </c>
      <c r="J1597" s="48" t="s">
        <v>4545</v>
      </c>
      <c r="K1597" s="48" t="s">
        <v>1317</v>
      </c>
      <c r="L1597" s="48" t="s">
        <v>4546</v>
      </c>
      <c r="M1597" s="48" t="s">
        <v>4432</v>
      </c>
      <c r="N1597" s="48" t="s">
        <v>1310</v>
      </c>
      <c r="O1597" s="48" t="s">
        <v>1311</v>
      </c>
      <c r="P1597" s="48" t="s">
        <v>1312</v>
      </c>
      <c r="Q1597" s="48" t="s">
        <v>31</v>
      </c>
      <c r="R1597" s="48" t="s">
        <v>31</v>
      </c>
      <c r="S1597" s="48" t="s">
        <v>31</v>
      </c>
      <c r="T1597" s="48" t="s">
        <v>31</v>
      </c>
      <c r="U1597" s="46" t="s">
        <v>1154</v>
      </c>
    </row>
    <row r="1598" spans="1:21">
      <c r="A1598" s="48" t="s">
        <v>1212</v>
      </c>
      <c r="B1598" s="48" t="s">
        <v>74</v>
      </c>
      <c r="C1598" s="48" t="s">
        <v>689</v>
      </c>
      <c r="D1598" s="48">
        <v>5</v>
      </c>
      <c r="E1598" s="48">
        <v>1</v>
      </c>
      <c r="F1598" t="s">
        <v>679</v>
      </c>
      <c r="G1598" s="48" t="s">
        <v>1305</v>
      </c>
      <c r="H1598" s="48" t="s">
        <v>4547</v>
      </c>
      <c r="I1598" s="48" t="s">
        <v>4547</v>
      </c>
      <c r="J1598" s="48" t="s">
        <v>4548</v>
      </c>
      <c r="K1598" s="48" t="s">
        <v>1307</v>
      </c>
      <c r="L1598" s="48" t="s">
        <v>4549</v>
      </c>
      <c r="M1598" s="48" t="s">
        <v>4432</v>
      </c>
      <c r="N1598" s="48" t="s">
        <v>1310</v>
      </c>
      <c r="O1598" s="48" t="s">
        <v>1311</v>
      </c>
      <c r="P1598" s="48" t="s">
        <v>1312</v>
      </c>
      <c r="Q1598" s="48" t="s">
        <v>31</v>
      </c>
      <c r="R1598" s="48" t="s">
        <v>31</v>
      </c>
      <c r="S1598" s="48" t="s">
        <v>31</v>
      </c>
      <c r="T1598" s="48" t="s">
        <v>31</v>
      </c>
      <c r="U1598" s="46" t="s">
        <v>1154</v>
      </c>
    </row>
    <row r="1599" spans="1:21">
      <c r="A1599" s="48" t="s">
        <v>1212</v>
      </c>
      <c r="B1599" s="48" t="s">
        <v>74</v>
      </c>
      <c r="C1599" s="48" t="s">
        <v>689</v>
      </c>
      <c r="D1599" s="48">
        <v>5</v>
      </c>
      <c r="E1599" s="48">
        <v>1</v>
      </c>
      <c r="F1599" t="s">
        <v>679</v>
      </c>
      <c r="G1599" s="48" t="s">
        <v>1305</v>
      </c>
      <c r="H1599" s="48" t="s">
        <v>4550</v>
      </c>
      <c r="I1599" s="48" t="s">
        <v>4550</v>
      </c>
      <c r="J1599" s="48" t="s">
        <v>4551</v>
      </c>
      <c r="K1599" s="48" t="s">
        <v>1314</v>
      </c>
      <c r="L1599" s="48" t="s">
        <v>4552</v>
      </c>
      <c r="M1599" s="48" t="s">
        <v>4432</v>
      </c>
      <c r="N1599" s="48" t="s">
        <v>1310</v>
      </c>
      <c r="O1599" s="48" t="s">
        <v>1311</v>
      </c>
      <c r="P1599" s="48" t="s">
        <v>1312</v>
      </c>
      <c r="Q1599" s="48" t="s">
        <v>31</v>
      </c>
      <c r="R1599" s="48" t="s">
        <v>31</v>
      </c>
      <c r="S1599" s="48" t="s">
        <v>31</v>
      </c>
      <c r="T1599" s="48" t="s">
        <v>31</v>
      </c>
      <c r="U1599" s="46" t="s">
        <v>1154</v>
      </c>
    </row>
    <row r="1600" spans="1:21">
      <c r="A1600" s="48" t="s">
        <v>1212</v>
      </c>
      <c r="B1600" s="48" t="s">
        <v>74</v>
      </c>
      <c r="C1600" s="48" t="s">
        <v>689</v>
      </c>
      <c r="D1600" s="48">
        <v>5</v>
      </c>
      <c r="E1600" s="48">
        <v>1</v>
      </c>
      <c r="F1600" t="s">
        <v>679</v>
      </c>
      <c r="G1600" s="48" t="s">
        <v>1305</v>
      </c>
      <c r="H1600" s="48" t="s">
        <v>4553</v>
      </c>
      <c r="I1600" s="48" t="s">
        <v>4553</v>
      </c>
      <c r="J1600" s="48" t="s">
        <v>4554</v>
      </c>
      <c r="K1600" s="48" t="s">
        <v>1326</v>
      </c>
      <c r="L1600" s="48" t="s">
        <v>4555</v>
      </c>
      <c r="M1600" s="48" t="s">
        <v>4432</v>
      </c>
      <c r="N1600" s="48" t="s">
        <v>1310</v>
      </c>
      <c r="O1600" s="48" t="s">
        <v>1311</v>
      </c>
      <c r="P1600" s="48" t="s">
        <v>1312</v>
      </c>
      <c r="Q1600" s="48" t="s">
        <v>31</v>
      </c>
      <c r="R1600" s="48" t="s">
        <v>31</v>
      </c>
      <c r="S1600" s="48" t="s">
        <v>31</v>
      </c>
      <c r="T1600" s="48" t="s">
        <v>31</v>
      </c>
      <c r="U1600" s="46" t="s">
        <v>1154</v>
      </c>
    </row>
    <row r="1601" spans="1:21">
      <c r="A1601" s="48" t="s">
        <v>1212</v>
      </c>
      <c r="B1601" s="48" t="s">
        <v>74</v>
      </c>
      <c r="C1601" s="48" t="s">
        <v>689</v>
      </c>
      <c r="D1601" s="48">
        <v>5</v>
      </c>
      <c r="E1601" s="48">
        <v>1</v>
      </c>
      <c r="F1601" t="s">
        <v>679</v>
      </c>
      <c r="G1601" s="48" t="s">
        <v>1305</v>
      </c>
      <c r="H1601" s="48" t="s">
        <v>4556</v>
      </c>
      <c r="I1601" s="48" t="s">
        <v>4556</v>
      </c>
      <c r="J1601" s="48" t="s">
        <v>4557</v>
      </c>
      <c r="K1601" s="48" t="s">
        <v>1329</v>
      </c>
      <c r="L1601" s="48" t="s">
        <v>4558</v>
      </c>
      <c r="M1601" s="48" t="s">
        <v>4432</v>
      </c>
      <c r="N1601" s="48" t="s">
        <v>1310</v>
      </c>
      <c r="O1601" s="48" t="s">
        <v>1311</v>
      </c>
      <c r="P1601" s="48" t="s">
        <v>1312</v>
      </c>
      <c r="Q1601" s="48" t="s">
        <v>31</v>
      </c>
      <c r="R1601" s="48" t="s">
        <v>31</v>
      </c>
      <c r="S1601" s="48" t="s">
        <v>31</v>
      </c>
      <c r="T1601" s="48" t="s">
        <v>31</v>
      </c>
      <c r="U1601" s="46" t="s">
        <v>1154</v>
      </c>
    </row>
    <row r="1602" spans="1:21">
      <c r="A1602" s="48" t="s">
        <v>1223</v>
      </c>
      <c r="B1602" s="48" t="s">
        <v>74</v>
      </c>
      <c r="C1602" s="48" t="s">
        <v>814</v>
      </c>
      <c r="D1602" s="48">
        <v>5</v>
      </c>
      <c r="E1602" s="48">
        <v>1</v>
      </c>
      <c r="F1602" t="s">
        <v>679</v>
      </c>
      <c r="G1602" s="48" t="s">
        <v>1305</v>
      </c>
      <c r="H1602" s="48" t="s">
        <v>4559</v>
      </c>
      <c r="I1602" s="48" t="s">
        <v>4559</v>
      </c>
      <c r="J1602" s="48" t="s">
        <v>4560</v>
      </c>
      <c r="K1602" s="48" t="s">
        <v>1314</v>
      </c>
      <c r="L1602" s="48" t="s">
        <v>4561</v>
      </c>
      <c r="M1602" s="48" t="s">
        <v>4432</v>
      </c>
      <c r="N1602" s="48" t="s">
        <v>1310</v>
      </c>
      <c r="O1602" s="48" t="s">
        <v>1311</v>
      </c>
      <c r="P1602" s="48" t="s">
        <v>1312</v>
      </c>
      <c r="Q1602" s="48" t="s">
        <v>31</v>
      </c>
      <c r="R1602" s="48" t="s">
        <v>31</v>
      </c>
      <c r="S1602" s="48" t="s">
        <v>31</v>
      </c>
      <c r="T1602" s="48" t="s">
        <v>31</v>
      </c>
      <c r="U1602" s="46" t="s">
        <v>1154</v>
      </c>
    </row>
    <row r="1603" spans="1:21">
      <c r="A1603" s="48" t="s">
        <v>1223</v>
      </c>
      <c r="B1603" s="48" t="s">
        <v>74</v>
      </c>
      <c r="C1603" s="48" t="s">
        <v>814</v>
      </c>
      <c r="D1603" s="48">
        <v>5</v>
      </c>
      <c r="E1603" s="48">
        <v>1</v>
      </c>
      <c r="F1603" t="s">
        <v>679</v>
      </c>
      <c r="G1603" s="48" t="s">
        <v>1305</v>
      </c>
      <c r="H1603" s="48" t="s">
        <v>4562</v>
      </c>
      <c r="I1603" s="48" t="s">
        <v>4562</v>
      </c>
      <c r="J1603" s="48" t="s">
        <v>4563</v>
      </c>
      <c r="K1603" s="48" t="s">
        <v>1326</v>
      </c>
      <c r="L1603" s="48" t="s">
        <v>4564</v>
      </c>
      <c r="M1603" s="48" t="s">
        <v>4432</v>
      </c>
      <c r="N1603" s="48" t="s">
        <v>1310</v>
      </c>
      <c r="O1603" s="48" t="s">
        <v>1311</v>
      </c>
      <c r="P1603" s="48" t="s">
        <v>1312</v>
      </c>
      <c r="Q1603" s="48" t="s">
        <v>31</v>
      </c>
      <c r="R1603" s="48" t="s">
        <v>31</v>
      </c>
      <c r="S1603" s="48" t="s">
        <v>31</v>
      </c>
      <c r="T1603" s="48" t="s">
        <v>31</v>
      </c>
      <c r="U1603" s="46" t="s">
        <v>1154</v>
      </c>
    </row>
    <row r="1604" spans="1:21">
      <c r="A1604" s="48" t="s">
        <v>1223</v>
      </c>
      <c r="B1604" s="48" t="s">
        <v>74</v>
      </c>
      <c r="C1604" s="48" t="s">
        <v>814</v>
      </c>
      <c r="D1604" s="48">
        <v>5</v>
      </c>
      <c r="E1604" s="48">
        <v>1</v>
      </c>
      <c r="F1604" t="s">
        <v>679</v>
      </c>
      <c r="G1604" s="48" t="s">
        <v>1305</v>
      </c>
      <c r="H1604" s="48" t="s">
        <v>4565</v>
      </c>
      <c r="I1604" s="48" t="s">
        <v>4565</v>
      </c>
      <c r="J1604" s="48" t="s">
        <v>4566</v>
      </c>
      <c r="K1604" s="48" t="s">
        <v>1307</v>
      </c>
      <c r="L1604" s="48" t="s">
        <v>4567</v>
      </c>
      <c r="M1604" s="48" t="s">
        <v>4432</v>
      </c>
      <c r="N1604" s="48" t="s">
        <v>1310</v>
      </c>
      <c r="O1604" s="48" t="s">
        <v>1311</v>
      </c>
      <c r="P1604" s="48" t="s">
        <v>1312</v>
      </c>
      <c r="Q1604" s="48" t="s">
        <v>31</v>
      </c>
      <c r="R1604" s="48" t="s">
        <v>31</v>
      </c>
      <c r="S1604" s="48" t="s">
        <v>31</v>
      </c>
      <c r="T1604" s="48" t="s">
        <v>31</v>
      </c>
      <c r="U1604" s="46" t="s">
        <v>1154</v>
      </c>
    </row>
    <row r="1605" spans="1:21">
      <c r="A1605" s="48" t="s">
        <v>1223</v>
      </c>
      <c r="B1605" s="48" t="s">
        <v>74</v>
      </c>
      <c r="C1605" s="48" t="s">
        <v>814</v>
      </c>
      <c r="D1605" s="48">
        <v>5</v>
      </c>
      <c r="E1605" s="48">
        <v>1</v>
      </c>
      <c r="F1605" t="s">
        <v>679</v>
      </c>
      <c r="G1605" s="48" t="s">
        <v>1305</v>
      </c>
      <c r="H1605" s="48" t="s">
        <v>4568</v>
      </c>
      <c r="I1605" s="48" t="s">
        <v>4568</v>
      </c>
      <c r="J1605" s="48" t="s">
        <v>4569</v>
      </c>
      <c r="K1605" s="48" t="s">
        <v>1317</v>
      </c>
      <c r="L1605" s="48" t="s">
        <v>4570</v>
      </c>
      <c r="M1605" s="48" t="s">
        <v>4432</v>
      </c>
      <c r="N1605" s="48" t="s">
        <v>1310</v>
      </c>
      <c r="O1605" s="48" t="s">
        <v>1311</v>
      </c>
      <c r="P1605" s="48" t="s">
        <v>1312</v>
      </c>
      <c r="Q1605" s="48" t="s">
        <v>31</v>
      </c>
      <c r="R1605" s="48" t="s">
        <v>31</v>
      </c>
      <c r="S1605" s="48" t="s">
        <v>31</v>
      </c>
      <c r="T1605" s="48" t="s">
        <v>31</v>
      </c>
      <c r="U1605" s="46" t="s">
        <v>1154</v>
      </c>
    </row>
    <row r="1606" spans="1:21">
      <c r="A1606" s="48" t="s">
        <v>1223</v>
      </c>
      <c r="B1606" s="48" t="s">
        <v>74</v>
      </c>
      <c r="C1606" s="48" t="s">
        <v>814</v>
      </c>
      <c r="D1606" s="48">
        <v>5</v>
      </c>
      <c r="E1606" s="48">
        <v>1</v>
      </c>
      <c r="F1606" t="s">
        <v>679</v>
      </c>
      <c r="G1606" s="48" t="s">
        <v>1305</v>
      </c>
      <c r="H1606" s="48" t="s">
        <v>4571</v>
      </c>
      <c r="I1606" s="48" t="s">
        <v>4571</v>
      </c>
      <c r="J1606" s="48" t="s">
        <v>4572</v>
      </c>
      <c r="K1606" s="48" t="s">
        <v>1329</v>
      </c>
      <c r="L1606" s="48" t="s">
        <v>4573</v>
      </c>
      <c r="M1606" s="48" t="s">
        <v>4432</v>
      </c>
      <c r="N1606" s="48" t="s">
        <v>1310</v>
      </c>
      <c r="O1606" s="48" t="s">
        <v>1311</v>
      </c>
      <c r="P1606" s="48" t="s">
        <v>1312</v>
      </c>
      <c r="Q1606" s="48" t="s">
        <v>31</v>
      </c>
      <c r="R1606" s="48" t="s">
        <v>31</v>
      </c>
      <c r="S1606" s="48" t="s">
        <v>31</v>
      </c>
      <c r="T1606" s="48" t="s">
        <v>31</v>
      </c>
      <c r="U1606" s="46" t="s">
        <v>1154</v>
      </c>
    </row>
    <row r="1607" spans="1:21">
      <c r="A1607" s="48" t="s">
        <v>1223</v>
      </c>
      <c r="B1607" s="48" t="s">
        <v>74</v>
      </c>
      <c r="C1607" s="48" t="s">
        <v>814</v>
      </c>
      <c r="D1607" s="48">
        <v>5</v>
      </c>
      <c r="E1607" s="48">
        <v>1</v>
      </c>
      <c r="F1607" t="s">
        <v>679</v>
      </c>
      <c r="G1607" s="48" t="s">
        <v>1305</v>
      </c>
      <c r="H1607" s="48" t="s">
        <v>4574</v>
      </c>
      <c r="I1607" s="48" t="s">
        <v>4574</v>
      </c>
      <c r="J1607" s="48" t="s">
        <v>4575</v>
      </c>
      <c r="K1607" s="48" t="s">
        <v>1320</v>
      </c>
      <c r="L1607" s="48" t="s">
        <v>4576</v>
      </c>
      <c r="M1607" s="48" t="s">
        <v>4432</v>
      </c>
      <c r="N1607" s="48" t="s">
        <v>1310</v>
      </c>
      <c r="O1607" s="48" t="s">
        <v>1311</v>
      </c>
      <c r="P1607" s="48" t="s">
        <v>1312</v>
      </c>
      <c r="Q1607" s="48" t="s">
        <v>31</v>
      </c>
      <c r="R1607" s="48" t="s">
        <v>31</v>
      </c>
      <c r="S1607" s="48" t="s">
        <v>31</v>
      </c>
      <c r="T1607" s="48" t="s">
        <v>31</v>
      </c>
      <c r="U1607" s="46" t="s">
        <v>1154</v>
      </c>
    </row>
    <row r="1608" spans="1:21">
      <c r="A1608" s="48" t="s">
        <v>1223</v>
      </c>
      <c r="B1608" s="48" t="s">
        <v>74</v>
      </c>
      <c r="C1608" s="48" t="s">
        <v>814</v>
      </c>
      <c r="D1608" s="48">
        <v>5</v>
      </c>
      <c r="E1608" s="48">
        <v>1</v>
      </c>
      <c r="F1608" t="s">
        <v>679</v>
      </c>
      <c r="G1608" s="48" t="s">
        <v>1305</v>
      </c>
      <c r="H1608" s="48" t="s">
        <v>4577</v>
      </c>
      <c r="I1608" s="48" t="s">
        <v>4577</v>
      </c>
      <c r="J1608" s="48" t="s">
        <v>4578</v>
      </c>
      <c r="K1608" s="48" t="s">
        <v>1332</v>
      </c>
      <c r="L1608" s="48" t="s">
        <v>4579</v>
      </c>
      <c r="M1608" s="48" t="s">
        <v>4432</v>
      </c>
      <c r="N1608" s="48" t="s">
        <v>1310</v>
      </c>
      <c r="O1608" s="48" t="s">
        <v>1311</v>
      </c>
      <c r="P1608" s="48" t="s">
        <v>1312</v>
      </c>
      <c r="Q1608" s="48" t="s">
        <v>31</v>
      </c>
      <c r="R1608" s="48" t="s">
        <v>31</v>
      </c>
      <c r="S1608" s="48" t="s">
        <v>31</v>
      </c>
      <c r="T1608" s="48" t="s">
        <v>31</v>
      </c>
      <c r="U1608" s="46" t="s">
        <v>1154</v>
      </c>
    </row>
    <row r="1609" spans="1:21">
      <c r="A1609" s="48" t="s">
        <v>1223</v>
      </c>
      <c r="B1609" s="48" t="s">
        <v>74</v>
      </c>
      <c r="C1609" s="48" t="s">
        <v>814</v>
      </c>
      <c r="D1609" s="48">
        <v>5</v>
      </c>
      <c r="E1609" s="48">
        <v>1</v>
      </c>
      <c r="F1609" t="s">
        <v>679</v>
      </c>
      <c r="G1609" s="48" t="s">
        <v>1305</v>
      </c>
      <c r="H1609" s="48" t="s">
        <v>4580</v>
      </c>
      <c r="I1609" s="48" t="s">
        <v>4580</v>
      </c>
      <c r="J1609" s="48" t="s">
        <v>4581</v>
      </c>
      <c r="K1609" s="48" t="s">
        <v>1323</v>
      </c>
      <c r="L1609" s="48" t="s">
        <v>4582</v>
      </c>
      <c r="M1609" s="48" t="s">
        <v>4432</v>
      </c>
      <c r="N1609" s="48" t="s">
        <v>1310</v>
      </c>
      <c r="O1609" s="48" t="s">
        <v>1311</v>
      </c>
      <c r="P1609" s="48" t="s">
        <v>1312</v>
      </c>
      <c r="Q1609" s="48" t="s">
        <v>31</v>
      </c>
      <c r="R1609" s="48" t="s">
        <v>31</v>
      </c>
      <c r="S1609" s="48" t="s">
        <v>31</v>
      </c>
      <c r="T1609" s="48" t="s">
        <v>31</v>
      </c>
      <c r="U1609" s="46" t="s">
        <v>1154</v>
      </c>
    </row>
    <row r="1610" spans="1:21">
      <c r="A1610" s="48" t="s">
        <v>1229</v>
      </c>
      <c r="B1610" s="48" t="s">
        <v>74</v>
      </c>
      <c r="C1610" s="48" t="s">
        <v>819</v>
      </c>
      <c r="D1610" s="48">
        <v>5</v>
      </c>
      <c r="E1610" s="48">
        <v>1</v>
      </c>
      <c r="F1610" t="s">
        <v>679</v>
      </c>
      <c r="G1610" s="48" t="s">
        <v>1305</v>
      </c>
      <c r="H1610" s="48" t="s">
        <v>4583</v>
      </c>
      <c r="I1610" s="48" t="s">
        <v>4583</v>
      </c>
      <c r="J1610" s="48" t="s">
        <v>4584</v>
      </c>
      <c r="K1610" s="48" t="s">
        <v>1314</v>
      </c>
      <c r="L1610" s="48" t="s">
        <v>4585</v>
      </c>
      <c r="M1610" s="48" t="s">
        <v>4432</v>
      </c>
      <c r="N1610" s="48" t="s">
        <v>1310</v>
      </c>
      <c r="O1610" s="48" t="s">
        <v>1311</v>
      </c>
      <c r="P1610" s="48" t="s">
        <v>1312</v>
      </c>
      <c r="Q1610" s="48" t="s">
        <v>31</v>
      </c>
      <c r="R1610" s="48" t="s">
        <v>31</v>
      </c>
      <c r="S1610" s="48" t="s">
        <v>31</v>
      </c>
      <c r="T1610" s="48" t="s">
        <v>31</v>
      </c>
      <c r="U1610" s="46" t="s">
        <v>1154</v>
      </c>
    </row>
    <row r="1611" spans="1:21">
      <c r="A1611" s="48" t="s">
        <v>1229</v>
      </c>
      <c r="B1611" s="48" t="s">
        <v>74</v>
      </c>
      <c r="C1611" s="48" t="s">
        <v>819</v>
      </c>
      <c r="D1611" s="48">
        <v>5</v>
      </c>
      <c r="E1611" s="48">
        <v>1</v>
      </c>
      <c r="F1611" t="s">
        <v>679</v>
      </c>
      <c r="G1611" s="48" t="s">
        <v>1305</v>
      </c>
      <c r="H1611" s="48" t="s">
        <v>4586</v>
      </c>
      <c r="I1611" s="48" t="s">
        <v>4586</v>
      </c>
      <c r="J1611" s="48" t="s">
        <v>4587</v>
      </c>
      <c r="K1611" s="48" t="s">
        <v>1323</v>
      </c>
      <c r="L1611" s="48" t="s">
        <v>4588</v>
      </c>
      <c r="M1611" s="48" t="s">
        <v>4432</v>
      </c>
      <c r="N1611" s="48" t="s">
        <v>1310</v>
      </c>
      <c r="O1611" s="48" t="s">
        <v>1311</v>
      </c>
      <c r="P1611" s="48" t="s">
        <v>1312</v>
      </c>
      <c r="Q1611" s="48" t="s">
        <v>31</v>
      </c>
      <c r="R1611" s="48" t="s">
        <v>31</v>
      </c>
      <c r="S1611" s="48" t="s">
        <v>31</v>
      </c>
      <c r="T1611" s="48" t="s">
        <v>31</v>
      </c>
      <c r="U1611" s="46" t="s">
        <v>1154</v>
      </c>
    </row>
    <row r="1612" spans="1:21">
      <c r="A1612" s="48" t="s">
        <v>1229</v>
      </c>
      <c r="B1612" s="48" t="s">
        <v>74</v>
      </c>
      <c r="C1612" s="48" t="s">
        <v>819</v>
      </c>
      <c r="D1612" s="48">
        <v>5</v>
      </c>
      <c r="E1612" s="48">
        <v>1</v>
      </c>
      <c r="F1612" t="s">
        <v>679</v>
      </c>
      <c r="G1612" s="48" t="s">
        <v>1305</v>
      </c>
      <c r="H1612" s="48" t="s">
        <v>4589</v>
      </c>
      <c r="I1612" s="48" t="s">
        <v>4589</v>
      </c>
      <c r="J1612" s="48" t="s">
        <v>4590</v>
      </c>
      <c r="K1612" s="48" t="s">
        <v>1317</v>
      </c>
      <c r="L1612" s="48" t="s">
        <v>4591</v>
      </c>
      <c r="M1612" s="48" t="s">
        <v>4432</v>
      </c>
      <c r="N1612" s="48" t="s">
        <v>1310</v>
      </c>
      <c r="O1612" s="48" t="s">
        <v>1311</v>
      </c>
      <c r="P1612" s="48" t="s">
        <v>1312</v>
      </c>
      <c r="Q1612" s="48" t="s">
        <v>31</v>
      </c>
      <c r="R1612" s="48" t="s">
        <v>31</v>
      </c>
      <c r="S1612" s="48" t="s">
        <v>31</v>
      </c>
      <c r="T1612" s="48" t="s">
        <v>31</v>
      </c>
      <c r="U1612" s="46" t="s">
        <v>1154</v>
      </c>
    </row>
    <row r="1613" spans="1:21">
      <c r="A1613" s="48" t="s">
        <v>1229</v>
      </c>
      <c r="B1613" s="48" t="s">
        <v>74</v>
      </c>
      <c r="C1613" s="48" t="s">
        <v>819</v>
      </c>
      <c r="D1613" s="48">
        <v>5</v>
      </c>
      <c r="E1613" s="48">
        <v>1</v>
      </c>
      <c r="F1613" t="s">
        <v>679</v>
      </c>
      <c r="G1613" s="48" t="s">
        <v>1305</v>
      </c>
      <c r="H1613" s="48" t="s">
        <v>4592</v>
      </c>
      <c r="I1613" s="48" t="s">
        <v>4592</v>
      </c>
      <c r="J1613" s="48" t="s">
        <v>4593</v>
      </c>
      <c r="K1613" s="48" t="s">
        <v>1320</v>
      </c>
      <c r="L1613" s="48" t="s">
        <v>4594</v>
      </c>
      <c r="M1613" s="48" t="s">
        <v>4432</v>
      </c>
      <c r="N1613" s="48" t="s">
        <v>1310</v>
      </c>
      <c r="O1613" s="48" t="s">
        <v>1311</v>
      </c>
      <c r="P1613" s="48" t="s">
        <v>1312</v>
      </c>
      <c r="Q1613" s="48" t="s">
        <v>31</v>
      </c>
      <c r="R1613" s="48" t="s">
        <v>31</v>
      </c>
      <c r="S1613" s="48" t="s">
        <v>31</v>
      </c>
      <c r="T1613" s="48" t="s">
        <v>31</v>
      </c>
      <c r="U1613" s="46" t="s">
        <v>1154</v>
      </c>
    </row>
    <row r="1614" spans="1:21">
      <c r="A1614" s="48" t="s">
        <v>1229</v>
      </c>
      <c r="B1614" s="48" t="s">
        <v>74</v>
      </c>
      <c r="C1614" s="48" t="s">
        <v>819</v>
      </c>
      <c r="D1614" s="48">
        <v>5</v>
      </c>
      <c r="E1614" s="48">
        <v>1</v>
      </c>
      <c r="F1614" t="s">
        <v>679</v>
      </c>
      <c r="G1614" s="48" t="s">
        <v>1305</v>
      </c>
      <c r="H1614" s="48" t="s">
        <v>4595</v>
      </c>
      <c r="I1614" s="48" t="s">
        <v>4595</v>
      </c>
      <c r="J1614" s="48" t="s">
        <v>4596</v>
      </c>
      <c r="K1614" s="48" t="s">
        <v>1326</v>
      </c>
      <c r="L1614" s="48" t="s">
        <v>4597</v>
      </c>
      <c r="M1614" s="48" t="s">
        <v>4432</v>
      </c>
      <c r="N1614" s="48" t="s">
        <v>1310</v>
      </c>
      <c r="O1614" s="48" t="s">
        <v>1311</v>
      </c>
      <c r="P1614" s="48" t="s">
        <v>1312</v>
      </c>
      <c r="Q1614" s="48" t="s">
        <v>31</v>
      </c>
      <c r="R1614" s="48" t="s">
        <v>31</v>
      </c>
      <c r="S1614" s="48" t="s">
        <v>31</v>
      </c>
      <c r="T1614" s="48" t="s">
        <v>31</v>
      </c>
      <c r="U1614" s="46" t="s">
        <v>1154</v>
      </c>
    </row>
    <row r="1615" spans="1:21">
      <c r="A1615" s="48" t="s">
        <v>1229</v>
      </c>
      <c r="B1615" s="48" t="s">
        <v>74</v>
      </c>
      <c r="C1615" s="48" t="s">
        <v>819</v>
      </c>
      <c r="D1615" s="48">
        <v>5</v>
      </c>
      <c r="E1615" s="48">
        <v>1</v>
      </c>
      <c r="F1615" t="s">
        <v>679</v>
      </c>
      <c r="G1615" s="48" t="s">
        <v>1305</v>
      </c>
      <c r="H1615" s="48" t="s">
        <v>4598</v>
      </c>
      <c r="I1615" s="48" t="s">
        <v>4598</v>
      </c>
      <c r="J1615" s="48" t="s">
        <v>4599</v>
      </c>
      <c r="K1615" s="48" t="s">
        <v>1332</v>
      </c>
      <c r="L1615" s="48" t="s">
        <v>4600</v>
      </c>
      <c r="M1615" s="48" t="s">
        <v>4432</v>
      </c>
      <c r="N1615" s="48" t="s">
        <v>1310</v>
      </c>
      <c r="O1615" s="48" t="s">
        <v>1311</v>
      </c>
      <c r="P1615" s="48" t="s">
        <v>1312</v>
      </c>
      <c r="Q1615" s="48" t="s">
        <v>31</v>
      </c>
      <c r="R1615" s="48" t="s">
        <v>31</v>
      </c>
      <c r="S1615" s="48" t="s">
        <v>31</v>
      </c>
      <c r="T1615" s="48" t="s">
        <v>31</v>
      </c>
      <c r="U1615" s="46" t="s">
        <v>1154</v>
      </c>
    </row>
    <row r="1616" spans="1:21">
      <c r="A1616" s="48" t="s">
        <v>1229</v>
      </c>
      <c r="B1616" s="48" t="s">
        <v>74</v>
      </c>
      <c r="C1616" s="48" t="s">
        <v>819</v>
      </c>
      <c r="D1616" s="48">
        <v>5</v>
      </c>
      <c r="E1616" s="48">
        <v>1</v>
      </c>
      <c r="F1616" t="s">
        <v>679</v>
      </c>
      <c r="G1616" s="48" t="s">
        <v>1305</v>
      </c>
      <c r="H1616" s="48" t="s">
        <v>4601</v>
      </c>
      <c r="I1616" s="48" t="s">
        <v>4601</v>
      </c>
      <c r="J1616" s="48" t="s">
        <v>4602</v>
      </c>
      <c r="K1616" s="48" t="s">
        <v>1307</v>
      </c>
      <c r="L1616" s="48" t="s">
        <v>4603</v>
      </c>
      <c r="M1616" s="48" t="s">
        <v>4432</v>
      </c>
      <c r="N1616" s="48" t="s">
        <v>1310</v>
      </c>
      <c r="O1616" s="48" t="s">
        <v>1311</v>
      </c>
      <c r="P1616" s="48" t="s">
        <v>1312</v>
      </c>
      <c r="Q1616" s="48" t="s">
        <v>31</v>
      </c>
      <c r="R1616" s="48" t="s">
        <v>31</v>
      </c>
      <c r="S1616" s="48" t="s">
        <v>31</v>
      </c>
      <c r="T1616" s="48" t="s">
        <v>31</v>
      </c>
      <c r="U1616" s="46" t="s">
        <v>1154</v>
      </c>
    </row>
    <row r="1617" spans="1:21">
      <c r="A1617" s="48" t="s">
        <v>1229</v>
      </c>
      <c r="B1617" s="48" t="s">
        <v>74</v>
      </c>
      <c r="C1617" s="48" t="s">
        <v>819</v>
      </c>
      <c r="D1617" s="48">
        <v>5</v>
      </c>
      <c r="E1617" s="48">
        <v>1</v>
      </c>
      <c r="F1617" t="s">
        <v>679</v>
      </c>
      <c r="G1617" s="48" t="s">
        <v>1305</v>
      </c>
      <c r="H1617" s="48" t="s">
        <v>4604</v>
      </c>
      <c r="I1617" s="48" t="s">
        <v>4604</v>
      </c>
      <c r="J1617" s="48" t="s">
        <v>4605</v>
      </c>
      <c r="K1617" s="48" t="s">
        <v>1329</v>
      </c>
      <c r="L1617" s="48" t="s">
        <v>4606</v>
      </c>
      <c r="M1617" s="48" t="s">
        <v>4432</v>
      </c>
      <c r="N1617" s="48" t="s">
        <v>1310</v>
      </c>
      <c r="O1617" s="48" t="s">
        <v>1311</v>
      </c>
      <c r="P1617" s="48" t="s">
        <v>1312</v>
      </c>
      <c r="Q1617" s="48" t="s">
        <v>31</v>
      </c>
      <c r="R1617" s="48" t="s">
        <v>31</v>
      </c>
      <c r="S1617" s="48" t="s">
        <v>31</v>
      </c>
      <c r="T1617" s="48" t="s">
        <v>31</v>
      </c>
      <c r="U1617" s="46" t="s">
        <v>1154</v>
      </c>
    </row>
    <row r="1618" spans="1:21">
      <c r="A1618" s="48" t="s">
        <v>1226</v>
      </c>
      <c r="B1618" s="48" t="s">
        <v>74</v>
      </c>
      <c r="C1618" s="48" t="s">
        <v>821</v>
      </c>
      <c r="D1618" s="48">
        <v>5</v>
      </c>
      <c r="E1618" s="48">
        <v>1</v>
      </c>
      <c r="F1618" t="s">
        <v>679</v>
      </c>
      <c r="G1618" s="48" t="s">
        <v>1305</v>
      </c>
      <c r="H1618" s="48" t="s">
        <v>4607</v>
      </c>
      <c r="I1618" s="48" t="s">
        <v>4607</v>
      </c>
      <c r="J1618" s="48" t="s">
        <v>4608</v>
      </c>
      <c r="K1618" s="48" t="s">
        <v>1314</v>
      </c>
      <c r="L1618" s="48" t="s">
        <v>4609</v>
      </c>
      <c r="M1618" s="48" t="s">
        <v>4432</v>
      </c>
      <c r="N1618" s="48" t="s">
        <v>1310</v>
      </c>
      <c r="O1618" s="48" t="s">
        <v>1311</v>
      </c>
      <c r="P1618" s="48" t="s">
        <v>1312</v>
      </c>
      <c r="Q1618" s="48" t="s">
        <v>31</v>
      </c>
      <c r="R1618" s="48" t="s">
        <v>31</v>
      </c>
      <c r="S1618" s="48" t="s">
        <v>31</v>
      </c>
      <c r="T1618" s="48" t="s">
        <v>31</v>
      </c>
      <c r="U1618" s="46" t="s">
        <v>1154</v>
      </c>
    </row>
    <row r="1619" spans="1:21">
      <c r="A1619" s="48" t="s">
        <v>1226</v>
      </c>
      <c r="B1619" s="48" t="s">
        <v>74</v>
      </c>
      <c r="C1619" s="48" t="s">
        <v>821</v>
      </c>
      <c r="D1619" s="48">
        <v>5</v>
      </c>
      <c r="E1619" s="48">
        <v>1</v>
      </c>
      <c r="F1619" t="s">
        <v>679</v>
      </c>
      <c r="G1619" s="48" t="s">
        <v>1305</v>
      </c>
      <c r="H1619" s="48" t="s">
        <v>4610</v>
      </c>
      <c r="I1619" s="48" t="s">
        <v>4610</v>
      </c>
      <c r="J1619" s="48" t="s">
        <v>4611</v>
      </c>
      <c r="K1619" s="48" t="s">
        <v>1320</v>
      </c>
      <c r="L1619" s="48" t="s">
        <v>4612</v>
      </c>
      <c r="M1619" s="48" t="s">
        <v>4432</v>
      </c>
      <c r="N1619" s="48" t="s">
        <v>1310</v>
      </c>
      <c r="O1619" s="48" t="s">
        <v>1311</v>
      </c>
      <c r="P1619" s="48" t="s">
        <v>1312</v>
      </c>
      <c r="Q1619" s="48" t="s">
        <v>31</v>
      </c>
      <c r="R1619" s="48" t="s">
        <v>31</v>
      </c>
      <c r="S1619" s="48" t="s">
        <v>31</v>
      </c>
      <c r="T1619" s="48" t="s">
        <v>31</v>
      </c>
      <c r="U1619" s="46" t="s">
        <v>1154</v>
      </c>
    </row>
    <row r="1620" spans="1:21">
      <c r="A1620" s="48" t="s">
        <v>1226</v>
      </c>
      <c r="B1620" s="48" t="s">
        <v>74</v>
      </c>
      <c r="C1620" s="48" t="s">
        <v>821</v>
      </c>
      <c r="D1620" s="48">
        <v>5</v>
      </c>
      <c r="E1620" s="48">
        <v>1</v>
      </c>
      <c r="F1620" t="s">
        <v>679</v>
      </c>
      <c r="G1620" s="48" t="s">
        <v>1305</v>
      </c>
      <c r="H1620" s="48" t="s">
        <v>4613</v>
      </c>
      <c r="I1620" s="48" t="s">
        <v>4613</v>
      </c>
      <c r="J1620" s="48" t="s">
        <v>4614</v>
      </c>
      <c r="K1620" s="48" t="s">
        <v>1326</v>
      </c>
      <c r="L1620" s="48" t="s">
        <v>4615</v>
      </c>
      <c r="M1620" s="48" t="s">
        <v>4432</v>
      </c>
      <c r="N1620" s="48" t="s">
        <v>1310</v>
      </c>
      <c r="O1620" s="48" t="s">
        <v>1311</v>
      </c>
      <c r="P1620" s="48" t="s">
        <v>1312</v>
      </c>
      <c r="Q1620" s="48" t="s">
        <v>31</v>
      </c>
      <c r="R1620" s="48" t="s">
        <v>31</v>
      </c>
      <c r="S1620" s="48" t="s">
        <v>31</v>
      </c>
      <c r="T1620" s="48" t="s">
        <v>31</v>
      </c>
      <c r="U1620" s="46" t="s">
        <v>1154</v>
      </c>
    </row>
    <row r="1621" spans="1:21">
      <c r="A1621" s="48" t="s">
        <v>1226</v>
      </c>
      <c r="B1621" s="48" t="s">
        <v>74</v>
      </c>
      <c r="C1621" s="48" t="s">
        <v>821</v>
      </c>
      <c r="D1621" s="48">
        <v>5</v>
      </c>
      <c r="E1621" s="48">
        <v>1</v>
      </c>
      <c r="F1621" t="s">
        <v>679</v>
      </c>
      <c r="G1621" s="48" t="s">
        <v>1305</v>
      </c>
      <c r="H1621" s="48" t="s">
        <v>4616</v>
      </c>
      <c r="I1621" s="48" t="s">
        <v>4616</v>
      </c>
      <c r="J1621" s="48" t="s">
        <v>4617</v>
      </c>
      <c r="K1621" s="48" t="s">
        <v>1332</v>
      </c>
      <c r="L1621" s="48" t="s">
        <v>4618</v>
      </c>
      <c r="M1621" s="48" t="s">
        <v>4432</v>
      </c>
      <c r="N1621" s="48" t="s">
        <v>1310</v>
      </c>
      <c r="O1621" s="48" t="s">
        <v>1311</v>
      </c>
      <c r="P1621" s="48" t="s">
        <v>1312</v>
      </c>
      <c r="Q1621" s="48" t="s">
        <v>31</v>
      </c>
      <c r="R1621" s="48" t="s">
        <v>31</v>
      </c>
      <c r="S1621" s="48" t="s">
        <v>31</v>
      </c>
      <c r="T1621" s="48" t="s">
        <v>31</v>
      </c>
      <c r="U1621" s="46" t="s">
        <v>1154</v>
      </c>
    </row>
    <row r="1622" spans="1:21">
      <c r="A1622" s="48" t="s">
        <v>1226</v>
      </c>
      <c r="B1622" s="48" t="s">
        <v>74</v>
      </c>
      <c r="C1622" s="48" t="s">
        <v>821</v>
      </c>
      <c r="D1622" s="48">
        <v>5</v>
      </c>
      <c r="E1622" s="48">
        <v>1</v>
      </c>
      <c r="F1622" t="s">
        <v>679</v>
      </c>
      <c r="G1622" s="48" t="s">
        <v>1305</v>
      </c>
      <c r="H1622" s="48" t="s">
        <v>4619</v>
      </c>
      <c r="I1622" s="48" t="s">
        <v>4619</v>
      </c>
      <c r="J1622" s="48" t="s">
        <v>4620</v>
      </c>
      <c r="K1622" s="48" t="s">
        <v>1323</v>
      </c>
      <c r="L1622" s="48" t="s">
        <v>4621</v>
      </c>
      <c r="M1622" s="48" t="s">
        <v>4432</v>
      </c>
      <c r="N1622" s="48" t="s">
        <v>1310</v>
      </c>
      <c r="O1622" s="48" t="s">
        <v>1311</v>
      </c>
      <c r="P1622" s="48" t="s">
        <v>1312</v>
      </c>
      <c r="Q1622" s="48" t="s">
        <v>31</v>
      </c>
      <c r="R1622" s="48" t="s">
        <v>31</v>
      </c>
      <c r="S1622" s="48" t="s">
        <v>31</v>
      </c>
      <c r="T1622" s="48" t="s">
        <v>31</v>
      </c>
      <c r="U1622" s="46" t="s">
        <v>1154</v>
      </c>
    </row>
    <row r="1623" spans="1:21">
      <c r="A1623" s="48" t="s">
        <v>1226</v>
      </c>
      <c r="B1623" s="48" t="s">
        <v>74</v>
      </c>
      <c r="C1623" s="48" t="s">
        <v>821</v>
      </c>
      <c r="D1623" s="48">
        <v>5</v>
      </c>
      <c r="E1623" s="48">
        <v>1</v>
      </c>
      <c r="F1623" t="s">
        <v>679</v>
      </c>
      <c r="G1623" s="48" t="s">
        <v>1305</v>
      </c>
      <c r="H1623" s="48" t="s">
        <v>4622</v>
      </c>
      <c r="I1623" s="48" t="s">
        <v>4622</v>
      </c>
      <c r="J1623" s="48" t="s">
        <v>4623</v>
      </c>
      <c r="K1623" s="48" t="s">
        <v>1329</v>
      </c>
      <c r="L1623" s="48" t="s">
        <v>4624</v>
      </c>
      <c r="M1623" s="48" t="s">
        <v>4432</v>
      </c>
      <c r="N1623" s="48" t="s">
        <v>1310</v>
      </c>
      <c r="O1623" s="48" t="s">
        <v>1311</v>
      </c>
      <c r="P1623" s="48" t="s">
        <v>1312</v>
      </c>
      <c r="Q1623" s="48" t="s">
        <v>31</v>
      </c>
      <c r="R1623" s="48" t="s">
        <v>31</v>
      </c>
      <c r="S1623" s="48" t="s">
        <v>31</v>
      </c>
      <c r="T1623" s="48" t="s">
        <v>31</v>
      </c>
      <c r="U1623" s="46" t="s">
        <v>1154</v>
      </c>
    </row>
    <row r="1624" spans="1:21">
      <c r="A1624" s="48" t="s">
        <v>1226</v>
      </c>
      <c r="B1624" s="48" t="s">
        <v>74</v>
      </c>
      <c r="C1624" s="48" t="s">
        <v>821</v>
      </c>
      <c r="D1624" s="48">
        <v>5</v>
      </c>
      <c r="E1624" s="48">
        <v>1</v>
      </c>
      <c r="F1624" t="s">
        <v>679</v>
      </c>
      <c r="G1624" s="48" t="s">
        <v>1305</v>
      </c>
      <c r="H1624" s="48" t="s">
        <v>4625</v>
      </c>
      <c r="I1624" s="48" t="s">
        <v>4625</v>
      </c>
      <c r="J1624" s="48" t="s">
        <v>4626</v>
      </c>
      <c r="K1624" s="48" t="s">
        <v>1307</v>
      </c>
      <c r="L1624" s="48" t="s">
        <v>4627</v>
      </c>
      <c r="M1624" s="48" t="s">
        <v>4432</v>
      </c>
      <c r="N1624" s="48" t="s">
        <v>1310</v>
      </c>
      <c r="O1624" s="48" t="s">
        <v>1311</v>
      </c>
      <c r="P1624" s="48" t="s">
        <v>1312</v>
      </c>
      <c r="Q1624" s="48" t="s">
        <v>31</v>
      </c>
      <c r="R1624" s="48" t="s">
        <v>31</v>
      </c>
      <c r="S1624" s="48" t="s">
        <v>31</v>
      </c>
      <c r="T1624" s="48" t="s">
        <v>31</v>
      </c>
      <c r="U1624" s="46" t="s">
        <v>1154</v>
      </c>
    </row>
    <row r="1625" spans="1:21">
      <c r="A1625" s="48" t="s">
        <v>1226</v>
      </c>
      <c r="B1625" s="48" t="s">
        <v>74</v>
      </c>
      <c r="C1625" s="48" t="s">
        <v>821</v>
      </c>
      <c r="D1625" s="48">
        <v>5</v>
      </c>
      <c r="E1625" s="48">
        <v>1</v>
      </c>
      <c r="F1625" t="s">
        <v>679</v>
      </c>
      <c r="G1625" s="48" t="s">
        <v>1305</v>
      </c>
      <c r="H1625" s="48" t="s">
        <v>4628</v>
      </c>
      <c r="I1625" s="48" t="s">
        <v>4628</v>
      </c>
      <c r="J1625" s="48" t="s">
        <v>4629</v>
      </c>
      <c r="K1625" s="48" t="s">
        <v>1317</v>
      </c>
      <c r="L1625" s="48" t="s">
        <v>4630</v>
      </c>
      <c r="M1625" s="48" t="s">
        <v>4432</v>
      </c>
      <c r="N1625" s="48" t="s">
        <v>1310</v>
      </c>
      <c r="O1625" s="48" t="s">
        <v>1311</v>
      </c>
      <c r="P1625" s="48" t="s">
        <v>1312</v>
      </c>
      <c r="Q1625" s="48" t="s">
        <v>31</v>
      </c>
      <c r="R1625" s="48" t="s">
        <v>31</v>
      </c>
      <c r="S1625" s="48" t="s">
        <v>31</v>
      </c>
      <c r="T1625" s="48" t="s">
        <v>31</v>
      </c>
      <c r="U1625" s="46" t="s">
        <v>1154</v>
      </c>
    </row>
    <row r="1626" spans="1:21">
      <c r="A1626" s="48" t="s">
        <v>1256</v>
      </c>
      <c r="B1626" s="48" t="s">
        <v>78</v>
      </c>
      <c r="C1626" s="48" t="s">
        <v>666</v>
      </c>
      <c r="D1626" s="48">
        <v>1</v>
      </c>
      <c r="E1626" s="48">
        <v>0</v>
      </c>
      <c r="F1626" t="s">
        <v>679</v>
      </c>
      <c r="G1626" s="48" t="s">
        <v>1305</v>
      </c>
      <c r="H1626" s="48" t="s">
        <v>4631</v>
      </c>
      <c r="I1626" s="48" t="s">
        <v>4631</v>
      </c>
      <c r="J1626" s="48" t="s">
        <v>4632</v>
      </c>
      <c r="K1626" s="48" t="s">
        <v>1323</v>
      </c>
      <c r="L1626" s="48" t="s">
        <v>4633</v>
      </c>
      <c r="M1626" s="48" t="s">
        <v>4432</v>
      </c>
      <c r="N1626" s="48" t="s">
        <v>1310</v>
      </c>
      <c r="O1626" s="48" t="s">
        <v>1311</v>
      </c>
      <c r="P1626" s="48" t="s">
        <v>1312</v>
      </c>
      <c r="Q1626" s="48" t="s">
        <v>31</v>
      </c>
      <c r="R1626" s="48" t="s">
        <v>31</v>
      </c>
      <c r="S1626" s="48" t="s">
        <v>31</v>
      </c>
      <c r="T1626" s="48" t="s">
        <v>31</v>
      </c>
      <c r="U1626" s="46" t="s">
        <v>1154</v>
      </c>
    </row>
    <row r="1627" spans="1:21">
      <c r="A1627" s="48" t="s">
        <v>1256</v>
      </c>
      <c r="B1627" s="48" t="s">
        <v>78</v>
      </c>
      <c r="C1627" s="48" t="s">
        <v>666</v>
      </c>
      <c r="D1627" s="48">
        <v>1</v>
      </c>
      <c r="E1627" s="48">
        <v>0</v>
      </c>
      <c r="F1627" t="s">
        <v>679</v>
      </c>
      <c r="G1627" s="48" t="s">
        <v>1305</v>
      </c>
      <c r="H1627" s="48" t="s">
        <v>4634</v>
      </c>
      <c r="I1627" s="48" t="s">
        <v>4634</v>
      </c>
      <c r="J1627" s="48" t="s">
        <v>4635</v>
      </c>
      <c r="K1627" s="48" t="s">
        <v>1314</v>
      </c>
      <c r="L1627" s="48" t="s">
        <v>4636</v>
      </c>
      <c r="M1627" s="48" t="s">
        <v>4432</v>
      </c>
      <c r="N1627" s="48" t="s">
        <v>1310</v>
      </c>
      <c r="O1627" s="48" t="s">
        <v>1311</v>
      </c>
      <c r="P1627" s="48" t="s">
        <v>1312</v>
      </c>
      <c r="Q1627" s="48" t="s">
        <v>31</v>
      </c>
      <c r="R1627" s="48" t="s">
        <v>31</v>
      </c>
      <c r="S1627" s="48" t="s">
        <v>31</v>
      </c>
      <c r="T1627" s="48" t="s">
        <v>31</v>
      </c>
      <c r="U1627" s="46" t="s">
        <v>1154</v>
      </c>
    </row>
    <row r="1628" spans="1:21">
      <c r="A1628" s="48" t="s">
        <v>1256</v>
      </c>
      <c r="B1628" s="48" t="s">
        <v>78</v>
      </c>
      <c r="C1628" s="48" t="s">
        <v>666</v>
      </c>
      <c r="D1628" s="48">
        <v>1</v>
      </c>
      <c r="E1628" s="48">
        <v>0</v>
      </c>
      <c r="F1628" t="s">
        <v>679</v>
      </c>
      <c r="G1628" s="48" t="s">
        <v>1305</v>
      </c>
      <c r="H1628" s="48" t="s">
        <v>4637</v>
      </c>
      <c r="I1628" s="48" t="s">
        <v>4637</v>
      </c>
      <c r="J1628" s="48" t="s">
        <v>4638</v>
      </c>
      <c r="K1628" s="48" t="s">
        <v>1332</v>
      </c>
      <c r="L1628" s="48" t="s">
        <v>4639</v>
      </c>
      <c r="M1628" s="48" t="s">
        <v>4432</v>
      </c>
      <c r="N1628" s="48" t="s">
        <v>1310</v>
      </c>
      <c r="O1628" s="48" t="s">
        <v>1311</v>
      </c>
      <c r="P1628" s="48" t="s">
        <v>1312</v>
      </c>
      <c r="Q1628" s="48" t="s">
        <v>31</v>
      </c>
      <c r="R1628" s="48" t="s">
        <v>31</v>
      </c>
      <c r="S1628" s="48" t="s">
        <v>31</v>
      </c>
      <c r="T1628" s="48" t="s">
        <v>31</v>
      </c>
      <c r="U1628" s="46" t="s">
        <v>1154</v>
      </c>
    </row>
    <row r="1629" spans="1:21">
      <c r="A1629" s="48" t="s">
        <v>1256</v>
      </c>
      <c r="B1629" s="48" t="s">
        <v>78</v>
      </c>
      <c r="C1629" s="48" t="s">
        <v>666</v>
      </c>
      <c r="D1629" s="48">
        <v>1</v>
      </c>
      <c r="E1629" s="48">
        <v>0</v>
      </c>
      <c r="F1629" t="s">
        <v>679</v>
      </c>
      <c r="G1629" s="48" t="s">
        <v>1305</v>
      </c>
      <c r="H1629" s="48" t="s">
        <v>4640</v>
      </c>
      <c r="I1629" s="48" t="s">
        <v>4640</v>
      </c>
      <c r="J1629" s="48" t="s">
        <v>4641</v>
      </c>
      <c r="K1629" s="48" t="s">
        <v>1326</v>
      </c>
      <c r="L1629" s="48" t="s">
        <v>4642</v>
      </c>
      <c r="M1629" s="48" t="s">
        <v>4432</v>
      </c>
      <c r="N1629" s="48" t="s">
        <v>1310</v>
      </c>
      <c r="O1629" s="48" t="s">
        <v>1311</v>
      </c>
      <c r="P1629" s="48" t="s">
        <v>1312</v>
      </c>
      <c r="Q1629" s="48" t="s">
        <v>31</v>
      </c>
      <c r="R1629" s="48" t="s">
        <v>31</v>
      </c>
      <c r="S1629" s="48" t="s">
        <v>31</v>
      </c>
      <c r="T1629" s="48" t="s">
        <v>31</v>
      </c>
      <c r="U1629" s="46" t="s">
        <v>1154</v>
      </c>
    </row>
    <row r="1630" spans="1:21">
      <c r="A1630" s="48" t="s">
        <v>1256</v>
      </c>
      <c r="B1630" s="48" t="s">
        <v>78</v>
      </c>
      <c r="C1630" s="48" t="s">
        <v>666</v>
      </c>
      <c r="D1630" s="48">
        <v>1</v>
      </c>
      <c r="E1630" s="48">
        <v>0</v>
      </c>
      <c r="F1630" t="s">
        <v>679</v>
      </c>
      <c r="G1630" s="48" t="s">
        <v>1305</v>
      </c>
      <c r="H1630" s="48" t="s">
        <v>4643</v>
      </c>
      <c r="I1630" s="48" t="s">
        <v>4643</v>
      </c>
      <c r="J1630" s="48" t="s">
        <v>4644</v>
      </c>
      <c r="K1630" s="48" t="s">
        <v>1329</v>
      </c>
      <c r="L1630" s="48" t="s">
        <v>4645</v>
      </c>
      <c r="M1630" s="48" t="s">
        <v>4432</v>
      </c>
      <c r="N1630" s="48" t="s">
        <v>1310</v>
      </c>
      <c r="O1630" s="48" t="s">
        <v>1311</v>
      </c>
      <c r="P1630" s="48" t="s">
        <v>1312</v>
      </c>
      <c r="Q1630" s="48" t="s">
        <v>31</v>
      </c>
      <c r="R1630" s="48" t="s">
        <v>31</v>
      </c>
      <c r="S1630" s="48" t="s">
        <v>31</v>
      </c>
      <c r="T1630" s="48" t="s">
        <v>31</v>
      </c>
      <c r="U1630" s="46" t="s">
        <v>1154</v>
      </c>
    </row>
    <row r="1631" spans="1:21">
      <c r="A1631" s="48" t="s">
        <v>1256</v>
      </c>
      <c r="B1631" s="48" t="s">
        <v>78</v>
      </c>
      <c r="C1631" s="48" t="s">
        <v>666</v>
      </c>
      <c r="D1631" s="48">
        <v>1</v>
      </c>
      <c r="E1631" s="48">
        <v>0</v>
      </c>
      <c r="F1631" t="s">
        <v>679</v>
      </c>
      <c r="G1631" s="48" t="s">
        <v>1305</v>
      </c>
      <c r="H1631" s="48" t="s">
        <v>4646</v>
      </c>
      <c r="I1631" s="48" t="s">
        <v>4646</v>
      </c>
      <c r="J1631" s="48" t="s">
        <v>4647</v>
      </c>
      <c r="K1631" s="48" t="s">
        <v>1320</v>
      </c>
      <c r="L1631" s="48" t="s">
        <v>4648</v>
      </c>
      <c r="M1631" s="48" t="s">
        <v>4432</v>
      </c>
      <c r="N1631" s="48" t="s">
        <v>1310</v>
      </c>
      <c r="O1631" s="48" t="s">
        <v>1311</v>
      </c>
      <c r="P1631" s="48" t="s">
        <v>1312</v>
      </c>
      <c r="Q1631" s="48" t="s">
        <v>31</v>
      </c>
      <c r="R1631" s="48" t="s">
        <v>31</v>
      </c>
      <c r="S1631" s="48" t="s">
        <v>31</v>
      </c>
      <c r="T1631" s="48" t="s">
        <v>31</v>
      </c>
      <c r="U1631" s="46" t="s">
        <v>1154</v>
      </c>
    </row>
    <row r="1632" spans="1:21">
      <c r="A1632" s="48" t="s">
        <v>1256</v>
      </c>
      <c r="B1632" s="48" t="s">
        <v>78</v>
      </c>
      <c r="C1632" s="48" t="s">
        <v>666</v>
      </c>
      <c r="D1632" s="48">
        <v>1</v>
      </c>
      <c r="E1632" s="48">
        <v>0</v>
      </c>
      <c r="F1632" t="s">
        <v>679</v>
      </c>
      <c r="G1632" s="48" t="s">
        <v>1305</v>
      </c>
      <c r="H1632" s="48" t="s">
        <v>4649</v>
      </c>
      <c r="I1632" s="48" t="s">
        <v>4649</v>
      </c>
      <c r="J1632" s="48" t="s">
        <v>4650</v>
      </c>
      <c r="K1632" s="48" t="s">
        <v>1317</v>
      </c>
      <c r="L1632" s="48" t="s">
        <v>4651</v>
      </c>
      <c r="M1632" s="48" t="s">
        <v>4432</v>
      </c>
      <c r="N1632" s="48" t="s">
        <v>1310</v>
      </c>
      <c r="O1632" s="48" t="s">
        <v>1311</v>
      </c>
      <c r="P1632" s="48" t="s">
        <v>1312</v>
      </c>
      <c r="Q1632" s="48" t="s">
        <v>31</v>
      </c>
      <c r="R1632" s="48" t="s">
        <v>31</v>
      </c>
      <c r="S1632" s="48" t="s">
        <v>31</v>
      </c>
      <c r="T1632" s="48" t="s">
        <v>31</v>
      </c>
      <c r="U1632" s="46" t="s">
        <v>1154</v>
      </c>
    </row>
    <row r="1633" spans="1:21">
      <c r="A1633" s="48" t="s">
        <v>1256</v>
      </c>
      <c r="B1633" s="48" t="s">
        <v>78</v>
      </c>
      <c r="C1633" s="48" t="s">
        <v>666</v>
      </c>
      <c r="D1633" s="48">
        <v>1</v>
      </c>
      <c r="E1633" s="48">
        <v>0</v>
      </c>
      <c r="F1633" t="s">
        <v>679</v>
      </c>
      <c r="G1633" s="48" t="s">
        <v>1305</v>
      </c>
      <c r="H1633" s="48" t="s">
        <v>4652</v>
      </c>
      <c r="I1633" s="48" t="s">
        <v>4652</v>
      </c>
      <c r="J1633" s="48" t="s">
        <v>4653</v>
      </c>
      <c r="K1633" s="48" t="s">
        <v>1307</v>
      </c>
      <c r="L1633" s="48" t="s">
        <v>4654</v>
      </c>
      <c r="M1633" s="48" t="s">
        <v>4432</v>
      </c>
      <c r="N1633" s="48" t="s">
        <v>1310</v>
      </c>
      <c r="O1633" s="48" t="s">
        <v>1311</v>
      </c>
      <c r="P1633" s="48" t="s">
        <v>1312</v>
      </c>
      <c r="Q1633" s="48" t="s">
        <v>31</v>
      </c>
      <c r="R1633" s="48" t="s">
        <v>31</v>
      </c>
      <c r="S1633" s="48" t="s">
        <v>31</v>
      </c>
      <c r="T1633" s="48" t="s">
        <v>31</v>
      </c>
      <c r="U1633" s="46" t="s">
        <v>1154</v>
      </c>
    </row>
    <row r="1634" spans="1:21">
      <c r="A1634" s="48" t="s">
        <v>1240</v>
      </c>
      <c r="B1634" s="48" t="s">
        <v>80</v>
      </c>
      <c r="C1634" s="48" t="s">
        <v>666</v>
      </c>
      <c r="D1634" s="48">
        <v>1</v>
      </c>
      <c r="E1634" s="48">
        <v>0</v>
      </c>
      <c r="F1634" t="s">
        <v>696</v>
      </c>
      <c r="G1634" s="48" t="s">
        <v>1305</v>
      </c>
      <c r="H1634" s="48" t="s">
        <v>1436</v>
      </c>
      <c r="I1634" s="48" t="s">
        <v>1436</v>
      </c>
      <c r="J1634" s="48" t="s">
        <v>4655</v>
      </c>
      <c r="K1634" s="48" t="s">
        <v>1332</v>
      </c>
      <c r="L1634" s="48" t="s">
        <v>4656</v>
      </c>
      <c r="M1634" s="48" t="s">
        <v>4432</v>
      </c>
      <c r="N1634" s="48" t="s">
        <v>1310</v>
      </c>
      <c r="O1634" s="48" t="s">
        <v>1311</v>
      </c>
      <c r="P1634" s="48" t="s">
        <v>1312</v>
      </c>
      <c r="Q1634" s="48" t="s">
        <v>31</v>
      </c>
      <c r="R1634" s="48" t="s">
        <v>31</v>
      </c>
      <c r="S1634" s="48" t="s">
        <v>31</v>
      </c>
      <c r="T1634" s="48" t="s">
        <v>31</v>
      </c>
      <c r="U1634" s="46" t="s">
        <v>1154</v>
      </c>
    </row>
    <row r="1635" spans="1:21">
      <c r="A1635" s="48" t="s">
        <v>1240</v>
      </c>
      <c r="B1635" s="48" t="s">
        <v>80</v>
      </c>
      <c r="C1635" s="48" t="s">
        <v>666</v>
      </c>
      <c r="D1635" s="48">
        <v>1</v>
      </c>
      <c r="E1635" s="48">
        <v>0</v>
      </c>
      <c r="F1635" t="s">
        <v>696</v>
      </c>
      <c r="G1635" s="48" t="s">
        <v>1305</v>
      </c>
      <c r="H1635" s="48" t="s">
        <v>1426</v>
      </c>
      <c r="I1635" s="48" t="s">
        <v>1426</v>
      </c>
      <c r="J1635" s="48" t="s">
        <v>4657</v>
      </c>
      <c r="K1635" s="48" t="s">
        <v>1317</v>
      </c>
      <c r="L1635" s="48" t="s">
        <v>4658</v>
      </c>
      <c r="M1635" s="48" t="s">
        <v>4432</v>
      </c>
      <c r="N1635" s="48" t="s">
        <v>1310</v>
      </c>
      <c r="O1635" s="48" t="s">
        <v>1311</v>
      </c>
      <c r="P1635" s="48" t="s">
        <v>1312</v>
      </c>
      <c r="Q1635" s="48" t="s">
        <v>31</v>
      </c>
      <c r="R1635" s="48" t="s">
        <v>31</v>
      </c>
      <c r="S1635" s="48" t="s">
        <v>31</v>
      </c>
      <c r="T1635" s="48" t="s">
        <v>31</v>
      </c>
      <c r="U1635" s="46" t="s">
        <v>1154</v>
      </c>
    </row>
    <row r="1636" spans="1:21">
      <c r="A1636" s="48" t="s">
        <v>1240</v>
      </c>
      <c r="B1636" s="48" t="s">
        <v>80</v>
      </c>
      <c r="C1636" s="48" t="s">
        <v>666</v>
      </c>
      <c r="D1636" s="48">
        <v>1</v>
      </c>
      <c r="E1636" s="48">
        <v>0</v>
      </c>
      <c r="F1636" t="s">
        <v>696</v>
      </c>
      <c r="G1636" s="48" t="s">
        <v>1305</v>
      </c>
      <c r="H1636" s="48" t="s">
        <v>1432</v>
      </c>
      <c r="I1636" s="48" t="s">
        <v>1432</v>
      </c>
      <c r="J1636" s="48" t="s">
        <v>4659</v>
      </c>
      <c r="K1636" s="48" t="s">
        <v>1326</v>
      </c>
      <c r="L1636" s="48" t="s">
        <v>4660</v>
      </c>
      <c r="M1636" s="48" t="s">
        <v>4432</v>
      </c>
      <c r="N1636" s="48" t="s">
        <v>1310</v>
      </c>
      <c r="O1636" s="48" t="s">
        <v>1311</v>
      </c>
      <c r="P1636" s="48" t="s">
        <v>1312</v>
      </c>
      <c r="Q1636" s="48" t="s">
        <v>31</v>
      </c>
      <c r="R1636" s="48" t="s">
        <v>31</v>
      </c>
      <c r="S1636" s="48" t="s">
        <v>31</v>
      </c>
      <c r="T1636" s="48" t="s">
        <v>31</v>
      </c>
      <c r="U1636" s="46" t="s">
        <v>1154</v>
      </c>
    </row>
    <row r="1637" spans="1:21">
      <c r="A1637" s="48" t="s">
        <v>1240</v>
      </c>
      <c r="B1637" s="48" t="s">
        <v>80</v>
      </c>
      <c r="C1637" s="48" t="s">
        <v>666</v>
      </c>
      <c r="D1637" s="48">
        <v>1</v>
      </c>
      <c r="E1637" s="48">
        <v>0</v>
      </c>
      <c r="F1637" t="s">
        <v>696</v>
      </c>
      <c r="G1637" s="48" t="s">
        <v>1305</v>
      </c>
      <c r="H1637" s="48" t="s">
        <v>1430</v>
      </c>
      <c r="I1637" s="48" t="s">
        <v>1430</v>
      </c>
      <c r="J1637" s="48" t="s">
        <v>4661</v>
      </c>
      <c r="K1637" s="48" t="s">
        <v>1323</v>
      </c>
      <c r="L1637" s="48" t="s">
        <v>4662</v>
      </c>
      <c r="M1637" s="48" t="s">
        <v>4432</v>
      </c>
      <c r="N1637" s="48" t="s">
        <v>1310</v>
      </c>
      <c r="O1637" s="48" t="s">
        <v>1311</v>
      </c>
      <c r="P1637" s="48" t="s">
        <v>1312</v>
      </c>
      <c r="Q1637" s="48" t="s">
        <v>31</v>
      </c>
      <c r="R1637" s="48" t="s">
        <v>31</v>
      </c>
      <c r="S1637" s="48" t="s">
        <v>31</v>
      </c>
      <c r="T1637" s="48" t="s">
        <v>31</v>
      </c>
      <c r="U1637" s="46" t="s">
        <v>1154</v>
      </c>
    </row>
    <row r="1638" spans="1:21">
      <c r="A1638" s="48" t="s">
        <v>1240</v>
      </c>
      <c r="B1638" s="48" t="s">
        <v>80</v>
      </c>
      <c r="C1638" s="48" t="s">
        <v>666</v>
      </c>
      <c r="D1638" s="48">
        <v>1</v>
      </c>
      <c r="E1638" s="48">
        <v>0</v>
      </c>
      <c r="F1638" t="s">
        <v>696</v>
      </c>
      <c r="G1638" s="48" t="s">
        <v>1305</v>
      </c>
      <c r="H1638" s="48" t="s">
        <v>1434</v>
      </c>
      <c r="I1638" s="48" t="s">
        <v>1434</v>
      </c>
      <c r="J1638" s="48" t="s">
        <v>4663</v>
      </c>
      <c r="K1638" s="48" t="s">
        <v>1329</v>
      </c>
      <c r="L1638" s="48" t="s">
        <v>4664</v>
      </c>
      <c r="M1638" s="48" t="s">
        <v>4432</v>
      </c>
      <c r="N1638" s="48" t="s">
        <v>1310</v>
      </c>
      <c r="O1638" s="48" t="s">
        <v>1311</v>
      </c>
      <c r="P1638" s="48" t="s">
        <v>1312</v>
      </c>
      <c r="Q1638" s="48" t="s">
        <v>31</v>
      </c>
      <c r="R1638" s="48" t="s">
        <v>31</v>
      </c>
      <c r="S1638" s="48" t="s">
        <v>31</v>
      </c>
      <c r="T1638" s="48" t="s">
        <v>31</v>
      </c>
      <c r="U1638" s="46" t="s">
        <v>1154</v>
      </c>
    </row>
    <row r="1639" spans="1:21">
      <c r="A1639" s="48" t="s">
        <v>1240</v>
      </c>
      <c r="B1639" s="48" t="s">
        <v>80</v>
      </c>
      <c r="C1639" s="48" t="s">
        <v>666</v>
      </c>
      <c r="D1639" s="48">
        <v>1</v>
      </c>
      <c r="E1639" s="48">
        <v>0</v>
      </c>
      <c r="F1639" t="s">
        <v>696</v>
      </c>
      <c r="G1639" s="48" t="s">
        <v>1305</v>
      </c>
      <c r="H1639" s="48" t="s">
        <v>1422</v>
      </c>
      <c r="I1639" s="48" t="s">
        <v>1422</v>
      </c>
      <c r="J1639" s="48" t="s">
        <v>4665</v>
      </c>
      <c r="K1639" s="48" t="s">
        <v>1307</v>
      </c>
      <c r="L1639" s="48" t="s">
        <v>4666</v>
      </c>
      <c r="M1639" s="48" t="s">
        <v>4432</v>
      </c>
      <c r="N1639" s="48" t="s">
        <v>1310</v>
      </c>
      <c r="O1639" s="48" t="s">
        <v>1311</v>
      </c>
      <c r="P1639" s="48" t="s">
        <v>1312</v>
      </c>
      <c r="Q1639" s="48" t="s">
        <v>31</v>
      </c>
      <c r="R1639" s="48" t="s">
        <v>31</v>
      </c>
      <c r="S1639" s="48" t="s">
        <v>31</v>
      </c>
      <c r="T1639" s="48" t="s">
        <v>31</v>
      </c>
      <c r="U1639" s="46" t="s">
        <v>1154</v>
      </c>
    </row>
    <row r="1640" spans="1:21">
      <c r="A1640" s="48" t="s">
        <v>1240</v>
      </c>
      <c r="B1640" s="48" t="s">
        <v>80</v>
      </c>
      <c r="C1640" s="48" t="s">
        <v>666</v>
      </c>
      <c r="D1640" s="48">
        <v>1</v>
      </c>
      <c r="E1640" s="48">
        <v>0</v>
      </c>
      <c r="F1640" t="s">
        <v>696</v>
      </c>
      <c r="G1640" s="48" t="s">
        <v>1305</v>
      </c>
      <c r="H1640" s="48" t="s">
        <v>1428</v>
      </c>
      <c r="I1640" s="48" t="s">
        <v>1428</v>
      </c>
      <c r="J1640" s="48" t="s">
        <v>4667</v>
      </c>
      <c r="K1640" s="48" t="s">
        <v>1320</v>
      </c>
      <c r="L1640" s="48" t="s">
        <v>4668</v>
      </c>
      <c r="M1640" s="48" t="s">
        <v>4432</v>
      </c>
      <c r="N1640" s="48" t="s">
        <v>1310</v>
      </c>
      <c r="O1640" s="48" t="s">
        <v>1311</v>
      </c>
      <c r="P1640" s="48" t="s">
        <v>1312</v>
      </c>
      <c r="Q1640" s="48" t="s">
        <v>31</v>
      </c>
      <c r="R1640" s="48" t="s">
        <v>31</v>
      </c>
      <c r="S1640" s="48" t="s">
        <v>31</v>
      </c>
      <c r="T1640" s="48" t="s">
        <v>31</v>
      </c>
      <c r="U1640" s="46" t="s">
        <v>1154</v>
      </c>
    </row>
    <row r="1641" spans="1:21">
      <c r="A1641" s="48" t="s">
        <v>1240</v>
      </c>
      <c r="B1641" s="48" t="s">
        <v>80</v>
      </c>
      <c r="C1641" s="48" t="s">
        <v>666</v>
      </c>
      <c r="D1641" s="48">
        <v>1</v>
      </c>
      <c r="E1641" s="48">
        <v>0</v>
      </c>
      <c r="F1641" t="s">
        <v>696</v>
      </c>
      <c r="G1641" s="48" t="s">
        <v>1305</v>
      </c>
      <c r="H1641" s="48" t="s">
        <v>1424</v>
      </c>
      <c r="I1641" s="48" t="s">
        <v>1424</v>
      </c>
      <c r="J1641" s="48" t="s">
        <v>4669</v>
      </c>
      <c r="K1641" s="48" t="s">
        <v>1314</v>
      </c>
      <c r="L1641" s="48" t="s">
        <v>4670</v>
      </c>
      <c r="M1641" s="48" t="s">
        <v>4432</v>
      </c>
      <c r="N1641" s="48" t="s">
        <v>1310</v>
      </c>
      <c r="O1641" s="48" t="s">
        <v>1311</v>
      </c>
      <c r="P1641" s="48" t="s">
        <v>1312</v>
      </c>
      <c r="Q1641" s="48" t="s">
        <v>31</v>
      </c>
      <c r="R1641" s="48" t="s">
        <v>31</v>
      </c>
      <c r="S1641" s="48" t="s">
        <v>31</v>
      </c>
      <c r="T1641" s="48" t="s">
        <v>31</v>
      </c>
      <c r="U1641" s="46" t="s">
        <v>1154</v>
      </c>
    </row>
    <row r="1642" spans="1:21">
      <c r="A1642" s="48" t="s">
        <v>1241</v>
      </c>
      <c r="B1642" s="48" t="s">
        <v>83</v>
      </c>
      <c r="C1642" s="48" t="s">
        <v>666</v>
      </c>
      <c r="D1642" s="48">
        <v>1</v>
      </c>
      <c r="E1642" s="48">
        <v>0</v>
      </c>
      <c r="F1642" t="s">
        <v>706</v>
      </c>
      <c r="G1642" s="48" t="s">
        <v>1305</v>
      </c>
      <c r="H1642" s="48" t="s">
        <v>2064</v>
      </c>
      <c r="I1642" s="48" t="s">
        <v>2064</v>
      </c>
      <c r="J1642" s="48" t="s">
        <v>4671</v>
      </c>
      <c r="K1642" s="48" t="s">
        <v>1314</v>
      </c>
      <c r="L1642" s="48" t="s">
        <v>4672</v>
      </c>
      <c r="M1642" s="48" t="s">
        <v>4432</v>
      </c>
      <c r="N1642" s="48" t="s">
        <v>1310</v>
      </c>
      <c r="O1642" s="48" t="s">
        <v>1311</v>
      </c>
      <c r="P1642" s="48" t="s">
        <v>1312</v>
      </c>
      <c r="Q1642" s="48" t="s">
        <v>31</v>
      </c>
      <c r="R1642" s="48" t="s">
        <v>31</v>
      </c>
      <c r="S1642" s="48" t="s">
        <v>31</v>
      </c>
      <c r="T1642" s="48" t="s">
        <v>31</v>
      </c>
      <c r="U1642" s="46" t="s">
        <v>1154</v>
      </c>
    </row>
    <row r="1643" spans="1:21">
      <c r="A1643" s="48" t="s">
        <v>1241</v>
      </c>
      <c r="B1643" s="48" t="s">
        <v>83</v>
      </c>
      <c r="C1643" s="48" t="s">
        <v>666</v>
      </c>
      <c r="D1643" s="48">
        <v>1</v>
      </c>
      <c r="E1643" s="48">
        <v>0</v>
      </c>
      <c r="F1643" t="s">
        <v>706</v>
      </c>
      <c r="G1643" s="48" t="s">
        <v>1305</v>
      </c>
      <c r="H1643" s="48" t="s">
        <v>2062</v>
      </c>
      <c r="I1643" s="48" t="s">
        <v>2062</v>
      </c>
      <c r="J1643" s="48" t="s">
        <v>4673</v>
      </c>
      <c r="K1643" s="48" t="s">
        <v>1307</v>
      </c>
      <c r="L1643" s="48" t="s">
        <v>4674</v>
      </c>
      <c r="M1643" s="48" t="s">
        <v>4432</v>
      </c>
      <c r="N1643" s="48" t="s">
        <v>1310</v>
      </c>
      <c r="O1643" s="48" t="s">
        <v>1311</v>
      </c>
      <c r="P1643" s="48" t="s">
        <v>1312</v>
      </c>
      <c r="Q1643" s="48" t="s">
        <v>31</v>
      </c>
      <c r="R1643" s="48" t="s">
        <v>31</v>
      </c>
      <c r="S1643" s="48" t="s">
        <v>31</v>
      </c>
      <c r="T1643" s="48" t="s">
        <v>31</v>
      </c>
      <c r="U1643" s="46" t="s">
        <v>1154</v>
      </c>
    </row>
    <row r="1644" spans="1:21">
      <c r="A1644" s="48" t="s">
        <v>1241</v>
      </c>
      <c r="B1644" s="48" t="s">
        <v>83</v>
      </c>
      <c r="C1644" s="48" t="s">
        <v>666</v>
      </c>
      <c r="D1644" s="48">
        <v>1</v>
      </c>
      <c r="E1644" s="48">
        <v>0</v>
      </c>
      <c r="F1644" t="s">
        <v>706</v>
      </c>
      <c r="G1644" s="48" t="s">
        <v>1305</v>
      </c>
      <c r="H1644" s="48" t="s">
        <v>2074</v>
      </c>
      <c r="I1644" s="48" t="s">
        <v>2074</v>
      </c>
      <c r="J1644" s="48" t="s">
        <v>4675</v>
      </c>
      <c r="K1644" s="48" t="s">
        <v>1329</v>
      </c>
      <c r="L1644" s="48" t="s">
        <v>4676</v>
      </c>
      <c r="M1644" s="48" t="s">
        <v>4432</v>
      </c>
      <c r="N1644" s="48" t="s">
        <v>1310</v>
      </c>
      <c r="O1644" s="48" t="s">
        <v>1311</v>
      </c>
      <c r="P1644" s="48" t="s">
        <v>1312</v>
      </c>
      <c r="Q1644" s="48" t="s">
        <v>31</v>
      </c>
      <c r="R1644" s="48" t="s">
        <v>31</v>
      </c>
      <c r="S1644" s="48" t="s">
        <v>31</v>
      </c>
      <c r="T1644" s="48" t="s">
        <v>31</v>
      </c>
      <c r="U1644" s="46" t="s">
        <v>1154</v>
      </c>
    </row>
    <row r="1645" spans="1:21">
      <c r="A1645" s="48" t="s">
        <v>1241</v>
      </c>
      <c r="B1645" s="48" t="s">
        <v>83</v>
      </c>
      <c r="C1645" s="48" t="s">
        <v>666</v>
      </c>
      <c r="D1645" s="48">
        <v>1</v>
      </c>
      <c r="E1645" s="48">
        <v>0</v>
      </c>
      <c r="F1645" t="s">
        <v>706</v>
      </c>
      <c r="G1645" s="48" t="s">
        <v>1305</v>
      </c>
      <c r="H1645" s="48" t="s">
        <v>2076</v>
      </c>
      <c r="I1645" s="48" t="s">
        <v>2076</v>
      </c>
      <c r="J1645" s="48" t="s">
        <v>4677</v>
      </c>
      <c r="K1645" s="48" t="s">
        <v>1332</v>
      </c>
      <c r="L1645" s="48" t="s">
        <v>4678</v>
      </c>
      <c r="M1645" s="48" t="s">
        <v>4432</v>
      </c>
      <c r="N1645" s="48" t="s">
        <v>1310</v>
      </c>
      <c r="O1645" s="48" t="s">
        <v>1311</v>
      </c>
      <c r="P1645" s="48" t="s">
        <v>1312</v>
      </c>
      <c r="Q1645" s="48" t="s">
        <v>31</v>
      </c>
      <c r="R1645" s="48" t="s">
        <v>31</v>
      </c>
      <c r="S1645" s="48" t="s">
        <v>31</v>
      </c>
      <c r="T1645" s="48" t="s">
        <v>31</v>
      </c>
      <c r="U1645" s="46" t="s">
        <v>1154</v>
      </c>
    </row>
    <row r="1646" spans="1:21">
      <c r="A1646" s="48" t="s">
        <v>1241</v>
      </c>
      <c r="B1646" s="48" t="s">
        <v>83</v>
      </c>
      <c r="C1646" s="48" t="s">
        <v>666</v>
      </c>
      <c r="D1646" s="48">
        <v>1</v>
      </c>
      <c r="E1646" s="48">
        <v>0</v>
      </c>
      <c r="F1646" t="s">
        <v>706</v>
      </c>
      <c r="G1646" s="48" t="s">
        <v>1305</v>
      </c>
      <c r="H1646" s="48" t="s">
        <v>2068</v>
      </c>
      <c r="I1646" s="48" t="s">
        <v>2068</v>
      </c>
      <c r="J1646" s="48" t="s">
        <v>4679</v>
      </c>
      <c r="K1646" s="48" t="s">
        <v>1320</v>
      </c>
      <c r="L1646" s="48" t="s">
        <v>4680</v>
      </c>
      <c r="M1646" s="48" t="s">
        <v>4432</v>
      </c>
      <c r="N1646" s="48" t="s">
        <v>1310</v>
      </c>
      <c r="O1646" s="48" t="s">
        <v>1311</v>
      </c>
      <c r="P1646" s="48" t="s">
        <v>1312</v>
      </c>
      <c r="Q1646" s="48" t="s">
        <v>31</v>
      </c>
      <c r="R1646" s="48" t="s">
        <v>31</v>
      </c>
      <c r="S1646" s="48" t="s">
        <v>31</v>
      </c>
      <c r="T1646" s="48" t="s">
        <v>31</v>
      </c>
      <c r="U1646" s="46" t="s">
        <v>1154</v>
      </c>
    </row>
    <row r="1647" spans="1:21">
      <c r="A1647" s="48" t="s">
        <v>1241</v>
      </c>
      <c r="B1647" s="48" t="s">
        <v>83</v>
      </c>
      <c r="C1647" s="48" t="s">
        <v>666</v>
      </c>
      <c r="D1647" s="48">
        <v>1</v>
      </c>
      <c r="E1647" s="48">
        <v>0</v>
      </c>
      <c r="F1647" t="s">
        <v>706</v>
      </c>
      <c r="G1647" s="48" t="s">
        <v>1305</v>
      </c>
      <c r="H1647" s="48" t="s">
        <v>2072</v>
      </c>
      <c r="I1647" s="48" t="s">
        <v>2072</v>
      </c>
      <c r="J1647" s="48" t="s">
        <v>4681</v>
      </c>
      <c r="K1647" s="48" t="s">
        <v>1326</v>
      </c>
      <c r="L1647" s="48" t="s">
        <v>4682</v>
      </c>
      <c r="M1647" s="48" t="s">
        <v>4432</v>
      </c>
      <c r="N1647" s="48" t="s">
        <v>1310</v>
      </c>
      <c r="O1647" s="48" t="s">
        <v>1311</v>
      </c>
      <c r="P1647" s="48" t="s">
        <v>1312</v>
      </c>
      <c r="Q1647" s="48" t="s">
        <v>31</v>
      </c>
      <c r="R1647" s="48" t="s">
        <v>31</v>
      </c>
      <c r="S1647" s="48" t="s">
        <v>31</v>
      </c>
      <c r="T1647" s="48" t="s">
        <v>31</v>
      </c>
      <c r="U1647" s="46" t="s">
        <v>1154</v>
      </c>
    </row>
    <row r="1648" spans="1:21">
      <c r="A1648" s="48" t="s">
        <v>1241</v>
      </c>
      <c r="B1648" s="48" t="s">
        <v>83</v>
      </c>
      <c r="C1648" s="48" t="s">
        <v>666</v>
      </c>
      <c r="D1648" s="48">
        <v>1</v>
      </c>
      <c r="E1648" s="48">
        <v>0</v>
      </c>
      <c r="F1648" t="s">
        <v>706</v>
      </c>
      <c r="G1648" s="48" t="s">
        <v>1305</v>
      </c>
      <c r="H1648" s="48" t="s">
        <v>2066</v>
      </c>
      <c r="I1648" s="48" t="s">
        <v>2066</v>
      </c>
      <c r="J1648" s="48" t="s">
        <v>4683</v>
      </c>
      <c r="K1648" s="48" t="s">
        <v>1317</v>
      </c>
      <c r="L1648" s="48" t="s">
        <v>4684</v>
      </c>
      <c r="M1648" s="48" t="s">
        <v>4432</v>
      </c>
      <c r="N1648" s="48" t="s">
        <v>1310</v>
      </c>
      <c r="O1648" s="48" t="s">
        <v>1311</v>
      </c>
      <c r="P1648" s="48" t="s">
        <v>1312</v>
      </c>
      <c r="Q1648" s="48" t="s">
        <v>31</v>
      </c>
      <c r="R1648" s="48" t="s">
        <v>31</v>
      </c>
      <c r="S1648" s="48" t="s">
        <v>31</v>
      </c>
      <c r="T1648" s="48" t="s">
        <v>31</v>
      </c>
      <c r="U1648" s="46" t="s">
        <v>1154</v>
      </c>
    </row>
    <row r="1649" spans="1:21">
      <c r="A1649" s="48" t="s">
        <v>1241</v>
      </c>
      <c r="B1649" s="48" t="s">
        <v>83</v>
      </c>
      <c r="C1649" s="48" t="s">
        <v>666</v>
      </c>
      <c r="D1649" s="48">
        <v>1</v>
      </c>
      <c r="E1649" s="48">
        <v>0</v>
      </c>
      <c r="F1649" t="s">
        <v>706</v>
      </c>
      <c r="G1649" s="48" t="s">
        <v>1305</v>
      </c>
      <c r="H1649" s="48" t="s">
        <v>2070</v>
      </c>
      <c r="I1649" s="48" t="s">
        <v>2070</v>
      </c>
      <c r="J1649" s="48" t="s">
        <v>4685</v>
      </c>
      <c r="K1649" s="48" t="s">
        <v>1323</v>
      </c>
      <c r="L1649" s="48" t="s">
        <v>4686</v>
      </c>
      <c r="M1649" s="48" t="s">
        <v>4432</v>
      </c>
      <c r="N1649" s="48" t="s">
        <v>1310</v>
      </c>
      <c r="O1649" s="48" t="s">
        <v>1311</v>
      </c>
      <c r="P1649" s="48" t="s">
        <v>1312</v>
      </c>
      <c r="Q1649" s="48" t="s">
        <v>31</v>
      </c>
      <c r="R1649" s="48" t="s">
        <v>31</v>
      </c>
      <c r="S1649" s="48" t="s">
        <v>31</v>
      </c>
      <c r="T1649" s="48" t="s">
        <v>31</v>
      </c>
      <c r="U1649" s="46" t="s">
        <v>1154</v>
      </c>
    </row>
    <row r="1650" spans="1:21">
      <c r="A1650" s="48" t="s">
        <v>1247</v>
      </c>
      <c r="B1650" s="48" t="s">
        <v>85</v>
      </c>
      <c r="C1650" s="48" t="s">
        <v>666</v>
      </c>
      <c r="D1650" s="48">
        <v>1</v>
      </c>
      <c r="E1650" s="48">
        <v>0</v>
      </c>
      <c r="F1650" t="s">
        <v>696</v>
      </c>
      <c r="G1650" s="48" t="s">
        <v>1305</v>
      </c>
      <c r="H1650" s="48" t="s">
        <v>4687</v>
      </c>
      <c r="I1650" s="48" t="s">
        <v>4687</v>
      </c>
      <c r="J1650" s="48" t="s">
        <v>4688</v>
      </c>
      <c r="K1650" s="48" t="s">
        <v>1307</v>
      </c>
      <c r="L1650" s="48" t="s">
        <v>4689</v>
      </c>
      <c r="M1650" s="48" t="s">
        <v>4432</v>
      </c>
      <c r="N1650" s="48" t="s">
        <v>1310</v>
      </c>
      <c r="O1650" s="48" t="s">
        <v>1311</v>
      </c>
      <c r="P1650" s="48" t="s">
        <v>1312</v>
      </c>
      <c r="Q1650" s="48" t="s">
        <v>31</v>
      </c>
      <c r="R1650" s="48" t="s">
        <v>31</v>
      </c>
      <c r="S1650" s="48" t="s">
        <v>31</v>
      </c>
      <c r="T1650" s="48" t="s">
        <v>31</v>
      </c>
      <c r="U1650" s="46" t="s">
        <v>1154</v>
      </c>
    </row>
    <row r="1651" spans="1:21">
      <c r="A1651" s="48" t="s">
        <v>1247</v>
      </c>
      <c r="B1651" s="48" t="s">
        <v>85</v>
      </c>
      <c r="C1651" s="48" t="s">
        <v>666</v>
      </c>
      <c r="D1651" s="48">
        <v>1</v>
      </c>
      <c r="E1651" s="48">
        <v>0</v>
      </c>
      <c r="F1651" t="s">
        <v>696</v>
      </c>
      <c r="G1651" s="48" t="s">
        <v>1305</v>
      </c>
      <c r="H1651" s="48" t="s">
        <v>4690</v>
      </c>
      <c r="I1651" s="48" t="s">
        <v>4690</v>
      </c>
      <c r="J1651" s="48" t="s">
        <v>4691</v>
      </c>
      <c r="K1651" s="48" t="s">
        <v>1329</v>
      </c>
      <c r="L1651" s="48" t="s">
        <v>4692</v>
      </c>
      <c r="M1651" s="48" t="s">
        <v>4432</v>
      </c>
      <c r="N1651" s="48" t="s">
        <v>1310</v>
      </c>
      <c r="O1651" s="48" t="s">
        <v>1311</v>
      </c>
      <c r="P1651" s="48" t="s">
        <v>1312</v>
      </c>
      <c r="Q1651" s="48" t="s">
        <v>31</v>
      </c>
      <c r="R1651" s="48" t="s">
        <v>31</v>
      </c>
      <c r="S1651" s="48" t="s">
        <v>31</v>
      </c>
      <c r="T1651" s="48" t="s">
        <v>31</v>
      </c>
      <c r="U1651" s="46" t="s">
        <v>1154</v>
      </c>
    </row>
    <row r="1652" spans="1:21">
      <c r="A1652" s="48" t="s">
        <v>1247</v>
      </c>
      <c r="B1652" s="48" t="s">
        <v>85</v>
      </c>
      <c r="C1652" s="48" t="s">
        <v>666</v>
      </c>
      <c r="D1652" s="48">
        <v>1</v>
      </c>
      <c r="E1652" s="48">
        <v>0</v>
      </c>
      <c r="F1652" t="s">
        <v>696</v>
      </c>
      <c r="G1652" s="48" t="s">
        <v>1305</v>
      </c>
      <c r="H1652" s="48" t="s">
        <v>4693</v>
      </c>
      <c r="I1652" s="48" t="s">
        <v>4693</v>
      </c>
      <c r="J1652" s="48" t="s">
        <v>4694</v>
      </c>
      <c r="K1652" s="48" t="s">
        <v>1326</v>
      </c>
      <c r="L1652" s="48" t="s">
        <v>4695</v>
      </c>
      <c r="M1652" s="48" t="s">
        <v>4432</v>
      </c>
      <c r="N1652" s="48" t="s">
        <v>1310</v>
      </c>
      <c r="O1652" s="48" t="s">
        <v>1311</v>
      </c>
      <c r="P1652" s="48" t="s">
        <v>1312</v>
      </c>
      <c r="Q1652" s="48" t="s">
        <v>31</v>
      </c>
      <c r="R1652" s="48" t="s">
        <v>31</v>
      </c>
      <c r="S1652" s="48" t="s">
        <v>31</v>
      </c>
      <c r="T1652" s="48" t="s">
        <v>31</v>
      </c>
      <c r="U1652" s="46" t="s">
        <v>1154</v>
      </c>
    </row>
    <row r="1653" spans="1:21">
      <c r="A1653" s="48" t="s">
        <v>1247</v>
      </c>
      <c r="B1653" s="48" t="s">
        <v>85</v>
      </c>
      <c r="C1653" s="48" t="s">
        <v>666</v>
      </c>
      <c r="D1653" s="48">
        <v>1</v>
      </c>
      <c r="E1653" s="48">
        <v>0</v>
      </c>
      <c r="F1653" t="s">
        <v>696</v>
      </c>
      <c r="G1653" s="48" t="s">
        <v>1305</v>
      </c>
      <c r="H1653" s="48" t="s">
        <v>4696</v>
      </c>
      <c r="I1653" s="48" t="s">
        <v>4696</v>
      </c>
      <c r="J1653" s="48" t="s">
        <v>4697</v>
      </c>
      <c r="K1653" s="48" t="s">
        <v>1323</v>
      </c>
      <c r="L1653" s="48" t="s">
        <v>4698</v>
      </c>
      <c r="M1653" s="48" t="s">
        <v>4432</v>
      </c>
      <c r="N1653" s="48" t="s">
        <v>1310</v>
      </c>
      <c r="O1653" s="48" t="s">
        <v>1311</v>
      </c>
      <c r="P1653" s="48" t="s">
        <v>1312</v>
      </c>
      <c r="Q1653" s="48" t="s">
        <v>31</v>
      </c>
      <c r="R1653" s="48" t="s">
        <v>31</v>
      </c>
      <c r="S1653" s="48" t="s">
        <v>31</v>
      </c>
      <c r="T1653" s="48" t="s">
        <v>31</v>
      </c>
      <c r="U1653" s="46" t="s">
        <v>1154</v>
      </c>
    </row>
    <row r="1654" spans="1:21">
      <c r="A1654" s="48" t="s">
        <v>1247</v>
      </c>
      <c r="B1654" s="48" t="s">
        <v>85</v>
      </c>
      <c r="C1654" s="48" t="s">
        <v>666</v>
      </c>
      <c r="D1654" s="48">
        <v>1</v>
      </c>
      <c r="E1654" s="48">
        <v>0</v>
      </c>
      <c r="F1654" t="s">
        <v>696</v>
      </c>
      <c r="G1654" s="48" t="s">
        <v>1305</v>
      </c>
      <c r="H1654" s="48" t="s">
        <v>4699</v>
      </c>
      <c r="I1654" s="48" t="s">
        <v>4699</v>
      </c>
      <c r="J1654" s="48" t="s">
        <v>4700</v>
      </c>
      <c r="K1654" s="48" t="s">
        <v>1332</v>
      </c>
      <c r="L1654" s="48" t="s">
        <v>4701</v>
      </c>
      <c r="M1654" s="48" t="s">
        <v>4432</v>
      </c>
      <c r="N1654" s="48" t="s">
        <v>1310</v>
      </c>
      <c r="O1654" s="48" t="s">
        <v>1311</v>
      </c>
      <c r="P1654" s="48" t="s">
        <v>1312</v>
      </c>
      <c r="Q1654" s="48" t="s">
        <v>31</v>
      </c>
      <c r="R1654" s="48" t="s">
        <v>31</v>
      </c>
      <c r="S1654" s="48" t="s">
        <v>31</v>
      </c>
      <c r="T1654" s="48" t="s">
        <v>31</v>
      </c>
      <c r="U1654" s="46" t="s">
        <v>1154</v>
      </c>
    </row>
    <row r="1655" spans="1:21">
      <c r="A1655" s="48" t="s">
        <v>1247</v>
      </c>
      <c r="B1655" s="48" t="s">
        <v>85</v>
      </c>
      <c r="C1655" s="48" t="s">
        <v>666</v>
      </c>
      <c r="D1655" s="48">
        <v>1</v>
      </c>
      <c r="E1655" s="48">
        <v>0</v>
      </c>
      <c r="F1655" t="s">
        <v>696</v>
      </c>
      <c r="G1655" s="48" t="s">
        <v>1305</v>
      </c>
      <c r="H1655" s="48" t="s">
        <v>4702</v>
      </c>
      <c r="I1655" s="48" t="s">
        <v>4702</v>
      </c>
      <c r="J1655" s="48" t="s">
        <v>4703</v>
      </c>
      <c r="K1655" s="48" t="s">
        <v>1317</v>
      </c>
      <c r="L1655" s="48" t="s">
        <v>4704</v>
      </c>
      <c r="M1655" s="48" t="s">
        <v>4432</v>
      </c>
      <c r="N1655" s="48" t="s">
        <v>1310</v>
      </c>
      <c r="O1655" s="48" t="s">
        <v>1311</v>
      </c>
      <c r="P1655" s="48" t="s">
        <v>1312</v>
      </c>
      <c r="Q1655" s="48" t="s">
        <v>31</v>
      </c>
      <c r="R1655" s="48" t="s">
        <v>31</v>
      </c>
      <c r="S1655" s="48" t="s">
        <v>31</v>
      </c>
      <c r="T1655" s="48" t="s">
        <v>31</v>
      </c>
      <c r="U1655" s="46" t="s">
        <v>1154</v>
      </c>
    </row>
    <row r="1656" spans="1:21">
      <c r="A1656" s="48" t="s">
        <v>1247</v>
      </c>
      <c r="B1656" s="48" t="s">
        <v>85</v>
      </c>
      <c r="C1656" s="48" t="s">
        <v>666</v>
      </c>
      <c r="D1656" s="48">
        <v>1</v>
      </c>
      <c r="E1656" s="48">
        <v>0</v>
      </c>
      <c r="F1656" t="s">
        <v>696</v>
      </c>
      <c r="G1656" s="48" t="s">
        <v>1305</v>
      </c>
      <c r="H1656" s="48" t="s">
        <v>4705</v>
      </c>
      <c r="I1656" s="48" t="s">
        <v>4705</v>
      </c>
      <c r="J1656" s="48" t="s">
        <v>4706</v>
      </c>
      <c r="K1656" s="48" t="s">
        <v>1314</v>
      </c>
      <c r="L1656" s="48" t="s">
        <v>4707</v>
      </c>
      <c r="M1656" s="48" t="s">
        <v>4432</v>
      </c>
      <c r="N1656" s="48" t="s">
        <v>1310</v>
      </c>
      <c r="O1656" s="48" t="s">
        <v>1311</v>
      </c>
      <c r="P1656" s="48" t="s">
        <v>1312</v>
      </c>
      <c r="Q1656" s="48" t="s">
        <v>31</v>
      </c>
      <c r="R1656" s="48" t="s">
        <v>31</v>
      </c>
      <c r="S1656" s="48" t="s">
        <v>31</v>
      </c>
      <c r="T1656" s="48" t="s">
        <v>31</v>
      </c>
      <c r="U1656" s="46" t="s">
        <v>1154</v>
      </c>
    </row>
    <row r="1657" spans="1:21">
      <c r="A1657" s="48" t="s">
        <v>1247</v>
      </c>
      <c r="B1657" s="48" t="s">
        <v>85</v>
      </c>
      <c r="C1657" s="48" t="s">
        <v>666</v>
      </c>
      <c r="D1657" s="48">
        <v>1</v>
      </c>
      <c r="E1657" s="48">
        <v>0</v>
      </c>
      <c r="F1657" t="s">
        <v>696</v>
      </c>
      <c r="G1657" s="48" t="s">
        <v>1305</v>
      </c>
      <c r="H1657" s="48" t="s">
        <v>4708</v>
      </c>
      <c r="I1657" s="48" t="s">
        <v>4708</v>
      </c>
      <c r="J1657" s="48" t="s">
        <v>4709</v>
      </c>
      <c r="K1657" s="48" t="s">
        <v>1320</v>
      </c>
      <c r="L1657" s="48" t="s">
        <v>4710</v>
      </c>
      <c r="M1657" s="48" t="s">
        <v>4432</v>
      </c>
      <c r="N1657" s="48" t="s">
        <v>1310</v>
      </c>
      <c r="O1657" s="48" t="s">
        <v>1311</v>
      </c>
      <c r="P1657" s="48" t="s">
        <v>1312</v>
      </c>
      <c r="Q1657" s="48" t="s">
        <v>31</v>
      </c>
      <c r="R1657" s="48" t="s">
        <v>31</v>
      </c>
      <c r="S1657" s="48" t="s">
        <v>31</v>
      </c>
      <c r="T1657" s="48" t="s">
        <v>31</v>
      </c>
      <c r="U1657" s="46" t="s">
        <v>1154</v>
      </c>
    </row>
    <row r="1658" spans="1:21">
      <c r="A1658" s="48" t="s">
        <v>1169</v>
      </c>
      <c r="B1658" s="48" t="s">
        <v>87</v>
      </c>
      <c r="C1658" s="48" t="s">
        <v>666</v>
      </c>
      <c r="D1658" s="48">
        <v>1</v>
      </c>
      <c r="E1658" s="48">
        <v>0</v>
      </c>
      <c r="F1658" t="s">
        <v>692</v>
      </c>
      <c r="G1658" s="48" t="s">
        <v>1305</v>
      </c>
      <c r="H1658" s="48" t="s">
        <v>1686</v>
      </c>
      <c r="I1658" s="48" t="s">
        <v>1686</v>
      </c>
      <c r="J1658" s="48" t="s">
        <v>4711</v>
      </c>
      <c r="K1658" s="48" t="s">
        <v>1323</v>
      </c>
      <c r="L1658" s="48" t="s">
        <v>4712</v>
      </c>
      <c r="M1658" s="48" t="s">
        <v>4432</v>
      </c>
      <c r="N1658" s="48" t="s">
        <v>1310</v>
      </c>
      <c r="O1658" s="48" t="s">
        <v>1311</v>
      </c>
      <c r="P1658" s="48" t="s">
        <v>1312</v>
      </c>
      <c r="Q1658" s="48" t="s">
        <v>31</v>
      </c>
      <c r="R1658" s="48" t="s">
        <v>31</v>
      </c>
      <c r="S1658" s="48" t="s">
        <v>31</v>
      </c>
      <c r="T1658" s="48" t="s">
        <v>31</v>
      </c>
      <c r="U1658" s="46" t="s">
        <v>1154</v>
      </c>
    </row>
    <row r="1659" spans="1:21">
      <c r="A1659" s="48" t="s">
        <v>1169</v>
      </c>
      <c r="B1659" s="48" t="s">
        <v>87</v>
      </c>
      <c r="C1659" s="48" t="s">
        <v>666</v>
      </c>
      <c r="D1659" s="48">
        <v>1</v>
      </c>
      <c r="E1659" s="48">
        <v>0</v>
      </c>
      <c r="F1659" t="s">
        <v>692</v>
      </c>
      <c r="G1659" s="48" t="s">
        <v>1305</v>
      </c>
      <c r="H1659" s="48" t="s">
        <v>1688</v>
      </c>
      <c r="I1659" s="48" t="s">
        <v>1688</v>
      </c>
      <c r="J1659" s="48" t="s">
        <v>4713</v>
      </c>
      <c r="K1659" s="48" t="s">
        <v>1326</v>
      </c>
      <c r="L1659" s="48" t="s">
        <v>4714</v>
      </c>
      <c r="M1659" s="48" t="s">
        <v>4432</v>
      </c>
      <c r="N1659" s="48" t="s">
        <v>1310</v>
      </c>
      <c r="O1659" s="48" t="s">
        <v>1311</v>
      </c>
      <c r="P1659" s="48" t="s">
        <v>1312</v>
      </c>
      <c r="Q1659" s="48" t="s">
        <v>31</v>
      </c>
      <c r="R1659" s="48" t="s">
        <v>31</v>
      </c>
      <c r="S1659" s="48" t="s">
        <v>31</v>
      </c>
      <c r="T1659" s="48" t="s">
        <v>31</v>
      </c>
      <c r="U1659" s="46" t="s">
        <v>1154</v>
      </c>
    </row>
    <row r="1660" spans="1:21">
      <c r="A1660" s="48" t="s">
        <v>1169</v>
      </c>
      <c r="B1660" s="48" t="s">
        <v>87</v>
      </c>
      <c r="C1660" s="48" t="s">
        <v>666</v>
      </c>
      <c r="D1660" s="48">
        <v>1</v>
      </c>
      <c r="E1660" s="48">
        <v>0</v>
      </c>
      <c r="F1660" t="s">
        <v>692</v>
      </c>
      <c r="G1660" s="48" t="s">
        <v>1305</v>
      </c>
      <c r="H1660" s="48" t="s">
        <v>1692</v>
      </c>
      <c r="I1660" s="48" t="s">
        <v>1692</v>
      </c>
      <c r="J1660" s="48" t="s">
        <v>4715</v>
      </c>
      <c r="K1660" s="48" t="s">
        <v>1332</v>
      </c>
      <c r="L1660" s="48" t="s">
        <v>4716</v>
      </c>
      <c r="M1660" s="48" t="s">
        <v>4432</v>
      </c>
      <c r="N1660" s="48" t="s">
        <v>1310</v>
      </c>
      <c r="O1660" s="48" t="s">
        <v>1311</v>
      </c>
      <c r="P1660" s="48" t="s">
        <v>1312</v>
      </c>
      <c r="Q1660" s="48" t="s">
        <v>31</v>
      </c>
      <c r="R1660" s="48" t="s">
        <v>31</v>
      </c>
      <c r="S1660" s="48" t="s">
        <v>31</v>
      </c>
      <c r="T1660" s="48" t="s">
        <v>31</v>
      </c>
      <c r="U1660" s="46" t="s">
        <v>1154</v>
      </c>
    </row>
    <row r="1661" spans="1:21">
      <c r="A1661" s="48" t="s">
        <v>1169</v>
      </c>
      <c r="B1661" s="48" t="s">
        <v>87</v>
      </c>
      <c r="C1661" s="48" t="s">
        <v>666</v>
      </c>
      <c r="D1661" s="48">
        <v>1</v>
      </c>
      <c r="E1661" s="48">
        <v>0</v>
      </c>
      <c r="F1661" t="s">
        <v>692</v>
      </c>
      <c r="G1661" s="48" t="s">
        <v>1305</v>
      </c>
      <c r="H1661" s="48" t="s">
        <v>1678</v>
      </c>
      <c r="I1661" s="48" t="s">
        <v>1678</v>
      </c>
      <c r="J1661" s="48" t="s">
        <v>4717</v>
      </c>
      <c r="K1661" s="48" t="s">
        <v>1307</v>
      </c>
      <c r="L1661" s="48" t="s">
        <v>4718</v>
      </c>
      <c r="M1661" s="48" t="s">
        <v>4432</v>
      </c>
      <c r="N1661" s="48" t="s">
        <v>1310</v>
      </c>
      <c r="O1661" s="48" t="s">
        <v>1311</v>
      </c>
      <c r="P1661" s="48" t="s">
        <v>1312</v>
      </c>
      <c r="Q1661" s="48" t="s">
        <v>31</v>
      </c>
      <c r="R1661" s="48" t="s">
        <v>31</v>
      </c>
      <c r="S1661" s="48" t="s">
        <v>31</v>
      </c>
      <c r="T1661" s="48" t="s">
        <v>31</v>
      </c>
      <c r="U1661" s="46" t="s">
        <v>1154</v>
      </c>
    </row>
    <row r="1662" spans="1:21">
      <c r="A1662" s="48" t="s">
        <v>1169</v>
      </c>
      <c r="B1662" s="48" t="s">
        <v>87</v>
      </c>
      <c r="C1662" s="48" t="s">
        <v>666</v>
      </c>
      <c r="D1662" s="48">
        <v>1</v>
      </c>
      <c r="E1662" s="48">
        <v>0</v>
      </c>
      <c r="F1662" t="s">
        <v>692</v>
      </c>
      <c r="G1662" s="48" t="s">
        <v>1305</v>
      </c>
      <c r="H1662" s="48" t="s">
        <v>1690</v>
      </c>
      <c r="I1662" s="48" t="s">
        <v>1690</v>
      </c>
      <c r="J1662" s="48" t="s">
        <v>4719</v>
      </c>
      <c r="K1662" s="48" t="s">
        <v>1329</v>
      </c>
      <c r="L1662" s="48" t="s">
        <v>4720</v>
      </c>
      <c r="M1662" s="48" t="s">
        <v>4432</v>
      </c>
      <c r="N1662" s="48" t="s">
        <v>1310</v>
      </c>
      <c r="O1662" s="48" t="s">
        <v>1311</v>
      </c>
      <c r="P1662" s="48" t="s">
        <v>1312</v>
      </c>
      <c r="Q1662" s="48" t="s">
        <v>31</v>
      </c>
      <c r="R1662" s="48" t="s">
        <v>31</v>
      </c>
      <c r="S1662" s="48" t="s">
        <v>31</v>
      </c>
      <c r="T1662" s="48" t="s">
        <v>31</v>
      </c>
      <c r="U1662" s="46" t="s">
        <v>1154</v>
      </c>
    </row>
    <row r="1663" spans="1:21">
      <c r="A1663" s="48" t="s">
        <v>1169</v>
      </c>
      <c r="B1663" s="48" t="s">
        <v>87</v>
      </c>
      <c r="C1663" s="48" t="s">
        <v>666</v>
      </c>
      <c r="D1663" s="48">
        <v>1</v>
      </c>
      <c r="E1663" s="48">
        <v>0</v>
      </c>
      <c r="F1663" t="s">
        <v>692</v>
      </c>
      <c r="G1663" s="48" t="s">
        <v>1305</v>
      </c>
      <c r="H1663" s="48" t="s">
        <v>1684</v>
      </c>
      <c r="I1663" s="48" t="s">
        <v>1684</v>
      </c>
      <c r="J1663" s="48" t="s">
        <v>4721</v>
      </c>
      <c r="K1663" s="48" t="s">
        <v>1320</v>
      </c>
      <c r="L1663" s="48" t="s">
        <v>4722</v>
      </c>
      <c r="M1663" s="48" t="s">
        <v>4432</v>
      </c>
      <c r="N1663" s="48" t="s">
        <v>1310</v>
      </c>
      <c r="O1663" s="48" t="s">
        <v>1311</v>
      </c>
      <c r="P1663" s="48" t="s">
        <v>1312</v>
      </c>
      <c r="Q1663" s="48" t="s">
        <v>31</v>
      </c>
      <c r="R1663" s="48" t="s">
        <v>31</v>
      </c>
      <c r="S1663" s="48" t="s">
        <v>31</v>
      </c>
      <c r="T1663" s="48" t="s">
        <v>31</v>
      </c>
      <c r="U1663" s="46" t="s">
        <v>1154</v>
      </c>
    </row>
    <row r="1664" spans="1:21">
      <c r="A1664" s="48" t="s">
        <v>1169</v>
      </c>
      <c r="B1664" s="48" t="s">
        <v>87</v>
      </c>
      <c r="C1664" s="48" t="s">
        <v>666</v>
      </c>
      <c r="D1664" s="48">
        <v>1</v>
      </c>
      <c r="E1664" s="48">
        <v>0</v>
      </c>
      <c r="F1664" t="s">
        <v>692</v>
      </c>
      <c r="G1664" s="48" t="s">
        <v>1305</v>
      </c>
      <c r="H1664" s="48" t="s">
        <v>1680</v>
      </c>
      <c r="I1664" s="48" t="s">
        <v>1680</v>
      </c>
      <c r="J1664" s="48" t="s">
        <v>4723</v>
      </c>
      <c r="K1664" s="48" t="s">
        <v>1314</v>
      </c>
      <c r="L1664" s="48" t="s">
        <v>4724</v>
      </c>
      <c r="M1664" s="48" t="s">
        <v>4432</v>
      </c>
      <c r="N1664" s="48" t="s">
        <v>1310</v>
      </c>
      <c r="O1664" s="48" t="s">
        <v>1311</v>
      </c>
      <c r="P1664" s="48" t="s">
        <v>1312</v>
      </c>
      <c r="Q1664" s="48" t="s">
        <v>31</v>
      </c>
      <c r="R1664" s="48" t="s">
        <v>31</v>
      </c>
      <c r="S1664" s="48" t="s">
        <v>31</v>
      </c>
      <c r="T1664" s="48" t="s">
        <v>31</v>
      </c>
      <c r="U1664" s="46" t="s">
        <v>1154</v>
      </c>
    </row>
    <row r="1665" spans="1:21">
      <c r="A1665" s="48" t="s">
        <v>1169</v>
      </c>
      <c r="B1665" s="48" t="s">
        <v>87</v>
      </c>
      <c r="C1665" s="48" t="s">
        <v>666</v>
      </c>
      <c r="D1665" s="48">
        <v>1</v>
      </c>
      <c r="E1665" s="48">
        <v>0</v>
      </c>
      <c r="F1665" t="s">
        <v>692</v>
      </c>
      <c r="G1665" s="48" t="s">
        <v>1305</v>
      </c>
      <c r="H1665" s="48" t="s">
        <v>1682</v>
      </c>
      <c r="I1665" s="48" t="s">
        <v>1682</v>
      </c>
      <c r="J1665" s="48" t="s">
        <v>4725</v>
      </c>
      <c r="K1665" s="48" t="s">
        <v>1317</v>
      </c>
      <c r="L1665" s="48" t="s">
        <v>4726</v>
      </c>
      <c r="M1665" s="48" t="s">
        <v>4432</v>
      </c>
      <c r="N1665" s="48" t="s">
        <v>1310</v>
      </c>
      <c r="O1665" s="48" t="s">
        <v>1311</v>
      </c>
      <c r="P1665" s="48" t="s">
        <v>1312</v>
      </c>
      <c r="Q1665" s="48" t="s">
        <v>31</v>
      </c>
      <c r="R1665" s="48" t="s">
        <v>31</v>
      </c>
      <c r="S1665" s="48" t="s">
        <v>31</v>
      </c>
      <c r="T1665" s="48" t="s">
        <v>31</v>
      </c>
      <c r="U1665" s="46" t="s">
        <v>1154</v>
      </c>
    </row>
    <row r="1666" spans="1:21">
      <c r="A1666" s="48" t="s">
        <v>1166</v>
      </c>
      <c r="B1666" s="48" t="s">
        <v>89</v>
      </c>
      <c r="C1666" s="48" t="s">
        <v>666</v>
      </c>
      <c r="D1666" s="48">
        <v>2</v>
      </c>
      <c r="E1666" s="48">
        <v>1</v>
      </c>
      <c r="F1666" t="s">
        <v>750</v>
      </c>
      <c r="G1666" s="48" t="s">
        <v>1305</v>
      </c>
      <c r="H1666" s="48" t="s">
        <v>4727</v>
      </c>
      <c r="I1666" s="48" t="s">
        <v>4727</v>
      </c>
      <c r="J1666" s="48" t="s">
        <v>4728</v>
      </c>
      <c r="K1666" s="48" t="s">
        <v>1317</v>
      </c>
      <c r="L1666" s="48" t="s">
        <v>4729</v>
      </c>
      <c r="M1666" s="48" t="s">
        <v>4432</v>
      </c>
      <c r="N1666" s="48" t="s">
        <v>1310</v>
      </c>
      <c r="O1666" s="48" t="s">
        <v>1311</v>
      </c>
      <c r="P1666" s="48" t="s">
        <v>1312</v>
      </c>
      <c r="Q1666" s="48" t="s">
        <v>31</v>
      </c>
      <c r="R1666" s="48" t="s">
        <v>31</v>
      </c>
      <c r="S1666" s="48" t="s">
        <v>31</v>
      </c>
      <c r="T1666" s="48" t="s">
        <v>31</v>
      </c>
      <c r="U1666" s="46" t="s">
        <v>1154</v>
      </c>
    </row>
    <row r="1667" spans="1:21">
      <c r="A1667" s="48" t="s">
        <v>1166</v>
      </c>
      <c r="B1667" s="48" t="s">
        <v>89</v>
      </c>
      <c r="C1667" s="48" t="s">
        <v>666</v>
      </c>
      <c r="D1667" s="48">
        <v>2</v>
      </c>
      <c r="E1667" s="48">
        <v>1</v>
      </c>
      <c r="F1667" t="s">
        <v>750</v>
      </c>
      <c r="G1667" s="48" t="s">
        <v>1305</v>
      </c>
      <c r="H1667" s="48" t="s">
        <v>4730</v>
      </c>
      <c r="I1667" s="48" t="s">
        <v>4730</v>
      </c>
      <c r="J1667" s="48" t="s">
        <v>4731</v>
      </c>
      <c r="K1667" s="48" t="s">
        <v>1332</v>
      </c>
      <c r="L1667" s="48" t="s">
        <v>4732</v>
      </c>
      <c r="M1667" s="48" t="s">
        <v>4432</v>
      </c>
      <c r="N1667" s="48" t="s">
        <v>1310</v>
      </c>
      <c r="O1667" s="48" t="s">
        <v>1311</v>
      </c>
      <c r="P1667" s="48" t="s">
        <v>1312</v>
      </c>
      <c r="Q1667" s="48" t="s">
        <v>31</v>
      </c>
      <c r="R1667" s="48" t="s">
        <v>31</v>
      </c>
      <c r="S1667" s="48" t="s">
        <v>31</v>
      </c>
      <c r="T1667" s="48" t="s">
        <v>31</v>
      </c>
      <c r="U1667" s="46" t="s">
        <v>1154</v>
      </c>
    </row>
    <row r="1668" spans="1:21">
      <c r="A1668" s="48" t="s">
        <v>1166</v>
      </c>
      <c r="B1668" s="48" t="s">
        <v>89</v>
      </c>
      <c r="C1668" s="48" t="s">
        <v>666</v>
      </c>
      <c r="D1668" s="48">
        <v>2</v>
      </c>
      <c r="E1668" s="48">
        <v>1</v>
      </c>
      <c r="F1668" t="s">
        <v>750</v>
      </c>
      <c r="G1668" s="48" t="s">
        <v>1305</v>
      </c>
      <c r="H1668" s="48" t="s">
        <v>4733</v>
      </c>
      <c r="I1668" s="48" t="s">
        <v>4733</v>
      </c>
      <c r="J1668" s="48" t="s">
        <v>4734</v>
      </c>
      <c r="K1668" s="48" t="s">
        <v>1329</v>
      </c>
      <c r="L1668" s="48" t="s">
        <v>4735</v>
      </c>
      <c r="M1668" s="48" t="s">
        <v>4432</v>
      </c>
      <c r="N1668" s="48" t="s">
        <v>1310</v>
      </c>
      <c r="O1668" s="48" t="s">
        <v>1311</v>
      </c>
      <c r="P1668" s="48" t="s">
        <v>1312</v>
      </c>
      <c r="Q1668" s="48" t="s">
        <v>31</v>
      </c>
      <c r="R1668" s="48" t="s">
        <v>31</v>
      </c>
      <c r="S1668" s="48" t="s">
        <v>31</v>
      </c>
      <c r="T1668" s="48" t="s">
        <v>31</v>
      </c>
      <c r="U1668" s="46" t="s">
        <v>1154</v>
      </c>
    </row>
    <row r="1669" spans="1:21">
      <c r="A1669" s="48" t="s">
        <v>1166</v>
      </c>
      <c r="B1669" s="48" t="s">
        <v>89</v>
      </c>
      <c r="C1669" s="48" t="s">
        <v>666</v>
      </c>
      <c r="D1669" s="48">
        <v>2</v>
      </c>
      <c r="E1669" s="48">
        <v>1</v>
      </c>
      <c r="F1669" t="s">
        <v>750</v>
      </c>
      <c r="G1669" s="48" t="s">
        <v>1305</v>
      </c>
      <c r="H1669" s="48" t="s">
        <v>4736</v>
      </c>
      <c r="I1669" s="48" t="s">
        <v>4736</v>
      </c>
      <c r="J1669" s="48" t="s">
        <v>4737</v>
      </c>
      <c r="K1669" s="48" t="s">
        <v>1323</v>
      </c>
      <c r="L1669" s="48" t="s">
        <v>4738</v>
      </c>
      <c r="M1669" s="48" t="s">
        <v>4432</v>
      </c>
      <c r="N1669" s="48" t="s">
        <v>1310</v>
      </c>
      <c r="O1669" s="48" t="s">
        <v>1311</v>
      </c>
      <c r="P1669" s="48" t="s">
        <v>1312</v>
      </c>
      <c r="Q1669" s="48" t="s">
        <v>31</v>
      </c>
      <c r="R1669" s="48" t="s">
        <v>31</v>
      </c>
      <c r="S1669" s="48" t="s">
        <v>31</v>
      </c>
      <c r="T1669" s="48" t="s">
        <v>31</v>
      </c>
      <c r="U1669" s="46" t="s">
        <v>1154</v>
      </c>
    </row>
    <row r="1670" spans="1:21">
      <c r="A1670" s="48" t="s">
        <v>1166</v>
      </c>
      <c r="B1670" s="48" t="s">
        <v>89</v>
      </c>
      <c r="C1670" s="48" t="s">
        <v>666</v>
      </c>
      <c r="D1670" s="48">
        <v>2</v>
      </c>
      <c r="E1670" s="48">
        <v>1</v>
      </c>
      <c r="F1670" t="s">
        <v>750</v>
      </c>
      <c r="G1670" s="48" t="s">
        <v>1305</v>
      </c>
      <c r="H1670" s="48" t="s">
        <v>4739</v>
      </c>
      <c r="I1670" s="48" t="s">
        <v>4739</v>
      </c>
      <c r="J1670" s="48" t="s">
        <v>4740</v>
      </c>
      <c r="K1670" s="48" t="s">
        <v>1314</v>
      </c>
      <c r="L1670" s="48" t="s">
        <v>4741</v>
      </c>
      <c r="M1670" s="48" t="s">
        <v>4432</v>
      </c>
      <c r="N1670" s="48" t="s">
        <v>1310</v>
      </c>
      <c r="O1670" s="48" t="s">
        <v>1311</v>
      </c>
      <c r="P1670" s="48" t="s">
        <v>1312</v>
      </c>
      <c r="Q1670" s="48" t="s">
        <v>31</v>
      </c>
      <c r="R1670" s="48" t="s">
        <v>31</v>
      </c>
      <c r="S1670" s="48" t="s">
        <v>31</v>
      </c>
      <c r="T1670" s="48" t="s">
        <v>31</v>
      </c>
      <c r="U1670" s="46" t="s">
        <v>1154</v>
      </c>
    </row>
    <row r="1671" spans="1:21">
      <c r="A1671" s="48" t="s">
        <v>1166</v>
      </c>
      <c r="B1671" s="48" t="s">
        <v>89</v>
      </c>
      <c r="C1671" s="48" t="s">
        <v>666</v>
      </c>
      <c r="D1671" s="48">
        <v>2</v>
      </c>
      <c r="E1671" s="48">
        <v>1</v>
      </c>
      <c r="F1671" t="s">
        <v>750</v>
      </c>
      <c r="G1671" s="48" t="s">
        <v>1305</v>
      </c>
      <c r="H1671" s="48" t="s">
        <v>4742</v>
      </c>
      <c r="I1671" s="48" t="s">
        <v>4742</v>
      </c>
      <c r="J1671" s="48" t="s">
        <v>4743</v>
      </c>
      <c r="K1671" s="48" t="s">
        <v>1326</v>
      </c>
      <c r="L1671" s="48" t="s">
        <v>4744</v>
      </c>
      <c r="M1671" s="48" t="s">
        <v>4432</v>
      </c>
      <c r="N1671" s="48" t="s">
        <v>1310</v>
      </c>
      <c r="O1671" s="48" t="s">
        <v>1311</v>
      </c>
      <c r="P1671" s="48" t="s">
        <v>1312</v>
      </c>
      <c r="Q1671" s="48" t="s">
        <v>31</v>
      </c>
      <c r="R1671" s="48" t="s">
        <v>31</v>
      </c>
      <c r="S1671" s="48" t="s">
        <v>31</v>
      </c>
      <c r="T1671" s="48" t="s">
        <v>31</v>
      </c>
      <c r="U1671" s="46" t="s">
        <v>1154</v>
      </c>
    </row>
    <row r="1672" spans="1:21">
      <c r="A1672" s="48" t="s">
        <v>1166</v>
      </c>
      <c r="B1672" s="48" t="s">
        <v>89</v>
      </c>
      <c r="C1672" s="48" t="s">
        <v>666</v>
      </c>
      <c r="D1672" s="48">
        <v>2</v>
      </c>
      <c r="E1672" s="48">
        <v>1</v>
      </c>
      <c r="F1672" t="s">
        <v>750</v>
      </c>
      <c r="G1672" s="48" t="s">
        <v>1305</v>
      </c>
      <c r="H1672" s="48" t="s">
        <v>4745</v>
      </c>
      <c r="I1672" s="48" t="s">
        <v>4745</v>
      </c>
      <c r="J1672" s="48" t="s">
        <v>4746</v>
      </c>
      <c r="K1672" s="48" t="s">
        <v>1320</v>
      </c>
      <c r="L1672" s="48" t="s">
        <v>4747</v>
      </c>
      <c r="M1672" s="48" t="s">
        <v>4432</v>
      </c>
      <c r="N1672" s="48" t="s">
        <v>1310</v>
      </c>
      <c r="O1672" s="48" t="s">
        <v>1311</v>
      </c>
      <c r="P1672" s="48" t="s">
        <v>1312</v>
      </c>
      <c r="Q1672" s="48" t="s">
        <v>31</v>
      </c>
      <c r="R1672" s="48" t="s">
        <v>31</v>
      </c>
      <c r="S1672" s="48" t="s">
        <v>31</v>
      </c>
      <c r="T1672" s="48" t="s">
        <v>31</v>
      </c>
      <c r="U1672" s="46" t="s">
        <v>1154</v>
      </c>
    </row>
    <row r="1673" spans="1:21">
      <c r="A1673" s="48" t="s">
        <v>1166</v>
      </c>
      <c r="B1673" s="48" t="s">
        <v>89</v>
      </c>
      <c r="C1673" s="48" t="s">
        <v>666</v>
      </c>
      <c r="D1673" s="48">
        <v>2</v>
      </c>
      <c r="E1673" s="48">
        <v>1</v>
      </c>
      <c r="F1673" t="s">
        <v>750</v>
      </c>
      <c r="G1673" s="48" t="s">
        <v>1305</v>
      </c>
      <c r="H1673" s="48" t="s">
        <v>4748</v>
      </c>
      <c r="I1673" s="48" t="s">
        <v>4748</v>
      </c>
      <c r="J1673" s="48" t="s">
        <v>4749</v>
      </c>
      <c r="K1673" s="48" t="s">
        <v>1307</v>
      </c>
      <c r="L1673" s="48" t="s">
        <v>4750</v>
      </c>
      <c r="M1673" s="48" t="s">
        <v>4432</v>
      </c>
      <c r="N1673" s="48" t="s">
        <v>1310</v>
      </c>
      <c r="O1673" s="48" t="s">
        <v>1311</v>
      </c>
      <c r="P1673" s="48" t="s">
        <v>1312</v>
      </c>
      <c r="Q1673" s="48" t="s">
        <v>31</v>
      </c>
      <c r="R1673" s="48" t="s">
        <v>31</v>
      </c>
      <c r="S1673" s="48" t="s">
        <v>31</v>
      </c>
      <c r="T1673" s="48" t="s">
        <v>31</v>
      </c>
      <c r="U1673" s="46" t="s">
        <v>1154</v>
      </c>
    </row>
    <row r="1674" spans="1:21">
      <c r="A1674" s="48" t="s">
        <v>1148</v>
      </c>
      <c r="B1674" s="48" t="s">
        <v>89</v>
      </c>
      <c r="C1674" s="48" t="s">
        <v>689</v>
      </c>
      <c r="D1674" s="48">
        <v>2</v>
      </c>
      <c r="E1674" s="48">
        <v>1</v>
      </c>
      <c r="F1674" t="s">
        <v>1149</v>
      </c>
      <c r="G1674" s="48" t="s">
        <v>1305</v>
      </c>
      <c r="H1674" s="48" t="s">
        <v>4751</v>
      </c>
      <c r="I1674" s="48" t="s">
        <v>4751</v>
      </c>
      <c r="J1674" s="48" t="s">
        <v>4752</v>
      </c>
      <c r="K1674" s="48" t="s">
        <v>1307</v>
      </c>
      <c r="L1674" s="48" t="s">
        <v>4753</v>
      </c>
      <c r="M1674" s="48" t="s">
        <v>4432</v>
      </c>
      <c r="N1674" s="48" t="s">
        <v>1310</v>
      </c>
      <c r="O1674" s="48" t="s">
        <v>1311</v>
      </c>
      <c r="P1674" s="48" t="s">
        <v>1312</v>
      </c>
      <c r="Q1674" s="48" t="s">
        <v>31</v>
      </c>
      <c r="R1674" s="48" t="s">
        <v>31</v>
      </c>
      <c r="S1674" s="48" t="s">
        <v>31</v>
      </c>
      <c r="T1674" s="48" t="s">
        <v>31</v>
      </c>
      <c r="U1674" s="46" t="s">
        <v>1154</v>
      </c>
    </row>
    <row r="1675" spans="1:21">
      <c r="A1675" s="48" t="s">
        <v>1148</v>
      </c>
      <c r="B1675" s="48" t="s">
        <v>89</v>
      </c>
      <c r="C1675" s="48" t="s">
        <v>689</v>
      </c>
      <c r="D1675" s="48">
        <v>2</v>
      </c>
      <c r="E1675" s="48">
        <v>1</v>
      </c>
      <c r="F1675" t="s">
        <v>1149</v>
      </c>
      <c r="G1675" s="48" t="s">
        <v>1305</v>
      </c>
      <c r="H1675" s="48" t="s">
        <v>4754</v>
      </c>
      <c r="I1675" s="48" t="s">
        <v>4754</v>
      </c>
      <c r="J1675" s="48" t="s">
        <v>4755</v>
      </c>
      <c r="K1675" s="48" t="s">
        <v>1317</v>
      </c>
      <c r="L1675" s="48" t="s">
        <v>4756</v>
      </c>
      <c r="M1675" s="48" t="s">
        <v>4432</v>
      </c>
      <c r="N1675" s="48" t="s">
        <v>1310</v>
      </c>
      <c r="O1675" s="48" t="s">
        <v>1311</v>
      </c>
      <c r="P1675" s="48" t="s">
        <v>1312</v>
      </c>
      <c r="Q1675" s="48" t="s">
        <v>31</v>
      </c>
      <c r="R1675" s="48" t="s">
        <v>31</v>
      </c>
      <c r="S1675" s="48" t="s">
        <v>31</v>
      </c>
      <c r="T1675" s="48" t="s">
        <v>31</v>
      </c>
      <c r="U1675" s="46" t="s">
        <v>1154</v>
      </c>
    </row>
    <row r="1676" spans="1:21">
      <c r="A1676" s="48" t="s">
        <v>1148</v>
      </c>
      <c r="B1676" s="48" t="s">
        <v>89</v>
      </c>
      <c r="C1676" s="48" t="s">
        <v>689</v>
      </c>
      <c r="D1676" s="48">
        <v>2</v>
      </c>
      <c r="E1676" s="48">
        <v>1</v>
      </c>
      <c r="F1676" t="s">
        <v>1149</v>
      </c>
      <c r="G1676" s="48" t="s">
        <v>1305</v>
      </c>
      <c r="H1676" s="48" t="s">
        <v>4757</v>
      </c>
      <c r="I1676" s="48" t="s">
        <v>4757</v>
      </c>
      <c r="J1676" s="48" t="s">
        <v>4758</v>
      </c>
      <c r="K1676" s="48" t="s">
        <v>1326</v>
      </c>
      <c r="L1676" s="48" t="s">
        <v>4759</v>
      </c>
      <c r="M1676" s="48" t="s">
        <v>4432</v>
      </c>
      <c r="N1676" s="48" t="s">
        <v>1310</v>
      </c>
      <c r="O1676" s="48" t="s">
        <v>1311</v>
      </c>
      <c r="P1676" s="48" t="s">
        <v>1312</v>
      </c>
      <c r="Q1676" s="48" t="s">
        <v>31</v>
      </c>
      <c r="R1676" s="48" t="s">
        <v>31</v>
      </c>
      <c r="S1676" s="48" t="s">
        <v>31</v>
      </c>
      <c r="T1676" s="48" t="s">
        <v>31</v>
      </c>
      <c r="U1676" s="46" t="s">
        <v>1154</v>
      </c>
    </row>
    <row r="1677" spans="1:21">
      <c r="A1677" s="48" t="s">
        <v>1148</v>
      </c>
      <c r="B1677" s="48" t="s">
        <v>89</v>
      </c>
      <c r="C1677" s="48" t="s">
        <v>689</v>
      </c>
      <c r="D1677" s="48">
        <v>2</v>
      </c>
      <c r="E1677" s="48">
        <v>1</v>
      </c>
      <c r="F1677" t="s">
        <v>1149</v>
      </c>
      <c r="G1677" s="48" t="s">
        <v>1305</v>
      </c>
      <c r="H1677" s="48" t="s">
        <v>4760</v>
      </c>
      <c r="I1677" s="48" t="s">
        <v>4760</v>
      </c>
      <c r="J1677" s="48" t="s">
        <v>4761</v>
      </c>
      <c r="K1677" s="48" t="s">
        <v>1332</v>
      </c>
      <c r="L1677" s="48" t="s">
        <v>4762</v>
      </c>
      <c r="M1677" s="48" t="s">
        <v>4432</v>
      </c>
      <c r="N1677" s="48" t="s">
        <v>1310</v>
      </c>
      <c r="O1677" s="48" t="s">
        <v>1311</v>
      </c>
      <c r="P1677" s="48" t="s">
        <v>1312</v>
      </c>
      <c r="Q1677" s="48" t="s">
        <v>31</v>
      </c>
      <c r="R1677" s="48" t="s">
        <v>31</v>
      </c>
      <c r="S1677" s="48" t="s">
        <v>31</v>
      </c>
      <c r="T1677" s="48" t="s">
        <v>31</v>
      </c>
      <c r="U1677" s="46" t="s">
        <v>1154</v>
      </c>
    </row>
    <row r="1678" spans="1:21">
      <c r="A1678" s="48" t="s">
        <v>1148</v>
      </c>
      <c r="B1678" s="48" t="s">
        <v>89</v>
      </c>
      <c r="C1678" s="48" t="s">
        <v>689</v>
      </c>
      <c r="D1678" s="48">
        <v>2</v>
      </c>
      <c r="E1678" s="48">
        <v>1</v>
      </c>
      <c r="F1678" t="s">
        <v>1149</v>
      </c>
      <c r="G1678" s="48" t="s">
        <v>1305</v>
      </c>
      <c r="H1678" s="48" t="s">
        <v>4763</v>
      </c>
      <c r="I1678" s="48" t="s">
        <v>4763</v>
      </c>
      <c r="J1678" s="48" t="s">
        <v>4764</v>
      </c>
      <c r="K1678" s="48" t="s">
        <v>1314</v>
      </c>
      <c r="L1678" s="48" t="s">
        <v>4765</v>
      </c>
      <c r="M1678" s="48" t="s">
        <v>4432</v>
      </c>
      <c r="N1678" s="48" t="s">
        <v>1310</v>
      </c>
      <c r="O1678" s="48" t="s">
        <v>1311</v>
      </c>
      <c r="P1678" s="48" t="s">
        <v>1312</v>
      </c>
      <c r="Q1678" s="48" t="s">
        <v>31</v>
      </c>
      <c r="R1678" s="48" t="s">
        <v>31</v>
      </c>
      <c r="S1678" s="48" t="s">
        <v>31</v>
      </c>
      <c r="T1678" s="48" t="s">
        <v>31</v>
      </c>
      <c r="U1678" s="46" t="s">
        <v>1154</v>
      </c>
    </row>
    <row r="1679" spans="1:21">
      <c r="A1679" s="48" t="s">
        <v>1148</v>
      </c>
      <c r="B1679" s="48" t="s">
        <v>89</v>
      </c>
      <c r="C1679" s="48" t="s">
        <v>689</v>
      </c>
      <c r="D1679" s="48">
        <v>2</v>
      </c>
      <c r="E1679" s="48">
        <v>1</v>
      </c>
      <c r="F1679" t="s">
        <v>1149</v>
      </c>
      <c r="G1679" s="48" t="s">
        <v>1305</v>
      </c>
      <c r="H1679" s="48" t="s">
        <v>4766</v>
      </c>
      <c r="I1679" s="48" t="s">
        <v>4766</v>
      </c>
      <c r="J1679" s="48" t="s">
        <v>4767</v>
      </c>
      <c r="K1679" s="48" t="s">
        <v>1320</v>
      </c>
      <c r="L1679" s="48" t="s">
        <v>4768</v>
      </c>
      <c r="M1679" s="48" t="s">
        <v>4432</v>
      </c>
      <c r="N1679" s="48" t="s">
        <v>1310</v>
      </c>
      <c r="O1679" s="48" t="s">
        <v>1311</v>
      </c>
      <c r="P1679" s="48" t="s">
        <v>1312</v>
      </c>
      <c r="Q1679" s="48" t="s">
        <v>31</v>
      </c>
      <c r="R1679" s="48" t="s">
        <v>31</v>
      </c>
      <c r="S1679" s="48" t="s">
        <v>31</v>
      </c>
      <c r="T1679" s="48" t="s">
        <v>31</v>
      </c>
      <c r="U1679" s="46" t="s">
        <v>1154</v>
      </c>
    </row>
    <row r="1680" spans="1:21">
      <c r="A1680" s="48" t="s">
        <v>1148</v>
      </c>
      <c r="B1680" s="48" t="s">
        <v>89</v>
      </c>
      <c r="C1680" s="48" t="s">
        <v>689</v>
      </c>
      <c r="D1680" s="48">
        <v>2</v>
      </c>
      <c r="E1680" s="48">
        <v>1</v>
      </c>
      <c r="F1680" t="s">
        <v>1149</v>
      </c>
      <c r="G1680" s="48" t="s">
        <v>1305</v>
      </c>
      <c r="H1680" s="48" t="s">
        <v>4769</v>
      </c>
      <c r="I1680" s="48" t="s">
        <v>4769</v>
      </c>
      <c r="J1680" s="48" t="s">
        <v>4770</v>
      </c>
      <c r="K1680" s="48" t="s">
        <v>1323</v>
      </c>
      <c r="L1680" s="48" t="s">
        <v>4771</v>
      </c>
      <c r="M1680" s="48" t="s">
        <v>4432</v>
      </c>
      <c r="N1680" s="48" t="s">
        <v>1310</v>
      </c>
      <c r="O1680" s="48" t="s">
        <v>1311</v>
      </c>
      <c r="P1680" s="48" t="s">
        <v>1312</v>
      </c>
      <c r="Q1680" s="48" t="s">
        <v>31</v>
      </c>
      <c r="R1680" s="48" t="s">
        <v>31</v>
      </c>
      <c r="S1680" s="48" t="s">
        <v>31</v>
      </c>
      <c r="T1680" s="48" t="s">
        <v>31</v>
      </c>
      <c r="U1680" s="46" t="s">
        <v>1154</v>
      </c>
    </row>
    <row r="1681" spans="1:21">
      <c r="A1681" s="48" t="s">
        <v>1148</v>
      </c>
      <c r="B1681" s="48" t="s">
        <v>89</v>
      </c>
      <c r="C1681" s="48" t="s">
        <v>689</v>
      </c>
      <c r="D1681" s="48">
        <v>2</v>
      </c>
      <c r="E1681" s="48">
        <v>1</v>
      </c>
      <c r="F1681" t="s">
        <v>1149</v>
      </c>
      <c r="G1681" s="48" t="s">
        <v>1305</v>
      </c>
      <c r="H1681" s="48" t="s">
        <v>4772</v>
      </c>
      <c r="I1681" s="48" t="s">
        <v>4772</v>
      </c>
      <c r="J1681" s="48" t="s">
        <v>4773</v>
      </c>
      <c r="K1681" s="48" t="s">
        <v>1329</v>
      </c>
      <c r="L1681" s="48" t="s">
        <v>4774</v>
      </c>
      <c r="M1681" s="48" t="s">
        <v>4432</v>
      </c>
      <c r="N1681" s="48" t="s">
        <v>1310</v>
      </c>
      <c r="O1681" s="48" t="s">
        <v>1311</v>
      </c>
      <c r="P1681" s="48" t="s">
        <v>1312</v>
      </c>
      <c r="Q1681" s="48" t="s">
        <v>31</v>
      </c>
      <c r="R1681" s="48" t="s">
        <v>31</v>
      </c>
      <c r="S1681" s="48" t="s">
        <v>31</v>
      </c>
      <c r="T1681" s="48" t="s">
        <v>31</v>
      </c>
      <c r="U1681" s="46" t="s">
        <v>1154</v>
      </c>
    </row>
    <row r="1682" spans="1:21">
      <c r="A1682" s="48" t="s">
        <v>1206</v>
      </c>
      <c r="B1682" s="48" t="s">
        <v>90</v>
      </c>
      <c r="C1682" s="48" t="s">
        <v>666</v>
      </c>
      <c r="D1682" s="48">
        <v>1</v>
      </c>
      <c r="E1682" s="48">
        <v>0</v>
      </c>
      <c r="F1682" t="s">
        <v>750</v>
      </c>
      <c r="G1682" s="48" t="s">
        <v>1305</v>
      </c>
      <c r="H1682" s="48" t="s">
        <v>4775</v>
      </c>
      <c r="I1682" s="48" t="s">
        <v>4775</v>
      </c>
      <c r="J1682" s="48" t="s">
        <v>4776</v>
      </c>
      <c r="K1682" s="48" t="s">
        <v>1307</v>
      </c>
      <c r="L1682" s="48" t="s">
        <v>4777</v>
      </c>
      <c r="M1682" s="48" t="s">
        <v>4432</v>
      </c>
      <c r="N1682" s="48" t="s">
        <v>1310</v>
      </c>
      <c r="O1682" s="48" t="s">
        <v>1311</v>
      </c>
      <c r="P1682" s="48" t="s">
        <v>1312</v>
      </c>
      <c r="Q1682" s="48" t="s">
        <v>31</v>
      </c>
      <c r="R1682" s="48" t="s">
        <v>31</v>
      </c>
      <c r="S1682" s="48" t="s">
        <v>31</v>
      </c>
      <c r="T1682" s="48" t="s">
        <v>31</v>
      </c>
      <c r="U1682" s="46" t="s">
        <v>1154</v>
      </c>
    </row>
    <row r="1683" spans="1:21">
      <c r="A1683" s="48" t="s">
        <v>1206</v>
      </c>
      <c r="B1683" s="48" t="s">
        <v>90</v>
      </c>
      <c r="C1683" s="48" t="s">
        <v>666</v>
      </c>
      <c r="D1683" s="48">
        <v>1</v>
      </c>
      <c r="E1683" s="48">
        <v>0</v>
      </c>
      <c r="F1683" t="s">
        <v>750</v>
      </c>
      <c r="G1683" s="48" t="s">
        <v>1305</v>
      </c>
      <c r="H1683" s="48" t="s">
        <v>4778</v>
      </c>
      <c r="I1683" s="48" t="s">
        <v>4778</v>
      </c>
      <c r="J1683" s="48" t="s">
        <v>4779</v>
      </c>
      <c r="K1683" s="48" t="s">
        <v>1323</v>
      </c>
      <c r="L1683" s="48" t="s">
        <v>4780</v>
      </c>
      <c r="M1683" s="48" t="s">
        <v>4432</v>
      </c>
      <c r="N1683" s="48" t="s">
        <v>1310</v>
      </c>
      <c r="O1683" s="48" t="s">
        <v>1311</v>
      </c>
      <c r="P1683" s="48" t="s">
        <v>1312</v>
      </c>
      <c r="Q1683" s="48" t="s">
        <v>31</v>
      </c>
      <c r="R1683" s="48" t="s">
        <v>31</v>
      </c>
      <c r="S1683" s="48" t="s">
        <v>31</v>
      </c>
      <c r="T1683" s="48" t="s">
        <v>31</v>
      </c>
      <c r="U1683" s="46" t="s">
        <v>1154</v>
      </c>
    </row>
    <row r="1684" spans="1:21">
      <c r="A1684" s="48" t="s">
        <v>1206</v>
      </c>
      <c r="B1684" s="48" t="s">
        <v>90</v>
      </c>
      <c r="C1684" s="48" t="s">
        <v>666</v>
      </c>
      <c r="D1684" s="48">
        <v>1</v>
      </c>
      <c r="E1684" s="48">
        <v>0</v>
      </c>
      <c r="F1684" t="s">
        <v>750</v>
      </c>
      <c r="G1684" s="48" t="s">
        <v>1305</v>
      </c>
      <c r="H1684" s="48" t="s">
        <v>4781</v>
      </c>
      <c r="I1684" s="48" t="s">
        <v>4781</v>
      </c>
      <c r="J1684" s="48" t="s">
        <v>4782</v>
      </c>
      <c r="K1684" s="48" t="s">
        <v>1314</v>
      </c>
      <c r="L1684" s="48" t="s">
        <v>4783</v>
      </c>
      <c r="M1684" s="48" t="s">
        <v>4432</v>
      </c>
      <c r="N1684" s="48" t="s">
        <v>1310</v>
      </c>
      <c r="O1684" s="48" t="s">
        <v>1311</v>
      </c>
      <c r="P1684" s="48" t="s">
        <v>1312</v>
      </c>
      <c r="Q1684" s="48" t="s">
        <v>31</v>
      </c>
      <c r="R1684" s="48" t="s">
        <v>31</v>
      </c>
      <c r="S1684" s="48" t="s">
        <v>31</v>
      </c>
      <c r="T1684" s="48" t="s">
        <v>31</v>
      </c>
      <c r="U1684" s="46" t="s">
        <v>1154</v>
      </c>
    </row>
    <row r="1685" spans="1:21">
      <c r="A1685" s="48" t="s">
        <v>1206</v>
      </c>
      <c r="B1685" s="48" t="s">
        <v>90</v>
      </c>
      <c r="C1685" s="48" t="s">
        <v>666</v>
      </c>
      <c r="D1685" s="48">
        <v>1</v>
      </c>
      <c r="E1685" s="48">
        <v>0</v>
      </c>
      <c r="F1685" t="s">
        <v>750</v>
      </c>
      <c r="G1685" s="48" t="s">
        <v>1305</v>
      </c>
      <c r="H1685" s="48" t="s">
        <v>4784</v>
      </c>
      <c r="I1685" s="48" t="s">
        <v>4784</v>
      </c>
      <c r="J1685" s="48" t="s">
        <v>4785</v>
      </c>
      <c r="K1685" s="48" t="s">
        <v>1332</v>
      </c>
      <c r="L1685" s="48" t="s">
        <v>4786</v>
      </c>
      <c r="M1685" s="48" t="s">
        <v>4432</v>
      </c>
      <c r="N1685" s="48" t="s">
        <v>1310</v>
      </c>
      <c r="O1685" s="48" t="s">
        <v>1311</v>
      </c>
      <c r="P1685" s="48" t="s">
        <v>1312</v>
      </c>
      <c r="Q1685" s="48" t="s">
        <v>31</v>
      </c>
      <c r="R1685" s="48" t="s">
        <v>31</v>
      </c>
      <c r="S1685" s="48" t="s">
        <v>31</v>
      </c>
      <c r="T1685" s="48" t="s">
        <v>31</v>
      </c>
      <c r="U1685" s="46" t="s">
        <v>1154</v>
      </c>
    </row>
    <row r="1686" spans="1:21">
      <c r="A1686" s="48" t="s">
        <v>1206</v>
      </c>
      <c r="B1686" s="48" t="s">
        <v>90</v>
      </c>
      <c r="C1686" s="48" t="s">
        <v>666</v>
      </c>
      <c r="D1686" s="48">
        <v>1</v>
      </c>
      <c r="E1686" s="48">
        <v>0</v>
      </c>
      <c r="F1686" t="s">
        <v>750</v>
      </c>
      <c r="G1686" s="48" t="s">
        <v>1305</v>
      </c>
      <c r="H1686" s="48" t="s">
        <v>4787</v>
      </c>
      <c r="I1686" s="48" t="s">
        <v>4787</v>
      </c>
      <c r="J1686" s="48" t="s">
        <v>4788</v>
      </c>
      <c r="K1686" s="48" t="s">
        <v>1317</v>
      </c>
      <c r="L1686" s="48" t="s">
        <v>4789</v>
      </c>
      <c r="M1686" s="48" t="s">
        <v>4432</v>
      </c>
      <c r="N1686" s="48" t="s">
        <v>1310</v>
      </c>
      <c r="O1686" s="48" t="s">
        <v>1311</v>
      </c>
      <c r="P1686" s="48" t="s">
        <v>1312</v>
      </c>
      <c r="Q1686" s="48" t="s">
        <v>31</v>
      </c>
      <c r="R1686" s="48" t="s">
        <v>31</v>
      </c>
      <c r="S1686" s="48" t="s">
        <v>31</v>
      </c>
      <c r="T1686" s="48" t="s">
        <v>31</v>
      </c>
      <c r="U1686" s="46" t="s">
        <v>1154</v>
      </c>
    </row>
    <row r="1687" spans="1:21">
      <c r="A1687" s="48" t="s">
        <v>1206</v>
      </c>
      <c r="B1687" s="48" t="s">
        <v>90</v>
      </c>
      <c r="C1687" s="48" t="s">
        <v>666</v>
      </c>
      <c r="D1687" s="48">
        <v>1</v>
      </c>
      <c r="E1687" s="48">
        <v>0</v>
      </c>
      <c r="F1687" t="s">
        <v>750</v>
      </c>
      <c r="G1687" s="48" t="s">
        <v>1305</v>
      </c>
      <c r="H1687" s="48" t="s">
        <v>4790</v>
      </c>
      <c r="I1687" s="48" t="s">
        <v>4790</v>
      </c>
      <c r="J1687" s="48" t="s">
        <v>4791</v>
      </c>
      <c r="K1687" s="48" t="s">
        <v>1326</v>
      </c>
      <c r="L1687" s="48" t="s">
        <v>4792</v>
      </c>
      <c r="M1687" s="48" t="s">
        <v>4432</v>
      </c>
      <c r="N1687" s="48" t="s">
        <v>1310</v>
      </c>
      <c r="O1687" s="48" t="s">
        <v>1311</v>
      </c>
      <c r="P1687" s="48" t="s">
        <v>1312</v>
      </c>
      <c r="Q1687" s="48" t="s">
        <v>31</v>
      </c>
      <c r="R1687" s="48" t="s">
        <v>31</v>
      </c>
      <c r="S1687" s="48" t="s">
        <v>31</v>
      </c>
      <c r="T1687" s="48" t="s">
        <v>31</v>
      </c>
      <c r="U1687" s="46" t="s">
        <v>1154</v>
      </c>
    </row>
    <row r="1688" spans="1:21">
      <c r="A1688" s="48" t="s">
        <v>1206</v>
      </c>
      <c r="B1688" s="48" t="s">
        <v>90</v>
      </c>
      <c r="C1688" s="48" t="s">
        <v>666</v>
      </c>
      <c r="D1688" s="48">
        <v>1</v>
      </c>
      <c r="E1688" s="48">
        <v>0</v>
      </c>
      <c r="F1688" t="s">
        <v>750</v>
      </c>
      <c r="G1688" s="48" t="s">
        <v>1305</v>
      </c>
      <c r="H1688" s="48" t="s">
        <v>4793</v>
      </c>
      <c r="I1688" s="48" t="s">
        <v>4793</v>
      </c>
      <c r="J1688" s="48" t="s">
        <v>4794</v>
      </c>
      <c r="K1688" s="48" t="s">
        <v>1329</v>
      </c>
      <c r="L1688" s="48" t="s">
        <v>4795</v>
      </c>
      <c r="M1688" s="48" t="s">
        <v>4432</v>
      </c>
      <c r="N1688" s="48" t="s">
        <v>1310</v>
      </c>
      <c r="O1688" s="48" t="s">
        <v>1311</v>
      </c>
      <c r="P1688" s="48" t="s">
        <v>1312</v>
      </c>
      <c r="Q1688" s="48" t="s">
        <v>31</v>
      </c>
      <c r="R1688" s="48" t="s">
        <v>31</v>
      </c>
      <c r="S1688" s="48" t="s">
        <v>31</v>
      </c>
      <c r="T1688" s="48" t="s">
        <v>31</v>
      </c>
      <c r="U1688" s="46" t="s">
        <v>1154</v>
      </c>
    </row>
    <row r="1689" spans="1:21">
      <c r="A1689" s="48" t="s">
        <v>1206</v>
      </c>
      <c r="B1689" s="48" t="s">
        <v>90</v>
      </c>
      <c r="C1689" s="48" t="s">
        <v>666</v>
      </c>
      <c r="D1689" s="48">
        <v>1</v>
      </c>
      <c r="E1689" s="48">
        <v>0</v>
      </c>
      <c r="F1689" t="s">
        <v>750</v>
      </c>
      <c r="G1689" s="48" t="s">
        <v>1305</v>
      </c>
      <c r="H1689" s="48" t="s">
        <v>4796</v>
      </c>
      <c r="I1689" s="48" t="s">
        <v>4796</v>
      </c>
      <c r="J1689" s="48" t="s">
        <v>4797</v>
      </c>
      <c r="K1689" s="48" t="s">
        <v>1320</v>
      </c>
      <c r="L1689" s="48" t="s">
        <v>4798</v>
      </c>
      <c r="M1689" s="48" t="s">
        <v>4432</v>
      </c>
      <c r="N1689" s="48" t="s">
        <v>1310</v>
      </c>
      <c r="O1689" s="48" t="s">
        <v>1311</v>
      </c>
      <c r="P1689" s="48" t="s">
        <v>1312</v>
      </c>
      <c r="Q1689" s="48" t="s">
        <v>31</v>
      </c>
      <c r="R1689" s="48" t="s">
        <v>31</v>
      </c>
      <c r="S1689" s="48" t="s">
        <v>31</v>
      </c>
      <c r="T1689" s="48" t="s">
        <v>31</v>
      </c>
      <c r="U1689" s="46" t="s">
        <v>1154</v>
      </c>
    </row>
    <row r="1690" spans="1:21">
      <c r="A1690" s="48" t="s">
        <v>1163</v>
      </c>
      <c r="B1690" s="48" t="s">
        <v>91</v>
      </c>
      <c r="C1690" s="48" t="s">
        <v>666</v>
      </c>
      <c r="D1690" s="48">
        <v>1</v>
      </c>
      <c r="E1690" s="48">
        <v>0</v>
      </c>
      <c r="F1690" t="s">
        <v>746</v>
      </c>
      <c r="G1690" s="48" t="s">
        <v>1305</v>
      </c>
      <c r="H1690" s="48" t="s">
        <v>4799</v>
      </c>
      <c r="I1690" s="48" t="s">
        <v>4799</v>
      </c>
      <c r="J1690" s="48" t="s">
        <v>4800</v>
      </c>
      <c r="K1690" s="48" t="s">
        <v>1317</v>
      </c>
      <c r="L1690" s="48" t="s">
        <v>4801</v>
      </c>
      <c r="M1690" s="48" t="s">
        <v>4432</v>
      </c>
      <c r="N1690" s="48" t="s">
        <v>1310</v>
      </c>
      <c r="O1690" s="48" t="s">
        <v>1311</v>
      </c>
      <c r="P1690" s="48" t="s">
        <v>1312</v>
      </c>
      <c r="Q1690" s="48" t="s">
        <v>31</v>
      </c>
      <c r="R1690" s="48" t="s">
        <v>31</v>
      </c>
      <c r="S1690" s="48" t="s">
        <v>31</v>
      </c>
      <c r="T1690" s="48" t="s">
        <v>31</v>
      </c>
      <c r="U1690" s="46" t="s">
        <v>1154</v>
      </c>
    </row>
    <row r="1691" spans="1:21">
      <c r="A1691" s="48" t="s">
        <v>1163</v>
      </c>
      <c r="B1691" s="48" t="s">
        <v>91</v>
      </c>
      <c r="C1691" s="48" t="s">
        <v>666</v>
      </c>
      <c r="D1691" s="48">
        <v>1</v>
      </c>
      <c r="E1691" s="48">
        <v>0</v>
      </c>
      <c r="F1691" t="s">
        <v>746</v>
      </c>
      <c r="G1691" s="48" t="s">
        <v>1305</v>
      </c>
      <c r="H1691" s="48" t="s">
        <v>4802</v>
      </c>
      <c r="I1691" s="48" t="s">
        <v>4802</v>
      </c>
      <c r="J1691" s="48" t="s">
        <v>4803</v>
      </c>
      <c r="K1691" s="48" t="s">
        <v>1320</v>
      </c>
      <c r="L1691" s="48" t="s">
        <v>4804</v>
      </c>
      <c r="M1691" s="48" t="s">
        <v>4432</v>
      </c>
      <c r="N1691" s="48" t="s">
        <v>1310</v>
      </c>
      <c r="O1691" s="48" t="s">
        <v>1311</v>
      </c>
      <c r="P1691" s="48" t="s">
        <v>1312</v>
      </c>
      <c r="Q1691" s="48" t="s">
        <v>31</v>
      </c>
      <c r="R1691" s="48" t="s">
        <v>31</v>
      </c>
      <c r="S1691" s="48" t="s">
        <v>31</v>
      </c>
      <c r="T1691" s="48" t="s">
        <v>31</v>
      </c>
      <c r="U1691" s="46" t="s">
        <v>1154</v>
      </c>
    </row>
    <row r="1692" spans="1:21">
      <c r="A1692" s="48" t="s">
        <v>1163</v>
      </c>
      <c r="B1692" s="48" t="s">
        <v>91</v>
      </c>
      <c r="C1692" s="48" t="s">
        <v>666</v>
      </c>
      <c r="D1692" s="48">
        <v>1</v>
      </c>
      <c r="E1692" s="48">
        <v>0</v>
      </c>
      <c r="F1692" t="s">
        <v>746</v>
      </c>
      <c r="G1692" s="48" t="s">
        <v>1305</v>
      </c>
      <c r="H1692" s="48" t="s">
        <v>4805</v>
      </c>
      <c r="I1692" s="48" t="s">
        <v>4805</v>
      </c>
      <c r="J1692" s="48" t="s">
        <v>4806</v>
      </c>
      <c r="K1692" s="48" t="s">
        <v>1307</v>
      </c>
      <c r="L1692" s="48" t="s">
        <v>4807</v>
      </c>
      <c r="M1692" s="48" t="s">
        <v>4432</v>
      </c>
      <c r="N1692" s="48" t="s">
        <v>1310</v>
      </c>
      <c r="O1692" s="48" t="s">
        <v>1311</v>
      </c>
      <c r="P1692" s="48" t="s">
        <v>1312</v>
      </c>
      <c r="Q1692" s="48" t="s">
        <v>31</v>
      </c>
      <c r="R1692" s="48" t="s">
        <v>31</v>
      </c>
      <c r="S1692" s="48" t="s">
        <v>31</v>
      </c>
      <c r="T1692" s="48" t="s">
        <v>31</v>
      </c>
      <c r="U1692" s="46" t="s">
        <v>1154</v>
      </c>
    </row>
    <row r="1693" spans="1:21">
      <c r="A1693" s="48" t="s">
        <v>1163</v>
      </c>
      <c r="B1693" s="48" t="s">
        <v>91</v>
      </c>
      <c r="C1693" s="48" t="s">
        <v>666</v>
      </c>
      <c r="D1693" s="48">
        <v>1</v>
      </c>
      <c r="E1693" s="48">
        <v>0</v>
      </c>
      <c r="F1693" t="s">
        <v>746</v>
      </c>
      <c r="G1693" s="48" t="s">
        <v>1305</v>
      </c>
      <c r="H1693" s="48" t="s">
        <v>4808</v>
      </c>
      <c r="I1693" s="48" t="s">
        <v>4808</v>
      </c>
      <c r="J1693" s="48" t="s">
        <v>4809</v>
      </c>
      <c r="K1693" s="48" t="s">
        <v>1314</v>
      </c>
      <c r="L1693" s="48" t="s">
        <v>4810</v>
      </c>
      <c r="M1693" s="48" t="s">
        <v>4432</v>
      </c>
      <c r="N1693" s="48" t="s">
        <v>1310</v>
      </c>
      <c r="O1693" s="48" t="s">
        <v>1311</v>
      </c>
      <c r="P1693" s="48" t="s">
        <v>1312</v>
      </c>
      <c r="Q1693" s="48" t="s">
        <v>31</v>
      </c>
      <c r="R1693" s="48" t="s">
        <v>31</v>
      </c>
      <c r="S1693" s="48" t="s">
        <v>31</v>
      </c>
      <c r="T1693" s="48" t="s">
        <v>31</v>
      </c>
      <c r="U1693" s="46" t="s">
        <v>1154</v>
      </c>
    </row>
    <row r="1694" spans="1:21">
      <c r="A1694" s="48" t="s">
        <v>1163</v>
      </c>
      <c r="B1694" s="48" t="s">
        <v>91</v>
      </c>
      <c r="C1694" s="48" t="s">
        <v>666</v>
      </c>
      <c r="D1694" s="48">
        <v>1</v>
      </c>
      <c r="E1694" s="48">
        <v>0</v>
      </c>
      <c r="F1694" t="s">
        <v>746</v>
      </c>
      <c r="G1694" s="48" t="s">
        <v>1305</v>
      </c>
      <c r="H1694" s="48" t="s">
        <v>4811</v>
      </c>
      <c r="I1694" s="48" t="s">
        <v>4811</v>
      </c>
      <c r="J1694" s="48" t="s">
        <v>4812</v>
      </c>
      <c r="K1694" s="48" t="s">
        <v>1326</v>
      </c>
      <c r="L1694" s="48" t="s">
        <v>4813</v>
      </c>
      <c r="M1694" s="48" t="s">
        <v>4432</v>
      </c>
      <c r="N1694" s="48" t="s">
        <v>1310</v>
      </c>
      <c r="O1694" s="48" t="s">
        <v>1311</v>
      </c>
      <c r="P1694" s="48" t="s">
        <v>1312</v>
      </c>
      <c r="Q1694" s="48" t="s">
        <v>31</v>
      </c>
      <c r="R1694" s="48" t="s">
        <v>31</v>
      </c>
      <c r="S1694" s="48" t="s">
        <v>31</v>
      </c>
      <c r="T1694" s="48" t="s">
        <v>31</v>
      </c>
      <c r="U1694" s="46" t="s">
        <v>1154</v>
      </c>
    </row>
    <row r="1695" spans="1:21">
      <c r="A1695" s="48" t="s">
        <v>1163</v>
      </c>
      <c r="B1695" s="48" t="s">
        <v>91</v>
      </c>
      <c r="C1695" s="48" t="s">
        <v>666</v>
      </c>
      <c r="D1695" s="48">
        <v>1</v>
      </c>
      <c r="E1695" s="48">
        <v>0</v>
      </c>
      <c r="F1695" t="s">
        <v>746</v>
      </c>
      <c r="G1695" s="48" t="s">
        <v>1305</v>
      </c>
      <c r="H1695" s="48" t="s">
        <v>4814</v>
      </c>
      <c r="I1695" s="48" t="s">
        <v>4814</v>
      </c>
      <c r="J1695" s="48" t="s">
        <v>4815</v>
      </c>
      <c r="K1695" s="48" t="s">
        <v>1323</v>
      </c>
      <c r="L1695" s="48" t="s">
        <v>4816</v>
      </c>
      <c r="M1695" s="48" t="s">
        <v>4432</v>
      </c>
      <c r="N1695" s="48" t="s">
        <v>1310</v>
      </c>
      <c r="O1695" s="48" t="s">
        <v>1311</v>
      </c>
      <c r="P1695" s="48" t="s">
        <v>1312</v>
      </c>
      <c r="Q1695" s="48" t="s">
        <v>31</v>
      </c>
      <c r="R1695" s="48" t="s">
        <v>31</v>
      </c>
      <c r="S1695" s="48" t="s">
        <v>31</v>
      </c>
      <c r="T1695" s="48" t="s">
        <v>31</v>
      </c>
      <c r="U1695" s="46" t="s">
        <v>1154</v>
      </c>
    </row>
    <row r="1696" spans="1:21">
      <c r="A1696" s="48" t="s">
        <v>1163</v>
      </c>
      <c r="B1696" s="48" t="s">
        <v>91</v>
      </c>
      <c r="C1696" s="48" t="s">
        <v>666</v>
      </c>
      <c r="D1696" s="48">
        <v>1</v>
      </c>
      <c r="E1696" s="48">
        <v>0</v>
      </c>
      <c r="F1696" t="s">
        <v>746</v>
      </c>
      <c r="G1696" s="48" t="s">
        <v>1305</v>
      </c>
      <c r="H1696" s="48" t="s">
        <v>4817</v>
      </c>
      <c r="I1696" s="48" t="s">
        <v>4817</v>
      </c>
      <c r="J1696" s="48" t="s">
        <v>4818</v>
      </c>
      <c r="K1696" s="48" t="s">
        <v>1332</v>
      </c>
      <c r="L1696" s="48" t="s">
        <v>4819</v>
      </c>
      <c r="M1696" s="48" t="s">
        <v>4432</v>
      </c>
      <c r="N1696" s="48" t="s">
        <v>1310</v>
      </c>
      <c r="O1696" s="48" t="s">
        <v>1311</v>
      </c>
      <c r="P1696" s="48" t="s">
        <v>1312</v>
      </c>
      <c r="Q1696" s="48" t="s">
        <v>31</v>
      </c>
      <c r="R1696" s="48" t="s">
        <v>31</v>
      </c>
      <c r="S1696" s="48" t="s">
        <v>31</v>
      </c>
      <c r="T1696" s="48" t="s">
        <v>31</v>
      </c>
      <c r="U1696" s="46" t="s">
        <v>1154</v>
      </c>
    </row>
    <row r="1697" spans="1:21">
      <c r="A1697" s="48" t="s">
        <v>1163</v>
      </c>
      <c r="B1697" s="48" t="s">
        <v>91</v>
      </c>
      <c r="C1697" s="48" t="s">
        <v>666</v>
      </c>
      <c r="D1697" s="48">
        <v>1</v>
      </c>
      <c r="E1697" s="48">
        <v>0</v>
      </c>
      <c r="F1697" t="s">
        <v>746</v>
      </c>
      <c r="G1697" s="48" t="s">
        <v>1305</v>
      </c>
      <c r="H1697" s="48" t="s">
        <v>4820</v>
      </c>
      <c r="I1697" s="48" t="s">
        <v>4820</v>
      </c>
      <c r="J1697" s="48" t="s">
        <v>4821</v>
      </c>
      <c r="K1697" s="48" t="s">
        <v>1329</v>
      </c>
      <c r="L1697" s="49" t="s">
        <v>4822</v>
      </c>
      <c r="M1697" s="48" t="s">
        <v>4432</v>
      </c>
      <c r="N1697" s="48" t="s">
        <v>1310</v>
      </c>
      <c r="O1697" s="48" t="s">
        <v>1311</v>
      </c>
      <c r="P1697" s="48" t="s">
        <v>1312</v>
      </c>
      <c r="Q1697" s="48" t="s">
        <v>31</v>
      </c>
      <c r="R1697" s="48" t="s">
        <v>31</v>
      </c>
      <c r="S1697" s="48" t="s">
        <v>31</v>
      </c>
      <c r="T1697" s="48" t="s">
        <v>31</v>
      </c>
      <c r="U1697" s="46" t="s">
        <v>1154</v>
      </c>
    </row>
    <row r="1698" spans="1:21">
      <c r="A1698" s="48" t="s">
        <v>1255</v>
      </c>
      <c r="B1698" s="48" t="s">
        <v>93</v>
      </c>
      <c r="C1698" s="48" t="s">
        <v>666</v>
      </c>
      <c r="D1698" s="48">
        <v>1</v>
      </c>
      <c r="E1698" s="48">
        <v>0</v>
      </c>
      <c r="F1698" t="s">
        <v>686</v>
      </c>
      <c r="G1698" s="48" t="s">
        <v>1305</v>
      </c>
      <c r="H1698" s="48" t="s">
        <v>4823</v>
      </c>
      <c r="I1698" s="48" t="s">
        <v>4823</v>
      </c>
      <c r="J1698" s="48" t="s">
        <v>4824</v>
      </c>
      <c r="K1698" s="48" t="s">
        <v>1314</v>
      </c>
      <c r="L1698" s="48" t="s">
        <v>4825</v>
      </c>
      <c r="M1698" s="48" t="s">
        <v>4432</v>
      </c>
      <c r="N1698" s="48" t="s">
        <v>1310</v>
      </c>
      <c r="O1698" s="48" t="s">
        <v>1311</v>
      </c>
      <c r="P1698" s="48" t="s">
        <v>1312</v>
      </c>
      <c r="Q1698" s="48" t="s">
        <v>31</v>
      </c>
      <c r="R1698" s="48" t="s">
        <v>31</v>
      </c>
      <c r="S1698" s="48" t="s">
        <v>31</v>
      </c>
      <c r="T1698" s="48" t="s">
        <v>31</v>
      </c>
      <c r="U1698" s="46" t="s">
        <v>1154</v>
      </c>
    </row>
    <row r="1699" spans="1:21">
      <c r="A1699" s="48" t="s">
        <v>1255</v>
      </c>
      <c r="B1699" s="48" t="s">
        <v>93</v>
      </c>
      <c r="C1699" s="48" t="s">
        <v>666</v>
      </c>
      <c r="D1699" s="48">
        <v>1</v>
      </c>
      <c r="E1699" s="48">
        <v>0</v>
      </c>
      <c r="F1699" t="s">
        <v>686</v>
      </c>
      <c r="G1699" s="48" t="s">
        <v>1305</v>
      </c>
      <c r="H1699" s="48" t="s">
        <v>4826</v>
      </c>
      <c r="I1699" s="48" t="s">
        <v>4826</v>
      </c>
      <c r="J1699" s="48" t="s">
        <v>4827</v>
      </c>
      <c r="K1699" s="48" t="s">
        <v>1326</v>
      </c>
      <c r="L1699" s="48" t="s">
        <v>4828</v>
      </c>
      <c r="M1699" s="48" t="s">
        <v>4432</v>
      </c>
      <c r="N1699" s="48" t="s">
        <v>1310</v>
      </c>
      <c r="O1699" s="48" t="s">
        <v>1311</v>
      </c>
      <c r="P1699" s="48" t="s">
        <v>1312</v>
      </c>
      <c r="Q1699" s="48" t="s">
        <v>31</v>
      </c>
      <c r="R1699" s="48" t="s">
        <v>31</v>
      </c>
      <c r="S1699" s="48" t="s">
        <v>31</v>
      </c>
      <c r="T1699" s="48" t="s">
        <v>31</v>
      </c>
      <c r="U1699" s="46" t="s">
        <v>1154</v>
      </c>
    </row>
    <row r="1700" spans="1:21">
      <c r="A1700" s="48" t="s">
        <v>1255</v>
      </c>
      <c r="B1700" s="48" t="s">
        <v>93</v>
      </c>
      <c r="C1700" s="48" t="s">
        <v>666</v>
      </c>
      <c r="D1700" s="48">
        <v>1</v>
      </c>
      <c r="E1700" s="48">
        <v>0</v>
      </c>
      <c r="F1700" t="s">
        <v>686</v>
      </c>
      <c r="G1700" s="48" t="s">
        <v>1305</v>
      </c>
      <c r="H1700" s="48" t="s">
        <v>4829</v>
      </c>
      <c r="I1700" s="48" t="s">
        <v>4829</v>
      </c>
      <c r="J1700" s="48" t="s">
        <v>4830</v>
      </c>
      <c r="K1700" s="48" t="s">
        <v>1307</v>
      </c>
      <c r="L1700" s="48" t="s">
        <v>4831</v>
      </c>
      <c r="M1700" s="48" t="s">
        <v>4432</v>
      </c>
      <c r="N1700" s="48" t="s">
        <v>1310</v>
      </c>
      <c r="O1700" s="48" t="s">
        <v>1311</v>
      </c>
      <c r="P1700" s="48" t="s">
        <v>1312</v>
      </c>
      <c r="Q1700" s="48" t="s">
        <v>31</v>
      </c>
      <c r="R1700" s="48" t="s">
        <v>31</v>
      </c>
      <c r="S1700" s="48" t="s">
        <v>31</v>
      </c>
      <c r="T1700" s="48" t="s">
        <v>31</v>
      </c>
      <c r="U1700" s="46" t="s">
        <v>1154</v>
      </c>
    </row>
    <row r="1701" spans="1:21">
      <c r="A1701" s="48" t="s">
        <v>1255</v>
      </c>
      <c r="B1701" s="48" t="s">
        <v>93</v>
      </c>
      <c r="C1701" s="48" t="s">
        <v>666</v>
      </c>
      <c r="D1701" s="48">
        <v>1</v>
      </c>
      <c r="E1701" s="48">
        <v>0</v>
      </c>
      <c r="F1701" t="s">
        <v>686</v>
      </c>
      <c r="G1701" s="48" t="s">
        <v>1305</v>
      </c>
      <c r="H1701" s="48" t="s">
        <v>4832</v>
      </c>
      <c r="I1701" s="48" t="s">
        <v>4832</v>
      </c>
      <c r="J1701" s="48" t="s">
        <v>4833</v>
      </c>
      <c r="K1701" s="48" t="s">
        <v>1320</v>
      </c>
      <c r="L1701" s="48" t="s">
        <v>4834</v>
      </c>
      <c r="M1701" s="48" t="s">
        <v>4432</v>
      </c>
      <c r="N1701" s="48" t="s">
        <v>1310</v>
      </c>
      <c r="O1701" s="48" t="s">
        <v>1311</v>
      </c>
      <c r="P1701" s="48" t="s">
        <v>1312</v>
      </c>
      <c r="Q1701" s="48" t="s">
        <v>31</v>
      </c>
      <c r="R1701" s="48" t="s">
        <v>31</v>
      </c>
      <c r="S1701" s="48" t="s">
        <v>31</v>
      </c>
      <c r="T1701" s="48" t="s">
        <v>31</v>
      </c>
      <c r="U1701" s="46" t="s">
        <v>1154</v>
      </c>
    </row>
    <row r="1702" spans="1:21">
      <c r="A1702" s="48" t="s">
        <v>1255</v>
      </c>
      <c r="B1702" s="48" t="s">
        <v>93</v>
      </c>
      <c r="C1702" s="48" t="s">
        <v>666</v>
      </c>
      <c r="D1702" s="48">
        <v>1</v>
      </c>
      <c r="E1702" s="48">
        <v>0</v>
      </c>
      <c r="F1702" t="s">
        <v>686</v>
      </c>
      <c r="G1702" s="48" t="s">
        <v>1305</v>
      </c>
      <c r="H1702" s="48" t="s">
        <v>4835</v>
      </c>
      <c r="I1702" s="48" t="s">
        <v>4835</v>
      </c>
      <c r="J1702" s="48" t="s">
        <v>4836</v>
      </c>
      <c r="K1702" s="48" t="s">
        <v>1323</v>
      </c>
      <c r="L1702" s="48" t="s">
        <v>4837</v>
      </c>
      <c r="M1702" s="48" t="s">
        <v>4432</v>
      </c>
      <c r="N1702" s="48" t="s">
        <v>1310</v>
      </c>
      <c r="O1702" s="48" t="s">
        <v>1311</v>
      </c>
      <c r="P1702" s="48" t="s">
        <v>1312</v>
      </c>
      <c r="Q1702" s="48" t="s">
        <v>31</v>
      </c>
      <c r="R1702" s="48" t="s">
        <v>31</v>
      </c>
      <c r="S1702" s="48" t="s">
        <v>31</v>
      </c>
      <c r="T1702" s="48" t="s">
        <v>31</v>
      </c>
      <c r="U1702" s="46" t="s">
        <v>1154</v>
      </c>
    </row>
    <row r="1703" spans="1:21">
      <c r="A1703" s="48" t="s">
        <v>1255</v>
      </c>
      <c r="B1703" s="48" t="s">
        <v>93</v>
      </c>
      <c r="C1703" s="48" t="s">
        <v>666</v>
      </c>
      <c r="D1703" s="48">
        <v>1</v>
      </c>
      <c r="E1703" s="48">
        <v>0</v>
      </c>
      <c r="F1703" t="s">
        <v>686</v>
      </c>
      <c r="G1703" s="48" t="s">
        <v>1305</v>
      </c>
      <c r="H1703" s="48" t="s">
        <v>4838</v>
      </c>
      <c r="I1703" s="48" t="s">
        <v>4838</v>
      </c>
      <c r="J1703" s="48" t="s">
        <v>4839</v>
      </c>
      <c r="K1703" s="48" t="s">
        <v>1332</v>
      </c>
      <c r="L1703" s="48" t="s">
        <v>4840</v>
      </c>
      <c r="M1703" s="48" t="s">
        <v>4432</v>
      </c>
      <c r="N1703" s="48" t="s">
        <v>1310</v>
      </c>
      <c r="O1703" s="48" t="s">
        <v>1311</v>
      </c>
      <c r="P1703" s="48" t="s">
        <v>1312</v>
      </c>
      <c r="Q1703" s="48" t="s">
        <v>31</v>
      </c>
      <c r="R1703" s="48" t="s">
        <v>31</v>
      </c>
      <c r="S1703" s="48" t="s">
        <v>31</v>
      </c>
      <c r="T1703" s="48" t="s">
        <v>31</v>
      </c>
      <c r="U1703" s="46" t="s">
        <v>1154</v>
      </c>
    </row>
    <row r="1704" spans="1:21">
      <c r="A1704" s="48" t="s">
        <v>1255</v>
      </c>
      <c r="B1704" s="48" t="s">
        <v>93</v>
      </c>
      <c r="C1704" s="48" t="s">
        <v>666</v>
      </c>
      <c r="D1704" s="48">
        <v>1</v>
      </c>
      <c r="E1704" s="48">
        <v>0</v>
      </c>
      <c r="F1704" t="s">
        <v>686</v>
      </c>
      <c r="G1704" s="48" t="s">
        <v>1305</v>
      </c>
      <c r="H1704" s="48" t="s">
        <v>4841</v>
      </c>
      <c r="I1704" s="48" t="s">
        <v>4841</v>
      </c>
      <c r="J1704" s="48" t="s">
        <v>4842</v>
      </c>
      <c r="K1704" s="48" t="s">
        <v>1317</v>
      </c>
      <c r="L1704" s="48" t="s">
        <v>4843</v>
      </c>
      <c r="M1704" s="48" t="s">
        <v>4432</v>
      </c>
      <c r="N1704" s="48" t="s">
        <v>1310</v>
      </c>
      <c r="O1704" s="48" t="s">
        <v>1311</v>
      </c>
      <c r="P1704" s="48" t="s">
        <v>1312</v>
      </c>
      <c r="Q1704" s="48" t="s">
        <v>31</v>
      </c>
      <c r="R1704" s="48" t="s">
        <v>31</v>
      </c>
      <c r="S1704" s="48" t="s">
        <v>31</v>
      </c>
      <c r="T1704" s="48" t="s">
        <v>31</v>
      </c>
      <c r="U1704" s="46" t="s">
        <v>1154</v>
      </c>
    </row>
    <row r="1705" spans="1:21">
      <c r="A1705" s="48" t="s">
        <v>1255</v>
      </c>
      <c r="B1705" s="48" t="s">
        <v>93</v>
      </c>
      <c r="C1705" s="48" t="s">
        <v>666</v>
      </c>
      <c r="D1705" s="48">
        <v>1</v>
      </c>
      <c r="E1705" s="48">
        <v>0</v>
      </c>
      <c r="F1705" t="s">
        <v>686</v>
      </c>
      <c r="G1705" s="48" t="s">
        <v>1305</v>
      </c>
      <c r="H1705" s="48" t="s">
        <v>4844</v>
      </c>
      <c r="I1705" s="48" t="s">
        <v>4844</v>
      </c>
      <c r="J1705" s="48" t="s">
        <v>4845</v>
      </c>
      <c r="K1705" s="48" t="s">
        <v>1329</v>
      </c>
      <c r="L1705" s="48" t="s">
        <v>4846</v>
      </c>
      <c r="M1705" s="48" t="s">
        <v>4432</v>
      </c>
      <c r="N1705" s="48" t="s">
        <v>1310</v>
      </c>
      <c r="O1705" s="48" t="s">
        <v>1311</v>
      </c>
      <c r="P1705" s="48" t="s">
        <v>1312</v>
      </c>
      <c r="Q1705" s="48" t="s">
        <v>31</v>
      </c>
      <c r="R1705" s="48" t="s">
        <v>31</v>
      </c>
      <c r="S1705" s="48" t="s">
        <v>31</v>
      </c>
      <c r="T1705" s="48" t="s">
        <v>31</v>
      </c>
      <c r="U1705" s="46" t="s">
        <v>1154</v>
      </c>
    </row>
    <row r="1706" spans="1:21">
      <c r="A1706" s="48" t="s">
        <v>1236</v>
      </c>
      <c r="B1706" s="48" t="s">
        <v>95</v>
      </c>
      <c r="C1706" s="48" t="s">
        <v>666</v>
      </c>
      <c r="D1706" s="48">
        <v>1</v>
      </c>
      <c r="E1706" s="48">
        <v>0</v>
      </c>
      <c r="F1706" t="s">
        <v>679</v>
      </c>
      <c r="G1706" s="48" t="s">
        <v>1305</v>
      </c>
      <c r="H1706" s="48" t="s">
        <v>1716</v>
      </c>
      <c r="I1706" s="48" t="s">
        <v>1716</v>
      </c>
      <c r="J1706" s="48" t="s">
        <v>4847</v>
      </c>
      <c r="K1706" s="48" t="s">
        <v>1320</v>
      </c>
      <c r="L1706" s="48" t="s">
        <v>4848</v>
      </c>
      <c r="M1706" s="48" t="s">
        <v>4432</v>
      </c>
      <c r="N1706" s="48" t="s">
        <v>1310</v>
      </c>
      <c r="O1706" s="48" t="s">
        <v>1311</v>
      </c>
      <c r="P1706" s="48" t="s">
        <v>1312</v>
      </c>
      <c r="Q1706" s="48" t="s">
        <v>31</v>
      </c>
      <c r="R1706" s="48" t="s">
        <v>31</v>
      </c>
      <c r="S1706" s="48" t="s">
        <v>31</v>
      </c>
      <c r="T1706" s="48" t="s">
        <v>31</v>
      </c>
      <c r="U1706" s="46" t="s">
        <v>1154</v>
      </c>
    </row>
    <row r="1707" spans="1:21">
      <c r="A1707" s="48" t="s">
        <v>1236</v>
      </c>
      <c r="B1707" s="48" t="s">
        <v>95</v>
      </c>
      <c r="C1707" s="48" t="s">
        <v>666</v>
      </c>
      <c r="D1707" s="48">
        <v>1</v>
      </c>
      <c r="E1707" s="48">
        <v>0</v>
      </c>
      <c r="F1707" t="s">
        <v>679</v>
      </c>
      <c r="G1707" s="48" t="s">
        <v>1305</v>
      </c>
      <c r="H1707" s="48" t="s">
        <v>1718</v>
      </c>
      <c r="I1707" s="48" t="s">
        <v>1718</v>
      </c>
      <c r="J1707" s="48" t="s">
        <v>4849</v>
      </c>
      <c r="K1707" s="48" t="s">
        <v>1323</v>
      </c>
      <c r="L1707" s="48" t="s">
        <v>4850</v>
      </c>
      <c r="M1707" s="48" t="s">
        <v>4432</v>
      </c>
      <c r="N1707" s="48" t="s">
        <v>1310</v>
      </c>
      <c r="O1707" s="48" t="s">
        <v>1311</v>
      </c>
      <c r="P1707" s="48" t="s">
        <v>1312</v>
      </c>
      <c r="Q1707" s="48" t="s">
        <v>31</v>
      </c>
      <c r="R1707" s="48" t="s">
        <v>31</v>
      </c>
      <c r="S1707" s="48" t="s">
        <v>31</v>
      </c>
      <c r="T1707" s="48" t="s">
        <v>31</v>
      </c>
      <c r="U1707" s="46" t="s">
        <v>1154</v>
      </c>
    </row>
    <row r="1708" spans="1:21">
      <c r="A1708" s="48" t="s">
        <v>1236</v>
      </c>
      <c r="B1708" s="48" t="s">
        <v>95</v>
      </c>
      <c r="C1708" s="48" t="s">
        <v>666</v>
      </c>
      <c r="D1708" s="48">
        <v>1</v>
      </c>
      <c r="E1708" s="48">
        <v>0</v>
      </c>
      <c r="F1708" t="s">
        <v>679</v>
      </c>
      <c r="G1708" s="48" t="s">
        <v>1305</v>
      </c>
      <c r="H1708" s="48" t="s">
        <v>1722</v>
      </c>
      <c r="I1708" s="48" t="s">
        <v>1722</v>
      </c>
      <c r="J1708" s="48" t="s">
        <v>4851</v>
      </c>
      <c r="K1708" s="48" t="s">
        <v>1329</v>
      </c>
      <c r="L1708" s="49" t="s">
        <v>4852</v>
      </c>
      <c r="M1708" s="48" t="s">
        <v>4432</v>
      </c>
      <c r="N1708" s="48" t="s">
        <v>1310</v>
      </c>
      <c r="O1708" s="48" t="s">
        <v>1311</v>
      </c>
      <c r="P1708" s="48" t="s">
        <v>1312</v>
      </c>
      <c r="Q1708" s="48" t="s">
        <v>31</v>
      </c>
      <c r="R1708" s="48" t="s">
        <v>31</v>
      </c>
      <c r="S1708" s="48" t="s">
        <v>31</v>
      </c>
      <c r="T1708" s="48" t="s">
        <v>31</v>
      </c>
      <c r="U1708" s="46" t="s">
        <v>1154</v>
      </c>
    </row>
    <row r="1709" spans="1:21">
      <c r="A1709" s="48" t="s">
        <v>1236</v>
      </c>
      <c r="B1709" s="48" t="s">
        <v>95</v>
      </c>
      <c r="C1709" s="48" t="s">
        <v>666</v>
      </c>
      <c r="D1709" s="48">
        <v>1</v>
      </c>
      <c r="E1709" s="48">
        <v>0</v>
      </c>
      <c r="F1709" t="s">
        <v>679</v>
      </c>
      <c r="G1709" s="48" t="s">
        <v>1305</v>
      </c>
      <c r="H1709" s="48" t="s">
        <v>1720</v>
      </c>
      <c r="I1709" s="48" t="s">
        <v>1720</v>
      </c>
      <c r="J1709" s="48" t="s">
        <v>4853</v>
      </c>
      <c r="K1709" s="48" t="s">
        <v>1326</v>
      </c>
      <c r="L1709" s="48" t="s">
        <v>4854</v>
      </c>
      <c r="M1709" s="48" t="s">
        <v>4432</v>
      </c>
      <c r="N1709" s="48" t="s">
        <v>1310</v>
      </c>
      <c r="O1709" s="48" t="s">
        <v>1311</v>
      </c>
      <c r="P1709" s="48" t="s">
        <v>1312</v>
      </c>
      <c r="Q1709" s="48" t="s">
        <v>31</v>
      </c>
      <c r="R1709" s="48" t="s">
        <v>31</v>
      </c>
      <c r="S1709" s="48" t="s">
        <v>31</v>
      </c>
      <c r="T1709" s="48" t="s">
        <v>31</v>
      </c>
      <c r="U1709" s="46" t="s">
        <v>1154</v>
      </c>
    </row>
    <row r="1710" spans="1:21">
      <c r="A1710" s="48" t="s">
        <v>1236</v>
      </c>
      <c r="B1710" s="48" t="s">
        <v>95</v>
      </c>
      <c r="C1710" s="48" t="s">
        <v>666</v>
      </c>
      <c r="D1710" s="48">
        <v>1</v>
      </c>
      <c r="E1710" s="48">
        <v>0</v>
      </c>
      <c r="F1710" t="s">
        <v>679</v>
      </c>
      <c r="G1710" s="48" t="s">
        <v>1305</v>
      </c>
      <c r="H1710" s="48" t="s">
        <v>1712</v>
      </c>
      <c r="I1710" s="48" t="s">
        <v>1712</v>
      </c>
      <c r="J1710" s="48" t="s">
        <v>4855</v>
      </c>
      <c r="K1710" s="48" t="s">
        <v>1314</v>
      </c>
      <c r="L1710" s="48" t="s">
        <v>4856</v>
      </c>
      <c r="M1710" s="48" t="s">
        <v>4432</v>
      </c>
      <c r="N1710" s="48" t="s">
        <v>1310</v>
      </c>
      <c r="O1710" s="48" t="s">
        <v>1311</v>
      </c>
      <c r="P1710" s="48" t="s">
        <v>1312</v>
      </c>
      <c r="Q1710" s="48" t="s">
        <v>31</v>
      </c>
      <c r="R1710" s="48" t="s">
        <v>31</v>
      </c>
      <c r="S1710" s="48" t="s">
        <v>31</v>
      </c>
      <c r="T1710" s="48" t="s">
        <v>31</v>
      </c>
      <c r="U1710" s="46" t="s">
        <v>1154</v>
      </c>
    </row>
    <row r="1711" spans="1:21">
      <c r="A1711" s="48" t="s">
        <v>1236</v>
      </c>
      <c r="B1711" s="48" t="s">
        <v>95</v>
      </c>
      <c r="C1711" s="48" t="s">
        <v>666</v>
      </c>
      <c r="D1711" s="48">
        <v>1</v>
      </c>
      <c r="E1711" s="48">
        <v>0</v>
      </c>
      <c r="F1711" t="s">
        <v>679</v>
      </c>
      <c r="G1711" s="48" t="s">
        <v>1305</v>
      </c>
      <c r="H1711" s="48" t="s">
        <v>1714</v>
      </c>
      <c r="I1711" s="48" t="s">
        <v>1714</v>
      </c>
      <c r="J1711" s="48" t="s">
        <v>4857</v>
      </c>
      <c r="K1711" s="48" t="s">
        <v>1317</v>
      </c>
      <c r="L1711" s="48" t="s">
        <v>4858</v>
      </c>
      <c r="M1711" s="48" t="s">
        <v>4432</v>
      </c>
      <c r="N1711" s="48" t="s">
        <v>1310</v>
      </c>
      <c r="O1711" s="48" t="s">
        <v>1311</v>
      </c>
      <c r="P1711" s="48" t="s">
        <v>1312</v>
      </c>
      <c r="Q1711" s="48" t="s">
        <v>31</v>
      </c>
      <c r="R1711" s="48" t="s">
        <v>31</v>
      </c>
      <c r="S1711" s="48" t="s">
        <v>31</v>
      </c>
      <c r="T1711" s="48" t="s">
        <v>31</v>
      </c>
      <c r="U1711" s="46" t="s">
        <v>1154</v>
      </c>
    </row>
    <row r="1712" spans="1:21">
      <c r="A1712" s="48" t="s">
        <v>1236</v>
      </c>
      <c r="B1712" s="48" t="s">
        <v>95</v>
      </c>
      <c r="C1712" s="48" t="s">
        <v>666</v>
      </c>
      <c r="D1712" s="48">
        <v>1</v>
      </c>
      <c r="E1712" s="48">
        <v>0</v>
      </c>
      <c r="F1712" t="s">
        <v>679</v>
      </c>
      <c r="G1712" s="48" t="s">
        <v>1305</v>
      </c>
      <c r="H1712" s="48" t="s">
        <v>1724</v>
      </c>
      <c r="I1712" s="48" t="s">
        <v>1724</v>
      </c>
      <c r="J1712" s="48" t="s">
        <v>4859</v>
      </c>
      <c r="K1712" s="48" t="s">
        <v>1332</v>
      </c>
      <c r="L1712" s="48" t="s">
        <v>4860</v>
      </c>
      <c r="M1712" s="48" t="s">
        <v>4432</v>
      </c>
      <c r="N1712" s="48" t="s">
        <v>1310</v>
      </c>
      <c r="O1712" s="48" t="s">
        <v>1311</v>
      </c>
      <c r="P1712" s="48" t="s">
        <v>1312</v>
      </c>
      <c r="Q1712" s="48" t="s">
        <v>31</v>
      </c>
      <c r="R1712" s="48" t="s">
        <v>31</v>
      </c>
      <c r="S1712" s="48" t="s">
        <v>31</v>
      </c>
      <c r="T1712" s="48" t="s">
        <v>31</v>
      </c>
      <c r="U1712" s="46" t="s">
        <v>1154</v>
      </c>
    </row>
    <row r="1713" spans="1:21">
      <c r="A1713" s="48" t="s">
        <v>1236</v>
      </c>
      <c r="B1713" s="48" t="s">
        <v>95</v>
      </c>
      <c r="C1713" s="48" t="s">
        <v>666</v>
      </c>
      <c r="D1713" s="48">
        <v>1</v>
      </c>
      <c r="E1713" s="48">
        <v>0</v>
      </c>
      <c r="F1713" t="s">
        <v>679</v>
      </c>
      <c r="G1713" s="48" t="s">
        <v>1305</v>
      </c>
      <c r="H1713" s="48" t="s">
        <v>1710</v>
      </c>
      <c r="I1713" s="48" t="s">
        <v>1710</v>
      </c>
      <c r="J1713" s="48" t="s">
        <v>4861</v>
      </c>
      <c r="K1713" s="48" t="s">
        <v>1307</v>
      </c>
      <c r="L1713" s="48" t="s">
        <v>4862</v>
      </c>
      <c r="M1713" s="48" t="s">
        <v>4432</v>
      </c>
      <c r="N1713" s="48" t="s">
        <v>1310</v>
      </c>
      <c r="O1713" s="48" t="s">
        <v>1311</v>
      </c>
      <c r="P1713" s="48" t="s">
        <v>1312</v>
      </c>
      <c r="Q1713" s="48" t="s">
        <v>31</v>
      </c>
      <c r="R1713" s="48" t="s">
        <v>31</v>
      </c>
      <c r="S1713" s="48" t="s">
        <v>31</v>
      </c>
      <c r="T1713" s="48" t="s">
        <v>31</v>
      </c>
      <c r="U1713" s="46" t="s">
        <v>1154</v>
      </c>
    </row>
    <row r="1714" spans="1:21">
      <c r="A1714" s="48" t="s">
        <v>1251</v>
      </c>
      <c r="B1714" s="48" t="s">
        <v>97</v>
      </c>
      <c r="C1714" s="48" t="s">
        <v>666</v>
      </c>
      <c r="D1714" s="48">
        <v>1</v>
      </c>
      <c r="E1714" s="48">
        <v>0</v>
      </c>
      <c r="F1714" t="s">
        <v>777</v>
      </c>
      <c r="G1714" s="48" t="s">
        <v>1305</v>
      </c>
      <c r="H1714" s="48" t="s">
        <v>4863</v>
      </c>
      <c r="I1714" s="48" t="s">
        <v>4863</v>
      </c>
      <c r="J1714" s="48" t="s">
        <v>4864</v>
      </c>
      <c r="K1714" s="48" t="s">
        <v>1314</v>
      </c>
      <c r="L1714" s="48" t="s">
        <v>4865</v>
      </c>
      <c r="M1714" s="48" t="s">
        <v>4432</v>
      </c>
      <c r="N1714" s="48" t="s">
        <v>1310</v>
      </c>
      <c r="O1714" s="48" t="s">
        <v>1311</v>
      </c>
      <c r="P1714" s="48" t="s">
        <v>1312</v>
      </c>
      <c r="Q1714" s="48" t="s">
        <v>31</v>
      </c>
      <c r="R1714" s="48" t="s">
        <v>31</v>
      </c>
      <c r="S1714" s="48" t="s">
        <v>31</v>
      </c>
      <c r="T1714" s="48" t="s">
        <v>31</v>
      </c>
      <c r="U1714" s="46" t="s">
        <v>1154</v>
      </c>
    </row>
    <row r="1715" spans="1:21">
      <c r="A1715" s="48" t="s">
        <v>1251</v>
      </c>
      <c r="B1715" s="48" t="s">
        <v>97</v>
      </c>
      <c r="C1715" s="48" t="s">
        <v>666</v>
      </c>
      <c r="D1715" s="48">
        <v>1</v>
      </c>
      <c r="E1715" s="48">
        <v>0</v>
      </c>
      <c r="F1715" t="s">
        <v>777</v>
      </c>
      <c r="G1715" s="48" t="s">
        <v>1305</v>
      </c>
      <c r="H1715" s="48" t="s">
        <v>4866</v>
      </c>
      <c r="I1715" s="48" t="s">
        <v>4866</v>
      </c>
      <c r="J1715" s="48" t="s">
        <v>4867</v>
      </c>
      <c r="K1715" s="48" t="s">
        <v>1320</v>
      </c>
      <c r="L1715" s="48" t="s">
        <v>4868</v>
      </c>
      <c r="M1715" s="48" t="s">
        <v>4432</v>
      </c>
      <c r="N1715" s="48" t="s">
        <v>1310</v>
      </c>
      <c r="O1715" s="48" t="s">
        <v>1311</v>
      </c>
      <c r="P1715" s="48" t="s">
        <v>1312</v>
      </c>
      <c r="Q1715" s="48" t="s">
        <v>31</v>
      </c>
      <c r="R1715" s="48" t="s">
        <v>31</v>
      </c>
      <c r="S1715" s="48" t="s">
        <v>31</v>
      </c>
      <c r="T1715" s="48" t="s">
        <v>31</v>
      </c>
      <c r="U1715" s="46" t="s">
        <v>1154</v>
      </c>
    </row>
    <row r="1716" spans="1:21">
      <c r="A1716" s="48" t="s">
        <v>1251</v>
      </c>
      <c r="B1716" s="48" t="s">
        <v>97</v>
      </c>
      <c r="C1716" s="48" t="s">
        <v>666</v>
      </c>
      <c r="D1716" s="48">
        <v>1</v>
      </c>
      <c r="E1716" s="48">
        <v>0</v>
      </c>
      <c r="F1716" t="s">
        <v>777</v>
      </c>
      <c r="G1716" s="48" t="s">
        <v>1305</v>
      </c>
      <c r="H1716" s="48" t="s">
        <v>4869</v>
      </c>
      <c r="I1716" s="48" t="s">
        <v>4869</v>
      </c>
      <c r="J1716" s="48" t="s">
        <v>4870</v>
      </c>
      <c r="K1716" s="48" t="s">
        <v>1332</v>
      </c>
      <c r="L1716" s="48" t="s">
        <v>4871</v>
      </c>
      <c r="M1716" s="48" t="s">
        <v>4432</v>
      </c>
      <c r="N1716" s="48" t="s">
        <v>1310</v>
      </c>
      <c r="O1716" s="48" t="s">
        <v>1311</v>
      </c>
      <c r="P1716" s="48" t="s">
        <v>1312</v>
      </c>
      <c r="Q1716" s="48" t="s">
        <v>31</v>
      </c>
      <c r="R1716" s="48" t="s">
        <v>31</v>
      </c>
      <c r="S1716" s="48" t="s">
        <v>31</v>
      </c>
      <c r="T1716" s="48" t="s">
        <v>31</v>
      </c>
      <c r="U1716" s="46" t="s">
        <v>1154</v>
      </c>
    </row>
    <row r="1717" spans="1:21">
      <c r="A1717" s="48" t="s">
        <v>1251</v>
      </c>
      <c r="B1717" s="48" t="s">
        <v>97</v>
      </c>
      <c r="C1717" s="48" t="s">
        <v>666</v>
      </c>
      <c r="D1717" s="48">
        <v>1</v>
      </c>
      <c r="E1717" s="48">
        <v>0</v>
      </c>
      <c r="F1717" t="s">
        <v>777</v>
      </c>
      <c r="G1717" s="48" t="s">
        <v>1305</v>
      </c>
      <c r="H1717" s="48" t="s">
        <v>4872</v>
      </c>
      <c r="I1717" s="48" t="s">
        <v>4872</v>
      </c>
      <c r="J1717" s="48" t="s">
        <v>4873</v>
      </c>
      <c r="K1717" s="48" t="s">
        <v>1323</v>
      </c>
      <c r="L1717" s="48" t="s">
        <v>4874</v>
      </c>
      <c r="M1717" s="48" t="s">
        <v>4432</v>
      </c>
      <c r="N1717" s="48" t="s">
        <v>1310</v>
      </c>
      <c r="O1717" s="48" t="s">
        <v>1311</v>
      </c>
      <c r="P1717" s="48" t="s">
        <v>1312</v>
      </c>
      <c r="Q1717" s="48" t="s">
        <v>31</v>
      </c>
      <c r="R1717" s="48" t="s">
        <v>31</v>
      </c>
      <c r="S1717" s="48" t="s">
        <v>31</v>
      </c>
      <c r="T1717" s="48" t="s">
        <v>31</v>
      </c>
      <c r="U1717" s="46" t="s">
        <v>1154</v>
      </c>
    </row>
    <row r="1718" spans="1:21">
      <c r="A1718" s="48" t="s">
        <v>1251</v>
      </c>
      <c r="B1718" s="48" t="s">
        <v>97</v>
      </c>
      <c r="C1718" s="48" t="s">
        <v>666</v>
      </c>
      <c r="D1718" s="48">
        <v>1</v>
      </c>
      <c r="E1718" s="48">
        <v>0</v>
      </c>
      <c r="F1718" t="s">
        <v>777</v>
      </c>
      <c r="G1718" s="48" t="s">
        <v>1305</v>
      </c>
      <c r="H1718" s="48" t="s">
        <v>4875</v>
      </c>
      <c r="I1718" s="48" t="s">
        <v>4875</v>
      </c>
      <c r="J1718" s="48" t="s">
        <v>4876</v>
      </c>
      <c r="K1718" s="48" t="s">
        <v>1329</v>
      </c>
      <c r="L1718" s="48" t="s">
        <v>4877</v>
      </c>
      <c r="M1718" s="48" t="s">
        <v>4432</v>
      </c>
      <c r="N1718" s="48" t="s">
        <v>1310</v>
      </c>
      <c r="O1718" s="48" t="s">
        <v>1311</v>
      </c>
      <c r="P1718" s="48" t="s">
        <v>1312</v>
      </c>
      <c r="Q1718" s="48" t="s">
        <v>31</v>
      </c>
      <c r="R1718" s="48" t="s">
        <v>31</v>
      </c>
      <c r="S1718" s="48" t="s">
        <v>31</v>
      </c>
      <c r="T1718" s="48" t="s">
        <v>31</v>
      </c>
      <c r="U1718" s="46" t="s">
        <v>1154</v>
      </c>
    </row>
    <row r="1719" spans="1:21">
      <c r="A1719" s="48" t="s">
        <v>1251</v>
      </c>
      <c r="B1719" s="48" t="s">
        <v>97</v>
      </c>
      <c r="C1719" s="48" t="s">
        <v>666</v>
      </c>
      <c r="D1719" s="48">
        <v>1</v>
      </c>
      <c r="E1719" s="48">
        <v>0</v>
      </c>
      <c r="F1719" t="s">
        <v>777</v>
      </c>
      <c r="G1719" s="48" t="s">
        <v>1305</v>
      </c>
      <c r="H1719" s="48" t="s">
        <v>4878</v>
      </c>
      <c r="I1719" s="48" t="s">
        <v>4878</v>
      </c>
      <c r="J1719" s="48" t="s">
        <v>4879</v>
      </c>
      <c r="K1719" s="48" t="s">
        <v>1317</v>
      </c>
      <c r="L1719" s="48" t="s">
        <v>4880</v>
      </c>
      <c r="M1719" s="48" t="s">
        <v>4432</v>
      </c>
      <c r="N1719" s="48" t="s">
        <v>1310</v>
      </c>
      <c r="O1719" s="48" t="s">
        <v>1311</v>
      </c>
      <c r="P1719" s="48" t="s">
        <v>1312</v>
      </c>
      <c r="Q1719" s="48" t="s">
        <v>31</v>
      </c>
      <c r="R1719" s="48" t="s">
        <v>31</v>
      </c>
      <c r="S1719" s="48" t="s">
        <v>31</v>
      </c>
      <c r="T1719" s="48" t="s">
        <v>31</v>
      </c>
      <c r="U1719" s="46" t="s">
        <v>1154</v>
      </c>
    </row>
    <row r="1720" spans="1:21">
      <c r="A1720" s="48" t="s">
        <v>1251</v>
      </c>
      <c r="B1720" s="48" t="s">
        <v>97</v>
      </c>
      <c r="C1720" s="48" t="s">
        <v>666</v>
      </c>
      <c r="D1720" s="48">
        <v>1</v>
      </c>
      <c r="E1720" s="48">
        <v>0</v>
      </c>
      <c r="F1720" t="s">
        <v>777</v>
      </c>
      <c r="G1720" s="48" t="s">
        <v>1305</v>
      </c>
      <c r="H1720" s="48" t="s">
        <v>4881</v>
      </c>
      <c r="I1720" s="48" t="s">
        <v>4881</v>
      </c>
      <c r="J1720" s="48" t="s">
        <v>4882</v>
      </c>
      <c r="K1720" s="48" t="s">
        <v>1326</v>
      </c>
      <c r="L1720" s="48" t="s">
        <v>4883</v>
      </c>
      <c r="M1720" s="48" t="s">
        <v>4432</v>
      </c>
      <c r="N1720" s="48" t="s">
        <v>1310</v>
      </c>
      <c r="O1720" s="48" t="s">
        <v>1311</v>
      </c>
      <c r="P1720" s="48" t="s">
        <v>1312</v>
      </c>
      <c r="Q1720" s="48" t="s">
        <v>31</v>
      </c>
      <c r="R1720" s="48" t="s">
        <v>31</v>
      </c>
      <c r="S1720" s="48" t="s">
        <v>31</v>
      </c>
      <c r="T1720" s="48" t="s">
        <v>31</v>
      </c>
      <c r="U1720" s="46" t="s">
        <v>1154</v>
      </c>
    </row>
    <row r="1721" spans="1:21">
      <c r="A1721" s="48" t="s">
        <v>1251</v>
      </c>
      <c r="B1721" s="48" t="s">
        <v>97</v>
      </c>
      <c r="C1721" s="48" t="s">
        <v>666</v>
      </c>
      <c r="D1721" s="48">
        <v>1</v>
      </c>
      <c r="E1721" s="48">
        <v>0</v>
      </c>
      <c r="F1721" t="s">
        <v>777</v>
      </c>
      <c r="G1721" s="48" t="s">
        <v>1305</v>
      </c>
      <c r="H1721" s="48" t="s">
        <v>4884</v>
      </c>
      <c r="I1721" s="48" t="s">
        <v>4884</v>
      </c>
      <c r="J1721" s="48" t="s">
        <v>4885</v>
      </c>
      <c r="K1721" s="48" t="s">
        <v>1307</v>
      </c>
      <c r="L1721" s="48" t="s">
        <v>4886</v>
      </c>
      <c r="M1721" s="48" t="s">
        <v>4432</v>
      </c>
      <c r="N1721" s="48" t="s">
        <v>1310</v>
      </c>
      <c r="O1721" s="48" t="s">
        <v>1311</v>
      </c>
      <c r="P1721" s="48" t="s">
        <v>1312</v>
      </c>
      <c r="Q1721" s="48" t="s">
        <v>31</v>
      </c>
      <c r="R1721" s="48" t="s">
        <v>31</v>
      </c>
      <c r="S1721" s="48" t="s">
        <v>31</v>
      </c>
      <c r="T1721" s="48" t="s">
        <v>31</v>
      </c>
      <c r="U1721" s="46" t="s">
        <v>1154</v>
      </c>
    </row>
    <row r="1722" spans="1:21">
      <c r="A1722" s="48" t="s">
        <v>1248</v>
      </c>
      <c r="B1722" s="48" t="s">
        <v>99</v>
      </c>
      <c r="C1722" s="48" t="s">
        <v>666</v>
      </c>
      <c r="D1722" s="48">
        <v>1</v>
      </c>
      <c r="E1722" s="48">
        <v>0</v>
      </c>
      <c r="F1722" t="s">
        <v>706</v>
      </c>
      <c r="G1722" s="48" t="s">
        <v>1305</v>
      </c>
      <c r="H1722" s="48" t="s">
        <v>4887</v>
      </c>
      <c r="I1722" s="48" t="s">
        <v>4887</v>
      </c>
      <c r="J1722" s="48" t="s">
        <v>4888</v>
      </c>
      <c r="K1722" s="48" t="s">
        <v>1320</v>
      </c>
      <c r="L1722" s="48" t="s">
        <v>4889</v>
      </c>
      <c r="M1722" s="48" t="s">
        <v>4432</v>
      </c>
      <c r="N1722" s="48" t="s">
        <v>1310</v>
      </c>
      <c r="O1722" s="48" t="s">
        <v>1311</v>
      </c>
      <c r="P1722" s="48" t="s">
        <v>1312</v>
      </c>
      <c r="Q1722" s="48" t="s">
        <v>31</v>
      </c>
      <c r="R1722" s="48" t="s">
        <v>31</v>
      </c>
      <c r="S1722" s="48" t="s">
        <v>31</v>
      </c>
      <c r="T1722" s="48" t="s">
        <v>31</v>
      </c>
      <c r="U1722" s="46" t="s">
        <v>1154</v>
      </c>
    </row>
    <row r="1723" spans="1:21">
      <c r="A1723" s="48" t="s">
        <v>1248</v>
      </c>
      <c r="B1723" s="48" t="s">
        <v>99</v>
      </c>
      <c r="C1723" s="48" t="s">
        <v>666</v>
      </c>
      <c r="D1723" s="48">
        <v>1</v>
      </c>
      <c r="E1723" s="48">
        <v>0</v>
      </c>
      <c r="F1723" t="s">
        <v>706</v>
      </c>
      <c r="G1723" s="48" t="s">
        <v>1305</v>
      </c>
      <c r="H1723" s="48" t="s">
        <v>4890</v>
      </c>
      <c r="I1723" s="48" t="s">
        <v>4890</v>
      </c>
      <c r="J1723" s="48" t="s">
        <v>4891</v>
      </c>
      <c r="K1723" s="48" t="s">
        <v>1307</v>
      </c>
      <c r="L1723" s="48" t="s">
        <v>4892</v>
      </c>
      <c r="M1723" s="48" t="s">
        <v>4432</v>
      </c>
      <c r="N1723" s="48" t="s">
        <v>1310</v>
      </c>
      <c r="O1723" s="48" t="s">
        <v>1311</v>
      </c>
      <c r="P1723" s="48" t="s">
        <v>1312</v>
      </c>
      <c r="Q1723" s="48" t="s">
        <v>31</v>
      </c>
      <c r="R1723" s="48" t="s">
        <v>31</v>
      </c>
      <c r="S1723" s="48" t="s">
        <v>31</v>
      </c>
      <c r="T1723" s="48" t="s">
        <v>31</v>
      </c>
      <c r="U1723" s="46" t="s">
        <v>1154</v>
      </c>
    </row>
    <row r="1724" spans="1:21">
      <c r="A1724" s="48" t="s">
        <v>1248</v>
      </c>
      <c r="B1724" s="48" t="s">
        <v>99</v>
      </c>
      <c r="C1724" s="48" t="s">
        <v>666</v>
      </c>
      <c r="D1724" s="48">
        <v>1</v>
      </c>
      <c r="E1724" s="48">
        <v>0</v>
      </c>
      <c r="F1724" t="s">
        <v>706</v>
      </c>
      <c r="G1724" s="48" t="s">
        <v>1305</v>
      </c>
      <c r="H1724" s="48" t="s">
        <v>4893</v>
      </c>
      <c r="I1724" s="48" t="s">
        <v>4893</v>
      </c>
      <c r="J1724" s="48" t="s">
        <v>4894</v>
      </c>
      <c r="K1724" s="48" t="s">
        <v>1332</v>
      </c>
      <c r="L1724" s="48" t="s">
        <v>4895</v>
      </c>
      <c r="M1724" s="48" t="s">
        <v>4432</v>
      </c>
      <c r="N1724" s="48" t="s">
        <v>1310</v>
      </c>
      <c r="O1724" s="48" t="s">
        <v>1311</v>
      </c>
      <c r="P1724" s="48" t="s">
        <v>1312</v>
      </c>
      <c r="Q1724" s="48" t="s">
        <v>31</v>
      </c>
      <c r="R1724" s="48" t="s">
        <v>31</v>
      </c>
      <c r="S1724" s="48" t="s">
        <v>31</v>
      </c>
      <c r="T1724" s="48" t="s">
        <v>31</v>
      </c>
      <c r="U1724" s="46" t="s">
        <v>1154</v>
      </c>
    </row>
    <row r="1725" spans="1:21">
      <c r="A1725" s="48" t="s">
        <v>1248</v>
      </c>
      <c r="B1725" s="48" t="s">
        <v>99</v>
      </c>
      <c r="C1725" s="48" t="s">
        <v>666</v>
      </c>
      <c r="D1725" s="48">
        <v>1</v>
      </c>
      <c r="E1725" s="48">
        <v>0</v>
      </c>
      <c r="F1725" t="s">
        <v>706</v>
      </c>
      <c r="G1725" s="48" t="s">
        <v>1305</v>
      </c>
      <c r="H1725" s="48" t="s">
        <v>4896</v>
      </c>
      <c r="I1725" s="48" t="s">
        <v>4896</v>
      </c>
      <c r="J1725" s="48" t="s">
        <v>4897</v>
      </c>
      <c r="K1725" s="48" t="s">
        <v>1326</v>
      </c>
      <c r="L1725" s="48" t="s">
        <v>4898</v>
      </c>
      <c r="M1725" s="48" t="s">
        <v>4432</v>
      </c>
      <c r="N1725" s="48" t="s">
        <v>1310</v>
      </c>
      <c r="O1725" s="48" t="s">
        <v>1311</v>
      </c>
      <c r="P1725" s="48" t="s">
        <v>1312</v>
      </c>
      <c r="Q1725" s="48" t="s">
        <v>31</v>
      </c>
      <c r="R1725" s="48" t="s">
        <v>31</v>
      </c>
      <c r="S1725" s="48" t="s">
        <v>31</v>
      </c>
      <c r="T1725" s="48" t="s">
        <v>31</v>
      </c>
      <c r="U1725" s="46" t="s">
        <v>1154</v>
      </c>
    </row>
    <row r="1726" spans="1:21">
      <c r="A1726" s="48" t="s">
        <v>1248</v>
      </c>
      <c r="B1726" s="48" t="s">
        <v>99</v>
      </c>
      <c r="C1726" s="48" t="s">
        <v>666</v>
      </c>
      <c r="D1726" s="48">
        <v>1</v>
      </c>
      <c r="E1726" s="48">
        <v>0</v>
      </c>
      <c r="F1726" t="s">
        <v>706</v>
      </c>
      <c r="G1726" s="48" t="s">
        <v>1305</v>
      </c>
      <c r="H1726" s="48" t="s">
        <v>4899</v>
      </c>
      <c r="I1726" s="48" t="s">
        <v>4899</v>
      </c>
      <c r="J1726" s="48" t="s">
        <v>4900</v>
      </c>
      <c r="K1726" s="48" t="s">
        <v>1329</v>
      </c>
      <c r="L1726" s="48" t="s">
        <v>4901</v>
      </c>
      <c r="M1726" s="48" t="s">
        <v>4432</v>
      </c>
      <c r="N1726" s="48" t="s">
        <v>1310</v>
      </c>
      <c r="O1726" s="48" t="s">
        <v>1311</v>
      </c>
      <c r="P1726" s="48" t="s">
        <v>1312</v>
      </c>
      <c r="Q1726" s="48" t="s">
        <v>31</v>
      </c>
      <c r="R1726" s="48" t="s">
        <v>31</v>
      </c>
      <c r="S1726" s="48" t="s">
        <v>31</v>
      </c>
      <c r="T1726" s="48" t="s">
        <v>31</v>
      </c>
      <c r="U1726" s="46" t="s">
        <v>1154</v>
      </c>
    </row>
    <row r="1727" spans="1:21">
      <c r="A1727" s="48" t="s">
        <v>1248</v>
      </c>
      <c r="B1727" s="48" t="s">
        <v>99</v>
      </c>
      <c r="C1727" s="48" t="s">
        <v>666</v>
      </c>
      <c r="D1727" s="48">
        <v>1</v>
      </c>
      <c r="E1727" s="48">
        <v>0</v>
      </c>
      <c r="F1727" t="s">
        <v>706</v>
      </c>
      <c r="G1727" s="48" t="s">
        <v>1305</v>
      </c>
      <c r="H1727" s="48" t="s">
        <v>4902</v>
      </c>
      <c r="I1727" s="48" t="s">
        <v>4902</v>
      </c>
      <c r="J1727" s="48" t="s">
        <v>4903</v>
      </c>
      <c r="K1727" s="48" t="s">
        <v>1323</v>
      </c>
      <c r="L1727" s="48" t="s">
        <v>4904</v>
      </c>
      <c r="M1727" s="48" t="s">
        <v>4432</v>
      </c>
      <c r="N1727" s="48" t="s">
        <v>1310</v>
      </c>
      <c r="O1727" s="48" t="s">
        <v>1311</v>
      </c>
      <c r="P1727" s="48" t="s">
        <v>1312</v>
      </c>
      <c r="Q1727" s="48" t="s">
        <v>31</v>
      </c>
      <c r="R1727" s="48" t="s">
        <v>31</v>
      </c>
      <c r="S1727" s="48" t="s">
        <v>31</v>
      </c>
      <c r="T1727" s="48" t="s">
        <v>31</v>
      </c>
      <c r="U1727" s="46" t="s">
        <v>1154</v>
      </c>
    </row>
    <row r="1728" spans="1:21">
      <c r="A1728" s="48" t="s">
        <v>1248</v>
      </c>
      <c r="B1728" s="48" t="s">
        <v>99</v>
      </c>
      <c r="C1728" s="48" t="s">
        <v>666</v>
      </c>
      <c r="D1728" s="48">
        <v>1</v>
      </c>
      <c r="E1728" s="48">
        <v>0</v>
      </c>
      <c r="F1728" t="s">
        <v>706</v>
      </c>
      <c r="G1728" s="48" t="s">
        <v>1305</v>
      </c>
      <c r="H1728" s="48" t="s">
        <v>4905</v>
      </c>
      <c r="I1728" s="48" t="s">
        <v>4905</v>
      </c>
      <c r="J1728" s="48" t="s">
        <v>4906</v>
      </c>
      <c r="K1728" s="48" t="s">
        <v>1314</v>
      </c>
      <c r="L1728" s="48" t="s">
        <v>4907</v>
      </c>
      <c r="M1728" s="48" t="s">
        <v>4432</v>
      </c>
      <c r="N1728" s="48" t="s">
        <v>1310</v>
      </c>
      <c r="O1728" s="48" t="s">
        <v>1311</v>
      </c>
      <c r="P1728" s="48" t="s">
        <v>1312</v>
      </c>
      <c r="Q1728" s="48" t="s">
        <v>31</v>
      </c>
      <c r="R1728" s="48" t="s">
        <v>31</v>
      </c>
      <c r="S1728" s="48" t="s">
        <v>31</v>
      </c>
      <c r="T1728" s="48" t="s">
        <v>31</v>
      </c>
      <c r="U1728" s="46" t="s">
        <v>1154</v>
      </c>
    </row>
    <row r="1729" spans="1:21">
      <c r="A1729" s="48" t="s">
        <v>1248</v>
      </c>
      <c r="B1729" s="48" t="s">
        <v>99</v>
      </c>
      <c r="C1729" s="48" t="s">
        <v>666</v>
      </c>
      <c r="D1729" s="48">
        <v>1</v>
      </c>
      <c r="E1729" s="48">
        <v>0</v>
      </c>
      <c r="F1729" t="s">
        <v>706</v>
      </c>
      <c r="G1729" s="48" t="s">
        <v>1305</v>
      </c>
      <c r="H1729" s="48" t="s">
        <v>4908</v>
      </c>
      <c r="I1729" s="48" t="s">
        <v>4908</v>
      </c>
      <c r="J1729" s="48" t="s">
        <v>4909</v>
      </c>
      <c r="K1729" s="48" t="s">
        <v>1317</v>
      </c>
      <c r="L1729" s="48" t="s">
        <v>4910</v>
      </c>
      <c r="M1729" s="48" t="s">
        <v>4432</v>
      </c>
      <c r="N1729" s="48" t="s">
        <v>1310</v>
      </c>
      <c r="O1729" s="48" t="s">
        <v>1311</v>
      </c>
      <c r="P1729" s="48" t="s">
        <v>1312</v>
      </c>
      <c r="Q1729" s="48" t="s">
        <v>31</v>
      </c>
      <c r="R1729" s="48" t="s">
        <v>31</v>
      </c>
      <c r="S1729" s="48" t="s">
        <v>31</v>
      </c>
      <c r="T1729" s="48" t="s">
        <v>31</v>
      </c>
      <c r="U1729" s="46" t="s">
        <v>1154</v>
      </c>
    </row>
    <row r="1730" spans="1:21">
      <c r="A1730" s="48" t="s">
        <v>1180</v>
      </c>
      <c r="B1730" s="48" t="s">
        <v>101</v>
      </c>
      <c r="C1730" s="48" t="s">
        <v>666</v>
      </c>
      <c r="D1730" s="48">
        <v>1</v>
      </c>
      <c r="E1730" s="48">
        <v>0</v>
      </c>
      <c r="F1730" t="s">
        <v>692</v>
      </c>
      <c r="G1730" s="48" t="s">
        <v>1305</v>
      </c>
      <c r="H1730" s="48" t="s">
        <v>1970</v>
      </c>
      <c r="I1730" s="48" t="s">
        <v>1970</v>
      </c>
      <c r="J1730" s="48" t="s">
        <v>4911</v>
      </c>
      <c r="K1730" s="48" t="s">
        <v>1317</v>
      </c>
      <c r="L1730" s="48" t="s">
        <v>4912</v>
      </c>
      <c r="M1730" s="48" t="s">
        <v>4432</v>
      </c>
      <c r="N1730" s="48" t="s">
        <v>1310</v>
      </c>
      <c r="O1730" s="48" t="s">
        <v>1311</v>
      </c>
      <c r="P1730" s="48" t="s">
        <v>1312</v>
      </c>
      <c r="Q1730" s="48" t="s">
        <v>31</v>
      </c>
      <c r="R1730" s="48" t="s">
        <v>31</v>
      </c>
      <c r="S1730" s="48" t="s">
        <v>31</v>
      </c>
      <c r="T1730" s="48" t="s">
        <v>31</v>
      </c>
      <c r="U1730" s="46" t="s">
        <v>1154</v>
      </c>
    </row>
    <row r="1731" spans="1:21">
      <c r="A1731" s="48" t="s">
        <v>1180</v>
      </c>
      <c r="B1731" s="48" t="s">
        <v>101</v>
      </c>
      <c r="C1731" s="48" t="s">
        <v>666</v>
      </c>
      <c r="D1731" s="48">
        <v>1</v>
      </c>
      <c r="E1731" s="48">
        <v>0</v>
      </c>
      <c r="F1731" t="s">
        <v>692</v>
      </c>
      <c r="G1731" s="48" t="s">
        <v>1305</v>
      </c>
      <c r="H1731" s="48" t="s">
        <v>1972</v>
      </c>
      <c r="I1731" s="48" t="s">
        <v>1972</v>
      </c>
      <c r="J1731" s="48" t="s">
        <v>4913</v>
      </c>
      <c r="K1731" s="48" t="s">
        <v>1320</v>
      </c>
      <c r="L1731" s="48" t="s">
        <v>4914</v>
      </c>
      <c r="M1731" s="48" t="s">
        <v>4432</v>
      </c>
      <c r="N1731" s="48" t="s">
        <v>1310</v>
      </c>
      <c r="O1731" s="48" t="s">
        <v>1311</v>
      </c>
      <c r="P1731" s="48" t="s">
        <v>1312</v>
      </c>
      <c r="Q1731" s="48" t="s">
        <v>31</v>
      </c>
      <c r="R1731" s="48" t="s">
        <v>31</v>
      </c>
      <c r="S1731" s="48" t="s">
        <v>31</v>
      </c>
      <c r="T1731" s="48" t="s">
        <v>31</v>
      </c>
      <c r="U1731" s="46" t="s">
        <v>1154</v>
      </c>
    </row>
    <row r="1732" spans="1:21">
      <c r="A1732" s="48" t="s">
        <v>1180</v>
      </c>
      <c r="B1732" s="48" t="s">
        <v>101</v>
      </c>
      <c r="C1732" s="48" t="s">
        <v>666</v>
      </c>
      <c r="D1732" s="48">
        <v>1</v>
      </c>
      <c r="E1732" s="48">
        <v>0</v>
      </c>
      <c r="F1732" t="s">
        <v>692</v>
      </c>
      <c r="G1732" s="48" t="s">
        <v>1305</v>
      </c>
      <c r="H1732" s="48" t="s">
        <v>1966</v>
      </c>
      <c r="I1732" s="48" t="s">
        <v>1966</v>
      </c>
      <c r="J1732" s="48" t="s">
        <v>4915</v>
      </c>
      <c r="K1732" s="48" t="s">
        <v>1307</v>
      </c>
      <c r="L1732" s="48" t="s">
        <v>4916</v>
      </c>
      <c r="M1732" s="48" t="s">
        <v>4432</v>
      </c>
      <c r="N1732" s="48" t="s">
        <v>1310</v>
      </c>
      <c r="O1732" s="48" t="s">
        <v>1311</v>
      </c>
      <c r="P1732" s="48" t="s">
        <v>1312</v>
      </c>
      <c r="Q1732" s="48" t="s">
        <v>31</v>
      </c>
      <c r="R1732" s="48" t="s">
        <v>31</v>
      </c>
      <c r="S1732" s="48" t="s">
        <v>31</v>
      </c>
      <c r="T1732" s="48" t="s">
        <v>31</v>
      </c>
      <c r="U1732" s="46" t="s">
        <v>1154</v>
      </c>
    </row>
    <row r="1733" spans="1:21">
      <c r="A1733" s="48" t="s">
        <v>1180</v>
      </c>
      <c r="B1733" s="48" t="s">
        <v>101</v>
      </c>
      <c r="C1733" s="48" t="s">
        <v>666</v>
      </c>
      <c r="D1733" s="48">
        <v>1</v>
      </c>
      <c r="E1733" s="48">
        <v>0</v>
      </c>
      <c r="F1733" t="s">
        <v>692</v>
      </c>
      <c r="G1733" s="48" t="s">
        <v>1305</v>
      </c>
      <c r="H1733" s="48" t="s">
        <v>1976</v>
      </c>
      <c r="I1733" s="48" t="s">
        <v>1976</v>
      </c>
      <c r="J1733" s="48" t="s">
        <v>4917</v>
      </c>
      <c r="K1733" s="48" t="s">
        <v>1326</v>
      </c>
      <c r="L1733" s="48" t="s">
        <v>4918</v>
      </c>
      <c r="M1733" s="48" t="s">
        <v>4432</v>
      </c>
      <c r="N1733" s="48" t="s">
        <v>1310</v>
      </c>
      <c r="O1733" s="48" t="s">
        <v>1311</v>
      </c>
      <c r="P1733" s="48" t="s">
        <v>1312</v>
      </c>
      <c r="Q1733" s="48" t="s">
        <v>31</v>
      </c>
      <c r="R1733" s="48" t="s">
        <v>31</v>
      </c>
      <c r="S1733" s="48" t="s">
        <v>31</v>
      </c>
      <c r="T1733" s="48" t="s">
        <v>31</v>
      </c>
      <c r="U1733" s="46" t="s">
        <v>1154</v>
      </c>
    </row>
    <row r="1734" spans="1:21">
      <c r="A1734" s="48" t="s">
        <v>1180</v>
      </c>
      <c r="B1734" s="48" t="s">
        <v>101</v>
      </c>
      <c r="C1734" s="48" t="s">
        <v>666</v>
      </c>
      <c r="D1734" s="48">
        <v>1</v>
      </c>
      <c r="E1734" s="48">
        <v>0</v>
      </c>
      <c r="F1734" t="s">
        <v>692</v>
      </c>
      <c r="G1734" s="48" t="s">
        <v>1305</v>
      </c>
      <c r="H1734" s="48" t="s">
        <v>1974</v>
      </c>
      <c r="I1734" s="48" t="s">
        <v>1974</v>
      </c>
      <c r="J1734" s="48" t="s">
        <v>4919</v>
      </c>
      <c r="K1734" s="48" t="s">
        <v>1323</v>
      </c>
      <c r="L1734" s="48" t="s">
        <v>4920</v>
      </c>
      <c r="M1734" s="48" t="s">
        <v>4432</v>
      </c>
      <c r="N1734" s="48" t="s">
        <v>1310</v>
      </c>
      <c r="O1734" s="48" t="s">
        <v>1311</v>
      </c>
      <c r="P1734" s="48" t="s">
        <v>1312</v>
      </c>
      <c r="Q1734" s="48" t="s">
        <v>31</v>
      </c>
      <c r="R1734" s="48" t="s">
        <v>31</v>
      </c>
      <c r="S1734" s="48" t="s">
        <v>31</v>
      </c>
      <c r="T1734" s="48" t="s">
        <v>31</v>
      </c>
      <c r="U1734" s="46" t="s">
        <v>1154</v>
      </c>
    </row>
    <row r="1735" spans="1:21">
      <c r="A1735" s="48" t="s">
        <v>1180</v>
      </c>
      <c r="B1735" s="48" t="s">
        <v>101</v>
      </c>
      <c r="C1735" s="48" t="s">
        <v>666</v>
      </c>
      <c r="D1735" s="48">
        <v>1</v>
      </c>
      <c r="E1735" s="48">
        <v>0</v>
      </c>
      <c r="F1735" t="s">
        <v>692</v>
      </c>
      <c r="G1735" s="48" t="s">
        <v>1305</v>
      </c>
      <c r="H1735" s="48" t="s">
        <v>1978</v>
      </c>
      <c r="I1735" s="48" t="s">
        <v>1978</v>
      </c>
      <c r="J1735" s="48" t="s">
        <v>4921</v>
      </c>
      <c r="K1735" s="48" t="s">
        <v>1329</v>
      </c>
      <c r="L1735" s="48" t="s">
        <v>4922</v>
      </c>
      <c r="M1735" s="48" t="s">
        <v>4432</v>
      </c>
      <c r="N1735" s="48" t="s">
        <v>1310</v>
      </c>
      <c r="O1735" s="48" t="s">
        <v>1311</v>
      </c>
      <c r="P1735" s="48" t="s">
        <v>1312</v>
      </c>
      <c r="Q1735" s="48" t="s">
        <v>31</v>
      </c>
      <c r="R1735" s="48" t="s">
        <v>31</v>
      </c>
      <c r="S1735" s="48" t="s">
        <v>31</v>
      </c>
      <c r="T1735" s="48" t="s">
        <v>31</v>
      </c>
      <c r="U1735" s="46" t="s">
        <v>1154</v>
      </c>
    </row>
    <row r="1736" spans="1:21">
      <c r="A1736" s="48" t="s">
        <v>1180</v>
      </c>
      <c r="B1736" s="48" t="s">
        <v>101</v>
      </c>
      <c r="C1736" s="48" t="s">
        <v>666</v>
      </c>
      <c r="D1736" s="48">
        <v>1</v>
      </c>
      <c r="E1736" s="48">
        <v>0</v>
      </c>
      <c r="F1736" t="s">
        <v>692</v>
      </c>
      <c r="G1736" s="48" t="s">
        <v>1305</v>
      </c>
      <c r="H1736" s="48" t="s">
        <v>1968</v>
      </c>
      <c r="I1736" s="48" t="s">
        <v>1968</v>
      </c>
      <c r="J1736" s="48" t="s">
        <v>4923</v>
      </c>
      <c r="K1736" s="48" t="s">
        <v>1314</v>
      </c>
      <c r="L1736" s="48" t="s">
        <v>4924</v>
      </c>
      <c r="M1736" s="48" t="s">
        <v>4432</v>
      </c>
      <c r="N1736" s="48" t="s">
        <v>1310</v>
      </c>
      <c r="O1736" s="48" t="s">
        <v>1311</v>
      </c>
      <c r="P1736" s="48" t="s">
        <v>1312</v>
      </c>
      <c r="Q1736" s="48" t="s">
        <v>31</v>
      </c>
      <c r="R1736" s="48" t="s">
        <v>31</v>
      </c>
      <c r="S1736" s="48" t="s">
        <v>31</v>
      </c>
      <c r="T1736" s="48" t="s">
        <v>31</v>
      </c>
      <c r="U1736" s="46" t="s">
        <v>1154</v>
      </c>
    </row>
    <row r="1737" spans="1:21">
      <c r="A1737" s="48" t="s">
        <v>1180</v>
      </c>
      <c r="B1737" s="48" t="s">
        <v>101</v>
      </c>
      <c r="C1737" s="48" t="s">
        <v>666</v>
      </c>
      <c r="D1737" s="48">
        <v>1</v>
      </c>
      <c r="E1737" s="48">
        <v>0</v>
      </c>
      <c r="F1737" t="s">
        <v>692</v>
      </c>
      <c r="G1737" s="48" t="s">
        <v>1305</v>
      </c>
      <c r="H1737" s="48" t="s">
        <v>1980</v>
      </c>
      <c r="I1737" s="48" t="s">
        <v>1980</v>
      </c>
      <c r="J1737" s="48" t="s">
        <v>4925</v>
      </c>
      <c r="K1737" s="48" t="s">
        <v>1332</v>
      </c>
      <c r="L1737" s="48" t="s">
        <v>4926</v>
      </c>
      <c r="M1737" s="48" t="s">
        <v>4432</v>
      </c>
      <c r="N1737" s="48" t="s">
        <v>1310</v>
      </c>
      <c r="O1737" s="48" t="s">
        <v>1311</v>
      </c>
      <c r="P1737" s="48" t="s">
        <v>1312</v>
      </c>
      <c r="Q1737" s="48" t="s">
        <v>31</v>
      </c>
      <c r="R1737" s="48" t="s">
        <v>31</v>
      </c>
      <c r="S1737" s="48" t="s">
        <v>31</v>
      </c>
      <c r="T1737" s="48" t="s">
        <v>31</v>
      </c>
      <c r="U1737" s="46" t="s">
        <v>1154</v>
      </c>
    </row>
    <row r="1738" spans="1:21">
      <c r="A1738" s="48" t="s">
        <v>1186</v>
      </c>
      <c r="B1738" s="48" t="s">
        <v>102</v>
      </c>
      <c r="C1738" s="48" t="s">
        <v>666</v>
      </c>
      <c r="D1738" s="48">
        <v>1</v>
      </c>
      <c r="E1738" s="48">
        <v>0</v>
      </c>
      <c r="F1738" t="s">
        <v>733</v>
      </c>
      <c r="G1738" s="48" t="s">
        <v>1305</v>
      </c>
      <c r="H1738" s="48" t="s">
        <v>4927</v>
      </c>
      <c r="I1738" s="48" t="s">
        <v>4927</v>
      </c>
      <c r="J1738" s="48" t="s">
        <v>4928</v>
      </c>
      <c r="K1738" s="48" t="s">
        <v>1317</v>
      </c>
      <c r="L1738" s="48" t="s">
        <v>4929</v>
      </c>
      <c r="M1738" s="48" t="s">
        <v>4432</v>
      </c>
      <c r="N1738" s="48" t="s">
        <v>1310</v>
      </c>
      <c r="O1738" s="48" t="s">
        <v>1311</v>
      </c>
      <c r="P1738" s="48" t="s">
        <v>1312</v>
      </c>
      <c r="Q1738" s="48" t="s">
        <v>31</v>
      </c>
      <c r="R1738" s="48" t="s">
        <v>31</v>
      </c>
      <c r="S1738" s="48" t="s">
        <v>31</v>
      </c>
      <c r="T1738" s="48" t="s">
        <v>31</v>
      </c>
      <c r="U1738" s="46" t="s">
        <v>1154</v>
      </c>
    </row>
    <row r="1739" spans="1:21">
      <c r="A1739" s="48" t="s">
        <v>1186</v>
      </c>
      <c r="B1739" s="48" t="s">
        <v>102</v>
      </c>
      <c r="C1739" s="48" t="s">
        <v>666</v>
      </c>
      <c r="D1739" s="48">
        <v>1</v>
      </c>
      <c r="E1739" s="48">
        <v>0</v>
      </c>
      <c r="F1739" t="s">
        <v>733</v>
      </c>
      <c r="G1739" s="48" t="s">
        <v>1305</v>
      </c>
      <c r="H1739" s="48" t="s">
        <v>4930</v>
      </c>
      <c r="I1739" s="48" t="s">
        <v>4930</v>
      </c>
      <c r="J1739" s="48" t="s">
        <v>4931</v>
      </c>
      <c r="K1739" s="48" t="s">
        <v>1326</v>
      </c>
      <c r="L1739" s="48" t="s">
        <v>4932</v>
      </c>
      <c r="M1739" s="48" t="s">
        <v>4432</v>
      </c>
      <c r="N1739" s="48" t="s">
        <v>1310</v>
      </c>
      <c r="O1739" s="48" t="s">
        <v>1311</v>
      </c>
      <c r="P1739" s="48" t="s">
        <v>1312</v>
      </c>
      <c r="Q1739" s="48" t="s">
        <v>31</v>
      </c>
      <c r="R1739" s="48" t="s">
        <v>31</v>
      </c>
      <c r="S1739" s="48" t="s">
        <v>31</v>
      </c>
      <c r="T1739" s="48" t="s">
        <v>31</v>
      </c>
      <c r="U1739" s="46" t="s">
        <v>1154</v>
      </c>
    </row>
    <row r="1740" spans="1:21">
      <c r="A1740" s="48" t="s">
        <v>1186</v>
      </c>
      <c r="B1740" s="48" t="s">
        <v>102</v>
      </c>
      <c r="C1740" s="48" t="s">
        <v>666</v>
      </c>
      <c r="D1740" s="48">
        <v>1</v>
      </c>
      <c r="E1740" s="48">
        <v>0</v>
      </c>
      <c r="F1740" t="s">
        <v>733</v>
      </c>
      <c r="G1740" s="48" t="s">
        <v>1305</v>
      </c>
      <c r="H1740" s="48" t="s">
        <v>4933</v>
      </c>
      <c r="I1740" s="48" t="s">
        <v>4933</v>
      </c>
      <c r="J1740" s="48" t="s">
        <v>4934</v>
      </c>
      <c r="K1740" s="48" t="s">
        <v>1320</v>
      </c>
      <c r="L1740" s="48" t="s">
        <v>4935</v>
      </c>
      <c r="M1740" s="48" t="s">
        <v>4432</v>
      </c>
      <c r="N1740" s="48" t="s">
        <v>1310</v>
      </c>
      <c r="O1740" s="48" t="s">
        <v>1311</v>
      </c>
      <c r="P1740" s="48" t="s">
        <v>1312</v>
      </c>
      <c r="Q1740" s="48" t="s">
        <v>31</v>
      </c>
      <c r="R1740" s="48" t="s">
        <v>31</v>
      </c>
      <c r="S1740" s="48" t="s">
        <v>31</v>
      </c>
      <c r="T1740" s="48" t="s">
        <v>31</v>
      </c>
      <c r="U1740" s="46" t="s">
        <v>1154</v>
      </c>
    </row>
    <row r="1741" spans="1:21">
      <c r="A1741" s="48" t="s">
        <v>1186</v>
      </c>
      <c r="B1741" s="48" t="s">
        <v>102</v>
      </c>
      <c r="C1741" s="48" t="s">
        <v>666</v>
      </c>
      <c r="D1741" s="48">
        <v>1</v>
      </c>
      <c r="E1741" s="48">
        <v>0</v>
      </c>
      <c r="F1741" t="s">
        <v>733</v>
      </c>
      <c r="G1741" s="48" t="s">
        <v>1305</v>
      </c>
      <c r="H1741" s="48" t="s">
        <v>4936</v>
      </c>
      <c r="I1741" s="48" t="s">
        <v>4936</v>
      </c>
      <c r="J1741" s="48" t="s">
        <v>4937</v>
      </c>
      <c r="K1741" s="48" t="s">
        <v>1307</v>
      </c>
      <c r="L1741" s="48" t="s">
        <v>4938</v>
      </c>
      <c r="M1741" s="48" t="s">
        <v>4432</v>
      </c>
      <c r="N1741" s="48" t="s">
        <v>1310</v>
      </c>
      <c r="O1741" s="48" t="s">
        <v>1311</v>
      </c>
      <c r="P1741" s="48" t="s">
        <v>1312</v>
      </c>
      <c r="Q1741" s="48" t="s">
        <v>31</v>
      </c>
      <c r="R1741" s="48" t="s">
        <v>31</v>
      </c>
      <c r="S1741" s="48" t="s">
        <v>31</v>
      </c>
      <c r="T1741" s="48" t="s">
        <v>31</v>
      </c>
      <c r="U1741" s="46" t="s">
        <v>1154</v>
      </c>
    </row>
    <row r="1742" spans="1:21">
      <c r="A1742" s="48" t="s">
        <v>1186</v>
      </c>
      <c r="B1742" s="48" t="s">
        <v>102</v>
      </c>
      <c r="C1742" s="48" t="s">
        <v>666</v>
      </c>
      <c r="D1742" s="48">
        <v>1</v>
      </c>
      <c r="E1742" s="48">
        <v>0</v>
      </c>
      <c r="F1742" t="s">
        <v>733</v>
      </c>
      <c r="G1742" s="48" t="s">
        <v>1305</v>
      </c>
      <c r="H1742" s="48" t="s">
        <v>4939</v>
      </c>
      <c r="I1742" s="48" t="s">
        <v>4939</v>
      </c>
      <c r="J1742" s="48" t="s">
        <v>4940</v>
      </c>
      <c r="K1742" s="48" t="s">
        <v>1323</v>
      </c>
      <c r="L1742" s="48" t="s">
        <v>4941</v>
      </c>
      <c r="M1742" s="48" t="s">
        <v>4432</v>
      </c>
      <c r="N1742" s="48" t="s">
        <v>1310</v>
      </c>
      <c r="O1742" s="48" t="s">
        <v>1311</v>
      </c>
      <c r="P1742" s="48" t="s">
        <v>1312</v>
      </c>
      <c r="Q1742" s="48" t="s">
        <v>31</v>
      </c>
      <c r="R1742" s="48" t="s">
        <v>31</v>
      </c>
      <c r="S1742" s="48" t="s">
        <v>31</v>
      </c>
      <c r="T1742" s="48" t="s">
        <v>31</v>
      </c>
      <c r="U1742" s="46" t="s">
        <v>1154</v>
      </c>
    </row>
    <row r="1743" spans="1:21">
      <c r="A1743" s="48" t="s">
        <v>1186</v>
      </c>
      <c r="B1743" s="48" t="s">
        <v>102</v>
      </c>
      <c r="C1743" s="48" t="s">
        <v>666</v>
      </c>
      <c r="D1743" s="48">
        <v>1</v>
      </c>
      <c r="E1743" s="48">
        <v>0</v>
      </c>
      <c r="F1743" t="s">
        <v>733</v>
      </c>
      <c r="G1743" s="48" t="s">
        <v>1305</v>
      </c>
      <c r="H1743" s="48" t="s">
        <v>4942</v>
      </c>
      <c r="I1743" s="48" t="s">
        <v>4942</v>
      </c>
      <c r="J1743" s="48" t="s">
        <v>4943</v>
      </c>
      <c r="K1743" s="48" t="s">
        <v>1332</v>
      </c>
      <c r="L1743" s="48" t="s">
        <v>4944</v>
      </c>
      <c r="M1743" s="48" t="s">
        <v>4432</v>
      </c>
      <c r="N1743" s="48" t="s">
        <v>1310</v>
      </c>
      <c r="O1743" s="48" t="s">
        <v>1311</v>
      </c>
      <c r="P1743" s="48" t="s">
        <v>1312</v>
      </c>
      <c r="Q1743" s="48" t="s">
        <v>31</v>
      </c>
      <c r="R1743" s="48" t="s">
        <v>31</v>
      </c>
      <c r="S1743" s="48" t="s">
        <v>31</v>
      </c>
      <c r="T1743" s="48" t="s">
        <v>31</v>
      </c>
      <c r="U1743" s="46" t="s">
        <v>1154</v>
      </c>
    </row>
    <row r="1744" spans="1:21">
      <c r="A1744" s="48" t="s">
        <v>1186</v>
      </c>
      <c r="B1744" s="48" t="s">
        <v>102</v>
      </c>
      <c r="C1744" s="48" t="s">
        <v>666</v>
      </c>
      <c r="D1744" s="48">
        <v>1</v>
      </c>
      <c r="E1744" s="48">
        <v>0</v>
      </c>
      <c r="F1744" t="s">
        <v>733</v>
      </c>
      <c r="G1744" s="48" t="s">
        <v>1305</v>
      </c>
      <c r="H1744" s="48" t="s">
        <v>4945</v>
      </c>
      <c r="I1744" s="48" t="s">
        <v>4945</v>
      </c>
      <c r="J1744" s="48" t="s">
        <v>4946</v>
      </c>
      <c r="K1744" s="48" t="s">
        <v>1329</v>
      </c>
      <c r="L1744" s="48" t="s">
        <v>4947</v>
      </c>
      <c r="M1744" s="48" t="s">
        <v>4432</v>
      </c>
      <c r="N1744" s="48" t="s">
        <v>1310</v>
      </c>
      <c r="O1744" s="48" t="s">
        <v>1311</v>
      </c>
      <c r="P1744" s="48" t="s">
        <v>1312</v>
      </c>
      <c r="Q1744" s="48" t="s">
        <v>31</v>
      </c>
      <c r="R1744" s="48" t="s">
        <v>31</v>
      </c>
      <c r="S1744" s="48" t="s">
        <v>31</v>
      </c>
      <c r="T1744" s="48" t="s">
        <v>31</v>
      </c>
      <c r="U1744" s="46" t="s">
        <v>1154</v>
      </c>
    </row>
    <row r="1745" spans="1:21">
      <c r="A1745" s="48" t="s">
        <v>1186</v>
      </c>
      <c r="B1745" s="48" t="s">
        <v>102</v>
      </c>
      <c r="C1745" s="48" t="s">
        <v>666</v>
      </c>
      <c r="D1745" s="48">
        <v>1</v>
      </c>
      <c r="E1745" s="48">
        <v>0</v>
      </c>
      <c r="F1745" t="s">
        <v>733</v>
      </c>
      <c r="G1745" s="48" t="s">
        <v>1305</v>
      </c>
      <c r="H1745" s="48" t="s">
        <v>4948</v>
      </c>
      <c r="I1745" s="48" t="s">
        <v>4948</v>
      </c>
      <c r="J1745" s="48" t="s">
        <v>4949</v>
      </c>
      <c r="K1745" s="48" t="s">
        <v>1314</v>
      </c>
      <c r="L1745" s="48" t="s">
        <v>4950</v>
      </c>
      <c r="M1745" s="48" t="s">
        <v>4432</v>
      </c>
      <c r="N1745" s="48" t="s">
        <v>1310</v>
      </c>
      <c r="O1745" s="48" t="s">
        <v>1311</v>
      </c>
      <c r="P1745" s="48" t="s">
        <v>1312</v>
      </c>
      <c r="Q1745" s="48" t="s">
        <v>31</v>
      </c>
      <c r="R1745" s="48" t="s">
        <v>31</v>
      </c>
      <c r="S1745" s="48" t="s">
        <v>31</v>
      </c>
      <c r="T1745" s="48" t="s">
        <v>31</v>
      </c>
      <c r="U1745" s="46" t="s">
        <v>1154</v>
      </c>
    </row>
    <row r="1746" spans="1:21">
      <c r="A1746" s="48" t="s">
        <v>1198</v>
      </c>
      <c r="B1746" s="48" t="s">
        <v>104</v>
      </c>
      <c r="C1746" s="48" t="s">
        <v>666</v>
      </c>
      <c r="D1746" s="48">
        <v>1</v>
      </c>
      <c r="E1746" s="48">
        <v>0</v>
      </c>
      <c r="F1746" t="s">
        <v>723</v>
      </c>
      <c r="G1746" s="48" t="s">
        <v>1305</v>
      </c>
      <c r="H1746" s="48" t="s">
        <v>4951</v>
      </c>
      <c r="I1746" s="48" t="s">
        <v>4951</v>
      </c>
      <c r="J1746" s="48" t="s">
        <v>4952</v>
      </c>
      <c r="K1746" s="48" t="s">
        <v>1314</v>
      </c>
      <c r="L1746" s="48" t="s">
        <v>4953</v>
      </c>
      <c r="M1746" s="48" t="s">
        <v>4432</v>
      </c>
      <c r="N1746" s="48" t="s">
        <v>1310</v>
      </c>
      <c r="O1746" s="48" t="s">
        <v>1311</v>
      </c>
      <c r="P1746" s="48" t="s">
        <v>1312</v>
      </c>
      <c r="Q1746" s="48" t="s">
        <v>31</v>
      </c>
      <c r="R1746" s="48" t="s">
        <v>31</v>
      </c>
      <c r="S1746" s="48" t="s">
        <v>31</v>
      </c>
      <c r="T1746" s="48" t="s">
        <v>31</v>
      </c>
      <c r="U1746" s="46" t="s">
        <v>1154</v>
      </c>
    </row>
    <row r="1747" spans="1:21">
      <c r="A1747" s="48" t="s">
        <v>1198</v>
      </c>
      <c r="B1747" s="48" t="s">
        <v>104</v>
      </c>
      <c r="C1747" s="48" t="s">
        <v>666</v>
      </c>
      <c r="D1747" s="48">
        <v>1</v>
      </c>
      <c r="E1747" s="48">
        <v>0</v>
      </c>
      <c r="F1747" t="s">
        <v>723</v>
      </c>
      <c r="G1747" s="48" t="s">
        <v>1305</v>
      </c>
      <c r="H1747" s="48" t="s">
        <v>4954</v>
      </c>
      <c r="I1747" s="48" t="s">
        <v>4954</v>
      </c>
      <c r="J1747" s="48" t="s">
        <v>4955</v>
      </c>
      <c r="K1747" s="48" t="s">
        <v>1323</v>
      </c>
      <c r="L1747" s="48" t="s">
        <v>4956</v>
      </c>
      <c r="M1747" s="48" t="s">
        <v>4432</v>
      </c>
      <c r="N1747" s="48" t="s">
        <v>1310</v>
      </c>
      <c r="O1747" s="48" t="s">
        <v>1311</v>
      </c>
      <c r="P1747" s="48" t="s">
        <v>1312</v>
      </c>
      <c r="Q1747" s="48" t="s">
        <v>31</v>
      </c>
      <c r="R1747" s="48" t="s">
        <v>31</v>
      </c>
      <c r="S1747" s="48" t="s">
        <v>31</v>
      </c>
      <c r="T1747" s="48" t="s">
        <v>31</v>
      </c>
      <c r="U1747" s="46" t="s">
        <v>1154</v>
      </c>
    </row>
    <row r="1748" spans="1:21">
      <c r="A1748" s="48" t="s">
        <v>1198</v>
      </c>
      <c r="B1748" s="48" t="s">
        <v>104</v>
      </c>
      <c r="C1748" s="48" t="s">
        <v>666</v>
      </c>
      <c r="D1748" s="48">
        <v>1</v>
      </c>
      <c r="E1748" s="48">
        <v>0</v>
      </c>
      <c r="F1748" t="s">
        <v>723</v>
      </c>
      <c r="G1748" s="48" t="s">
        <v>1305</v>
      </c>
      <c r="H1748" s="48" t="s">
        <v>4957</v>
      </c>
      <c r="I1748" s="48" t="s">
        <v>4957</v>
      </c>
      <c r="J1748" s="48" t="s">
        <v>4958</v>
      </c>
      <c r="K1748" s="48" t="s">
        <v>1307</v>
      </c>
      <c r="L1748" s="48" t="s">
        <v>4959</v>
      </c>
      <c r="M1748" s="48" t="s">
        <v>4432</v>
      </c>
      <c r="N1748" s="48" t="s">
        <v>1310</v>
      </c>
      <c r="O1748" s="48" t="s">
        <v>1311</v>
      </c>
      <c r="P1748" s="48" t="s">
        <v>1312</v>
      </c>
      <c r="Q1748" s="48" t="s">
        <v>31</v>
      </c>
      <c r="R1748" s="48" t="s">
        <v>31</v>
      </c>
      <c r="S1748" s="48" t="s">
        <v>31</v>
      </c>
      <c r="T1748" s="48" t="s">
        <v>31</v>
      </c>
      <c r="U1748" s="46" t="s">
        <v>1154</v>
      </c>
    </row>
    <row r="1749" spans="1:21">
      <c r="A1749" s="48" t="s">
        <v>1198</v>
      </c>
      <c r="B1749" s="48" t="s">
        <v>104</v>
      </c>
      <c r="C1749" s="48" t="s">
        <v>666</v>
      </c>
      <c r="D1749" s="48">
        <v>1</v>
      </c>
      <c r="E1749" s="48">
        <v>0</v>
      </c>
      <c r="F1749" t="s">
        <v>723</v>
      </c>
      <c r="G1749" s="48" t="s">
        <v>1305</v>
      </c>
      <c r="H1749" s="48" t="s">
        <v>4960</v>
      </c>
      <c r="I1749" s="48" t="s">
        <v>4960</v>
      </c>
      <c r="J1749" s="48" t="s">
        <v>4961</v>
      </c>
      <c r="K1749" s="48" t="s">
        <v>1320</v>
      </c>
      <c r="L1749" s="48" t="s">
        <v>4962</v>
      </c>
      <c r="M1749" s="48" t="s">
        <v>4432</v>
      </c>
      <c r="N1749" s="48" t="s">
        <v>1310</v>
      </c>
      <c r="O1749" s="48" t="s">
        <v>1311</v>
      </c>
      <c r="P1749" s="48" t="s">
        <v>1312</v>
      </c>
      <c r="Q1749" s="48" t="s">
        <v>31</v>
      </c>
      <c r="R1749" s="48" t="s">
        <v>31</v>
      </c>
      <c r="S1749" s="48" t="s">
        <v>31</v>
      </c>
      <c r="T1749" s="48" t="s">
        <v>31</v>
      </c>
      <c r="U1749" s="46" t="s">
        <v>1154</v>
      </c>
    </row>
    <row r="1750" spans="1:21">
      <c r="A1750" s="48" t="s">
        <v>1198</v>
      </c>
      <c r="B1750" s="48" t="s">
        <v>104</v>
      </c>
      <c r="C1750" s="48" t="s">
        <v>666</v>
      </c>
      <c r="D1750" s="48">
        <v>1</v>
      </c>
      <c r="E1750" s="48">
        <v>0</v>
      </c>
      <c r="F1750" t="s">
        <v>723</v>
      </c>
      <c r="G1750" s="48" t="s">
        <v>1305</v>
      </c>
      <c r="H1750" s="48" t="s">
        <v>4963</v>
      </c>
      <c r="I1750" s="48" t="s">
        <v>4963</v>
      </c>
      <c r="J1750" s="48" t="s">
        <v>4964</v>
      </c>
      <c r="K1750" s="48" t="s">
        <v>1329</v>
      </c>
      <c r="L1750" s="48" t="s">
        <v>4965</v>
      </c>
      <c r="M1750" s="48" t="s">
        <v>4432</v>
      </c>
      <c r="N1750" s="48" t="s">
        <v>1310</v>
      </c>
      <c r="O1750" s="48" t="s">
        <v>1311</v>
      </c>
      <c r="P1750" s="48" t="s">
        <v>1312</v>
      </c>
      <c r="Q1750" s="48" t="s">
        <v>31</v>
      </c>
      <c r="R1750" s="48" t="s">
        <v>31</v>
      </c>
      <c r="S1750" s="48" t="s">
        <v>31</v>
      </c>
      <c r="T1750" s="48" t="s">
        <v>31</v>
      </c>
      <c r="U1750" s="46" t="s">
        <v>1154</v>
      </c>
    </row>
    <row r="1751" spans="1:21">
      <c r="A1751" s="48" t="s">
        <v>1198</v>
      </c>
      <c r="B1751" s="48" t="s">
        <v>104</v>
      </c>
      <c r="C1751" s="48" t="s">
        <v>666</v>
      </c>
      <c r="D1751" s="48">
        <v>1</v>
      </c>
      <c r="E1751" s="48">
        <v>0</v>
      </c>
      <c r="F1751" t="s">
        <v>723</v>
      </c>
      <c r="G1751" s="48" t="s">
        <v>1305</v>
      </c>
      <c r="H1751" s="48" t="s">
        <v>4966</v>
      </c>
      <c r="I1751" s="48" t="s">
        <v>4966</v>
      </c>
      <c r="J1751" s="48" t="s">
        <v>4967</v>
      </c>
      <c r="K1751" s="48" t="s">
        <v>1317</v>
      </c>
      <c r="L1751" s="48" t="s">
        <v>4968</v>
      </c>
      <c r="M1751" s="48" t="s">
        <v>4432</v>
      </c>
      <c r="N1751" s="48" t="s">
        <v>1310</v>
      </c>
      <c r="O1751" s="48" t="s">
        <v>1311</v>
      </c>
      <c r="P1751" s="48" t="s">
        <v>1312</v>
      </c>
      <c r="Q1751" s="48" t="s">
        <v>31</v>
      </c>
      <c r="R1751" s="48" t="s">
        <v>31</v>
      </c>
      <c r="S1751" s="48" t="s">
        <v>31</v>
      </c>
      <c r="T1751" s="48" t="s">
        <v>31</v>
      </c>
      <c r="U1751" s="46" t="s">
        <v>1154</v>
      </c>
    </row>
    <row r="1752" spans="1:21">
      <c r="A1752" s="48" t="s">
        <v>1198</v>
      </c>
      <c r="B1752" s="48" t="s">
        <v>104</v>
      </c>
      <c r="C1752" s="48" t="s">
        <v>666</v>
      </c>
      <c r="D1752" s="48">
        <v>1</v>
      </c>
      <c r="E1752" s="48">
        <v>0</v>
      </c>
      <c r="F1752" t="s">
        <v>723</v>
      </c>
      <c r="G1752" s="48" t="s">
        <v>1305</v>
      </c>
      <c r="H1752" s="48" t="s">
        <v>4969</v>
      </c>
      <c r="I1752" s="48" t="s">
        <v>4969</v>
      </c>
      <c r="J1752" s="48" t="s">
        <v>4970</v>
      </c>
      <c r="K1752" s="48" t="s">
        <v>1326</v>
      </c>
      <c r="L1752" s="48" t="s">
        <v>4971</v>
      </c>
      <c r="M1752" s="48" t="s">
        <v>4432</v>
      </c>
      <c r="N1752" s="48" t="s">
        <v>1310</v>
      </c>
      <c r="O1752" s="48" t="s">
        <v>1311</v>
      </c>
      <c r="P1752" s="48" t="s">
        <v>1312</v>
      </c>
      <c r="Q1752" s="48" t="s">
        <v>31</v>
      </c>
      <c r="R1752" s="48" t="s">
        <v>31</v>
      </c>
      <c r="S1752" s="48" t="s">
        <v>31</v>
      </c>
      <c r="T1752" s="48" t="s">
        <v>31</v>
      </c>
      <c r="U1752" s="46" t="s">
        <v>1154</v>
      </c>
    </row>
    <row r="1753" spans="1:21">
      <c r="A1753" s="48" t="s">
        <v>1198</v>
      </c>
      <c r="B1753" s="48" t="s">
        <v>104</v>
      </c>
      <c r="C1753" s="48" t="s">
        <v>666</v>
      </c>
      <c r="D1753" s="48">
        <v>1</v>
      </c>
      <c r="E1753" s="48">
        <v>0</v>
      </c>
      <c r="F1753" t="s">
        <v>723</v>
      </c>
      <c r="G1753" s="48" t="s">
        <v>1305</v>
      </c>
      <c r="H1753" s="48" t="s">
        <v>4972</v>
      </c>
      <c r="I1753" s="48" t="s">
        <v>4972</v>
      </c>
      <c r="J1753" s="48" t="s">
        <v>4973</v>
      </c>
      <c r="K1753" s="48" t="s">
        <v>1332</v>
      </c>
      <c r="L1753" s="48" t="s">
        <v>4974</v>
      </c>
      <c r="M1753" s="48" t="s">
        <v>4432</v>
      </c>
      <c r="N1753" s="48" t="s">
        <v>1310</v>
      </c>
      <c r="O1753" s="48" t="s">
        <v>1311</v>
      </c>
      <c r="P1753" s="48" t="s">
        <v>1312</v>
      </c>
      <c r="Q1753" s="48" t="s">
        <v>31</v>
      </c>
      <c r="R1753" s="48" t="s">
        <v>31</v>
      </c>
      <c r="S1753" s="48" t="s">
        <v>31</v>
      </c>
      <c r="T1753" s="48" t="s">
        <v>31</v>
      </c>
      <c r="U1753" s="46" t="s">
        <v>1154</v>
      </c>
    </row>
    <row r="1754" spans="1:21">
      <c r="A1754" s="48" t="s">
        <v>1207</v>
      </c>
      <c r="B1754" s="48" t="s">
        <v>106</v>
      </c>
      <c r="C1754" s="48" t="s">
        <v>666</v>
      </c>
      <c r="D1754" s="48">
        <v>1</v>
      </c>
      <c r="E1754" s="48">
        <v>0</v>
      </c>
      <c r="F1754" t="s">
        <v>690</v>
      </c>
      <c r="G1754" s="48" t="s">
        <v>1305</v>
      </c>
      <c r="H1754" s="48" t="s">
        <v>3990</v>
      </c>
      <c r="I1754" s="48" t="s">
        <v>3990</v>
      </c>
      <c r="J1754" s="48" t="s">
        <v>4975</v>
      </c>
      <c r="K1754" s="48" t="s">
        <v>1323</v>
      </c>
      <c r="L1754" s="48" t="s">
        <v>4976</v>
      </c>
      <c r="M1754" s="48" t="s">
        <v>4432</v>
      </c>
      <c r="N1754" s="48" t="s">
        <v>1310</v>
      </c>
      <c r="O1754" s="48" t="s">
        <v>1311</v>
      </c>
      <c r="P1754" s="48" t="s">
        <v>1312</v>
      </c>
      <c r="Q1754" s="48" t="s">
        <v>31</v>
      </c>
      <c r="R1754" s="48" t="s">
        <v>31</v>
      </c>
      <c r="S1754" s="48" t="s">
        <v>31</v>
      </c>
      <c r="T1754" s="48" t="s">
        <v>31</v>
      </c>
      <c r="U1754" s="46" t="s">
        <v>1154</v>
      </c>
    </row>
    <row r="1755" spans="1:21">
      <c r="A1755" s="48" t="s">
        <v>1207</v>
      </c>
      <c r="B1755" s="48" t="s">
        <v>106</v>
      </c>
      <c r="C1755" s="48" t="s">
        <v>666</v>
      </c>
      <c r="D1755" s="48">
        <v>1</v>
      </c>
      <c r="E1755" s="48">
        <v>0</v>
      </c>
      <c r="F1755" t="s">
        <v>690</v>
      </c>
      <c r="G1755" s="48" t="s">
        <v>1305</v>
      </c>
      <c r="H1755" s="48" t="s">
        <v>3994</v>
      </c>
      <c r="I1755" s="48" t="s">
        <v>3994</v>
      </c>
      <c r="J1755" s="48" t="s">
        <v>4977</v>
      </c>
      <c r="K1755" s="48" t="s">
        <v>1329</v>
      </c>
      <c r="L1755" s="48" t="s">
        <v>4978</v>
      </c>
      <c r="M1755" s="48" t="s">
        <v>4432</v>
      </c>
      <c r="N1755" s="48" t="s">
        <v>1310</v>
      </c>
      <c r="O1755" s="48" t="s">
        <v>1311</v>
      </c>
      <c r="P1755" s="48" t="s">
        <v>1312</v>
      </c>
      <c r="Q1755" s="48" t="s">
        <v>31</v>
      </c>
      <c r="R1755" s="48" t="s">
        <v>31</v>
      </c>
      <c r="S1755" s="48" t="s">
        <v>31</v>
      </c>
      <c r="T1755" s="48" t="s">
        <v>31</v>
      </c>
      <c r="U1755" s="46" t="s">
        <v>1154</v>
      </c>
    </row>
    <row r="1756" spans="1:21">
      <c r="A1756" s="48" t="s">
        <v>1207</v>
      </c>
      <c r="B1756" s="48" t="s">
        <v>106</v>
      </c>
      <c r="C1756" s="48" t="s">
        <v>666</v>
      </c>
      <c r="D1756" s="48">
        <v>1</v>
      </c>
      <c r="E1756" s="48">
        <v>0</v>
      </c>
      <c r="F1756" t="s">
        <v>690</v>
      </c>
      <c r="G1756" s="48" t="s">
        <v>1305</v>
      </c>
      <c r="H1756" s="48" t="s">
        <v>3982</v>
      </c>
      <c r="I1756" s="48" t="s">
        <v>3982</v>
      </c>
      <c r="J1756" s="48" t="s">
        <v>4979</v>
      </c>
      <c r="K1756" s="48" t="s">
        <v>1307</v>
      </c>
      <c r="L1756" s="48" t="s">
        <v>4980</v>
      </c>
      <c r="M1756" s="48" t="s">
        <v>4432</v>
      </c>
      <c r="N1756" s="48" t="s">
        <v>1310</v>
      </c>
      <c r="O1756" s="48" t="s">
        <v>1311</v>
      </c>
      <c r="P1756" s="48" t="s">
        <v>1312</v>
      </c>
      <c r="Q1756" s="48" t="s">
        <v>31</v>
      </c>
      <c r="R1756" s="48" t="s">
        <v>31</v>
      </c>
      <c r="S1756" s="48" t="s">
        <v>31</v>
      </c>
      <c r="T1756" s="48" t="s">
        <v>31</v>
      </c>
      <c r="U1756" s="46" t="s">
        <v>1154</v>
      </c>
    </row>
    <row r="1757" spans="1:21">
      <c r="A1757" s="48" t="s">
        <v>1207</v>
      </c>
      <c r="B1757" s="48" t="s">
        <v>106</v>
      </c>
      <c r="C1757" s="48" t="s">
        <v>666</v>
      </c>
      <c r="D1757" s="48">
        <v>1</v>
      </c>
      <c r="E1757" s="48">
        <v>0</v>
      </c>
      <c r="F1757" t="s">
        <v>690</v>
      </c>
      <c r="G1757" s="48" t="s">
        <v>1305</v>
      </c>
      <c r="H1757" s="48" t="s">
        <v>3984</v>
      </c>
      <c r="I1757" s="48" t="s">
        <v>3984</v>
      </c>
      <c r="J1757" s="48" t="s">
        <v>4981</v>
      </c>
      <c r="K1757" s="48" t="s">
        <v>1314</v>
      </c>
      <c r="L1757" s="48" t="s">
        <v>4982</v>
      </c>
      <c r="M1757" s="48" t="s">
        <v>4432</v>
      </c>
      <c r="N1757" s="48" t="s">
        <v>1310</v>
      </c>
      <c r="O1757" s="48" t="s">
        <v>1311</v>
      </c>
      <c r="P1757" s="48" t="s">
        <v>1312</v>
      </c>
      <c r="Q1757" s="48" t="s">
        <v>31</v>
      </c>
      <c r="R1757" s="48" t="s">
        <v>31</v>
      </c>
      <c r="S1757" s="48" t="s">
        <v>31</v>
      </c>
      <c r="T1757" s="48" t="s">
        <v>31</v>
      </c>
      <c r="U1757" s="46" t="s">
        <v>1154</v>
      </c>
    </row>
    <row r="1758" spans="1:21">
      <c r="A1758" s="48" t="s">
        <v>1207</v>
      </c>
      <c r="B1758" s="48" t="s">
        <v>106</v>
      </c>
      <c r="C1758" s="48" t="s">
        <v>666</v>
      </c>
      <c r="D1758" s="48">
        <v>1</v>
      </c>
      <c r="E1758" s="48">
        <v>0</v>
      </c>
      <c r="F1758" t="s">
        <v>690</v>
      </c>
      <c r="G1758" s="48" t="s">
        <v>1305</v>
      </c>
      <c r="H1758" s="48" t="s">
        <v>3996</v>
      </c>
      <c r="I1758" s="48" t="s">
        <v>3996</v>
      </c>
      <c r="J1758" s="48" t="s">
        <v>4983</v>
      </c>
      <c r="K1758" s="48" t="s">
        <v>1332</v>
      </c>
      <c r="L1758" s="48" t="s">
        <v>4984</v>
      </c>
      <c r="M1758" s="48" t="s">
        <v>4432</v>
      </c>
      <c r="N1758" s="48" t="s">
        <v>1310</v>
      </c>
      <c r="O1758" s="48" t="s">
        <v>1311</v>
      </c>
      <c r="P1758" s="48" t="s">
        <v>1312</v>
      </c>
      <c r="Q1758" s="48" t="s">
        <v>31</v>
      </c>
      <c r="R1758" s="48" t="s">
        <v>31</v>
      </c>
      <c r="S1758" s="48" t="s">
        <v>31</v>
      </c>
      <c r="T1758" s="48" t="s">
        <v>31</v>
      </c>
      <c r="U1758" s="46" t="s">
        <v>1154</v>
      </c>
    </row>
    <row r="1759" spans="1:21">
      <c r="A1759" s="48" t="s">
        <v>1207</v>
      </c>
      <c r="B1759" s="48" t="s">
        <v>106</v>
      </c>
      <c r="C1759" s="48" t="s">
        <v>666</v>
      </c>
      <c r="D1759" s="48">
        <v>1</v>
      </c>
      <c r="E1759" s="48">
        <v>0</v>
      </c>
      <c r="F1759" t="s">
        <v>690</v>
      </c>
      <c r="G1759" s="48" t="s">
        <v>1305</v>
      </c>
      <c r="H1759" s="48" t="s">
        <v>3988</v>
      </c>
      <c r="I1759" s="48" t="s">
        <v>3988</v>
      </c>
      <c r="J1759" s="48" t="s">
        <v>4985</v>
      </c>
      <c r="K1759" s="48" t="s">
        <v>1320</v>
      </c>
      <c r="L1759" s="48" t="s">
        <v>4986</v>
      </c>
      <c r="M1759" s="48" t="s">
        <v>4432</v>
      </c>
      <c r="N1759" s="48" t="s">
        <v>1310</v>
      </c>
      <c r="O1759" s="48" t="s">
        <v>1311</v>
      </c>
      <c r="P1759" s="48" t="s">
        <v>1312</v>
      </c>
      <c r="Q1759" s="48" t="s">
        <v>31</v>
      </c>
      <c r="R1759" s="48" t="s">
        <v>31</v>
      </c>
      <c r="S1759" s="48" t="s">
        <v>31</v>
      </c>
      <c r="T1759" s="48" t="s">
        <v>31</v>
      </c>
      <c r="U1759" s="46" t="s">
        <v>1154</v>
      </c>
    </row>
    <row r="1760" spans="1:21">
      <c r="A1760" s="48" t="s">
        <v>1207</v>
      </c>
      <c r="B1760" s="48" t="s">
        <v>106</v>
      </c>
      <c r="C1760" s="48" t="s">
        <v>666</v>
      </c>
      <c r="D1760" s="48">
        <v>1</v>
      </c>
      <c r="E1760" s="48">
        <v>0</v>
      </c>
      <c r="F1760" t="s">
        <v>690</v>
      </c>
      <c r="G1760" s="48" t="s">
        <v>1305</v>
      </c>
      <c r="H1760" s="48" t="s">
        <v>3992</v>
      </c>
      <c r="I1760" s="48" t="s">
        <v>3992</v>
      </c>
      <c r="J1760" s="48" t="s">
        <v>4987</v>
      </c>
      <c r="K1760" s="48" t="s">
        <v>1326</v>
      </c>
      <c r="L1760" s="48" t="s">
        <v>4988</v>
      </c>
      <c r="M1760" s="48" t="s">
        <v>4432</v>
      </c>
      <c r="N1760" s="48" t="s">
        <v>1310</v>
      </c>
      <c r="O1760" s="48" t="s">
        <v>1311</v>
      </c>
      <c r="P1760" s="48" t="s">
        <v>1312</v>
      </c>
      <c r="Q1760" s="48" t="s">
        <v>31</v>
      </c>
      <c r="R1760" s="48" t="s">
        <v>31</v>
      </c>
      <c r="S1760" s="48" t="s">
        <v>31</v>
      </c>
      <c r="T1760" s="48" t="s">
        <v>31</v>
      </c>
      <c r="U1760" s="46" t="s">
        <v>1154</v>
      </c>
    </row>
    <row r="1761" spans="1:21">
      <c r="A1761" s="48" t="s">
        <v>1207</v>
      </c>
      <c r="B1761" s="48" t="s">
        <v>106</v>
      </c>
      <c r="C1761" s="48" t="s">
        <v>666</v>
      </c>
      <c r="D1761" s="48">
        <v>1</v>
      </c>
      <c r="E1761" s="48">
        <v>0</v>
      </c>
      <c r="F1761" t="s">
        <v>690</v>
      </c>
      <c r="G1761" s="48" t="s">
        <v>1305</v>
      </c>
      <c r="H1761" s="48" t="s">
        <v>3986</v>
      </c>
      <c r="I1761" s="48" t="s">
        <v>3986</v>
      </c>
      <c r="J1761" s="48" t="s">
        <v>4989</v>
      </c>
      <c r="K1761" s="48" t="s">
        <v>1317</v>
      </c>
      <c r="L1761" s="48" t="s">
        <v>4990</v>
      </c>
      <c r="M1761" s="48" t="s">
        <v>4432</v>
      </c>
      <c r="N1761" s="48" t="s">
        <v>1310</v>
      </c>
      <c r="O1761" s="48" t="s">
        <v>1311</v>
      </c>
      <c r="P1761" s="48" t="s">
        <v>1312</v>
      </c>
      <c r="Q1761" s="48" t="s">
        <v>31</v>
      </c>
      <c r="R1761" s="48" t="s">
        <v>31</v>
      </c>
      <c r="S1761" s="48" t="s">
        <v>31</v>
      </c>
      <c r="T1761" s="48" t="s">
        <v>31</v>
      </c>
      <c r="U1761" s="46" t="s">
        <v>1154</v>
      </c>
    </row>
    <row r="1762" spans="1:21">
      <c r="A1762" s="48" t="s">
        <v>1225</v>
      </c>
      <c r="B1762" s="48" t="s">
        <v>108</v>
      </c>
      <c r="C1762" s="48" t="s">
        <v>666</v>
      </c>
      <c r="D1762" s="48">
        <v>1</v>
      </c>
      <c r="E1762" s="48">
        <v>0</v>
      </c>
      <c r="F1762" t="s">
        <v>686</v>
      </c>
      <c r="G1762" s="48" t="s">
        <v>1305</v>
      </c>
      <c r="H1762" s="48" t="s">
        <v>1874</v>
      </c>
      <c r="I1762" s="48" t="s">
        <v>1874</v>
      </c>
      <c r="J1762" s="48" t="s">
        <v>4991</v>
      </c>
      <c r="K1762" s="48" t="s">
        <v>1317</v>
      </c>
      <c r="L1762" s="49" t="s">
        <v>4992</v>
      </c>
      <c r="M1762" s="48" t="s">
        <v>4432</v>
      </c>
      <c r="N1762" s="48" t="s">
        <v>1310</v>
      </c>
      <c r="O1762" s="48" t="s">
        <v>1311</v>
      </c>
      <c r="P1762" s="48" t="s">
        <v>1312</v>
      </c>
      <c r="Q1762" s="48" t="s">
        <v>31</v>
      </c>
      <c r="R1762" s="48" t="s">
        <v>31</v>
      </c>
      <c r="S1762" s="48" t="s">
        <v>31</v>
      </c>
      <c r="T1762" s="48" t="s">
        <v>31</v>
      </c>
      <c r="U1762" s="46" t="s">
        <v>1154</v>
      </c>
    </row>
    <row r="1763" spans="1:21">
      <c r="A1763" s="48" t="s">
        <v>1225</v>
      </c>
      <c r="B1763" s="48" t="s">
        <v>108</v>
      </c>
      <c r="C1763" s="48" t="s">
        <v>666</v>
      </c>
      <c r="D1763" s="48">
        <v>1</v>
      </c>
      <c r="E1763" s="48">
        <v>0</v>
      </c>
      <c r="F1763" t="s">
        <v>686</v>
      </c>
      <c r="G1763" s="48" t="s">
        <v>1305</v>
      </c>
      <c r="H1763" s="48" t="s">
        <v>1880</v>
      </c>
      <c r="I1763" s="48" t="s">
        <v>1880</v>
      </c>
      <c r="J1763" s="48" t="s">
        <v>4993</v>
      </c>
      <c r="K1763" s="48" t="s">
        <v>1326</v>
      </c>
      <c r="L1763" s="48" t="s">
        <v>4994</v>
      </c>
      <c r="M1763" s="48" t="s">
        <v>4432</v>
      </c>
      <c r="N1763" s="48" t="s">
        <v>1310</v>
      </c>
      <c r="O1763" s="48" t="s">
        <v>1311</v>
      </c>
      <c r="P1763" s="48" t="s">
        <v>1312</v>
      </c>
      <c r="Q1763" s="48" t="s">
        <v>31</v>
      </c>
      <c r="R1763" s="48" t="s">
        <v>31</v>
      </c>
      <c r="S1763" s="48" t="s">
        <v>31</v>
      </c>
      <c r="T1763" s="48" t="s">
        <v>31</v>
      </c>
      <c r="U1763" s="46" t="s">
        <v>1154</v>
      </c>
    </row>
    <row r="1764" spans="1:21">
      <c r="A1764" s="48" t="s">
        <v>1225</v>
      </c>
      <c r="B1764" s="48" t="s">
        <v>108</v>
      </c>
      <c r="C1764" s="48" t="s">
        <v>666</v>
      </c>
      <c r="D1764" s="48">
        <v>1</v>
      </c>
      <c r="E1764" s="48">
        <v>0</v>
      </c>
      <c r="F1764" t="s">
        <v>686</v>
      </c>
      <c r="G1764" s="48" t="s">
        <v>1305</v>
      </c>
      <c r="H1764" s="48" t="s">
        <v>1884</v>
      </c>
      <c r="I1764" s="48" t="s">
        <v>1884</v>
      </c>
      <c r="J1764" s="48" t="s">
        <v>4995</v>
      </c>
      <c r="K1764" s="48" t="s">
        <v>1332</v>
      </c>
      <c r="L1764" s="48" t="s">
        <v>4996</v>
      </c>
      <c r="M1764" s="48" t="s">
        <v>4432</v>
      </c>
      <c r="N1764" s="48" t="s">
        <v>1310</v>
      </c>
      <c r="O1764" s="48" t="s">
        <v>1311</v>
      </c>
      <c r="P1764" s="48" t="s">
        <v>1312</v>
      </c>
      <c r="Q1764" s="48" t="s">
        <v>31</v>
      </c>
      <c r="R1764" s="48" t="s">
        <v>31</v>
      </c>
      <c r="S1764" s="48" t="s">
        <v>31</v>
      </c>
      <c r="T1764" s="48" t="s">
        <v>31</v>
      </c>
      <c r="U1764" s="46" t="s">
        <v>1154</v>
      </c>
    </row>
    <row r="1765" spans="1:21">
      <c r="A1765" s="48" t="s">
        <v>1225</v>
      </c>
      <c r="B1765" s="48" t="s">
        <v>108</v>
      </c>
      <c r="C1765" s="48" t="s">
        <v>666</v>
      </c>
      <c r="D1765" s="48">
        <v>1</v>
      </c>
      <c r="E1765" s="48">
        <v>0</v>
      </c>
      <c r="F1765" t="s">
        <v>686</v>
      </c>
      <c r="G1765" s="48" t="s">
        <v>1305</v>
      </c>
      <c r="H1765" s="48" t="s">
        <v>1882</v>
      </c>
      <c r="I1765" s="48" t="s">
        <v>1882</v>
      </c>
      <c r="J1765" s="48" t="s">
        <v>4997</v>
      </c>
      <c r="K1765" s="48" t="s">
        <v>1329</v>
      </c>
      <c r="L1765" s="48" t="s">
        <v>4998</v>
      </c>
      <c r="M1765" s="48" t="s">
        <v>4432</v>
      </c>
      <c r="N1765" s="48" t="s">
        <v>1310</v>
      </c>
      <c r="O1765" s="48" t="s">
        <v>1311</v>
      </c>
      <c r="P1765" s="48" t="s">
        <v>1312</v>
      </c>
      <c r="Q1765" s="48" t="s">
        <v>31</v>
      </c>
      <c r="R1765" s="48" t="s">
        <v>31</v>
      </c>
      <c r="S1765" s="48" t="s">
        <v>31</v>
      </c>
      <c r="T1765" s="48" t="s">
        <v>31</v>
      </c>
      <c r="U1765" s="46" t="s">
        <v>1154</v>
      </c>
    </row>
    <row r="1766" spans="1:21">
      <c r="A1766" s="48" t="s">
        <v>1225</v>
      </c>
      <c r="B1766" s="48" t="s">
        <v>108</v>
      </c>
      <c r="C1766" s="48" t="s">
        <v>666</v>
      </c>
      <c r="D1766" s="48">
        <v>1</v>
      </c>
      <c r="E1766" s="48">
        <v>0</v>
      </c>
      <c r="F1766" t="s">
        <v>686</v>
      </c>
      <c r="G1766" s="48" t="s">
        <v>1305</v>
      </c>
      <c r="H1766" s="48" t="s">
        <v>1870</v>
      </c>
      <c r="I1766" s="48" t="s">
        <v>1870</v>
      </c>
      <c r="J1766" s="48" t="s">
        <v>4999</v>
      </c>
      <c r="K1766" s="48" t="s">
        <v>1307</v>
      </c>
      <c r="L1766" s="48" t="s">
        <v>5000</v>
      </c>
      <c r="M1766" s="48" t="s">
        <v>4432</v>
      </c>
      <c r="N1766" s="48" t="s">
        <v>1310</v>
      </c>
      <c r="O1766" s="48" t="s">
        <v>1311</v>
      </c>
      <c r="P1766" s="48" t="s">
        <v>1312</v>
      </c>
      <c r="Q1766" s="48" t="s">
        <v>31</v>
      </c>
      <c r="R1766" s="48" t="s">
        <v>31</v>
      </c>
      <c r="S1766" s="48" t="s">
        <v>31</v>
      </c>
      <c r="T1766" s="48" t="s">
        <v>31</v>
      </c>
      <c r="U1766" s="46" t="s">
        <v>1154</v>
      </c>
    </row>
    <row r="1767" spans="1:21">
      <c r="A1767" s="48" t="s">
        <v>1225</v>
      </c>
      <c r="B1767" s="48" t="s">
        <v>108</v>
      </c>
      <c r="C1767" s="48" t="s">
        <v>666</v>
      </c>
      <c r="D1767" s="48">
        <v>1</v>
      </c>
      <c r="E1767" s="48">
        <v>0</v>
      </c>
      <c r="F1767" t="s">
        <v>686</v>
      </c>
      <c r="G1767" s="48" t="s">
        <v>1305</v>
      </c>
      <c r="H1767" s="48" t="s">
        <v>1878</v>
      </c>
      <c r="I1767" s="48" t="s">
        <v>1878</v>
      </c>
      <c r="J1767" s="48" t="s">
        <v>5001</v>
      </c>
      <c r="K1767" s="48" t="s">
        <v>1323</v>
      </c>
      <c r="L1767" s="48" t="s">
        <v>5002</v>
      </c>
      <c r="M1767" s="48" t="s">
        <v>4432</v>
      </c>
      <c r="N1767" s="48" t="s">
        <v>1310</v>
      </c>
      <c r="O1767" s="48" t="s">
        <v>1311</v>
      </c>
      <c r="P1767" s="48" t="s">
        <v>1312</v>
      </c>
      <c r="Q1767" s="48" t="s">
        <v>31</v>
      </c>
      <c r="R1767" s="48" t="s">
        <v>31</v>
      </c>
      <c r="S1767" s="48" t="s">
        <v>31</v>
      </c>
      <c r="T1767" s="48" t="s">
        <v>31</v>
      </c>
      <c r="U1767" s="46" t="s">
        <v>1154</v>
      </c>
    </row>
    <row r="1768" spans="1:21">
      <c r="A1768" s="48" t="s">
        <v>1225</v>
      </c>
      <c r="B1768" s="48" t="s">
        <v>108</v>
      </c>
      <c r="C1768" s="48" t="s">
        <v>666</v>
      </c>
      <c r="D1768" s="48">
        <v>1</v>
      </c>
      <c r="E1768" s="48">
        <v>0</v>
      </c>
      <c r="F1768" t="s">
        <v>686</v>
      </c>
      <c r="G1768" s="48" t="s">
        <v>1305</v>
      </c>
      <c r="H1768" s="48" t="s">
        <v>1872</v>
      </c>
      <c r="I1768" s="48" t="s">
        <v>1872</v>
      </c>
      <c r="J1768" s="48" t="s">
        <v>5003</v>
      </c>
      <c r="K1768" s="48" t="s">
        <v>1314</v>
      </c>
      <c r="L1768" s="48" t="s">
        <v>5004</v>
      </c>
      <c r="M1768" s="48" t="s">
        <v>4432</v>
      </c>
      <c r="N1768" s="48" t="s">
        <v>1310</v>
      </c>
      <c r="O1768" s="48" t="s">
        <v>1311</v>
      </c>
      <c r="P1768" s="48" t="s">
        <v>1312</v>
      </c>
      <c r="Q1768" s="48" t="s">
        <v>31</v>
      </c>
      <c r="R1768" s="48" t="s">
        <v>31</v>
      </c>
      <c r="S1768" s="48" t="s">
        <v>31</v>
      </c>
      <c r="T1768" s="48" t="s">
        <v>31</v>
      </c>
      <c r="U1768" s="46" t="s">
        <v>1154</v>
      </c>
    </row>
    <row r="1769" spans="1:21">
      <c r="A1769" s="48" t="s">
        <v>1225</v>
      </c>
      <c r="B1769" s="48" t="s">
        <v>108</v>
      </c>
      <c r="C1769" s="48" t="s">
        <v>666</v>
      </c>
      <c r="D1769" s="48">
        <v>1</v>
      </c>
      <c r="E1769" s="48">
        <v>0</v>
      </c>
      <c r="F1769" t="s">
        <v>686</v>
      </c>
      <c r="G1769" s="48" t="s">
        <v>1305</v>
      </c>
      <c r="H1769" s="48" t="s">
        <v>1876</v>
      </c>
      <c r="I1769" s="48" t="s">
        <v>1876</v>
      </c>
      <c r="J1769" s="48" t="s">
        <v>5005</v>
      </c>
      <c r="K1769" s="48" t="s">
        <v>1320</v>
      </c>
      <c r="L1769" s="48" t="s">
        <v>5006</v>
      </c>
      <c r="M1769" s="48" t="s">
        <v>4432</v>
      </c>
      <c r="N1769" s="48" t="s">
        <v>1310</v>
      </c>
      <c r="O1769" s="48" t="s">
        <v>1311</v>
      </c>
      <c r="P1769" s="48" t="s">
        <v>1312</v>
      </c>
      <c r="Q1769" s="48" t="s">
        <v>31</v>
      </c>
      <c r="R1769" s="48" t="s">
        <v>31</v>
      </c>
      <c r="S1769" s="48" t="s">
        <v>31</v>
      </c>
      <c r="T1769" s="48" t="s">
        <v>31</v>
      </c>
      <c r="U1769" s="46" t="s">
        <v>1154</v>
      </c>
    </row>
    <row r="1770" spans="1:21">
      <c r="A1770" s="48" t="s">
        <v>1175</v>
      </c>
      <c r="B1770" s="48" t="s">
        <v>110</v>
      </c>
      <c r="C1770" s="48" t="s">
        <v>666</v>
      </c>
      <c r="D1770" s="48">
        <v>1</v>
      </c>
      <c r="E1770" s="48">
        <v>0</v>
      </c>
      <c r="F1770" t="s">
        <v>692</v>
      </c>
      <c r="G1770" s="48" t="s">
        <v>1305</v>
      </c>
      <c r="H1770" s="48" t="s">
        <v>2130</v>
      </c>
      <c r="I1770" s="48" t="s">
        <v>2130</v>
      </c>
      <c r="J1770" s="48" t="s">
        <v>5007</v>
      </c>
      <c r="K1770" s="48" t="s">
        <v>1317</v>
      </c>
      <c r="L1770" s="48" t="s">
        <v>5008</v>
      </c>
      <c r="M1770" s="48" t="s">
        <v>4432</v>
      </c>
      <c r="N1770" s="48" t="s">
        <v>1310</v>
      </c>
      <c r="O1770" s="48" t="s">
        <v>1311</v>
      </c>
      <c r="P1770" s="48" t="s">
        <v>1312</v>
      </c>
      <c r="Q1770" s="48" t="s">
        <v>31</v>
      </c>
      <c r="R1770" s="48" t="s">
        <v>31</v>
      </c>
      <c r="S1770" s="48" t="s">
        <v>31</v>
      </c>
      <c r="T1770" s="48" t="s">
        <v>31</v>
      </c>
      <c r="U1770" s="46" t="s">
        <v>1154</v>
      </c>
    </row>
    <row r="1771" spans="1:21">
      <c r="A1771" s="48" t="s">
        <v>1175</v>
      </c>
      <c r="B1771" s="48" t="s">
        <v>110</v>
      </c>
      <c r="C1771" s="48" t="s">
        <v>666</v>
      </c>
      <c r="D1771" s="48">
        <v>1</v>
      </c>
      <c r="E1771" s="48">
        <v>0</v>
      </c>
      <c r="F1771" t="s">
        <v>692</v>
      </c>
      <c r="G1771" s="48" t="s">
        <v>1305</v>
      </c>
      <c r="H1771" s="48" t="s">
        <v>2126</v>
      </c>
      <c r="I1771" s="48" t="s">
        <v>2126</v>
      </c>
      <c r="J1771" s="48" t="s">
        <v>5009</v>
      </c>
      <c r="K1771" s="48" t="s">
        <v>1307</v>
      </c>
      <c r="L1771" s="48" t="s">
        <v>5010</v>
      </c>
      <c r="M1771" s="48" t="s">
        <v>4432</v>
      </c>
      <c r="N1771" s="48" t="s">
        <v>1310</v>
      </c>
      <c r="O1771" s="48" t="s">
        <v>1311</v>
      </c>
      <c r="P1771" s="48" t="s">
        <v>1312</v>
      </c>
      <c r="Q1771" s="48" t="s">
        <v>31</v>
      </c>
      <c r="R1771" s="48" t="s">
        <v>31</v>
      </c>
      <c r="S1771" s="48" t="s">
        <v>31</v>
      </c>
      <c r="T1771" s="48" t="s">
        <v>31</v>
      </c>
      <c r="U1771" s="46" t="s">
        <v>1154</v>
      </c>
    </row>
    <row r="1772" spans="1:21">
      <c r="A1772" s="48" t="s">
        <v>1175</v>
      </c>
      <c r="B1772" s="48" t="s">
        <v>110</v>
      </c>
      <c r="C1772" s="48" t="s">
        <v>666</v>
      </c>
      <c r="D1772" s="48">
        <v>1</v>
      </c>
      <c r="E1772" s="48">
        <v>0</v>
      </c>
      <c r="F1772" t="s">
        <v>692</v>
      </c>
      <c r="G1772" s="48" t="s">
        <v>1305</v>
      </c>
      <c r="H1772" s="48" t="s">
        <v>2138</v>
      </c>
      <c r="I1772" s="48" t="s">
        <v>2138</v>
      </c>
      <c r="J1772" s="48" t="s">
        <v>5011</v>
      </c>
      <c r="K1772" s="48" t="s">
        <v>1329</v>
      </c>
      <c r="L1772" s="48" t="s">
        <v>5012</v>
      </c>
      <c r="M1772" s="48" t="s">
        <v>4432</v>
      </c>
      <c r="N1772" s="48" t="s">
        <v>1310</v>
      </c>
      <c r="O1772" s="48" t="s">
        <v>1311</v>
      </c>
      <c r="P1772" s="48" t="s">
        <v>1312</v>
      </c>
      <c r="Q1772" s="48" t="s">
        <v>31</v>
      </c>
      <c r="R1772" s="48" t="s">
        <v>31</v>
      </c>
      <c r="S1772" s="48" t="s">
        <v>31</v>
      </c>
      <c r="T1772" s="48" t="s">
        <v>31</v>
      </c>
      <c r="U1772" s="46" t="s">
        <v>1154</v>
      </c>
    </row>
    <row r="1773" spans="1:21">
      <c r="A1773" s="48" t="s">
        <v>1175</v>
      </c>
      <c r="B1773" s="48" t="s">
        <v>110</v>
      </c>
      <c r="C1773" s="48" t="s">
        <v>666</v>
      </c>
      <c r="D1773" s="48">
        <v>1</v>
      </c>
      <c r="E1773" s="48">
        <v>0</v>
      </c>
      <c r="F1773" t="s">
        <v>692</v>
      </c>
      <c r="G1773" s="48" t="s">
        <v>1305</v>
      </c>
      <c r="H1773" s="48" t="s">
        <v>2136</v>
      </c>
      <c r="I1773" s="48" t="s">
        <v>2136</v>
      </c>
      <c r="J1773" s="48" t="s">
        <v>5013</v>
      </c>
      <c r="K1773" s="48" t="s">
        <v>1326</v>
      </c>
      <c r="L1773" s="48" t="s">
        <v>5014</v>
      </c>
      <c r="M1773" s="48" t="s">
        <v>4432</v>
      </c>
      <c r="N1773" s="48" t="s">
        <v>1310</v>
      </c>
      <c r="O1773" s="48" t="s">
        <v>1311</v>
      </c>
      <c r="P1773" s="48" t="s">
        <v>1312</v>
      </c>
      <c r="Q1773" s="48" t="s">
        <v>31</v>
      </c>
      <c r="R1773" s="48" t="s">
        <v>31</v>
      </c>
      <c r="S1773" s="48" t="s">
        <v>31</v>
      </c>
      <c r="T1773" s="48" t="s">
        <v>31</v>
      </c>
      <c r="U1773" s="46" t="s">
        <v>1154</v>
      </c>
    </row>
    <row r="1774" spans="1:21">
      <c r="A1774" s="48" t="s">
        <v>1175</v>
      </c>
      <c r="B1774" s="48" t="s">
        <v>110</v>
      </c>
      <c r="C1774" s="48" t="s">
        <v>666</v>
      </c>
      <c r="D1774" s="48">
        <v>1</v>
      </c>
      <c r="E1774" s="48">
        <v>0</v>
      </c>
      <c r="F1774" t="s">
        <v>692</v>
      </c>
      <c r="G1774" s="48" t="s">
        <v>1305</v>
      </c>
      <c r="H1774" s="48" t="s">
        <v>2134</v>
      </c>
      <c r="I1774" s="48" t="s">
        <v>2134</v>
      </c>
      <c r="J1774" s="48" t="s">
        <v>5015</v>
      </c>
      <c r="K1774" s="48" t="s">
        <v>1323</v>
      </c>
      <c r="L1774" s="48" t="s">
        <v>5016</v>
      </c>
      <c r="M1774" s="48" t="s">
        <v>4432</v>
      </c>
      <c r="N1774" s="48" t="s">
        <v>1310</v>
      </c>
      <c r="O1774" s="48" t="s">
        <v>1311</v>
      </c>
      <c r="P1774" s="48" t="s">
        <v>1312</v>
      </c>
      <c r="Q1774" s="48" t="s">
        <v>31</v>
      </c>
      <c r="R1774" s="48" t="s">
        <v>31</v>
      </c>
      <c r="S1774" s="48" t="s">
        <v>31</v>
      </c>
      <c r="T1774" s="48" t="s">
        <v>31</v>
      </c>
      <c r="U1774" s="46" t="s">
        <v>1154</v>
      </c>
    </row>
    <row r="1775" spans="1:21">
      <c r="A1775" s="48" t="s">
        <v>1175</v>
      </c>
      <c r="B1775" s="48" t="s">
        <v>110</v>
      </c>
      <c r="C1775" s="48" t="s">
        <v>666</v>
      </c>
      <c r="D1775" s="48">
        <v>1</v>
      </c>
      <c r="E1775" s="48">
        <v>0</v>
      </c>
      <c r="F1775" t="s">
        <v>692</v>
      </c>
      <c r="G1775" s="48" t="s">
        <v>1305</v>
      </c>
      <c r="H1775" s="48" t="s">
        <v>2128</v>
      </c>
      <c r="I1775" s="48" t="s">
        <v>2128</v>
      </c>
      <c r="J1775" s="48" t="s">
        <v>5017</v>
      </c>
      <c r="K1775" s="48" t="s">
        <v>1314</v>
      </c>
      <c r="L1775" s="48" t="s">
        <v>5018</v>
      </c>
      <c r="M1775" s="48" t="s">
        <v>4432</v>
      </c>
      <c r="N1775" s="48" t="s">
        <v>1310</v>
      </c>
      <c r="O1775" s="48" t="s">
        <v>1311</v>
      </c>
      <c r="P1775" s="48" t="s">
        <v>1312</v>
      </c>
      <c r="Q1775" s="48" t="s">
        <v>31</v>
      </c>
      <c r="R1775" s="48" t="s">
        <v>31</v>
      </c>
      <c r="S1775" s="48" t="s">
        <v>31</v>
      </c>
      <c r="T1775" s="48" t="s">
        <v>31</v>
      </c>
      <c r="U1775" s="46" t="s">
        <v>1154</v>
      </c>
    </row>
    <row r="1776" spans="1:21">
      <c r="A1776" s="48" t="s">
        <v>1175</v>
      </c>
      <c r="B1776" s="48" t="s">
        <v>110</v>
      </c>
      <c r="C1776" s="48" t="s">
        <v>666</v>
      </c>
      <c r="D1776" s="48">
        <v>1</v>
      </c>
      <c r="E1776" s="48">
        <v>0</v>
      </c>
      <c r="F1776" t="s">
        <v>692</v>
      </c>
      <c r="G1776" s="48" t="s">
        <v>1305</v>
      </c>
      <c r="H1776" s="48" t="s">
        <v>2132</v>
      </c>
      <c r="I1776" s="48" t="s">
        <v>2132</v>
      </c>
      <c r="J1776" s="48" t="s">
        <v>5019</v>
      </c>
      <c r="K1776" s="48" t="s">
        <v>1320</v>
      </c>
      <c r="L1776" s="48" t="s">
        <v>5020</v>
      </c>
      <c r="M1776" s="48" t="s">
        <v>4432</v>
      </c>
      <c r="N1776" s="48" t="s">
        <v>1310</v>
      </c>
      <c r="O1776" s="48" t="s">
        <v>1311</v>
      </c>
      <c r="P1776" s="48" t="s">
        <v>1312</v>
      </c>
      <c r="Q1776" s="48" t="s">
        <v>31</v>
      </c>
      <c r="R1776" s="48" t="s">
        <v>31</v>
      </c>
      <c r="S1776" s="48" t="s">
        <v>31</v>
      </c>
      <c r="T1776" s="48" t="s">
        <v>31</v>
      </c>
      <c r="U1776" s="46" t="s">
        <v>1154</v>
      </c>
    </row>
    <row r="1777" spans="1:21">
      <c r="A1777" s="48" t="s">
        <v>1175</v>
      </c>
      <c r="B1777" s="48" t="s">
        <v>110</v>
      </c>
      <c r="C1777" s="48" t="s">
        <v>666</v>
      </c>
      <c r="D1777" s="48">
        <v>1</v>
      </c>
      <c r="E1777" s="48">
        <v>0</v>
      </c>
      <c r="F1777" t="s">
        <v>692</v>
      </c>
      <c r="G1777" s="48" t="s">
        <v>1305</v>
      </c>
      <c r="H1777" s="48" t="s">
        <v>2140</v>
      </c>
      <c r="I1777" s="48" t="s">
        <v>2140</v>
      </c>
      <c r="J1777" s="48" t="s">
        <v>5021</v>
      </c>
      <c r="K1777" s="48" t="s">
        <v>1332</v>
      </c>
      <c r="L1777" s="48" t="s">
        <v>5022</v>
      </c>
      <c r="M1777" s="48" t="s">
        <v>4432</v>
      </c>
      <c r="N1777" s="48" t="s">
        <v>1310</v>
      </c>
      <c r="O1777" s="48" t="s">
        <v>1311</v>
      </c>
      <c r="P1777" s="48" t="s">
        <v>1312</v>
      </c>
      <c r="Q1777" s="48" t="s">
        <v>31</v>
      </c>
      <c r="R1777" s="48" t="s">
        <v>31</v>
      </c>
      <c r="S1777" s="48" t="s">
        <v>31</v>
      </c>
      <c r="T1777" s="48" t="s">
        <v>31</v>
      </c>
      <c r="U1777" s="46" t="s">
        <v>1154</v>
      </c>
    </row>
    <row r="1778" spans="1:21">
      <c r="A1778" s="48" t="s">
        <v>1172</v>
      </c>
      <c r="B1778" s="48" t="s">
        <v>112</v>
      </c>
      <c r="C1778" s="48" t="s">
        <v>666</v>
      </c>
      <c r="D1778" s="48">
        <v>3</v>
      </c>
      <c r="E1778" s="48">
        <v>1</v>
      </c>
      <c r="F1778" t="s">
        <v>755</v>
      </c>
      <c r="G1778" s="48" t="s">
        <v>1305</v>
      </c>
      <c r="H1778" s="48" t="s">
        <v>5023</v>
      </c>
      <c r="I1778" s="48" t="s">
        <v>5023</v>
      </c>
      <c r="J1778" s="48" t="s">
        <v>5024</v>
      </c>
      <c r="K1778" s="48" t="s">
        <v>1332</v>
      </c>
      <c r="L1778" s="48" t="s">
        <v>5025</v>
      </c>
      <c r="M1778" s="48" t="s">
        <v>4432</v>
      </c>
      <c r="N1778" s="48" t="s">
        <v>1310</v>
      </c>
      <c r="O1778" s="48" t="s">
        <v>1311</v>
      </c>
      <c r="P1778" s="48" t="s">
        <v>1312</v>
      </c>
      <c r="Q1778" s="48" t="s">
        <v>31</v>
      </c>
      <c r="R1778" s="48" t="s">
        <v>31</v>
      </c>
      <c r="S1778" s="48" t="s">
        <v>31</v>
      </c>
      <c r="T1778" s="48" t="s">
        <v>31</v>
      </c>
      <c r="U1778" s="46" t="s">
        <v>1154</v>
      </c>
    </row>
    <row r="1779" spans="1:21">
      <c r="A1779" s="48" t="s">
        <v>1172</v>
      </c>
      <c r="B1779" s="48" t="s">
        <v>112</v>
      </c>
      <c r="C1779" s="48" t="s">
        <v>666</v>
      </c>
      <c r="D1779" s="48">
        <v>3</v>
      </c>
      <c r="E1779" s="48">
        <v>1</v>
      </c>
      <c r="F1779" t="s">
        <v>755</v>
      </c>
      <c r="G1779" s="48" t="s">
        <v>1305</v>
      </c>
      <c r="H1779" s="48" t="s">
        <v>5026</v>
      </c>
      <c r="I1779" s="48" t="s">
        <v>5026</v>
      </c>
      <c r="J1779" s="48" t="s">
        <v>5027</v>
      </c>
      <c r="K1779" s="48" t="s">
        <v>1320</v>
      </c>
      <c r="L1779" s="48" t="s">
        <v>5028</v>
      </c>
      <c r="M1779" s="48" t="s">
        <v>4432</v>
      </c>
      <c r="N1779" s="48" t="s">
        <v>1310</v>
      </c>
      <c r="O1779" s="48" t="s">
        <v>1311</v>
      </c>
      <c r="P1779" s="48" t="s">
        <v>1312</v>
      </c>
      <c r="Q1779" s="48" t="s">
        <v>31</v>
      </c>
      <c r="R1779" s="48" t="s">
        <v>31</v>
      </c>
      <c r="S1779" s="48" t="s">
        <v>31</v>
      </c>
      <c r="T1779" s="48" t="s">
        <v>31</v>
      </c>
      <c r="U1779" s="46" t="s">
        <v>1154</v>
      </c>
    </row>
    <row r="1780" spans="1:21">
      <c r="A1780" s="48" t="s">
        <v>1172</v>
      </c>
      <c r="B1780" s="48" t="s">
        <v>112</v>
      </c>
      <c r="C1780" s="48" t="s">
        <v>666</v>
      </c>
      <c r="D1780" s="48">
        <v>3</v>
      </c>
      <c r="E1780" s="48">
        <v>1</v>
      </c>
      <c r="F1780" t="s">
        <v>755</v>
      </c>
      <c r="G1780" s="48" t="s">
        <v>1305</v>
      </c>
      <c r="H1780" s="48" t="s">
        <v>5029</v>
      </c>
      <c r="I1780" s="48" t="s">
        <v>5029</v>
      </c>
      <c r="J1780" s="48" t="s">
        <v>5030</v>
      </c>
      <c r="K1780" s="48" t="s">
        <v>1317</v>
      </c>
      <c r="L1780" s="48" t="s">
        <v>5031</v>
      </c>
      <c r="M1780" s="48" t="s">
        <v>4432</v>
      </c>
      <c r="N1780" s="48" t="s">
        <v>1310</v>
      </c>
      <c r="O1780" s="48" t="s">
        <v>1311</v>
      </c>
      <c r="P1780" s="48" t="s">
        <v>1312</v>
      </c>
      <c r="Q1780" s="48" t="s">
        <v>31</v>
      </c>
      <c r="R1780" s="48" t="s">
        <v>31</v>
      </c>
      <c r="S1780" s="48" t="s">
        <v>31</v>
      </c>
      <c r="T1780" s="48" t="s">
        <v>31</v>
      </c>
      <c r="U1780" s="46" t="s">
        <v>1154</v>
      </c>
    </row>
    <row r="1781" spans="1:21">
      <c r="A1781" s="48" t="s">
        <v>1172</v>
      </c>
      <c r="B1781" s="48" t="s">
        <v>112</v>
      </c>
      <c r="C1781" s="48" t="s">
        <v>666</v>
      </c>
      <c r="D1781" s="48">
        <v>3</v>
      </c>
      <c r="E1781" s="48">
        <v>1</v>
      </c>
      <c r="F1781" t="s">
        <v>755</v>
      </c>
      <c r="G1781" s="48" t="s">
        <v>1305</v>
      </c>
      <c r="H1781" s="48" t="s">
        <v>5032</v>
      </c>
      <c r="I1781" s="48" t="s">
        <v>5032</v>
      </c>
      <c r="J1781" s="48" t="s">
        <v>5033</v>
      </c>
      <c r="K1781" s="48" t="s">
        <v>1326</v>
      </c>
      <c r="L1781" s="48" t="s">
        <v>5034</v>
      </c>
      <c r="M1781" s="48" t="s">
        <v>4432</v>
      </c>
      <c r="N1781" s="48" t="s">
        <v>1310</v>
      </c>
      <c r="O1781" s="48" t="s">
        <v>1311</v>
      </c>
      <c r="P1781" s="48" t="s">
        <v>1312</v>
      </c>
      <c r="Q1781" s="48" t="s">
        <v>31</v>
      </c>
      <c r="R1781" s="48" t="s">
        <v>31</v>
      </c>
      <c r="S1781" s="48" t="s">
        <v>31</v>
      </c>
      <c r="T1781" s="48" t="s">
        <v>31</v>
      </c>
      <c r="U1781" s="46" t="s">
        <v>1154</v>
      </c>
    </row>
    <row r="1782" spans="1:21">
      <c r="A1782" s="48" t="s">
        <v>1172</v>
      </c>
      <c r="B1782" s="48" t="s">
        <v>112</v>
      </c>
      <c r="C1782" s="48" t="s">
        <v>666</v>
      </c>
      <c r="D1782" s="48">
        <v>3</v>
      </c>
      <c r="E1782" s="48">
        <v>1</v>
      </c>
      <c r="F1782" t="s">
        <v>755</v>
      </c>
      <c r="G1782" s="48" t="s">
        <v>1305</v>
      </c>
      <c r="H1782" s="48" t="s">
        <v>5035</v>
      </c>
      <c r="I1782" s="48" t="s">
        <v>5035</v>
      </c>
      <c r="J1782" s="48" t="s">
        <v>5036</v>
      </c>
      <c r="K1782" s="48" t="s">
        <v>1314</v>
      </c>
      <c r="L1782" s="48" t="s">
        <v>5037</v>
      </c>
      <c r="M1782" s="48" t="s">
        <v>4432</v>
      </c>
      <c r="N1782" s="48" t="s">
        <v>1310</v>
      </c>
      <c r="O1782" s="48" t="s">
        <v>1311</v>
      </c>
      <c r="P1782" s="48" t="s">
        <v>1312</v>
      </c>
      <c r="Q1782" s="48" t="s">
        <v>31</v>
      </c>
      <c r="R1782" s="48" t="s">
        <v>31</v>
      </c>
      <c r="S1782" s="48" t="s">
        <v>31</v>
      </c>
      <c r="T1782" s="48" t="s">
        <v>31</v>
      </c>
      <c r="U1782" s="46" t="s">
        <v>1154</v>
      </c>
    </row>
    <row r="1783" spans="1:21">
      <c r="A1783" s="48" t="s">
        <v>1172</v>
      </c>
      <c r="B1783" s="48" t="s">
        <v>112</v>
      </c>
      <c r="C1783" s="48" t="s">
        <v>666</v>
      </c>
      <c r="D1783" s="48">
        <v>3</v>
      </c>
      <c r="E1783" s="48">
        <v>1</v>
      </c>
      <c r="F1783" t="s">
        <v>755</v>
      </c>
      <c r="G1783" s="48" t="s">
        <v>1305</v>
      </c>
      <c r="H1783" s="48" t="s">
        <v>5038</v>
      </c>
      <c r="I1783" s="48" t="s">
        <v>5038</v>
      </c>
      <c r="J1783" s="48" t="s">
        <v>5039</v>
      </c>
      <c r="K1783" s="48" t="s">
        <v>1323</v>
      </c>
      <c r="L1783" s="48" t="s">
        <v>5040</v>
      </c>
      <c r="M1783" s="48" t="s">
        <v>4432</v>
      </c>
      <c r="N1783" s="48" t="s">
        <v>1310</v>
      </c>
      <c r="O1783" s="48" t="s">
        <v>1311</v>
      </c>
      <c r="P1783" s="48" t="s">
        <v>1312</v>
      </c>
      <c r="Q1783" s="48" t="s">
        <v>31</v>
      </c>
      <c r="R1783" s="48" t="s">
        <v>31</v>
      </c>
      <c r="S1783" s="48" t="s">
        <v>31</v>
      </c>
      <c r="T1783" s="48" t="s">
        <v>31</v>
      </c>
      <c r="U1783" s="46" t="s">
        <v>1154</v>
      </c>
    </row>
    <row r="1784" spans="1:21">
      <c r="A1784" s="48" t="s">
        <v>1172</v>
      </c>
      <c r="B1784" s="48" t="s">
        <v>112</v>
      </c>
      <c r="C1784" s="48" t="s">
        <v>666</v>
      </c>
      <c r="D1784" s="48">
        <v>3</v>
      </c>
      <c r="E1784" s="48">
        <v>1</v>
      </c>
      <c r="F1784" t="s">
        <v>755</v>
      </c>
      <c r="G1784" s="48" t="s">
        <v>1305</v>
      </c>
      <c r="H1784" s="48" t="s">
        <v>5041</v>
      </c>
      <c r="I1784" s="48" t="s">
        <v>5041</v>
      </c>
      <c r="J1784" s="48" t="s">
        <v>5042</v>
      </c>
      <c r="K1784" s="48" t="s">
        <v>1307</v>
      </c>
      <c r="L1784" s="48" t="s">
        <v>5043</v>
      </c>
      <c r="M1784" s="48" t="s">
        <v>4432</v>
      </c>
      <c r="N1784" s="48" t="s">
        <v>1310</v>
      </c>
      <c r="O1784" s="48" t="s">
        <v>1311</v>
      </c>
      <c r="P1784" s="48" t="s">
        <v>1312</v>
      </c>
      <c r="Q1784" s="48" t="s">
        <v>31</v>
      </c>
      <c r="R1784" s="48" t="s">
        <v>31</v>
      </c>
      <c r="S1784" s="48" t="s">
        <v>31</v>
      </c>
      <c r="T1784" s="48" t="s">
        <v>31</v>
      </c>
      <c r="U1784" s="46" t="s">
        <v>1154</v>
      </c>
    </row>
    <row r="1785" spans="1:21">
      <c r="A1785" s="48" t="s">
        <v>1172</v>
      </c>
      <c r="B1785" s="48" t="s">
        <v>112</v>
      </c>
      <c r="C1785" s="48" t="s">
        <v>666</v>
      </c>
      <c r="D1785" s="48">
        <v>3</v>
      </c>
      <c r="E1785" s="48">
        <v>1</v>
      </c>
      <c r="F1785" t="s">
        <v>755</v>
      </c>
      <c r="G1785" s="48" t="s">
        <v>1305</v>
      </c>
      <c r="H1785" s="48" t="s">
        <v>5044</v>
      </c>
      <c r="I1785" s="48" t="s">
        <v>5044</v>
      </c>
      <c r="J1785" s="48" t="s">
        <v>5045</v>
      </c>
      <c r="K1785" s="48" t="s">
        <v>1329</v>
      </c>
      <c r="L1785" s="48" t="s">
        <v>5046</v>
      </c>
      <c r="M1785" s="48" t="s">
        <v>4432</v>
      </c>
      <c r="N1785" s="48" t="s">
        <v>1310</v>
      </c>
      <c r="O1785" s="48" t="s">
        <v>1311</v>
      </c>
      <c r="P1785" s="48" t="s">
        <v>1312</v>
      </c>
      <c r="Q1785" s="48" t="s">
        <v>31</v>
      </c>
      <c r="R1785" s="48" t="s">
        <v>31</v>
      </c>
      <c r="S1785" s="48" t="s">
        <v>31</v>
      </c>
      <c r="T1785" s="48" t="s">
        <v>31</v>
      </c>
      <c r="U1785" s="46" t="s">
        <v>1154</v>
      </c>
    </row>
    <row r="1786" spans="1:21">
      <c r="A1786" s="48" t="s">
        <v>1160</v>
      </c>
      <c r="B1786" s="48" t="s">
        <v>112</v>
      </c>
      <c r="C1786" s="48" t="s">
        <v>689</v>
      </c>
      <c r="D1786" s="48">
        <v>3</v>
      </c>
      <c r="E1786" s="48">
        <v>1</v>
      </c>
      <c r="F1786" t="s">
        <v>708</v>
      </c>
      <c r="G1786" s="48" t="s">
        <v>1305</v>
      </c>
      <c r="H1786" s="48" t="s">
        <v>5023</v>
      </c>
      <c r="I1786" s="48" t="s">
        <v>5023</v>
      </c>
      <c r="J1786" s="48" t="s">
        <v>5047</v>
      </c>
      <c r="K1786" s="48" t="s">
        <v>1332</v>
      </c>
      <c r="L1786" s="48" t="s">
        <v>5048</v>
      </c>
      <c r="M1786" s="48" t="s">
        <v>4432</v>
      </c>
      <c r="N1786" s="48" t="s">
        <v>1310</v>
      </c>
      <c r="O1786" s="48" t="s">
        <v>1311</v>
      </c>
      <c r="P1786" s="48" t="s">
        <v>1312</v>
      </c>
      <c r="Q1786" s="48" t="s">
        <v>31</v>
      </c>
      <c r="R1786" s="48" t="s">
        <v>31</v>
      </c>
      <c r="S1786" s="48" t="s">
        <v>31</v>
      </c>
      <c r="T1786" s="48" t="s">
        <v>31</v>
      </c>
      <c r="U1786" s="46" t="s">
        <v>1154</v>
      </c>
    </row>
    <row r="1787" spans="1:21">
      <c r="A1787" s="48" t="s">
        <v>1160</v>
      </c>
      <c r="B1787" s="48" t="s">
        <v>112</v>
      </c>
      <c r="C1787" s="48" t="s">
        <v>689</v>
      </c>
      <c r="D1787" s="48">
        <v>3</v>
      </c>
      <c r="E1787" s="48">
        <v>1</v>
      </c>
      <c r="F1787" t="s">
        <v>708</v>
      </c>
      <c r="G1787" s="48" t="s">
        <v>1305</v>
      </c>
      <c r="H1787" s="48" t="s">
        <v>5029</v>
      </c>
      <c r="I1787" s="48" t="s">
        <v>5029</v>
      </c>
      <c r="J1787" s="48" t="s">
        <v>5049</v>
      </c>
      <c r="K1787" s="48" t="s">
        <v>1317</v>
      </c>
      <c r="L1787" s="48" t="s">
        <v>5050</v>
      </c>
      <c r="M1787" s="48" t="s">
        <v>4432</v>
      </c>
      <c r="N1787" s="48" t="s">
        <v>1310</v>
      </c>
      <c r="O1787" s="48" t="s">
        <v>1311</v>
      </c>
      <c r="P1787" s="48" t="s">
        <v>1312</v>
      </c>
      <c r="Q1787" s="48" t="s">
        <v>31</v>
      </c>
      <c r="R1787" s="48" t="s">
        <v>31</v>
      </c>
      <c r="S1787" s="48" t="s">
        <v>31</v>
      </c>
      <c r="T1787" s="48" t="s">
        <v>31</v>
      </c>
      <c r="U1787" s="46" t="s">
        <v>1154</v>
      </c>
    </row>
    <row r="1788" spans="1:21">
      <c r="A1788" s="48" t="s">
        <v>1160</v>
      </c>
      <c r="B1788" s="48" t="s">
        <v>112</v>
      </c>
      <c r="C1788" s="48" t="s">
        <v>689</v>
      </c>
      <c r="D1788" s="48">
        <v>3</v>
      </c>
      <c r="E1788" s="48">
        <v>1</v>
      </c>
      <c r="F1788" t="s">
        <v>708</v>
      </c>
      <c r="G1788" s="48" t="s">
        <v>1305</v>
      </c>
      <c r="H1788" s="48" t="s">
        <v>5032</v>
      </c>
      <c r="I1788" s="48" t="s">
        <v>5032</v>
      </c>
      <c r="J1788" s="48" t="s">
        <v>5051</v>
      </c>
      <c r="K1788" s="48" t="s">
        <v>1326</v>
      </c>
      <c r="L1788" s="48" t="s">
        <v>5052</v>
      </c>
      <c r="M1788" s="48" t="s">
        <v>4432</v>
      </c>
      <c r="N1788" s="48" t="s">
        <v>1310</v>
      </c>
      <c r="O1788" s="48" t="s">
        <v>1311</v>
      </c>
      <c r="P1788" s="48" t="s">
        <v>1312</v>
      </c>
      <c r="Q1788" s="48" t="s">
        <v>31</v>
      </c>
      <c r="R1788" s="48" t="s">
        <v>31</v>
      </c>
      <c r="S1788" s="48" t="s">
        <v>31</v>
      </c>
      <c r="T1788" s="48" t="s">
        <v>31</v>
      </c>
      <c r="U1788" s="46" t="s">
        <v>1154</v>
      </c>
    </row>
    <row r="1789" spans="1:21">
      <c r="A1789" s="48" t="s">
        <v>1160</v>
      </c>
      <c r="B1789" s="48" t="s">
        <v>112</v>
      </c>
      <c r="C1789" s="48" t="s">
        <v>689</v>
      </c>
      <c r="D1789" s="48">
        <v>3</v>
      </c>
      <c r="E1789" s="48">
        <v>1</v>
      </c>
      <c r="F1789" t="s">
        <v>708</v>
      </c>
      <c r="G1789" s="48" t="s">
        <v>1305</v>
      </c>
      <c r="H1789" s="48" t="s">
        <v>5035</v>
      </c>
      <c r="I1789" s="48" t="s">
        <v>5035</v>
      </c>
      <c r="J1789" s="48" t="s">
        <v>5053</v>
      </c>
      <c r="K1789" s="48" t="s">
        <v>1314</v>
      </c>
      <c r="L1789" s="48" t="s">
        <v>5054</v>
      </c>
      <c r="M1789" s="48" t="s">
        <v>4432</v>
      </c>
      <c r="N1789" s="48" t="s">
        <v>1310</v>
      </c>
      <c r="O1789" s="48" t="s">
        <v>1311</v>
      </c>
      <c r="P1789" s="48" t="s">
        <v>1312</v>
      </c>
      <c r="Q1789" s="48" t="s">
        <v>31</v>
      </c>
      <c r="R1789" s="48" t="s">
        <v>31</v>
      </c>
      <c r="S1789" s="48" t="s">
        <v>31</v>
      </c>
      <c r="T1789" s="48" t="s">
        <v>31</v>
      </c>
      <c r="U1789" s="46" t="s">
        <v>1154</v>
      </c>
    </row>
    <row r="1790" spans="1:21">
      <c r="A1790" s="48" t="s">
        <v>1160</v>
      </c>
      <c r="B1790" s="48" t="s">
        <v>112</v>
      </c>
      <c r="C1790" s="48" t="s">
        <v>689</v>
      </c>
      <c r="D1790" s="48">
        <v>3</v>
      </c>
      <c r="E1790" s="48">
        <v>1</v>
      </c>
      <c r="F1790" t="s">
        <v>708</v>
      </c>
      <c r="G1790" s="48" t="s">
        <v>1305</v>
      </c>
      <c r="H1790" s="48" t="s">
        <v>5044</v>
      </c>
      <c r="I1790" s="48" t="s">
        <v>5044</v>
      </c>
      <c r="J1790" s="48" t="s">
        <v>5055</v>
      </c>
      <c r="K1790" s="48" t="s">
        <v>1329</v>
      </c>
      <c r="L1790" s="48" t="s">
        <v>5056</v>
      </c>
      <c r="M1790" s="48" t="s">
        <v>4432</v>
      </c>
      <c r="N1790" s="48" t="s">
        <v>1310</v>
      </c>
      <c r="O1790" s="48" t="s">
        <v>1311</v>
      </c>
      <c r="P1790" s="48" t="s">
        <v>1312</v>
      </c>
      <c r="Q1790" s="48" t="s">
        <v>31</v>
      </c>
      <c r="R1790" s="48" t="s">
        <v>31</v>
      </c>
      <c r="S1790" s="48" t="s">
        <v>31</v>
      </c>
      <c r="T1790" s="48" t="s">
        <v>31</v>
      </c>
      <c r="U1790" s="46" t="s">
        <v>1154</v>
      </c>
    </row>
    <row r="1791" spans="1:21">
      <c r="A1791" s="48" t="s">
        <v>1160</v>
      </c>
      <c r="B1791" s="48" t="s">
        <v>112</v>
      </c>
      <c r="C1791" s="48" t="s">
        <v>689</v>
      </c>
      <c r="D1791" s="48">
        <v>3</v>
      </c>
      <c r="E1791" s="48">
        <v>1</v>
      </c>
      <c r="F1791" t="s">
        <v>708</v>
      </c>
      <c r="G1791" s="48" t="s">
        <v>1305</v>
      </c>
      <c r="H1791" s="48" t="s">
        <v>5038</v>
      </c>
      <c r="I1791" s="48" t="s">
        <v>5038</v>
      </c>
      <c r="J1791" s="48" t="s">
        <v>5057</v>
      </c>
      <c r="K1791" s="48" t="s">
        <v>1323</v>
      </c>
      <c r="L1791" s="48" t="s">
        <v>5058</v>
      </c>
      <c r="M1791" s="48" t="s">
        <v>4432</v>
      </c>
      <c r="N1791" s="48" t="s">
        <v>1310</v>
      </c>
      <c r="O1791" s="48" t="s">
        <v>1311</v>
      </c>
      <c r="P1791" s="48" t="s">
        <v>1312</v>
      </c>
      <c r="Q1791" s="48" t="s">
        <v>31</v>
      </c>
      <c r="R1791" s="48" t="s">
        <v>31</v>
      </c>
      <c r="S1791" s="48" t="s">
        <v>31</v>
      </c>
      <c r="T1791" s="48" t="s">
        <v>31</v>
      </c>
      <c r="U1791" s="46" t="s">
        <v>1154</v>
      </c>
    </row>
    <row r="1792" spans="1:21">
      <c r="A1792" s="48" t="s">
        <v>1160</v>
      </c>
      <c r="B1792" s="48" t="s">
        <v>112</v>
      </c>
      <c r="C1792" s="48" t="s">
        <v>689</v>
      </c>
      <c r="D1792" s="48">
        <v>3</v>
      </c>
      <c r="E1792" s="48">
        <v>1</v>
      </c>
      <c r="F1792" t="s">
        <v>708</v>
      </c>
      <c r="G1792" s="48" t="s">
        <v>1305</v>
      </c>
      <c r="H1792" s="48" t="s">
        <v>5026</v>
      </c>
      <c r="I1792" s="48" t="s">
        <v>5026</v>
      </c>
      <c r="J1792" s="48" t="s">
        <v>5059</v>
      </c>
      <c r="K1792" s="48" t="s">
        <v>1320</v>
      </c>
      <c r="L1792" s="48" t="s">
        <v>5060</v>
      </c>
      <c r="M1792" s="48" t="s">
        <v>4432</v>
      </c>
      <c r="N1792" s="48" t="s">
        <v>1310</v>
      </c>
      <c r="O1792" s="48" t="s">
        <v>1311</v>
      </c>
      <c r="P1792" s="48" t="s">
        <v>1312</v>
      </c>
      <c r="Q1792" s="48" t="s">
        <v>31</v>
      </c>
      <c r="R1792" s="48" t="s">
        <v>31</v>
      </c>
      <c r="S1792" s="48" t="s">
        <v>31</v>
      </c>
      <c r="T1792" s="48" t="s">
        <v>31</v>
      </c>
      <c r="U1792" s="46" t="s">
        <v>1154</v>
      </c>
    </row>
    <row r="1793" spans="1:21">
      <c r="A1793" s="48" t="s">
        <v>1160</v>
      </c>
      <c r="B1793" s="48" t="s">
        <v>112</v>
      </c>
      <c r="C1793" s="48" t="s">
        <v>689</v>
      </c>
      <c r="D1793" s="48">
        <v>3</v>
      </c>
      <c r="E1793" s="48">
        <v>1</v>
      </c>
      <c r="F1793" t="s">
        <v>708</v>
      </c>
      <c r="G1793" s="48" t="s">
        <v>1305</v>
      </c>
      <c r="H1793" s="48" t="s">
        <v>5041</v>
      </c>
      <c r="I1793" s="48" t="s">
        <v>5041</v>
      </c>
      <c r="J1793" s="48" t="s">
        <v>5061</v>
      </c>
      <c r="K1793" s="48" t="s">
        <v>1307</v>
      </c>
      <c r="L1793" s="48" t="s">
        <v>5062</v>
      </c>
      <c r="M1793" s="48" t="s">
        <v>4432</v>
      </c>
      <c r="N1793" s="48" t="s">
        <v>1310</v>
      </c>
      <c r="O1793" s="48" t="s">
        <v>1311</v>
      </c>
      <c r="P1793" s="48" t="s">
        <v>1312</v>
      </c>
      <c r="Q1793" s="48" t="s">
        <v>31</v>
      </c>
      <c r="R1793" s="48" t="s">
        <v>31</v>
      </c>
      <c r="S1793" s="48" t="s">
        <v>31</v>
      </c>
      <c r="T1793" s="48" t="s">
        <v>31</v>
      </c>
      <c r="U1793" s="46" t="s">
        <v>1154</v>
      </c>
    </row>
    <row r="1794" spans="1:21">
      <c r="A1794" s="48" t="s">
        <v>1156</v>
      </c>
      <c r="B1794" s="48" t="s">
        <v>112</v>
      </c>
      <c r="C1794" s="48" t="s">
        <v>814</v>
      </c>
      <c r="D1794" s="48">
        <v>3</v>
      </c>
      <c r="E1794" s="48">
        <v>1</v>
      </c>
      <c r="F1794" t="s">
        <v>1149</v>
      </c>
      <c r="G1794" s="48" t="s">
        <v>1305</v>
      </c>
      <c r="H1794" s="48" t="s">
        <v>2546</v>
      </c>
      <c r="I1794" s="48" t="s">
        <v>2546</v>
      </c>
      <c r="J1794" s="48" t="s">
        <v>5063</v>
      </c>
      <c r="K1794" s="48" t="s">
        <v>1317</v>
      </c>
      <c r="L1794" s="48" t="s">
        <v>5064</v>
      </c>
      <c r="M1794" s="48" t="s">
        <v>4432</v>
      </c>
      <c r="N1794" s="48" t="s">
        <v>1310</v>
      </c>
      <c r="O1794" s="48" t="s">
        <v>1311</v>
      </c>
      <c r="P1794" s="48" t="s">
        <v>1312</v>
      </c>
      <c r="Q1794" s="48" t="s">
        <v>31</v>
      </c>
      <c r="R1794" s="48" t="s">
        <v>31</v>
      </c>
      <c r="S1794" s="48" t="s">
        <v>31</v>
      </c>
      <c r="T1794" s="48" t="s">
        <v>31</v>
      </c>
      <c r="U1794" s="46" t="s">
        <v>1154</v>
      </c>
    </row>
    <row r="1795" spans="1:21">
      <c r="A1795" s="48" t="s">
        <v>1156</v>
      </c>
      <c r="B1795" s="48" t="s">
        <v>112</v>
      </c>
      <c r="C1795" s="48" t="s">
        <v>814</v>
      </c>
      <c r="D1795" s="48">
        <v>3</v>
      </c>
      <c r="E1795" s="48">
        <v>1</v>
      </c>
      <c r="F1795" t="s">
        <v>1149</v>
      </c>
      <c r="G1795" s="48" t="s">
        <v>1305</v>
      </c>
      <c r="H1795" s="48" t="s">
        <v>2542</v>
      </c>
      <c r="I1795" s="48" t="s">
        <v>2542</v>
      </c>
      <c r="J1795" s="48" t="s">
        <v>5065</v>
      </c>
      <c r="K1795" s="48" t="s">
        <v>1307</v>
      </c>
      <c r="L1795" s="48" t="s">
        <v>5066</v>
      </c>
      <c r="M1795" s="48" t="s">
        <v>4432</v>
      </c>
      <c r="N1795" s="48" t="s">
        <v>1310</v>
      </c>
      <c r="O1795" s="48" t="s">
        <v>1311</v>
      </c>
      <c r="P1795" s="48" t="s">
        <v>1312</v>
      </c>
      <c r="Q1795" s="48" t="s">
        <v>31</v>
      </c>
      <c r="R1795" s="48" t="s">
        <v>31</v>
      </c>
      <c r="S1795" s="48" t="s">
        <v>31</v>
      </c>
      <c r="T1795" s="48" t="s">
        <v>31</v>
      </c>
      <c r="U1795" s="46" t="s">
        <v>1154</v>
      </c>
    </row>
    <row r="1796" spans="1:21">
      <c r="A1796" s="48" t="s">
        <v>1156</v>
      </c>
      <c r="B1796" s="48" t="s">
        <v>112</v>
      </c>
      <c r="C1796" s="48" t="s">
        <v>814</v>
      </c>
      <c r="D1796" s="48">
        <v>3</v>
      </c>
      <c r="E1796" s="48">
        <v>1</v>
      </c>
      <c r="F1796" t="s">
        <v>1149</v>
      </c>
      <c r="G1796" s="48" t="s">
        <v>1305</v>
      </c>
      <c r="H1796" s="48" t="s">
        <v>2556</v>
      </c>
      <c r="I1796" s="48" t="s">
        <v>2556</v>
      </c>
      <c r="J1796" s="48" t="s">
        <v>5067</v>
      </c>
      <c r="K1796" s="48" t="s">
        <v>1332</v>
      </c>
      <c r="L1796" s="48" t="s">
        <v>5068</v>
      </c>
      <c r="M1796" s="48" t="s">
        <v>4432</v>
      </c>
      <c r="N1796" s="48" t="s">
        <v>1310</v>
      </c>
      <c r="O1796" s="48" t="s">
        <v>1311</v>
      </c>
      <c r="P1796" s="48" t="s">
        <v>1312</v>
      </c>
      <c r="Q1796" s="48" t="s">
        <v>31</v>
      </c>
      <c r="R1796" s="48" t="s">
        <v>31</v>
      </c>
      <c r="S1796" s="48" t="s">
        <v>31</v>
      </c>
      <c r="T1796" s="48" t="s">
        <v>31</v>
      </c>
      <c r="U1796" s="46" t="s">
        <v>1154</v>
      </c>
    </row>
    <row r="1797" spans="1:21">
      <c r="A1797" s="48" t="s">
        <v>1156</v>
      </c>
      <c r="B1797" s="48" t="s">
        <v>112</v>
      </c>
      <c r="C1797" s="48" t="s">
        <v>814</v>
      </c>
      <c r="D1797" s="48">
        <v>3</v>
      </c>
      <c r="E1797" s="48">
        <v>1</v>
      </c>
      <c r="F1797" t="s">
        <v>1149</v>
      </c>
      <c r="G1797" s="48" t="s">
        <v>1305</v>
      </c>
      <c r="H1797" s="48" t="s">
        <v>2544</v>
      </c>
      <c r="I1797" s="48" t="s">
        <v>2544</v>
      </c>
      <c r="J1797" s="48" t="s">
        <v>5069</v>
      </c>
      <c r="K1797" s="48" t="s">
        <v>1314</v>
      </c>
      <c r="L1797" s="48" t="s">
        <v>5070</v>
      </c>
      <c r="M1797" s="48" t="s">
        <v>4432</v>
      </c>
      <c r="N1797" s="48" t="s">
        <v>1310</v>
      </c>
      <c r="O1797" s="48" t="s">
        <v>1311</v>
      </c>
      <c r="P1797" s="48" t="s">
        <v>1312</v>
      </c>
      <c r="Q1797" s="48" t="s">
        <v>31</v>
      </c>
      <c r="R1797" s="48" t="s">
        <v>31</v>
      </c>
      <c r="S1797" s="48" t="s">
        <v>31</v>
      </c>
      <c r="T1797" s="48" t="s">
        <v>31</v>
      </c>
      <c r="U1797" s="46" t="s">
        <v>1154</v>
      </c>
    </row>
    <row r="1798" spans="1:21">
      <c r="A1798" s="48" t="s">
        <v>1156</v>
      </c>
      <c r="B1798" s="48" t="s">
        <v>112</v>
      </c>
      <c r="C1798" s="48" t="s">
        <v>814</v>
      </c>
      <c r="D1798" s="48">
        <v>3</v>
      </c>
      <c r="E1798" s="48">
        <v>1</v>
      </c>
      <c r="F1798" t="s">
        <v>1149</v>
      </c>
      <c r="G1798" s="48" t="s">
        <v>1305</v>
      </c>
      <c r="H1798" s="48" t="s">
        <v>2550</v>
      </c>
      <c r="I1798" s="48" t="s">
        <v>2550</v>
      </c>
      <c r="J1798" s="48" t="s">
        <v>5071</v>
      </c>
      <c r="K1798" s="48" t="s">
        <v>1323</v>
      </c>
      <c r="L1798" s="48" t="s">
        <v>5072</v>
      </c>
      <c r="M1798" s="48" t="s">
        <v>4432</v>
      </c>
      <c r="N1798" s="48" t="s">
        <v>1310</v>
      </c>
      <c r="O1798" s="48" t="s">
        <v>1311</v>
      </c>
      <c r="P1798" s="48" t="s">
        <v>1312</v>
      </c>
      <c r="Q1798" s="48" t="s">
        <v>31</v>
      </c>
      <c r="R1798" s="48" t="s">
        <v>31</v>
      </c>
      <c r="S1798" s="48" t="s">
        <v>31</v>
      </c>
      <c r="T1798" s="48" t="s">
        <v>31</v>
      </c>
      <c r="U1798" s="46" t="s">
        <v>1154</v>
      </c>
    </row>
    <row r="1799" spans="1:21">
      <c r="A1799" s="48" t="s">
        <v>1156</v>
      </c>
      <c r="B1799" s="48" t="s">
        <v>112</v>
      </c>
      <c r="C1799" s="48" t="s">
        <v>814</v>
      </c>
      <c r="D1799" s="48">
        <v>3</v>
      </c>
      <c r="E1799" s="48">
        <v>1</v>
      </c>
      <c r="F1799" t="s">
        <v>1149</v>
      </c>
      <c r="G1799" s="48" t="s">
        <v>1305</v>
      </c>
      <c r="H1799" s="48" t="s">
        <v>2552</v>
      </c>
      <c r="I1799" s="48" t="s">
        <v>2552</v>
      </c>
      <c r="J1799" s="48" t="s">
        <v>5073</v>
      </c>
      <c r="K1799" s="48" t="s">
        <v>1326</v>
      </c>
      <c r="L1799" s="48" t="s">
        <v>5074</v>
      </c>
      <c r="M1799" s="48" t="s">
        <v>4432</v>
      </c>
      <c r="N1799" s="48" t="s">
        <v>1310</v>
      </c>
      <c r="O1799" s="48" t="s">
        <v>1311</v>
      </c>
      <c r="P1799" s="48" t="s">
        <v>1312</v>
      </c>
      <c r="Q1799" s="48" t="s">
        <v>31</v>
      </c>
      <c r="R1799" s="48" t="s">
        <v>31</v>
      </c>
      <c r="S1799" s="48" t="s">
        <v>31</v>
      </c>
      <c r="T1799" s="48" t="s">
        <v>31</v>
      </c>
      <c r="U1799" s="46" t="s">
        <v>1154</v>
      </c>
    </row>
    <row r="1800" spans="1:21">
      <c r="A1800" s="48" t="s">
        <v>1156</v>
      </c>
      <c r="B1800" s="48" t="s">
        <v>112</v>
      </c>
      <c r="C1800" s="48" t="s">
        <v>814</v>
      </c>
      <c r="D1800" s="48">
        <v>3</v>
      </c>
      <c r="E1800" s="48">
        <v>1</v>
      </c>
      <c r="F1800" t="s">
        <v>1149</v>
      </c>
      <c r="G1800" s="48" t="s">
        <v>1305</v>
      </c>
      <c r="H1800" s="48" t="s">
        <v>2554</v>
      </c>
      <c r="I1800" s="48" t="s">
        <v>2554</v>
      </c>
      <c r="J1800" s="48" t="s">
        <v>5075</v>
      </c>
      <c r="K1800" s="48" t="s">
        <v>1329</v>
      </c>
      <c r="L1800" s="48" t="s">
        <v>5076</v>
      </c>
      <c r="M1800" s="48" t="s">
        <v>4432</v>
      </c>
      <c r="N1800" s="48" t="s">
        <v>1310</v>
      </c>
      <c r="O1800" s="48" t="s">
        <v>1311</v>
      </c>
      <c r="P1800" s="48" t="s">
        <v>1312</v>
      </c>
      <c r="Q1800" s="48" t="s">
        <v>31</v>
      </c>
      <c r="R1800" s="48" t="s">
        <v>31</v>
      </c>
      <c r="S1800" s="48" t="s">
        <v>31</v>
      </c>
      <c r="T1800" s="48" t="s">
        <v>31</v>
      </c>
      <c r="U1800" s="46" t="s">
        <v>1154</v>
      </c>
    </row>
    <row r="1801" spans="1:21">
      <c r="A1801" s="48" t="s">
        <v>1156</v>
      </c>
      <c r="B1801" s="48" t="s">
        <v>112</v>
      </c>
      <c r="C1801" s="48" t="s">
        <v>814</v>
      </c>
      <c r="D1801" s="48">
        <v>3</v>
      </c>
      <c r="E1801" s="48">
        <v>1</v>
      </c>
      <c r="F1801" t="s">
        <v>1149</v>
      </c>
      <c r="G1801" s="48" t="s">
        <v>1305</v>
      </c>
      <c r="H1801" s="48" t="s">
        <v>2548</v>
      </c>
      <c r="I1801" s="48" t="s">
        <v>2548</v>
      </c>
      <c r="J1801" s="48" t="s">
        <v>5077</v>
      </c>
      <c r="K1801" s="48" t="s">
        <v>1320</v>
      </c>
      <c r="L1801" s="48" t="s">
        <v>5078</v>
      </c>
      <c r="M1801" s="48" t="s">
        <v>4432</v>
      </c>
      <c r="N1801" s="48" t="s">
        <v>1310</v>
      </c>
      <c r="O1801" s="48" t="s">
        <v>1311</v>
      </c>
      <c r="P1801" s="48" t="s">
        <v>1312</v>
      </c>
      <c r="Q1801" s="48" t="s">
        <v>31</v>
      </c>
      <c r="R1801" s="48" t="s">
        <v>31</v>
      </c>
      <c r="S1801" s="48" t="s">
        <v>31</v>
      </c>
      <c r="T1801" s="48" t="s">
        <v>31</v>
      </c>
      <c r="U1801" s="46" t="s">
        <v>1154</v>
      </c>
    </row>
    <row r="1802" spans="1:21">
      <c r="A1802" s="48" t="s">
        <v>1178</v>
      </c>
      <c r="B1802" s="48" t="s">
        <v>113</v>
      </c>
      <c r="C1802" s="48" t="s">
        <v>666</v>
      </c>
      <c r="D1802" s="48">
        <v>1</v>
      </c>
      <c r="E1802" s="48">
        <v>0</v>
      </c>
      <c r="F1802" t="s">
        <v>692</v>
      </c>
      <c r="G1802" s="48" t="s">
        <v>1305</v>
      </c>
      <c r="H1802" s="48" t="s">
        <v>2162</v>
      </c>
      <c r="I1802" s="48" t="s">
        <v>2162</v>
      </c>
      <c r="J1802" s="48" t="s">
        <v>5079</v>
      </c>
      <c r="K1802" s="48" t="s">
        <v>1317</v>
      </c>
      <c r="L1802" s="48" t="s">
        <v>5080</v>
      </c>
      <c r="M1802" s="48" t="s">
        <v>4432</v>
      </c>
      <c r="N1802" s="48" t="s">
        <v>1310</v>
      </c>
      <c r="O1802" s="48" t="s">
        <v>1311</v>
      </c>
      <c r="P1802" s="48" t="s">
        <v>1312</v>
      </c>
      <c r="Q1802" s="48" t="s">
        <v>31</v>
      </c>
      <c r="R1802" s="48" t="s">
        <v>31</v>
      </c>
      <c r="S1802" s="48" t="s">
        <v>31</v>
      </c>
      <c r="T1802" s="48" t="s">
        <v>31</v>
      </c>
      <c r="U1802" s="46" t="s">
        <v>1154</v>
      </c>
    </row>
    <row r="1803" spans="1:21">
      <c r="A1803" s="48" t="s">
        <v>1178</v>
      </c>
      <c r="B1803" s="48" t="s">
        <v>113</v>
      </c>
      <c r="C1803" s="48" t="s">
        <v>666</v>
      </c>
      <c r="D1803" s="48">
        <v>1</v>
      </c>
      <c r="E1803" s="48">
        <v>0</v>
      </c>
      <c r="F1803" t="s">
        <v>692</v>
      </c>
      <c r="G1803" s="48" t="s">
        <v>1305</v>
      </c>
      <c r="H1803" s="48" t="s">
        <v>2170</v>
      </c>
      <c r="I1803" s="48" t="s">
        <v>2170</v>
      </c>
      <c r="J1803" s="48" t="s">
        <v>5081</v>
      </c>
      <c r="K1803" s="48" t="s">
        <v>1329</v>
      </c>
      <c r="L1803" s="48" t="s">
        <v>5082</v>
      </c>
      <c r="M1803" s="48" t="s">
        <v>4432</v>
      </c>
      <c r="N1803" s="48" t="s">
        <v>1310</v>
      </c>
      <c r="O1803" s="48" t="s">
        <v>1311</v>
      </c>
      <c r="P1803" s="48" t="s">
        <v>1312</v>
      </c>
      <c r="Q1803" s="48" t="s">
        <v>31</v>
      </c>
      <c r="R1803" s="48" t="s">
        <v>31</v>
      </c>
      <c r="S1803" s="48" t="s">
        <v>31</v>
      </c>
      <c r="T1803" s="48" t="s">
        <v>31</v>
      </c>
      <c r="U1803" s="46" t="s">
        <v>1154</v>
      </c>
    </row>
    <row r="1804" spans="1:21">
      <c r="A1804" s="48" t="s">
        <v>1178</v>
      </c>
      <c r="B1804" s="48" t="s">
        <v>113</v>
      </c>
      <c r="C1804" s="48" t="s">
        <v>666</v>
      </c>
      <c r="D1804" s="48">
        <v>1</v>
      </c>
      <c r="E1804" s="48">
        <v>0</v>
      </c>
      <c r="F1804" t="s">
        <v>692</v>
      </c>
      <c r="G1804" s="48" t="s">
        <v>1305</v>
      </c>
      <c r="H1804" s="48" t="s">
        <v>2172</v>
      </c>
      <c r="I1804" s="48" t="s">
        <v>2172</v>
      </c>
      <c r="J1804" s="48" t="s">
        <v>5083</v>
      </c>
      <c r="K1804" s="48" t="s">
        <v>1332</v>
      </c>
      <c r="L1804" s="48" t="s">
        <v>5084</v>
      </c>
      <c r="M1804" s="48" t="s">
        <v>4432</v>
      </c>
      <c r="N1804" s="48" t="s">
        <v>1310</v>
      </c>
      <c r="O1804" s="48" t="s">
        <v>1311</v>
      </c>
      <c r="P1804" s="48" t="s">
        <v>1312</v>
      </c>
      <c r="Q1804" s="48" t="s">
        <v>31</v>
      </c>
      <c r="R1804" s="48" t="s">
        <v>31</v>
      </c>
      <c r="S1804" s="48" t="s">
        <v>31</v>
      </c>
      <c r="T1804" s="48" t="s">
        <v>31</v>
      </c>
      <c r="U1804" s="46" t="s">
        <v>1154</v>
      </c>
    </row>
    <row r="1805" spans="1:21">
      <c r="A1805" s="48" t="s">
        <v>1178</v>
      </c>
      <c r="B1805" s="48" t="s">
        <v>113</v>
      </c>
      <c r="C1805" s="48" t="s">
        <v>666</v>
      </c>
      <c r="D1805" s="48">
        <v>1</v>
      </c>
      <c r="E1805" s="48">
        <v>0</v>
      </c>
      <c r="F1805" t="s">
        <v>692</v>
      </c>
      <c r="G1805" s="48" t="s">
        <v>1305</v>
      </c>
      <c r="H1805" s="48" t="s">
        <v>2158</v>
      </c>
      <c r="I1805" s="48" t="s">
        <v>2158</v>
      </c>
      <c r="J1805" s="48" t="s">
        <v>5085</v>
      </c>
      <c r="K1805" s="48" t="s">
        <v>1307</v>
      </c>
      <c r="L1805" s="48" t="s">
        <v>5086</v>
      </c>
      <c r="M1805" s="48" t="s">
        <v>4432</v>
      </c>
      <c r="N1805" s="48" t="s">
        <v>1310</v>
      </c>
      <c r="O1805" s="48" t="s">
        <v>1311</v>
      </c>
      <c r="P1805" s="48" t="s">
        <v>1312</v>
      </c>
      <c r="Q1805" s="48" t="s">
        <v>31</v>
      </c>
      <c r="R1805" s="48" t="s">
        <v>31</v>
      </c>
      <c r="S1805" s="48" t="s">
        <v>31</v>
      </c>
      <c r="T1805" s="48" t="s">
        <v>31</v>
      </c>
      <c r="U1805" s="46" t="s">
        <v>1154</v>
      </c>
    </row>
    <row r="1806" spans="1:21">
      <c r="A1806" s="48" t="s">
        <v>1178</v>
      </c>
      <c r="B1806" s="48" t="s">
        <v>113</v>
      </c>
      <c r="C1806" s="48" t="s">
        <v>666</v>
      </c>
      <c r="D1806" s="48">
        <v>1</v>
      </c>
      <c r="E1806" s="48">
        <v>0</v>
      </c>
      <c r="F1806" t="s">
        <v>692</v>
      </c>
      <c r="G1806" s="48" t="s">
        <v>1305</v>
      </c>
      <c r="H1806" s="48" t="s">
        <v>2164</v>
      </c>
      <c r="I1806" s="48" t="s">
        <v>2164</v>
      </c>
      <c r="J1806" s="48" t="s">
        <v>5087</v>
      </c>
      <c r="K1806" s="48" t="s">
        <v>1320</v>
      </c>
      <c r="L1806" s="48" t="s">
        <v>5088</v>
      </c>
      <c r="M1806" s="48" t="s">
        <v>4432</v>
      </c>
      <c r="N1806" s="48" t="s">
        <v>1310</v>
      </c>
      <c r="O1806" s="48" t="s">
        <v>1311</v>
      </c>
      <c r="P1806" s="48" t="s">
        <v>1312</v>
      </c>
      <c r="Q1806" s="48" t="s">
        <v>31</v>
      </c>
      <c r="R1806" s="48" t="s">
        <v>31</v>
      </c>
      <c r="S1806" s="48" t="s">
        <v>31</v>
      </c>
      <c r="T1806" s="48" t="s">
        <v>31</v>
      </c>
      <c r="U1806" s="46" t="s">
        <v>1154</v>
      </c>
    </row>
    <row r="1807" spans="1:21">
      <c r="A1807" s="48" t="s">
        <v>1178</v>
      </c>
      <c r="B1807" s="48" t="s">
        <v>113</v>
      </c>
      <c r="C1807" s="48" t="s">
        <v>666</v>
      </c>
      <c r="D1807" s="48">
        <v>1</v>
      </c>
      <c r="E1807" s="48">
        <v>0</v>
      </c>
      <c r="F1807" t="s">
        <v>692</v>
      </c>
      <c r="G1807" s="48" t="s">
        <v>1305</v>
      </c>
      <c r="H1807" s="48" t="s">
        <v>2160</v>
      </c>
      <c r="I1807" s="48" t="s">
        <v>2160</v>
      </c>
      <c r="J1807" s="48" t="s">
        <v>5089</v>
      </c>
      <c r="K1807" s="48" t="s">
        <v>1314</v>
      </c>
      <c r="L1807" s="48" t="s">
        <v>5090</v>
      </c>
      <c r="M1807" s="48" t="s">
        <v>4432</v>
      </c>
      <c r="N1807" s="48" t="s">
        <v>1310</v>
      </c>
      <c r="O1807" s="48" t="s">
        <v>1311</v>
      </c>
      <c r="P1807" s="48" t="s">
        <v>1312</v>
      </c>
      <c r="Q1807" s="48" t="s">
        <v>31</v>
      </c>
      <c r="R1807" s="48" t="s">
        <v>31</v>
      </c>
      <c r="S1807" s="48" t="s">
        <v>31</v>
      </c>
      <c r="T1807" s="48" t="s">
        <v>31</v>
      </c>
      <c r="U1807" s="46" t="s">
        <v>1154</v>
      </c>
    </row>
    <row r="1808" spans="1:21">
      <c r="A1808" s="48" t="s">
        <v>1178</v>
      </c>
      <c r="B1808" s="48" t="s">
        <v>113</v>
      </c>
      <c r="C1808" s="48" t="s">
        <v>666</v>
      </c>
      <c r="D1808" s="48">
        <v>1</v>
      </c>
      <c r="E1808" s="48">
        <v>0</v>
      </c>
      <c r="F1808" t="s">
        <v>692</v>
      </c>
      <c r="G1808" s="48" t="s">
        <v>1305</v>
      </c>
      <c r="H1808" s="48" t="s">
        <v>2168</v>
      </c>
      <c r="I1808" s="48" t="s">
        <v>2168</v>
      </c>
      <c r="J1808" s="48" t="s">
        <v>5091</v>
      </c>
      <c r="K1808" s="48" t="s">
        <v>1326</v>
      </c>
      <c r="L1808" s="48" t="s">
        <v>5092</v>
      </c>
      <c r="M1808" s="48" t="s">
        <v>4432</v>
      </c>
      <c r="N1808" s="48" t="s">
        <v>1310</v>
      </c>
      <c r="O1808" s="48" t="s">
        <v>1311</v>
      </c>
      <c r="P1808" s="48" t="s">
        <v>1312</v>
      </c>
      <c r="Q1808" s="48" t="s">
        <v>31</v>
      </c>
      <c r="R1808" s="48" t="s">
        <v>31</v>
      </c>
      <c r="S1808" s="48" t="s">
        <v>31</v>
      </c>
      <c r="T1808" s="48" t="s">
        <v>31</v>
      </c>
      <c r="U1808" s="46" t="s">
        <v>1154</v>
      </c>
    </row>
    <row r="1809" spans="1:21">
      <c r="A1809" s="48" t="s">
        <v>1178</v>
      </c>
      <c r="B1809" s="48" t="s">
        <v>113</v>
      </c>
      <c r="C1809" s="48" t="s">
        <v>666</v>
      </c>
      <c r="D1809" s="48">
        <v>1</v>
      </c>
      <c r="E1809" s="48">
        <v>0</v>
      </c>
      <c r="F1809" t="s">
        <v>692</v>
      </c>
      <c r="G1809" s="48" t="s">
        <v>1305</v>
      </c>
      <c r="H1809" s="48" t="s">
        <v>2166</v>
      </c>
      <c r="I1809" s="48" t="s">
        <v>2166</v>
      </c>
      <c r="J1809" s="48" t="s">
        <v>5093</v>
      </c>
      <c r="K1809" s="48" t="s">
        <v>1323</v>
      </c>
      <c r="L1809" s="48" t="s">
        <v>5094</v>
      </c>
      <c r="M1809" s="48" t="s">
        <v>4432</v>
      </c>
      <c r="N1809" s="48" t="s">
        <v>1310</v>
      </c>
      <c r="O1809" s="48" t="s">
        <v>1311</v>
      </c>
      <c r="P1809" s="48" t="s">
        <v>1312</v>
      </c>
      <c r="Q1809" s="48" t="s">
        <v>31</v>
      </c>
      <c r="R1809" s="48" t="s">
        <v>31</v>
      </c>
      <c r="S1809" s="48" t="s">
        <v>31</v>
      </c>
      <c r="T1809" s="48" t="s">
        <v>31</v>
      </c>
      <c r="U1809" s="46" t="s">
        <v>1154</v>
      </c>
    </row>
    <row r="1810" spans="1:21">
      <c r="A1810" s="48" t="s">
        <v>1259</v>
      </c>
      <c r="B1810" s="48" t="s">
        <v>115</v>
      </c>
      <c r="C1810" s="48" t="s">
        <v>666</v>
      </c>
      <c r="D1810" s="48">
        <v>1</v>
      </c>
      <c r="E1810" s="48">
        <v>0</v>
      </c>
      <c r="F1810" t="s">
        <v>706</v>
      </c>
      <c r="G1810" s="48" t="s">
        <v>1305</v>
      </c>
      <c r="H1810" s="48" t="s">
        <v>5095</v>
      </c>
      <c r="I1810" s="48" t="s">
        <v>5095</v>
      </c>
      <c r="J1810" s="48" t="s">
        <v>5096</v>
      </c>
      <c r="K1810" s="48" t="s">
        <v>1332</v>
      </c>
      <c r="L1810" s="48" t="s">
        <v>5097</v>
      </c>
      <c r="M1810" s="48" t="s">
        <v>4432</v>
      </c>
      <c r="N1810" s="48" t="s">
        <v>1310</v>
      </c>
      <c r="O1810" s="48" t="s">
        <v>1311</v>
      </c>
      <c r="P1810" s="48" t="s">
        <v>1312</v>
      </c>
      <c r="Q1810" s="48" t="s">
        <v>31</v>
      </c>
      <c r="R1810" s="48" t="s">
        <v>31</v>
      </c>
      <c r="S1810" s="48" t="s">
        <v>31</v>
      </c>
      <c r="T1810" s="48" t="s">
        <v>31</v>
      </c>
      <c r="U1810" s="46" t="s">
        <v>1154</v>
      </c>
    </row>
    <row r="1811" spans="1:21">
      <c r="A1811" s="48" t="s">
        <v>1259</v>
      </c>
      <c r="B1811" s="48" t="s">
        <v>115</v>
      </c>
      <c r="C1811" s="48" t="s">
        <v>666</v>
      </c>
      <c r="D1811" s="48">
        <v>1</v>
      </c>
      <c r="E1811" s="48">
        <v>0</v>
      </c>
      <c r="F1811" t="s">
        <v>706</v>
      </c>
      <c r="G1811" s="48" t="s">
        <v>1305</v>
      </c>
      <c r="H1811" s="48" t="s">
        <v>5098</v>
      </c>
      <c r="I1811" s="48" t="s">
        <v>5098</v>
      </c>
      <c r="J1811" s="48" t="s">
        <v>5099</v>
      </c>
      <c r="K1811" s="48" t="s">
        <v>1314</v>
      </c>
      <c r="L1811" s="48" t="s">
        <v>5100</v>
      </c>
      <c r="M1811" s="48" t="s">
        <v>4432</v>
      </c>
      <c r="N1811" s="48" t="s">
        <v>1310</v>
      </c>
      <c r="O1811" s="48" t="s">
        <v>1311</v>
      </c>
      <c r="P1811" s="48" t="s">
        <v>1312</v>
      </c>
      <c r="Q1811" s="48" t="s">
        <v>31</v>
      </c>
      <c r="R1811" s="48" t="s">
        <v>31</v>
      </c>
      <c r="S1811" s="48" t="s">
        <v>31</v>
      </c>
      <c r="T1811" s="48" t="s">
        <v>31</v>
      </c>
      <c r="U1811" s="46" t="s">
        <v>1154</v>
      </c>
    </row>
    <row r="1812" spans="1:21">
      <c r="A1812" s="48" t="s">
        <v>1259</v>
      </c>
      <c r="B1812" s="48" t="s">
        <v>115</v>
      </c>
      <c r="C1812" s="48" t="s">
        <v>666</v>
      </c>
      <c r="D1812" s="48">
        <v>1</v>
      </c>
      <c r="E1812" s="48">
        <v>0</v>
      </c>
      <c r="F1812" t="s">
        <v>706</v>
      </c>
      <c r="G1812" s="48" t="s">
        <v>1305</v>
      </c>
      <c r="H1812" s="48" t="s">
        <v>5101</v>
      </c>
      <c r="I1812" s="48" t="s">
        <v>5101</v>
      </c>
      <c r="J1812" s="48" t="s">
        <v>5102</v>
      </c>
      <c r="K1812" s="48" t="s">
        <v>1317</v>
      </c>
      <c r="L1812" s="48" t="s">
        <v>5103</v>
      </c>
      <c r="M1812" s="48" t="s">
        <v>4432</v>
      </c>
      <c r="N1812" s="48" t="s">
        <v>1310</v>
      </c>
      <c r="O1812" s="48" t="s">
        <v>1311</v>
      </c>
      <c r="P1812" s="48" t="s">
        <v>1312</v>
      </c>
      <c r="Q1812" s="48" t="s">
        <v>31</v>
      </c>
      <c r="R1812" s="48" t="s">
        <v>31</v>
      </c>
      <c r="S1812" s="48" t="s">
        <v>31</v>
      </c>
      <c r="T1812" s="48" t="s">
        <v>31</v>
      </c>
      <c r="U1812" s="46" t="s">
        <v>1154</v>
      </c>
    </row>
    <row r="1813" spans="1:21">
      <c r="A1813" s="48" t="s">
        <v>1259</v>
      </c>
      <c r="B1813" s="48" t="s">
        <v>115</v>
      </c>
      <c r="C1813" s="48" t="s">
        <v>666</v>
      </c>
      <c r="D1813" s="48">
        <v>1</v>
      </c>
      <c r="E1813" s="48">
        <v>0</v>
      </c>
      <c r="F1813" t="s">
        <v>706</v>
      </c>
      <c r="G1813" s="48" t="s">
        <v>1305</v>
      </c>
      <c r="H1813" s="48" t="s">
        <v>5104</v>
      </c>
      <c r="I1813" s="48" t="s">
        <v>5104</v>
      </c>
      <c r="J1813" s="48" t="s">
        <v>5105</v>
      </c>
      <c r="K1813" s="48" t="s">
        <v>1326</v>
      </c>
      <c r="L1813" s="48" t="s">
        <v>5106</v>
      </c>
      <c r="M1813" s="48" t="s">
        <v>4432</v>
      </c>
      <c r="N1813" s="48" t="s">
        <v>1310</v>
      </c>
      <c r="O1813" s="48" t="s">
        <v>1311</v>
      </c>
      <c r="P1813" s="48" t="s">
        <v>1312</v>
      </c>
      <c r="Q1813" s="48" t="s">
        <v>31</v>
      </c>
      <c r="R1813" s="48" t="s">
        <v>31</v>
      </c>
      <c r="S1813" s="48" t="s">
        <v>31</v>
      </c>
      <c r="T1813" s="48" t="s">
        <v>31</v>
      </c>
      <c r="U1813" s="46" t="s">
        <v>1154</v>
      </c>
    </row>
    <row r="1814" spans="1:21">
      <c r="A1814" s="48" t="s">
        <v>1259</v>
      </c>
      <c r="B1814" s="48" t="s">
        <v>115</v>
      </c>
      <c r="C1814" s="48" t="s">
        <v>666</v>
      </c>
      <c r="D1814" s="48">
        <v>1</v>
      </c>
      <c r="E1814" s="48">
        <v>0</v>
      </c>
      <c r="F1814" t="s">
        <v>706</v>
      </c>
      <c r="G1814" s="48" t="s">
        <v>1305</v>
      </c>
      <c r="H1814" s="48" t="s">
        <v>5107</v>
      </c>
      <c r="I1814" s="48" t="s">
        <v>5107</v>
      </c>
      <c r="J1814" s="48" t="s">
        <v>5108</v>
      </c>
      <c r="K1814" s="48" t="s">
        <v>1307</v>
      </c>
      <c r="L1814" s="48" t="s">
        <v>5109</v>
      </c>
      <c r="M1814" s="48" t="s">
        <v>4432</v>
      </c>
      <c r="N1814" s="48" t="s">
        <v>1310</v>
      </c>
      <c r="O1814" s="48" t="s">
        <v>1311</v>
      </c>
      <c r="P1814" s="48" t="s">
        <v>1312</v>
      </c>
      <c r="Q1814" s="48" t="s">
        <v>31</v>
      </c>
      <c r="R1814" s="48" t="s">
        <v>31</v>
      </c>
      <c r="S1814" s="48" t="s">
        <v>31</v>
      </c>
      <c r="T1814" s="48" t="s">
        <v>31</v>
      </c>
      <c r="U1814" s="46" t="s">
        <v>1154</v>
      </c>
    </row>
    <row r="1815" spans="1:21">
      <c r="A1815" s="48" t="s">
        <v>1259</v>
      </c>
      <c r="B1815" s="48" t="s">
        <v>115</v>
      </c>
      <c r="C1815" s="48" t="s">
        <v>666</v>
      </c>
      <c r="D1815" s="48">
        <v>1</v>
      </c>
      <c r="E1815" s="48">
        <v>0</v>
      </c>
      <c r="F1815" t="s">
        <v>706</v>
      </c>
      <c r="G1815" s="48" t="s">
        <v>1305</v>
      </c>
      <c r="H1815" s="48" t="s">
        <v>5110</v>
      </c>
      <c r="I1815" s="48" t="s">
        <v>5110</v>
      </c>
      <c r="J1815" s="48" t="s">
        <v>5111</v>
      </c>
      <c r="K1815" s="48" t="s">
        <v>1320</v>
      </c>
      <c r="L1815" s="48" t="s">
        <v>5112</v>
      </c>
      <c r="M1815" s="48" t="s">
        <v>4432</v>
      </c>
      <c r="N1815" s="48" t="s">
        <v>1310</v>
      </c>
      <c r="O1815" s="48" t="s">
        <v>1311</v>
      </c>
      <c r="P1815" s="48" t="s">
        <v>1312</v>
      </c>
      <c r="Q1815" s="48" t="s">
        <v>31</v>
      </c>
      <c r="R1815" s="48" t="s">
        <v>31</v>
      </c>
      <c r="S1815" s="48" t="s">
        <v>31</v>
      </c>
      <c r="T1815" s="48" t="s">
        <v>31</v>
      </c>
      <c r="U1815" s="46" t="s">
        <v>1154</v>
      </c>
    </row>
    <row r="1816" spans="1:21">
      <c r="A1816" s="48" t="s">
        <v>1259</v>
      </c>
      <c r="B1816" s="48" t="s">
        <v>115</v>
      </c>
      <c r="C1816" s="48" t="s">
        <v>666</v>
      </c>
      <c r="D1816" s="48">
        <v>1</v>
      </c>
      <c r="E1816" s="48">
        <v>0</v>
      </c>
      <c r="F1816" t="s">
        <v>706</v>
      </c>
      <c r="G1816" s="48" t="s">
        <v>1305</v>
      </c>
      <c r="H1816" s="48" t="s">
        <v>5113</v>
      </c>
      <c r="I1816" s="48" t="s">
        <v>5113</v>
      </c>
      <c r="J1816" s="48" t="s">
        <v>5114</v>
      </c>
      <c r="K1816" s="48" t="s">
        <v>1329</v>
      </c>
      <c r="L1816" s="48" t="s">
        <v>5115</v>
      </c>
      <c r="M1816" s="48" t="s">
        <v>4432</v>
      </c>
      <c r="N1816" s="48" t="s">
        <v>1310</v>
      </c>
      <c r="O1816" s="48" t="s">
        <v>1311</v>
      </c>
      <c r="P1816" s="48" t="s">
        <v>1312</v>
      </c>
      <c r="Q1816" s="48" t="s">
        <v>31</v>
      </c>
      <c r="R1816" s="48" t="s">
        <v>31</v>
      </c>
      <c r="S1816" s="48" t="s">
        <v>31</v>
      </c>
      <c r="T1816" s="48" t="s">
        <v>31</v>
      </c>
      <c r="U1816" s="46" t="s">
        <v>1154</v>
      </c>
    </row>
    <row r="1817" spans="1:21">
      <c r="A1817" s="48" t="s">
        <v>1259</v>
      </c>
      <c r="B1817" s="48" t="s">
        <v>115</v>
      </c>
      <c r="C1817" s="48" t="s">
        <v>666</v>
      </c>
      <c r="D1817" s="48">
        <v>1</v>
      </c>
      <c r="E1817" s="48">
        <v>0</v>
      </c>
      <c r="F1817" t="s">
        <v>706</v>
      </c>
      <c r="G1817" s="48" t="s">
        <v>1305</v>
      </c>
      <c r="H1817" s="48" t="s">
        <v>5116</v>
      </c>
      <c r="I1817" s="48" t="s">
        <v>5116</v>
      </c>
      <c r="J1817" s="48" t="s">
        <v>5117</v>
      </c>
      <c r="K1817" s="48" t="s">
        <v>1323</v>
      </c>
      <c r="L1817" s="48" t="s">
        <v>5118</v>
      </c>
      <c r="M1817" s="48" t="s">
        <v>4432</v>
      </c>
      <c r="N1817" s="48" t="s">
        <v>1310</v>
      </c>
      <c r="O1817" s="48" t="s">
        <v>1311</v>
      </c>
      <c r="P1817" s="48" t="s">
        <v>1312</v>
      </c>
      <c r="Q1817" s="48" t="s">
        <v>31</v>
      </c>
      <c r="R1817" s="48" t="s">
        <v>31</v>
      </c>
      <c r="S1817" s="48" t="s">
        <v>31</v>
      </c>
      <c r="T1817" s="48" t="s">
        <v>31</v>
      </c>
      <c r="U1817" s="46" t="s">
        <v>1154</v>
      </c>
    </row>
    <row r="1818" spans="1:21">
      <c r="A1818" s="48" t="s">
        <v>1239</v>
      </c>
      <c r="B1818" s="48" t="s">
        <v>116</v>
      </c>
      <c r="C1818" s="48" t="s">
        <v>666</v>
      </c>
      <c r="D1818" s="48">
        <v>1</v>
      </c>
      <c r="E1818" s="48">
        <v>0</v>
      </c>
      <c r="F1818" t="s">
        <v>713</v>
      </c>
      <c r="G1818" s="48" t="s">
        <v>1305</v>
      </c>
      <c r="H1818" s="48" t="s">
        <v>5119</v>
      </c>
      <c r="I1818" s="48" t="s">
        <v>5119</v>
      </c>
      <c r="J1818" s="48" t="s">
        <v>5120</v>
      </c>
      <c r="K1818" s="48" t="s">
        <v>1314</v>
      </c>
      <c r="L1818" s="48" t="s">
        <v>5121</v>
      </c>
      <c r="M1818" s="48" t="s">
        <v>4432</v>
      </c>
      <c r="N1818" s="48" t="s">
        <v>1310</v>
      </c>
      <c r="O1818" s="48" t="s">
        <v>1311</v>
      </c>
      <c r="P1818" s="48" t="s">
        <v>1312</v>
      </c>
      <c r="Q1818" s="48" t="s">
        <v>31</v>
      </c>
      <c r="R1818" s="48" t="s">
        <v>31</v>
      </c>
      <c r="S1818" s="48" t="s">
        <v>31</v>
      </c>
      <c r="T1818" s="48" t="s">
        <v>31</v>
      </c>
      <c r="U1818" s="46" t="s">
        <v>1154</v>
      </c>
    </row>
    <row r="1819" spans="1:21">
      <c r="A1819" s="48" t="s">
        <v>1239</v>
      </c>
      <c r="B1819" s="48" t="s">
        <v>116</v>
      </c>
      <c r="C1819" s="48" t="s">
        <v>666</v>
      </c>
      <c r="D1819" s="48">
        <v>1</v>
      </c>
      <c r="E1819" s="48">
        <v>0</v>
      </c>
      <c r="F1819" t="s">
        <v>713</v>
      </c>
      <c r="G1819" s="48" t="s">
        <v>1305</v>
      </c>
      <c r="H1819" s="48" t="s">
        <v>5122</v>
      </c>
      <c r="I1819" s="48" t="s">
        <v>5122</v>
      </c>
      <c r="J1819" s="48" t="s">
        <v>5123</v>
      </c>
      <c r="K1819" s="48" t="s">
        <v>1320</v>
      </c>
      <c r="L1819" s="48" t="s">
        <v>5124</v>
      </c>
      <c r="M1819" s="48" t="s">
        <v>4432</v>
      </c>
      <c r="N1819" s="48" t="s">
        <v>1310</v>
      </c>
      <c r="O1819" s="48" t="s">
        <v>1311</v>
      </c>
      <c r="P1819" s="48" t="s">
        <v>1312</v>
      </c>
      <c r="Q1819" s="48" t="s">
        <v>31</v>
      </c>
      <c r="R1819" s="48" t="s">
        <v>31</v>
      </c>
      <c r="S1819" s="48" t="s">
        <v>31</v>
      </c>
      <c r="T1819" s="48" t="s">
        <v>31</v>
      </c>
      <c r="U1819" s="46" t="s">
        <v>1154</v>
      </c>
    </row>
    <row r="1820" spans="1:21">
      <c r="A1820" s="48" t="s">
        <v>1239</v>
      </c>
      <c r="B1820" s="48" t="s">
        <v>116</v>
      </c>
      <c r="C1820" s="48" t="s">
        <v>666</v>
      </c>
      <c r="D1820" s="48">
        <v>1</v>
      </c>
      <c r="E1820" s="48">
        <v>0</v>
      </c>
      <c r="F1820" t="s">
        <v>713</v>
      </c>
      <c r="G1820" s="48" t="s">
        <v>1305</v>
      </c>
      <c r="H1820" s="48" t="s">
        <v>5125</v>
      </c>
      <c r="I1820" s="48" t="s">
        <v>5125</v>
      </c>
      <c r="J1820" s="48" t="s">
        <v>5126</v>
      </c>
      <c r="K1820" s="48" t="s">
        <v>1326</v>
      </c>
      <c r="L1820" s="48" t="s">
        <v>5127</v>
      </c>
      <c r="M1820" s="48" t="s">
        <v>4432</v>
      </c>
      <c r="N1820" s="48" t="s">
        <v>1310</v>
      </c>
      <c r="O1820" s="48" t="s">
        <v>1311</v>
      </c>
      <c r="P1820" s="48" t="s">
        <v>1312</v>
      </c>
      <c r="Q1820" s="48" t="s">
        <v>31</v>
      </c>
      <c r="R1820" s="48" t="s">
        <v>31</v>
      </c>
      <c r="S1820" s="48" t="s">
        <v>31</v>
      </c>
      <c r="T1820" s="48" t="s">
        <v>31</v>
      </c>
      <c r="U1820" s="46" t="s">
        <v>1154</v>
      </c>
    </row>
    <row r="1821" spans="1:21">
      <c r="A1821" s="48" t="s">
        <v>1239</v>
      </c>
      <c r="B1821" s="48" t="s">
        <v>116</v>
      </c>
      <c r="C1821" s="48" t="s">
        <v>666</v>
      </c>
      <c r="D1821" s="48">
        <v>1</v>
      </c>
      <c r="E1821" s="48">
        <v>0</v>
      </c>
      <c r="F1821" t="s">
        <v>713</v>
      </c>
      <c r="G1821" s="48" t="s">
        <v>1305</v>
      </c>
      <c r="H1821" s="48" t="s">
        <v>5128</v>
      </c>
      <c r="I1821" s="48" t="s">
        <v>5128</v>
      </c>
      <c r="J1821" s="48" t="s">
        <v>5129</v>
      </c>
      <c r="K1821" s="48" t="s">
        <v>1332</v>
      </c>
      <c r="L1821" s="48" t="s">
        <v>5130</v>
      </c>
      <c r="M1821" s="48" t="s">
        <v>4432</v>
      </c>
      <c r="N1821" s="48" t="s">
        <v>1310</v>
      </c>
      <c r="O1821" s="48" t="s">
        <v>1311</v>
      </c>
      <c r="P1821" s="48" t="s">
        <v>1312</v>
      </c>
      <c r="Q1821" s="48" t="s">
        <v>31</v>
      </c>
      <c r="R1821" s="48" t="s">
        <v>31</v>
      </c>
      <c r="S1821" s="48" t="s">
        <v>31</v>
      </c>
      <c r="T1821" s="48" t="s">
        <v>31</v>
      </c>
      <c r="U1821" s="46" t="s">
        <v>1154</v>
      </c>
    </row>
    <row r="1822" spans="1:21">
      <c r="A1822" s="48" t="s">
        <v>1239</v>
      </c>
      <c r="B1822" s="48" t="s">
        <v>116</v>
      </c>
      <c r="C1822" s="48" t="s">
        <v>666</v>
      </c>
      <c r="D1822" s="48">
        <v>1</v>
      </c>
      <c r="E1822" s="48">
        <v>0</v>
      </c>
      <c r="F1822" t="s">
        <v>713</v>
      </c>
      <c r="G1822" s="48" t="s">
        <v>1305</v>
      </c>
      <c r="H1822" s="48" t="s">
        <v>5131</v>
      </c>
      <c r="I1822" s="48" t="s">
        <v>5131</v>
      </c>
      <c r="J1822" s="48" t="s">
        <v>5132</v>
      </c>
      <c r="K1822" s="48" t="s">
        <v>1317</v>
      </c>
      <c r="L1822" s="48" t="s">
        <v>5133</v>
      </c>
      <c r="M1822" s="48" t="s">
        <v>4432</v>
      </c>
      <c r="N1822" s="48" t="s">
        <v>1310</v>
      </c>
      <c r="O1822" s="48" t="s">
        <v>1311</v>
      </c>
      <c r="P1822" s="48" t="s">
        <v>1312</v>
      </c>
      <c r="Q1822" s="48" t="s">
        <v>31</v>
      </c>
      <c r="R1822" s="48" t="s">
        <v>31</v>
      </c>
      <c r="S1822" s="48" t="s">
        <v>31</v>
      </c>
      <c r="T1822" s="48" t="s">
        <v>31</v>
      </c>
      <c r="U1822" s="46" t="s">
        <v>1154</v>
      </c>
    </row>
    <row r="1823" spans="1:21">
      <c r="A1823" s="48" t="s">
        <v>1239</v>
      </c>
      <c r="B1823" s="48" t="s">
        <v>116</v>
      </c>
      <c r="C1823" s="48" t="s">
        <v>666</v>
      </c>
      <c r="D1823" s="48">
        <v>1</v>
      </c>
      <c r="E1823" s="48">
        <v>0</v>
      </c>
      <c r="F1823" t="s">
        <v>713</v>
      </c>
      <c r="G1823" s="48" t="s">
        <v>1305</v>
      </c>
      <c r="H1823" s="48" t="s">
        <v>5134</v>
      </c>
      <c r="I1823" s="48" t="s">
        <v>5134</v>
      </c>
      <c r="J1823" s="48" t="s">
        <v>5135</v>
      </c>
      <c r="K1823" s="48" t="s">
        <v>1307</v>
      </c>
      <c r="L1823" s="48" t="s">
        <v>5136</v>
      </c>
      <c r="M1823" s="48" t="s">
        <v>4432</v>
      </c>
      <c r="N1823" s="48" t="s">
        <v>1310</v>
      </c>
      <c r="O1823" s="48" t="s">
        <v>1311</v>
      </c>
      <c r="P1823" s="48" t="s">
        <v>1312</v>
      </c>
      <c r="Q1823" s="48" t="s">
        <v>31</v>
      </c>
      <c r="R1823" s="48" t="s">
        <v>31</v>
      </c>
      <c r="S1823" s="48" t="s">
        <v>31</v>
      </c>
      <c r="T1823" s="48" t="s">
        <v>31</v>
      </c>
      <c r="U1823" s="46" t="s">
        <v>1154</v>
      </c>
    </row>
    <row r="1824" spans="1:21">
      <c r="A1824" s="48" t="s">
        <v>1239</v>
      </c>
      <c r="B1824" s="48" t="s">
        <v>116</v>
      </c>
      <c r="C1824" s="48" t="s">
        <v>666</v>
      </c>
      <c r="D1824" s="48">
        <v>1</v>
      </c>
      <c r="E1824" s="48">
        <v>0</v>
      </c>
      <c r="F1824" t="s">
        <v>713</v>
      </c>
      <c r="G1824" s="48" t="s">
        <v>1305</v>
      </c>
      <c r="H1824" s="48" t="s">
        <v>5137</v>
      </c>
      <c r="I1824" s="48" t="s">
        <v>5137</v>
      </c>
      <c r="J1824" s="48" t="s">
        <v>5138</v>
      </c>
      <c r="K1824" s="48" t="s">
        <v>1329</v>
      </c>
      <c r="L1824" s="48" t="s">
        <v>5139</v>
      </c>
      <c r="M1824" s="48" t="s">
        <v>4432</v>
      </c>
      <c r="N1824" s="48" t="s">
        <v>1310</v>
      </c>
      <c r="O1824" s="48" t="s">
        <v>1311</v>
      </c>
      <c r="P1824" s="48" t="s">
        <v>1312</v>
      </c>
      <c r="Q1824" s="48" t="s">
        <v>31</v>
      </c>
      <c r="R1824" s="48" t="s">
        <v>31</v>
      </c>
      <c r="S1824" s="48" t="s">
        <v>31</v>
      </c>
      <c r="T1824" s="48" t="s">
        <v>31</v>
      </c>
      <c r="U1824" s="46" t="s">
        <v>1154</v>
      </c>
    </row>
    <row r="1825" spans="1:21">
      <c r="A1825" s="48" t="s">
        <v>1239</v>
      </c>
      <c r="B1825" s="48" t="s">
        <v>116</v>
      </c>
      <c r="C1825" s="48" t="s">
        <v>666</v>
      </c>
      <c r="D1825" s="48">
        <v>1</v>
      </c>
      <c r="E1825" s="48">
        <v>0</v>
      </c>
      <c r="F1825" t="s">
        <v>713</v>
      </c>
      <c r="G1825" s="48" t="s">
        <v>1305</v>
      </c>
      <c r="H1825" s="48" t="s">
        <v>5140</v>
      </c>
      <c r="I1825" s="48" t="s">
        <v>5140</v>
      </c>
      <c r="J1825" s="48" t="s">
        <v>5141</v>
      </c>
      <c r="K1825" s="48" t="s">
        <v>1323</v>
      </c>
      <c r="L1825" s="48" t="s">
        <v>5142</v>
      </c>
      <c r="M1825" s="48" t="s">
        <v>4432</v>
      </c>
      <c r="N1825" s="48" t="s">
        <v>1310</v>
      </c>
      <c r="O1825" s="48" t="s">
        <v>1311</v>
      </c>
      <c r="P1825" s="48" t="s">
        <v>1312</v>
      </c>
      <c r="Q1825" s="48" t="s">
        <v>31</v>
      </c>
      <c r="R1825" s="48" t="s">
        <v>31</v>
      </c>
      <c r="S1825" s="48" t="s">
        <v>31</v>
      </c>
      <c r="T1825" s="48" t="s">
        <v>31</v>
      </c>
      <c r="U1825" s="46" t="s">
        <v>1154</v>
      </c>
    </row>
    <row r="1826" spans="1:21">
      <c r="A1826" s="48" t="s">
        <v>1192</v>
      </c>
      <c r="B1826" s="48" t="s">
        <v>119</v>
      </c>
      <c r="C1826" s="48" t="s">
        <v>666</v>
      </c>
      <c r="D1826" s="48">
        <v>1</v>
      </c>
      <c r="E1826" s="48">
        <v>0</v>
      </c>
      <c r="F1826" t="s">
        <v>746</v>
      </c>
      <c r="G1826" s="48" t="s">
        <v>1305</v>
      </c>
      <c r="H1826" s="48" t="s">
        <v>2012</v>
      </c>
      <c r="I1826" s="48" t="s">
        <v>2012</v>
      </c>
      <c r="J1826" s="48" t="s">
        <v>5143</v>
      </c>
      <c r="K1826" s="48" t="s">
        <v>1332</v>
      </c>
      <c r="L1826" s="48" t="s">
        <v>5144</v>
      </c>
      <c r="M1826" s="48" t="s">
        <v>4432</v>
      </c>
      <c r="N1826" s="48" t="s">
        <v>1310</v>
      </c>
      <c r="O1826" s="48" t="s">
        <v>1311</v>
      </c>
      <c r="P1826" s="48" t="s">
        <v>1312</v>
      </c>
      <c r="Q1826" s="48" t="s">
        <v>31</v>
      </c>
      <c r="R1826" s="48" t="s">
        <v>31</v>
      </c>
      <c r="S1826" s="48" t="s">
        <v>31</v>
      </c>
      <c r="T1826" s="48" t="s">
        <v>31</v>
      </c>
      <c r="U1826" s="46" t="s">
        <v>1154</v>
      </c>
    </row>
    <row r="1827" spans="1:21">
      <c r="A1827" s="48" t="s">
        <v>1192</v>
      </c>
      <c r="B1827" s="48" t="s">
        <v>119</v>
      </c>
      <c r="C1827" s="48" t="s">
        <v>666</v>
      </c>
      <c r="D1827" s="48">
        <v>1</v>
      </c>
      <c r="E1827" s="48">
        <v>0</v>
      </c>
      <c r="F1827" t="s">
        <v>746</v>
      </c>
      <c r="G1827" s="48" t="s">
        <v>1305</v>
      </c>
      <c r="H1827" s="48" t="s">
        <v>2002</v>
      </c>
      <c r="I1827" s="48" t="s">
        <v>2002</v>
      </c>
      <c r="J1827" s="48" t="s">
        <v>5145</v>
      </c>
      <c r="K1827" s="48" t="s">
        <v>1317</v>
      </c>
      <c r="L1827" s="48" t="s">
        <v>5146</v>
      </c>
      <c r="M1827" s="48" t="s">
        <v>4432</v>
      </c>
      <c r="N1827" s="48" t="s">
        <v>1310</v>
      </c>
      <c r="O1827" s="48" t="s">
        <v>1311</v>
      </c>
      <c r="P1827" s="48" t="s">
        <v>1312</v>
      </c>
      <c r="Q1827" s="48" t="s">
        <v>31</v>
      </c>
      <c r="R1827" s="48" t="s">
        <v>31</v>
      </c>
      <c r="S1827" s="48" t="s">
        <v>31</v>
      </c>
      <c r="T1827" s="48" t="s">
        <v>31</v>
      </c>
      <c r="U1827" s="46" t="s">
        <v>1154</v>
      </c>
    </row>
    <row r="1828" spans="1:21">
      <c r="A1828" s="48" t="s">
        <v>1192</v>
      </c>
      <c r="B1828" s="48" t="s">
        <v>119</v>
      </c>
      <c r="C1828" s="48" t="s">
        <v>666</v>
      </c>
      <c r="D1828" s="48">
        <v>1</v>
      </c>
      <c r="E1828" s="48">
        <v>0</v>
      </c>
      <c r="F1828" t="s">
        <v>746</v>
      </c>
      <c r="G1828" s="48" t="s">
        <v>1305</v>
      </c>
      <c r="H1828" s="48" t="s">
        <v>2010</v>
      </c>
      <c r="I1828" s="48" t="s">
        <v>2010</v>
      </c>
      <c r="J1828" s="48" t="s">
        <v>5147</v>
      </c>
      <c r="K1828" s="48" t="s">
        <v>1329</v>
      </c>
      <c r="L1828" s="48" t="s">
        <v>5148</v>
      </c>
      <c r="M1828" s="48" t="s">
        <v>4432</v>
      </c>
      <c r="N1828" s="48" t="s">
        <v>1310</v>
      </c>
      <c r="O1828" s="48" t="s">
        <v>1311</v>
      </c>
      <c r="P1828" s="48" t="s">
        <v>1312</v>
      </c>
      <c r="Q1828" s="48" t="s">
        <v>31</v>
      </c>
      <c r="R1828" s="48" t="s">
        <v>31</v>
      </c>
      <c r="S1828" s="48" t="s">
        <v>31</v>
      </c>
      <c r="T1828" s="48" t="s">
        <v>31</v>
      </c>
      <c r="U1828" s="46" t="s">
        <v>1154</v>
      </c>
    </row>
    <row r="1829" spans="1:21">
      <c r="A1829" s="48" t="s">
        <v>1192</v>
      </c>
      <c r="B1829" s="48" t="s">
        <v>119</v>
      </c>
      <c r="C1829" s="48" t="s">
        <v>666</v>
      </c>
      <c r="D1829" s="48">
        <v>1</v>
      </c>
      <c r="E1829" s="48">
        <v>0</v>
      </c>
      <c r="F1829" t="s">
        <v>746</v>
      </c>
      <c r="G1829" s="48" t="s">
        <v>1305</v>
      </c>
      <c r="H1829" s="48" t="s">
        <v>2006</v>
      </c>
      <c r="I1829" s="48" t="s">
        <v>2006</v>
      </c>
      <c r="J1829" s="48" t="s">
        <v>5149</v>
      </c>
      <c r="K1829" s="48" t="s">
        <v>1323</v>
      </c>
      <c r="L1829" s="48" t="s">
        <v>5150</v>
      </c>
      <c r="M1829" s="48" t="s">
        <v>4432</v>
      </c>
      <c r="N1829" s="48" t="s">
        <v>1310</v>
      </c>
      <c r="O1829" s="48" t="s">
        <v>1311</v>
      </c>
      <c r="P1829" s="48" t="s">
        <v>1312</v>
      </c>
      <c r="Q1829" s="48" t="s">
        <v>31</v>
      </c>
      <c r="R1829" s="48" t="s">
        <v>31</v>
      </c>
      <c r="S1829" s="48" t="s">
        <v>31</v>
      </c>
      <c r="T1829" s="48" t="s">
        <v>31</v>
      </c>
      <c r="U1829" s="46" t="s">
        <v>1154</v>
      </c>
    </row>
    <row r="1830" spans="1:21">
      <c r="A1830" s="48" t="s">
        <v>1192</v>
      </c>
      <c r="B1830" s="48" t="s">
        <v>119</v>
      </c>
      <c r="C1830" s="48" t="s">
        <v>666</v>
      </c>
      <c r="D1830" s="48">
        <v>1</v>
      </c>
      <c r="E1830" s="48">
        <v>0</v>
      </c>
      <c r="F1830" t="s">
        <v>746</v>
      </c>
      <c r="G1830" s="48" t="s">
        <v>1305</v>
      </c>
      <c r="H1830" s="48" t="s">
        <v>2008</v>
      </c>
      <c r="I1830" s="48" t="s">
        <v>2008</v>
      </c>
      <c r="J1830" s="48" t="s">
        <v>5151</v>
      </c>
      <c r="K1830" s="48" t="s">
        <v>1326</v>
      </c>
      <c r="L1830" s="48" t="s">
        <v>5152</v>
      </c>
      <c r="M1830" s="48" t="s">
        <v>4432</v>
      </c>
      <c r="N1830" s="48" t="s">
        <v>1310</v>
      </c>
      <c r="O1830" s="48" t="s">
        <v>1311</v>
      </c>
      <c r="P1830" s="48" t="s">
        <v>1312</v>
      </c>
      <c r="Q1830" s="48" t="s">
        <v>31</v>
      </c>
      <c r="R1830" s="48" t="s">
        <v>31</v>
      </c>
      <c r="S1830" s="48" t="s">
        <v>31</v>
      </c>
      <c r="T1830" s="48" t="s">
        <v>31</v>
      </c>
      <c r="U1830" s="46" t="s">
        <v>1154</v>
      </c>
    </row>
    <row r="1831" spans="1:21">
      <c r="A1831" s="48" t="s">
        <v>1192</v>
      </c>
      <c r="B1831" s="48" t="s">
        <v>119</v>
      </c>
      <c r="C1831" s="48" t="s">
        <v>666</v>
      </c>
      <c r="D1831" s="48">
        <v>1</v>
      </c>
      <c r="E1831" s="48">
        <v>0</v>
      </c>
      <c r="F1831" t="s">
        <v>746</v>
      </c>
      <c r="G1831" s="48" t="s">
        <v>1305</v>
      </c>
      <c r="H1831" s="48" t="s">
        <v>2004</v>
      </c>
      <c r="I1831" s="48" t="s">
        <v>2004</v>
      </c>
      <c r="J1831" s="48" t="s">
        <v>5153</v>
      </c>
      <c r="K1831" s="48" t="s">
        <v>1320</v>
      </c>
      <c r="L1831" s="48" t="s">
        <v>5154</v>
      </c>
      <c r="M1831" s="48" t="s">
        <v>4432</v>
      </c>
      <c r="N1831" s="48" t="s">
        <v>1310</v>
      </c>
      <c r="O1831" s="48" t="s">
        <v>1311</v>
      </c>
      <c r="P1831" s="48" t="s">
        <v>1312</v>
      </c>
      <c r="Q1831" s="48" t="s">
        <v>31</v>
      </c>
      <c r="R1831" s="48" t="s">
        <v>31</v>
      </c>
      <c r="S1831" s="48" t="s">
        <v>31</v>
      </c>
      <c r="T1831" s="48" t="s">
        <v>31</v>
      </c>
      <c r="U1831" s="46" t="s">
        <v>1154</v>
      </c>
    </row>
    <row r="1832" spans="1:21">
      <c r="A1832" s="48" t="s">
        <v>1192</v>
      </c>
      <c r="B1832" s="48" t="s">
        <v>119</v>
      </c>
      <c r="C1832" s="48" t="s">
        <v>666</v>
      </c>
      <c r="D1832" s="48">
        <v>1</v>
      </c>
      <c r="E1832" s="48">
        <v>0</v>
      </c>
      <c r="F1832" t="s">
        <v>746</v>
      </c>
      <c r="G1832" s="48" t="s">
        <v>1305</v>
      </c>
      <c r="H1832" s="48" t="s">
        <v>2000</v>
      </c>
      <c r="I1832" s="48" t="s">
        <v>2000</v>
      </c>
      <c r="J1832" s="48" t="s">
        <v>5155</v>
      </c>
      <c r="K1832" s="48" t="s">
        <v>1314</v>
      </c>
      <c r="L1832" s="48" t="s">
        <v>5156</v>
      </c>
      <c r="M1832" s="48" t="s">
        <v>4432</v>
      </c>
      <c r="N1832" s="48" t="s">
        <v>1310</v>
      </c>
      <c r="O1832" s="48" t="s">
        <v>1311</v>
      </c>
      <c r="P1832" s="48" t="s">
        <v>1312</v>
      </c>
      <c r="Q1832" s="48" t="s">
        <v>31</v>
      </c>
      <c r="R1832" s="48" t="s">
        <v>31</v>
      </c>
      <c r="S1832" s="48" t="s">
        <v>31</v>
      </c>
      <c r="T1832" s="48" t="s">
        <v>31</v>
      </c>
      <c r="U1832" s="46" t="s">
        <v>1154</v>
      </c>
    </row>
    <row r="1833" spans="1:21">
      <c r="A1833" s="48" t="s">
        <v>1192</v>
      </c>
      <c r="B1833" s="48" t="s">
        <v>119</v>
      </c>
      <c r="C1833" s="48" t="s">
        <v>666</v>
      </c>
      <c r="D1833" s="48">
        <v>1</v>
      </c>
      <c r="E1833" s="48">
        <v>0</v>
      </c>
      <c r="F1833" t="s">
        <v>746</v>
      </c>
      <c r="G1833" s="48" t="s">
        <v>1305</v>
      </c>
      <c r="H1833" s="48" t="s">
        <v>1998</v>
      </c>
      <c r="I1833" s="48" t="s">
        <v>1998</v>
      </c>
      <c r="J1833" s="48" t="s">
        <v>5157</v>
      </c>
      <c r="K1833" s="48" t="s">
        <v>1307</v>
      </c>
      <c r="L1833" s="48" t="s">
        <v>5158</v>
      </c>
      <c r="M1833" s="48" t="s">
        <v>4432</v>
      </c>
      <c r="N1833" s="48" t="s">
        <v>1310</v>
      </c>
      <c r="O1833" s="48" t="s">
        <v>1311</v>
      </c>
      <c r="P1833" s="48" t="s">
        <v>1312</v>
      </c>
      <c r="Q1833" s="48" t="s">
        <v>31</v>
      </c>
      <c r="R1833" s="48" t="s">
        <v>31</v>
      </c>
      <c r="S1833" s="48" t="s">
        <v>31</v>
      </c>
      <c r="T1833" s="48" t="s">
        <v>31</v>
      </c>
      <c r="U1833" s="46" t="s">
        <v>1154</v>
      </c>
    </row>
    <row r="1834" spans="1:21">
      <c r="A1834" s="48" t="s">
        <v>1165</v>
      </c>
      <c r="B1834" s="48" t="s">
        <v>121</v>
      </c>
      <c r="C1834" s="48" t="s">
        <v>666</v>
      </c>
      <c r="D1834" s="48">
        <v>1</v>
      </c>
      <c r="E1834" s="48">
        <v>0</v>
      </c>
      <c r="F1834" t="s">
        <v>781</v>
      </c>
      <c r="G1834" s="48" t="s">
        <v>1305</v>
      </c>
      <c r="H1834" s="48" t="s">
        <v>5159</v>
      </c>
      <c r="I1834" s="48" t="s">
        <v>5159</v>
      </c>
      <c r="J1834" s="48" t="s">
        <v>5160</v>
      </c>
      <c r="K1834" s="48" t="s">
        <v>1317</v>
      </c>
      <c r="L1834" s="48" t="s">
        <v>5161</v>
      </c>
      <c r="M1834" s="48" t="s">
        <v>4432</v>
      </c>
      <c r="N1834" s="48" t="s">
        <v>1310</v>
      </c>
      <c r="O1834" s="48" t="s">
        <v>1311</v>
      </c>
      <c r="P1834" s="48" t="s">
        <v>1312</v>
      </c>
      <c r="Q1834" s="48" t="s">
        <v>31</v>
      </c>
      <c r="R1834" s="48" t="s">
        <v>31</v>
      </c>
      <c r="S1834" s="48" t="s">
        <v>31</v>
      </c>
      <c r="T1834" s="48" t="s">
        <v>31</v>
      </c>
      <c r="U1834" s="46" t="s">
        <v>1154</v>
      </c>
    </row>
    <row r="1835" spans="1:21">
      <c r="A1835" s="48" t="s">
        <v>1165</v>
      </c>
      <c r="B1835" s="48" t="s">
        <v>121</v>
      </c>
      <c r="C1835" s="48" t="s">
        <v>666</v>
      </c>
      <c r="D1835" s="48">
        <v>1</v>
      </c>
      <c r="E1835" s="48">
        <v>0</v>
      </c>
      <c r="F1835" t="s">
        <v>781</v>
      </c>
      <c r="G1835" s="48" t="s">
        <v>1305</v>
      </c>
      <c r="H1835" s="48" t="s">
        <v>5162</v>
      </c>
      <c r="I1835" s="48" t="s">
        <v>5162</v>
      </c>
      <c r="J1835" s="48" t="s">
        <v>5163</v>
      </c>
      <c r="K1835" s="48" t="s">
        <v>1323</v>
      </c>
      <c r="L1835" s="48" t="s">
        <v>5164</v>
      </c>
      <c r="M1835" s="48" t="s">
        <v>4432</v>
      </c>
      <c r="N1835" s="48" t="s">
        <v>1310</v>
      </c>
      <c r="O1835" s="48" t="s">
        <v>1311</v>
      </c>
      <c r="P1835" s="48" t="s">
        <v>1312</v>
      </c>
      <c r="Q1835" s="48" t="s">
        <v>31</v>
      </c>
      <c r="R1835" s="48" t="s">
        <v>31</v>
      </c>
      <c r="S1835" s="48" t="s">
        <v>31</v>
      </c>
      <c r="T1835" s="48" t="s">
        <v>31</v>
      </c>
      <c r="U1835" s="46" t="s">
        <v>1154</v>
      </c>
    </row>
    <row r="1836" spans="1:21">
      <c r="A1836" s="48" t="s">
        <v>1165</v>
      </c>
      <c r="B1836" s="48" t="s">
        <v>121</v>
      </c>
      <c r="C1836" s="48" t="s">
        <v>666</v>
      </c>
      <c r="D1836" s="48">
        <v>1</v>
      </c>
      <c r="E1836" s="48">
        <v>0</v>
      </c>
      <c r="F1836" t="s">
        <v>781</v>
      </c>
      <c r="G1836" s="48" t="s">
        <v>1305</v>
      </c>
      <c r="H1836" s="48" t="s">
        <v>5165</v>
      </c>
      <c r="I1836" s="48" t="s">
        <v>5165</v>
      </c>
      <c r="J1836" s="48" t="s">
        <v>5166</v>
      </c>
      <c r="K1836" s="48" t="s">
        <v>1314</v>
      </c>
      <c r="L1836" s="48" t="s">
        <v>5167</v>
      </c>
      <c r="M1836" s="48" t="s">
        <v>4432</v>
      </c>
      <c r="N1836" s="48" t="s">
        <v>1310</v>
      </c>
      <c r="O1836" s="48" t="s">
        <v>1311</v>
      </c>
      <c r="P1836" s="48" t="s">
        <v>1312</v>
      </c>
      <c r="Q1836" s="48" t="s">
        <v>31</v>
      </c>
      <c r="R1836" s="48" t="s">
        <v>31</v>
      </c>
      <c r="S1836" s="48" t="s">
        <v>31</v>
      </c>
      <c r="T1836" s="48" t="s">
        <v>31</v>
      </c>
      <c r="U1836" s="46" t="s">
        <v>1154</v>
      </c>
    </row>
    <row r="1837" spans="1:21">
      <c r="A1837" s="48" t="s">
        <v>1165</v>
      </c>
      <c r="B1837" s="48" t="s">
        <v>121</v>
      </c>
      <c r="C1837" s="48" t="s">
        <v>666</v>
      </c>
      <c r="D1837" s="48">
        <v>1</v>
      </c>
      <c r="E1837" s="48">
        <v>0</v>
      </c>
      <c r="F1837" t="s">
        <v>781</v>
      </c>
      <c r="G1837" s="48" t="s">
        <v>1305</v>
      </c>
      <c r="H1837" s="48" t="s">
        <v>5168</v>
      </c>
      <c r="I1837" s="48" t="s">
        <v>5168</v>
      </c>
      <c r="J1837" s="48" t="s">
        <v>5169</v>
      </c>
      <c r="K1837" s="48" t="s">
        <v>1332</v>
      </c>
      <c r="L1837" s="48" t="s">
        <v>5170</v>
      </c>
      <c r="M1837" s="48" t="s">
        <v>4432</v>
      </c>
      <c r="N1837" s="48" t="s">
        <v>1310</v>
      </c>
      <c r="O1837" s="48" t="s">
        <v>1311</v>
      </c>
      <c r="P1837" s="48" t="s">
        <v>1312</v>
      </c>
      <c r="Q1837" s="48" t="s">
        <v>31</v>
      </c>
      <c r="R1837" s="48" t="s">
        <v>31</v>
      </c>
      <c r="S1837" s="48" t="s">
        <v>31</v>
      </c>
      <c r="T1837" s="48" t="s">
        <v>31</v>
      </c>
      <c r="U1837" s="46" t="s">
        <v>1154</v>
      </c>
    </row>
    <row r="1838" spans="1:21">
      <c r="A1838" s="48" t="s">
        <v>1165</v>
      </c>
      <c r="B1838" s="48" t="s">
        <v>121</v>
      </c>
      <c r="C1838" s="48" t="s">
        <v>666</v>
      </c>
      <c r="D1838" s="48">
        <v>1</v>
      </c>
      <c r="E1838" s="48">
        <v>0</v>
      </c>
      <c r="F1838" t="s">
        <v>781</v>
      </c>
      <c r="G1838" s="48" t="s">
        <v>1305</v>
      </c>
      <c r="H1838" s="48" t="s">
        <v>5171</v>
      </c>
      <c r="I1838" s="48" t="s">
        <v>5171</v>
      </c>
      <c r="J1838" s="48" t="s">
        <v>5172</v>
      </c>
      <c r="K1838" s="48" t="s">
        <v>1326</v>
      </c>
      <c r="L1838" s="48" t="s">
        <v>5173</v>
      </c>
      <c r="M1838" s="48" t="s">
        <v>4432</v>
      </c>
      <c r="N1838" s="48" t="s">
        <v>1310</v>
      </c>
      <c r="O1838" s="48" t="s">
        <v>1311</v>
      </c>
      <c r="P1838" s="48" t="s">
        <v>1312</v>
      </c>
      <c r="Q1838" s="48" t="s">
        <v>31</v>
      </c>
      <c r="R1838" s="48" t="s">
        <v>31</v>
      </c>
      <c r="S1838" s="48" t="s">
        <v>31</v>
      </c>
      <c r="T1838" s="48" t="s">
        <v>31</v>
      </c>
      <c r="U1838" s="46" t="s">
        <v>1154</v>
      </c>
    </row>
    <row r="1839" spans="1:21">
      <c r="A1839" s="48" t="s">
        <v>1165</v>
      </c>
      <c r="B1839" s="48" t="s">
        <v>121</v>
      </c>
      <c r="C1839" s="48" t="s">
        <v>666</v>
      </c>
      <c r="D1839" s="48">
        <v>1</v>
      </c>
      <c r="E1839" s="48">
        <v>0</v>
      </c>
      <c r="F1839" t="s">
        <v>781</v>
      </c>
      <c r="G1839" s="48" t="s">
        <v>1305</v>
      </c>
      <c r="H1839" s="48" t="s">
        <v>5174</v>
      </c>
      <c r="I1839" s="48" t="s">
        <v>5174</v>
      </c>
      <c r="J1839" s="48" t="s">
        <v>5175</v>
      </c>
      <c r="K1839" s="48" t="s">
        <v>1329</v>
      </c>
      <c r="L1839" s="48" t="s">
        <v>5176</v>
      </c>
      <c r="M1839" s="48" t="s">
        <v>4432</v>
      </c>
      <c r="N1839" s="48" t="s">
        <v>1310</v>
      </c>
      <c r="O1839" s="48" t="s">
        <v>1311</v>
      </c>
      <c r="P1839" s="48" t="s">
        <v>1312</v>
      </c>
      <c r="Q1839" s="48" t="s">
        <v>31</v>
      </c>
      <c r="R1839" s="48" t="s">
        <v>31</v>
      </c>
      <c r="S1839" s="48" t="s">
        <v>31</v>
      </c>
      <c r="T1839" s="48" t="s">
        <v>31</v>
      </c>
      <c r="U1839" s="46" t="s">
        <v>1154</v>
      </c>
    </row>
    <row r="1840" spans="1:21">
      <c r="A1840" s="48" t="s">
        <v>1165</v>
      </c>
      <c r="B1840" s="48" t="s">
        <v>121</v>
      </c>
      <c r="C1840" s="48" t="s">
        <v>666</v>
      </c>
      <c r="D1840" s="48">
        <v>1</v>
      </c>
      <c r="E1840" s="48">
        <v>0</v>
      </c>
      <c r="F1840" t="s">
        <v>781</v>
      </c>
      <c r="G1840" s="48" t="s">
        <v>1305</v>
      </c>
      <c r="H1840" s="48" t="s">
        <v>5177</v>
      </c>
      <c r="I1840" s="48" t="s">
        <v>5177</v>
      </c>
      <c r="J1840" s="48" t="s">
        <v>5178</v>
      </c>
      <c r="K1840" s="48" t="s">
        <v>1320</v>
      </c>
      <c r="L1840" s="48" t="s">
        <v>5179</v>
      </c>
      <c r="M1840" s="48" t="s">
        <v>4432</v>
      </c>
      <c r="N1840" s="48" t="s">
        <v>1310</v>
      </c>
      <c r="O1840" s="48" t="s">
        <v>1311</v>
      </c>
      <c r="P1840" s="48" t="s">
        <v>1312</v>
      </c>
      <c r="Q1840" s="48" t="s">
        <v>31</v>
      </c>
      <c r="R1840" s="48" t="s">
        <v>31</v>
      </c>
      <c r="S1840" s="48" t="s">
        <v>31</v>
      </c>
      <c r="T1840" s="48" t="s">
        <v>31</v>
      </c>
      <c r="U1840" s="46" t="s">
        <v>1154</v>
      </c>
    </row>
    <row r="1841" spans="1:21">
      <c r="A1841" s="48" t="s">
        <v>1165</v>
      </c>
      <c r="B1841" s="48" t="s">
        <v>121</v>
      </c>
      <c r="C1841" s="48" t="s">
        <v>666</v>
      </c>
      <c r="D1841" s="48">
        <v>1</v>
      </c>
      <c r="E1841" s="48">
        <v>0</v>
      </c>
      <c r="F1841" t="s">
        <v>781</v>
      </c>
      <c r="G1841" s="48" t="s">
        <v>1305</v>
      </c>
      <c r="H1841" s="48" t="s">
        <v>5180</v>
      </c>
      <c r="I1841" s="48" t="s">
        <v>5180</v>
      </c>
      <c r="J1841" s="48" t="s">
        <v>5181</v>
      </c>
      <c r="K1841" s="48" t="s">
        <v>1307</v>
      </c>
      <c r="L1841" s="48" t="s">
        <v>5182</v>
      </c>
      <c r="M1841" s="48" t="s">
        <v>4432</v>
      </c>
      <c r="N1841" s="48" t="s">
        <v>1310</v>
      </c>
      <c r="O1841" s="48" t="s">
        <v>1311</v>
      </c>
      <c r="P1841" s="48" t="s">
        <v>1312</v>
      </c>
      <c r="Q1841" s="48" t="s">
        <v>31</v>
      </c>
      <c r="R1841" s="48" t="s">
        <v>31</v>
      </c>
      <c r="S1841" s="48" t="s">
        <v>31</v>
      </c>
      <c r="T1841" s="48" t="s">
        <v>31</v>
      </c>
      <c r="U1841" s="46" t="s">
        <v>1154</v>
      </c>
    </row>
    <row r="1842" spans="1:21">
      <c r="A1842" s="48" t="s">
        <v>1209</v>
      </c>
      <c r="B1842" s="48" t="s">
        <v>122</v>
      </c>
      <c r="C1842" s="48" t="s">
        <v>666</v>
      </c>
      <c r="D1842" s="48">
        <v>1</v>
      </c>
      <c r="E1842" s="48">
        <v>0</v>
      </c>
      <c r="F1842" t="s">
        <v>698</v>
      </c>
      <c r="G1842" s="48" t="s">
        <v>1305</v>
      </c>
      <c r="H1842" s="48" t="s">
        <v>3036</v>
      </c>
      <c r="I1842" s="48" t="s">
        <v>3036</v>
      </c>
      <c r="J1842" s="48" t="s">
        <v>5183</v>
      </c>
      <c r="K1842" s="48" t="s">
        <v>1332</v>
      </c>
      <c r="L1842" s="48" t="s">
        <v>5184</v>
      </c>
      <c r="M1842" s="48" t="s">
        <v>4432</v>
      </c>
      <c r="N1842" s="48" t="s">
        <v>1310</v>
      </c>
      <c r="O1842" s="48" t="s">
        <v>1311</v>
      </c>
      <c r="P1842" s="48" t="s">
        <v>1312</v>
      </c>
      <c r="Q1842" s="48" t="s">
        <v>31</v>
      </c>
      <c r="R1842" s="48" t="s">
        <v>31</v>
      </c>
      <c r="S1842" s="48" t="s">
        <v>31</v>
      </c>
      <c r="T1842" s="48" t="s">
        <v>31</v>
      </c>
      <c r="U1842" s="46" t="s">
        <v>1154</v>
      </c>
    </row>
    <row r="1843" spans="1:21">
      <c r="A1843" s="48" t="s">
        <v>1209</v>
      </c>
      <c r="B1843" s="48" t="s">
        <v>122</v>
      </c>
      <c r="C1843" s="48" t="s">
        <v>666</v>
      </c>
      <c r="D1843" s="48">
        <v>1</v>
      </c>
      <c r="E1843" s="48">
        <v>0</v>
      </c>
      <c r="F1843" t="s">
        <v>698</v>
      </c>
      <c r="G1843" s="48" t="s">
        <v>1305</v>
      </c>
      <c r="H1843" s="48" t="s">
        <v>3028</v>
      </c>
      <c r="I1843" s="48" t="s">
        <v>3028</v>
      </c>
      <c r="J1843" s="48" t="s">
        <v>5185</v>
      </c>
      <c r="K1843" s="48" t="s">
        <v>1320</v>
      </c>
      <c r="L1843" s="48" t="s">
        <v>5186</v>
      </c>
      <c r="M1843" s="48" t="s">
        <v>4432</v>
      </c>
      <c r="N1843" s="48" t="s">
        <v>1310</v>
      </c>
      <c r="O1843" s="48" t="s">
        <v>1311</v>
      </c>
      <c r="P1843" s="48" t="s">
        <v>1312</v>
      </c>
      <c r="Q1843" s="48" t="s">
        <v>31</v>
      </c>
      <c r="R1843" s="48" t="s">
        <v>31</v>
      </c>
      <c r="S1843" s="48" t="s">
        <v>31</v>
      </c>
      <c r="T1843" s="48" t="s">
        <v>31</v>
      </c>
      <c r="U1843" s="46" t="s">
        <v>1154</v>
      </c>
    </row>
    <row r="1844" spans="1:21">
      <c r="A1844" s="48" t="s">
        <v>1209</v>
      </c>
      <c r="B1844" s="48" t="s">
        <v>122</v>
      </c>
      <c r="C1844" s="48" t="s">
        <v>666</v>
      </c>
      <c r="D1844" s="48">
        <v>1</v>
      </c>
      <c r="E1844" s="48">
        <v>0</v>
      </c>
      <c r="F1844" t="s">
        <v>698</v>
      </c>
      <c r="G1844" s="48" t="s">
        <v>1305</v>
      </c>
      <c r="H1844" s="48" t="s">
        <v>3032</v>
      </c>
      <c r="I1844" s="48" t="s">
        <v>3032</v>
      </c>
      <c r="J1844" s="48" t="s">
        <v>5187</v>
      </c>
      <c r="K1844" s="48" t="s">
        <v>1326</v>
      </c>
      <c r="L1844" s="48" t="s">
        <v>5188</v>
      </c>
      <c r="M1844" s="48" t="s">
        <v>4432</v>
      </c>
      <c r="N1844" s="48" t="s">
        <v>1310</v>
      </c>
      <c r="O1844" s="48" t="s">
        <v>1311</v>
      </c>
      <c r="P1844" s="48" t="s">
        <v>1312</v>
      </c>
      <c r="Q1844" s="48" t="s">
        <v>31</v>
      </c>
      <c r="R1844" s="48" t="s">
        <v>31</v>
      </c>
      <c r="S1844" s="48" t="s">
        <v>31</v>
      </c>
      <c r="T1844" s="48" t="s">
        <v>31</v>
      </c>
      <c r="U1844" s="46" t="s">
        <v>1154</v>
      </c>
    </row>
    <row r="1845" spans="1:21">
      <c r="A1845" s="48" t="s">
        <v>1209</v>
      </c>
      <c r="B1845" s="48" t="s">
        <v>122</v>
      </c>
      <c r="C1845" s="48" t="s">
        <v>666</v>
      </c>
      <c r="D1845" s="48">
        <v>1</v>
      </c>
      <c r="E1845" s="48">
        <v>0</v>
      </c>
      <c r="F1845" t="s">
        <v>698</v>
      </c>
      <c r="G1845" s="48" t="s">
        <v>1305</v>
      </c>
      <c r="H1845" s="48" t="s">
        <v>3030</v>
      </c>
      <c r="I1845" s="48" t="s">
        <v>3030</v>
      </c>
      <c r="J1845" s="48" t="s">
        <v>5189</v>
      </c>
      <c r="K1845" s="48" t="s">
        <v>1323</v>
      </c>
      <c r="L1845" s="48" t="s">
        <v>5190</v>
      </c>
      <c r="M1845" s="48" t="s">
        <v>4432</v>
      </c>
      <c r="N1845" s="48" t="s">
        <v>1310</v>
      </c>
      <c r="O1845" s="48" t="s">
        <v>1311</v>
      </c>
      <c r="P1845" s="48" t="s">
        <v>1312</v>
      </c>
      <c r="Q1845" s="48" t="s">
        <v>31</v>
      </c>
      <c r="R1845" s="48" t="s">
        <v>31</v>
      </c>
      <c r="S1845" s="48" t="s">
        <v>31</v>
      </c>
      <c r="T1845" s="48" t="s">
        <v>31</v>
      </c>
      <c r="U1845" s="46" t="s">
        <v>1154</v>
      </c>
    </row>
    <row r="1846" spans="1:21">
      <c r="A1846" s="48" t="s">
        <v>1209</v>
      </c>
      <c r="B1846" s="48" t="s">
        <v>122</v>
      </c>
      <c r="C1846" s="48" t="s">
        <v>666</v>
      </c>
      <c r="D1846" s="48">
        <v>1</v>
      </c>
      <c r="E1846" s="48">
        <v>0</v>
      </c>
      <c r="F1846" t="s">
        <v>698</v>
      </c>
      <c r="G1846" s="48" t="s">
        <v>1305</v>
      </c>
      <c r="H1846" s="48" t="s">
        <v>3034</v>
      </c>
      <c r="I1846" s="48" t="s">
        <v>3034</v>
      </c>
      <c r="J1846" s="48" t="s">
        <v>5191</v>
      </c>
      <c r="K1846" s="48" t="s">
        <v>1329</v>
      </c>
      <c r="L1846" s="48" t="s">
        <v>5192</v>
      </c>
      <c r="M1846" s="48" t="s">
        <v>4432</v>
      </c>
      <c r="N1846" s="48" t="s">
        <v>1310</v>
      </c>
      <c r="O1846" s="48" t="s">
        <v>1311</v>
      </c>
      <c r="P1846" s="48" t="s">
        <v>1312</v>
      </c>
      <c r="Q1846" s="48" t="s">
        <v>31</v>
      </c>
      <c r="R1846" s="48" t="s">
        <v>31</v>
      </c>
      <c r="S1846" s="48" t="s">
        <v>31</v>
      </c>
      <c r="T1846" s="48" t="s">
        <v>31</v>
      </c>
      <c r="U1846" s="46" t="s">
        <v>1154</v>
      </c>
    </row>
    <row r="1847" spans="1:21">
      <c r="A1847" s="48" t="s">
        <v>1209</v>
      </c>
      <c r="B1847" s="48" t="s">
        <v>122</v>
      </c>
      <c r="C1847" s="48" t="s">
        <v>666</v>
      </c>
      <c r="D1847" s="48">
        <v>1</v>
      </c>
      <c r="E1847" s="48">
        <v>0</v>
      </c>
      <c r="F1847" t="s">
        <v>698</v>
      </c>
      <c r="G1847" s="48" t="s">
        <v>1305</v>
      </c>
      <c r="H1847" s="48" t="s">
        <v>3026</v>
      </c>
      <c r="I1847" s="48" t="s">
        <v>3026</v>
      </c>
      <c r="J1847" s="48" t="s">
        <v>5193</v>
      </c>
      <c r="K1847" s="48" t="s">
        <v>1317</v>
      </c>
      <c r="L1847" s="48" t="s">
        <v>5194</v>
      </c>
      <c r="M1847" s="48" t="s">
        <v>4432</v>
      </c>
      <c r="N1847" s="48" t="s">
        <v>1310</v>
      </c>
      <c r="O1847" s="48" t="s">
        <v>1311</v>
      </c>
      <c r="P1847" s="48" t="s">
        <v>1312</v>
      </c>
      <c r="Q1847" s="48" t="s">
        <v>31</v>
      </c>
      <c r="R1847" s="48" t="s">
        <v>31</v>
      </c>
      <c r="S1847" s="48" t="s">
        <v>31</v>
      </c>
      <c r="T1847" s="48" t="s">
        <v>31</v>
      </c>
      <c r="U1847" s="46" t="s">
        <v>1154</v>
      </c>
    </row>
    <row r="1848" spans="1:21">
      <c r="A1848" s="48" t="s">
        <v>1209</v>
      </c>
      <c r="B1848" s="48" t="s">
        <v>122</v>
      </c>
      <c r="C1848" s="48" t="s">
        <v>666</v>
      </c>
      <c r="D1848" s="48">
        <v>1</v>
      </c>
      <c r="E1848" s="48">
        <v>0</v>
      </c>
      <c r="F1848" t="s">
        <v>698</v>
      </c>
      <c r="G1848" s="48" t="s">
        <v>1305</v>
      </c>
      <c r="H1848" s="48" t="s">
        <v>3024</v>
      </c>
      <c r="I1848" s="48" t="s">
        <v>3024</v>
      </c>
      <c r="J1848" s="48" t="s">
        <v>5195</v>
      </c>
      <c r="K1848" s="48" t="s">
        <v>1314</v>
      </c>
      <c r="L1848" s="48" t="s">
        <v>5196</v>
      </c>
      <c r="M1848" s="48" t="s">
        <v>4432</v>
      </c>
      <c r="N1848" s="48" t="s">
        <v>1310</v>
      </c>
      <c r="O1848" s="48" t="s">
        <v>1311</v>
      </c>
      <c r="P1848" s="48" t="s">
        <v>1312</v>
      </c>
      <c r="Q1848" s="48" t="s">
        <v>31</v>
      </c>
      <c r="R1848" s="48" t="s">
        <v>31</v>
      </c>
      <c r="S1848" s="48" t="s">
        <v>31</v>
      </c>
      <c r="T1848" s="48" t="s">
        <v>31</v>
      </c>
      <c r="U1848" s="46" t="s">
        <v>1154</v>
      </c>
    </row>
    <row r="1849" spans="1:21">
      <c r="A1849" s="48" t="s">
        <v>1209</v>
      </c>
      <c r="B1849" s="48" t="s">
        <v>122</v>
      </c>
      <c r="C1849" s="48" t="s">
        <v>666</v>
      </c>
      <c r="D1849" s="48">
        <v>1</v>
      </c>
      <c r="E1849" s="48">
        <v>0</v>
      </c>
      <c r="F1849" t="s">
        <v>698</v>
      </c>
      <c r="G1849" s="48" t="s">
        <v>1305</v>
      </c>
      <c r="H1849" s="48" t="s">
        <v>3022</v>
      </c>
      <c r="I1849" s="48" t="s">
        <v>3022</v>
      </c>
      <c r="J1849" s="48" t="s">
        <v>5197</v>
      </c>
      <c r="K1849" s="48" t="s">
        <v>1307</v>
      </c>
      <c r="L1849" s="48" t="s">
        <v>5198</v>
      </c>
      <c r="M1849" s="48" t="s">
        <v>4432</v>
      </c>
      <c r="N1849" s="48" t="s">
        <v>1310</v>
      </c>
      <c r="O1849" s="48" t="s">
        <v>1311</v>
      </c>
      <c r="P1849" s="48" t="s">
        <v>1312</v>
      </c>
      <c r="Q1849" s="48" t="s">
        <v>31</v>
      </c>
      <c r="R1849" s="48" t="s">
        <v>31</v>
      </c>
      <c r="S1849" s="48" t="s">
        <v>31</v>
      </c>
      <c r="T1849" s="48" t="s">
        <v>31</v>
      </c>
      <c r="U1849" s="46" t="s">
        <v>1154</v>
      </c>
    </row>
    <row r="1850" spans="1:21">
      <c r="A1850" s="48" t="s">
        <v>1249</v>
      </c>
      <c r="B1850" s="48" t="s">
        <v>124</v>
      </c>
      <c r="C1850" s="48" t="s">
        <v>666</v>
      </c>
      <c r="D1850" s="48">
        <v>2</v>
      </c>
      <c r="E1850" s="48">
        <v>1</v>
      </c>
      <c r="F1850" t="s">
        <v>667</v>
      </c>
      <c r="G1850" s="48" t="s">
        <v>1305</v>
      </c>
      <c r="H1850" s="48" t="s">
        <v>5199</v>
      </c>
      <c r="I1850" s="48" t="s">
        <v>5199</v>
      </c>
      <c r="J1850" s="48" t="s">
        <v>5200</v>
      </c>
      <c r="K1850" s="48" t="s">
        <v>1326</v>
      </c>
      <c r="L1850" s="48" t="s">
        <v>5201</v>
      </c>
      <c r="M1850" s="48" t="s">
        <v>4432</v>
      </c>
      <c r="N1850" s="48" t="s">
        <v>1310</v>
      </c>
      <c r="O1850" s="48" t="s">
        <v>1311</v>
      </c>
      <c r="P1850" s="48" t="s">
        <v>1312</v>
      </c>
      <c r="Q1850" s="48" t="s">
        <v>31</v>
      </c>
      <c r="R1850" s="48" t="s">
        <v>31</v>
      </c>
      <c r="S1850" s="48" t="s">
        <v>31</v>
      </c>
      <c r="T1850" s="48" t="s">
        <v>31</v>
      </c>
      <c r="U1850" s="46" t="s">
        <v>1154</v>
      </c>
    </row>
    <row r="1851" spans="1:21">
      <c r="A1851" s="48" t="s">
        <v>1249</v>
      </c>
      <c r="B1851" s="48" t="s">
        <v>124</v>
      </c>
      <c r="C1851" s="48" t="s">
        <v>666</v>
      </c>
      <c r="D1851" s="48">
        <v>2</v>
      </c>
      <c r="E1851" s="48">
        <v>1</v>
      </c>
      <c r="F1851" t="s">
        <v>667</v>
      </c>
      <c r="G1851" s="48" t="s">
        <v>1305</v>
      </c>
      <c r="H1851" s="48" t="s">
        <v>5202</v>
      </c>
      <c r="I1851" s="48" t="s">
        <v>5202</v>
      </c>
      <c r="J1851" s="48" t="s">
        <v>5203</v>
      </c>
      <c r="K1851" s="48" t="s">
        <v>1320</v>
      </c>
      <c r="L1851" s="48" t="s">
        <v>5204</v>
      </c>
      <c r="M1851" s="48" t="s">
        <v>4432</v>
      </c>
      <c r="N1851" s="48" t="s">
        <v>1310</v>
      </c>
      <c r="O1851" s="48" t="s">
        <v>1311</v>
      </c>
      <c r="P1851" s="48" t="s">
        <v>1312</v>
      </c>
      <c r="Q1851" s="48" t="s">
        <v>31</v>
      </c>
      <c r="R1851" s="48" t="s">
        <v>31</v>
      </c>
      <c r="S1851" s="48" t="s">
        <v>31</v>
      </c>
      <c r="T1851" s="48" t="s">
        <v>31</v>
      </c>
      <c r="U1851" s="46" t="s">
        <v>1154</v>
      </c>
    </row>
    <row r="1852" spans="1:21">
      <c r="A1852" s="48" t="s">
        <v>1249</v>
      </c>
      <c r="B1852" s="48" t="s">
        <v>124</v>
      </c>
      <c r="C1852" s="48" t="s">
        <v>666</v>
      </c>
      <c r="D1852" s="48">
        <v>2</v>
      </c>
      <c r="E1852" s="48">
        <v>1</v>
      </c>
      <c r="F1852" t="s">
        <v>667</v>
      </c>
      <c r="G1852" s="48" t="s">
        <v>1305</v>
      </c>
      <c r="H1852" s="48" t="s">
        <v>5205</v>
      </c>
      <c r="I1852" s="48" t="s">
        <v>5205</v>
      </c>
      <c r="J1852" s="48" t="s">
        <v>5206</v>
      </c>
      <c r="K1852" s="48" t="s">
        <v>1317</v>
      </c>
      <c r="L1852" s="48" t="s">
        <v>5207</v>
      </c>
      <c r="M1852" s="48" t="s">
        <v>4432</v>
      </c>
      <c r="N1852" s="48" t="s">
        <v>1310</v>
      </c>
      <c r="O1852" s="48" t="s">
        <v>1311</v>
      </c>
      <c r="P1852" s="48" t="s">
        <v>1312</v>
      </c>
      <c r="Q1852" s="48" t="s">
        <v>31</v>
      </c>
      <c r="R1852" s="48" t="s">
        <v>31</v>
      </c>
      <c r="S1852" s="48" t="s">
        <v>31</v>
      </c>
      <c r="T1852" s="48" t="s">
        <v>31</v>
      </c>
      <c r="U1852" s="46" t="s">
        <v>1154</v>
      </c>
    </row>
    <row r="1853" spans="1:21">
      <c r="A1853" s="48" t="s">
        <v>1249</v>
      </c>
      <c r="B1853" s="48" t="s">
        <v>124</v>
      </c>
      <c r="C1853" s="48" t="s">
        <v>666</v>
      </c>
      <c r="D1853" s="48">
        <v>2</v>
      </c>
      <c r="E1853" s="48">
        <v>1</v>
      </c>
      <c r="F1853" t="s">
        <v>667</v>
      </c>
      <c r="G1853" s="48" t="s">
        <v>1305</v>
      </c>
      <c r="H1853" s="48" t="s">
        <v>5208</v>
      </c>
      <c r="I1853" s="48" t="s">
        <v>5208</v>
      </c>
      <c r="J1853" s="48" t="s">
        <v>5209</v>
      </c>
      <c r="K1853" s="48" t="s">
        <v>1323</v>
      </c>
      <c r="L1853" s="48" t="s">
        <v>5210</v>
      </c>
      <c r="M1853" s="48" t="s">
        <v>4432</v>
      </c>
      <c r="N1853" s="48" t="s">
        <v>1310</v>
      </c>
      <c r="O1853" s="48" t="s">
        <v>1311</v>
      </c>
      <c r="P1853" s="48" t="s">
        <v>1312</v>
      </c>
      <c r="Q1853" s="48" t="s">
        <v>31</v>
      </c>
      <c r="R1853" s="48" t="s">
        <v>31</v>
      </c>
      <c r="S1853" s="48" t="s">
        <v>31</v>
      </c>
      <c r="T1853" s="48" t="s">
        <v>31</v>
      </c>
      <c r="U1853" s="46" t="s">
        <v>1154</v>
      </c>
    </row>
    <row r="1854" spans="1:21">
      <c r="A1854" s="48" t="s">
        <v>1249</v>
      </c>
      <c r="B1854" s="48" t="s">
        <v>124</v>
      </c>
      <c r="C1854" s="48" t="s">
        <v>666</v>
      </c>
      <c r="D1854" s="48">
        <v>2</v>
      </c>
      <c r="E1854" s="48">
        <v>1</v>
      </c>
      <c r="F1854" t="s">
        <v>667</v>
      </c>
      <c r="G1854" s="48" t="s">
        <v>1305</v>
      </c>
      <c r="H1854" s="48" t="s">
        <v>5211</v>
      </c>
      <c r="I1854" s="48" t="s">
        <v>5211</v>
      </c>
      <c r="J1854" s="48" t="s">
        <v>5212</v>
      </c>
      <c r="K1854" s="48" t="s">
        <v>1332</v>
      </c>
      <c r="L1854" s="48" t="s">
        <v>5213</v>
      </c>
      <c r="M1854" s="48" t="s">
        <v>4432</v>
      </c>
      <c r="N1854" s="48" t="s">
        <v>1310</v>
      </c>
      <c r="O1854" s="48" t="s">
        <v>1311</v>
      </c>
      <c r="P1854" s="48" t="s">
        <v>1312</v>
      </c>
      <c r="Q1854" s="48" t="s">
        <v>31</v>
      </c>
      <c r="R1854" s="48" t="s">
        <v>31</v>
      </c>
      <c r="S1854" s="48" t="s">
        <v>31</v>
      </c>
      <c r="T1854" s="48" t="s">
        <v>31</v>
      </c>
      <c r="U1854" s="46" t="s">
        <v>1154</v>
      </c>
    </row>
    <row r="1855" spans="1:21">
      <c r="A1855" s="48" t="s">
        <v>1249</v>
      </c>
      <c r="B1855" s="48" t="s">
        <v>124</v>
      </c>
      <c r="C1855" s="48" t="s">
        <v>666</v>
      </c>
      <c r="D1855" s="48">
        <v>2</v>
      </c>
      <c r="E1855" s="48">
        <v>1</v>
      </c>
      <c r="F1855" t="s">
        <v>667</v>
      </c>
      <c r="G1855" s="48" t="s">
        <v>1305</v>
      </c>
      <c r="H1855" s="48" t="s">
        <v>5214</v>
      </c>
      <c r="I1855" s="48" t="s">
        <v>5214</v>
      </c>
      <c r="J1855" s="48" t="s">
        <v>5215</v>
      </c>
      <c r="K1855" s="48" t="s">
        <v>1314</v>
      </c>
      <c r="L1855" s="48" t="s">
        <v>5216</v>
      </c>
      <c r="M1855" s="48" t="s">
        <v>4432</v>
      </c>
      <c r="N1855" s="48" t="s">
        <v>1310</v>
      </c>
      <c r="O1855" s="48" t="s">
        <v>1311</v>
      </c>
      <c r="P1855" s="48" t="s">
        <v>1312</v>
      </c>
      <c r="Q1855" s="48" t="s">
        <v>31</v>
      </c>
      <c r="R1855" s="48" t="s">
        <v>31</v>
      </c>
      <c r="S1855" s="48" t="s">
        <v>31</v>
      </c>
      <c r="T1855" s="48" t="s">
        <v>31</v>
      </c>
      <c r="U1855" s="46" t="s">
        <v>1154</v>
      </c>
    </row>
    <row r="1856" spans="1:21">
      <c r="A1856" s="48" t="s">
        <v>1249</v>
      </c>
      <c r="B1856" s="48" t="s">
        <v>124</v>
      </c>
      <c r="C1856" s="48" t="s">
        <v>666</v>
      </c>
      <c r="D1856" s="48">
        <v>2</v>
      </c>
      <c r="E1856" s="48">
        <v>1</v>
      </c>
      <c r="F1856" t="s">
        <v>667</v>
      </c>
      <c r="G1856" s="48" t="s">
        <v>1305</v>
      </c>
      <c r="H1856" s="48" t="s">
        <v>5217</v>
      </c>
      <c r="I1856" s="48" t="s">
        <v>5217</v>
      </c>
      <c r="J1856" s="48" t="s">
        <v>5218</v>
      </c>
      <c r="K1856" s="48" t="s">
        <v>1329</v>
      </c>
      <c r="L1856" s="48" t="s">
        <v>5219</v>
      </c>
      <c r="M1856" s="48" t="s">
        <v>4432</v>
      </c>
      <c r="N1856" s="48" t="s">
        <v>1310</v>
      </c>
      <c r="O1856" s="48" t="s">
        <v>1311</v>
      </c>
      <c r="P1856" s="48" t="s">
        <v>1312</v>
      </c>
      <c r="Q1856" s="48" t="s">
        <v>31</v>
      </c>
      <c r="R1856" s="48" t="s">
        <v>31</v>
      </c>
      <c r="S1856" s="48" t="s">
        <v>31</v>
      </c>
      <c r="T1856" s="48" t="s">
        <v>31</v>
      </c>
      <c r="U1856" s="46" t="s">
        <v>1154</v>
      </c>
    </row>
    <row r="1857" spans="1:21">
      <c r="A1857" s="48" t="s">
        <v>1249</v>
      </c>
      <c r="B1857" s="48" t="s">
        <v>124</v>
      </c>
      <c r="C1857" s="48" t="s">
        <v>666</v>
      </c>
      <c r="D1857" s="48">
        <v>2</v>
      </c>
      <c r="E1857" s="48">
        <v>1</v>
      </c>
      <c r="F1857" t="s">
        <v>667</v>
      </c>
      <c r="G1857" s="48" t="s">
        <v>1305</v>
      </c>
      <c r="H1857" s="48" t="s">
        <v>5220</v>
      </c>
      <c r="I1857" s="48" t="s">
        <v>5220</v>
      </c>
      <c r="J1857" s="48" t="s">
        <v>5221</v>
      </c>
      <c r="K1857" s="48" t="s">
        <v>1307</v>
      </c>
      <c r="L1857" s="48" t="s">
        <v>5222</v>
      </c>
      <c r="M1857" s="48" t="s">
        <v>4432</v>
      </c>
      <c r="N1857" s="48" t="s">
        <v>1310</v>
      </c>
      <c r="O1857" s="48" t="s">
        <v>1311</v>
      </c>
      <c r="P1857" s="48" t="s">
        <v>1312</v>
      </c>
      <c r="Q1857" s="48" t="s">
        <v>31</v>
      </c>
      <c r="R1857" s="48" t="s">
        <v>31</v>
      </c>
      <c r="S1857" s="48" t="s">
        <v>31</v>
      </c>
      <c r="T1857" s="48" t="s">
        <v>31</v>
      </c>
      <c r="U1857" s="46" t="s">
        <v>1154</v>
      </c>
    </row>
    <row r="1858" spans="1:21">
      <c r="A1858" s="48" t="s">
        <v>1245</v>
      </c>
      <c r="B1858" s="48" t="s">
        <v>124</v>
      </c>
      <c r="C1858" s="48" t="s">
        <v>689</v>
      </c>
      <c r="D1858" s="48">
        <v>2</v>
      </c>
      <c r="E1858" s="48">
        <v>1</v>
      </c>
      <c r="F1858" t="s">
        <v>667</v>
      </c>
      <c r="G1858" s="48" t="s">
        <v>1305</v>
      </c>
      <c r="H1858" s="48" t="s">
        <v>5223</v>
      </c>
      <c r="I1858" s="48" t="s">
        <v>5223</v>
      </c>
      <c r="J1858" s="48" t="s">
        <v>5224</v>
      </c>
      <c r="K1858" s="48" t="s">
        <v>1323</v>
      </c>
      <c r="L1858" s="48" t="s">
        <v>5225</v>
      </c>
      <c r="M1858" s="48" t="s">
        <v>4432</v>
      </c>
      <c r="N1858" s="48" t="s">
        <v>1310</v>
      </c>
      <c r="O1858" s="48" t="s">
        <v>1311</v>
      </c>
      <c r="P1858" s="48" t="s">
        <v>1312</v>
      </c>
      <c r="Q1858" s="48" t="s">
        <v>31</v>
      </c>
      <c r="R1858" s="48" t="s">
        <v>31</v>
      </c>
      <c r="S1858" s="48" t="s">
        <v>31</v>
      </c>
      <c r="T1858" s="48" t="s">
        <v>31</v>
      </c>
      <c r="U1858" s="46" t="s">
        <v>1154</v>
      </c>
    </row>
    <row r="1859" spans="1:21">
      <c r="A1859" s="48" t="s">
        <v>1245</v>
      </c>
      <c r="B1859" s="48" t="s">
        <v>124</v>
      </c>
      <c r="C1859" s="48" t="s">
        <v>689</v>
      </c>
      <c r="D1859" s="48">
        <v>2</v>
      </c>
      <c r="E1859" s="48">
        <v>1</v>
      </c>
      <c r="F1859" t="s">
        <v>667</v>
      </c>
      <c r="G1859" s="48" t="s">
        <v>1305</v>
      </c>
      <c r="H1859" s="48" t="s">
        <v>5226</v>
      </c>
      <c r="I1859" s="48" t="s">
        <v>5226</v>
      </c>
      <c r="J1859" s="48" t="s">
        <v>5227</v>
      </c>
      <c r="K1859" s="48" t="s">
        <v>1329</v>
      </c>
      <c r="L1859" s="48" t="s">
        <v>5228</v>
      </c>
      <c r="M1859" s="48" t="s">
        <v>4432</v>
      </c>
      <c r="N1859" s="48" t="s">
        <v>1310</v>
      </c>
      <c r="O1859" s="48" t="s">
        <v>1311</v>
      </c>
      <c r="P1859" s="48" t="s">
        <v>1312</v>
      </c>
      <c r="Q1859" s="48" t="s">
        <v>31</v>
      </c>
      <c r="R1859" s="48" t="s">
        <v>31</v>
      </c>
      <c r="S1859" s="48" t="s">
        <v>31</v>
      </c>
      <c r="T1859" s="48" t="s">
        <v>31</v>
      </c>
      <c r="U1859" s="46" t="s">
        <v>1154</v>
      </c>
    </row>
    <row r="1860" spans="1:21">
      <c r="A1860" s="48" t="s">
        <v>1245</v>
      </c>
      <c r="B1860" s="48" t="s">
        <v>124</v>
      </c>
      <c r="C1860" s="48" t="s">
        <v>689</v>
      </c>
      <c r="D1860" s="48">
        <v>2</v>
      </c>
      <c r="E1860" s="48">
        <v>1</v>
      </c>
      <c r="F1860" t="s">
        <v>667</v>
      </c>
      <c r="G1860" s="48" t="s">
        <v>1305</v>
      </c>
      <c r="H1860" s="48" t="s">
        <v>5229</v>
      </c>
      <c r="I1860" s="48" t="s">
        <v>5229</v>
      </c>
      <c r="J1860" s="48" t="s">
        <v>5230</v>
      </c>
      <c r="K1860" s="48" t="s">
        <v>1314</v>
      </c>
      <c r="L1860" s="48" t="s">
        <v>5231</v>
      </c>
      <c r="M1860" s="48" t="s">
        <v>4432</v>
      </c>
      <c r="N1860" s="48" t="s">
        <v>1310</v>
      </c>
      <c r="O1860" s="48" t="s">
        <v>1311</v>
      </c>
      <c r="P1860" s="48" t="s">
        <v>1312</v>
      </c>
      <c r="Q1860" s="48" t="s">
        <v>31</v>
      </c>
      <c r="R1860" s="48" t="s">
        <v>31</v>
      </c>
      <c r="S1860" s="48" t="s">
        <v>31</v>
      </c>
      <c r="T1860" s="48" t="s">
        <v>31</v>
      </c>
      <c r="U1860" s="46" t="s">
        <v>1154</v>
      </c>
    </row>
    <row r="1861" spans="1:21">
      <c r="A1861" s="48" t="s">
        <v>1245</v>
      </c>
      <c r="B1861" s="48" t="s">
        <v>124</v>
      </c>
      <c r="C1861" s="48" t="s">
        <v>689</v>
      </c>
      <c r="D1861" s="48">
        <v>2</v>
      </c>
      <c r="E1861" s="48">
        <v>1</v>
      </c>
      <c r="F1861" t="s">
        <v>667</v>
      </c>
      <c r="G1861" s="48" t="s">
        <v>1305</v>
      </c>
      <c r="H1861" s="48" t="s">
        <v>5232</v>
      </c>
      <c r="I1861" s="48" t="s">
        <v>5232</v>
      </c>
      <c r="J1861" s="48" t="s">
        <v>5233</v>
      </c>
      <c r="K1861" s="48" t="s">
        <v>1332</v>
      </c>
      <c r="L1861" s="48" t="s">
        <v>5234</v>
      </c>
      <c r="M1861" s="48" t="s">
        <v>4432</v>
      </c>
      <c r="N1861" s="48" t="s">
        <v>1310</v>
      </c>
      <c r="O1861" s="48" t="s">
        <v>1311</v>
      </c>
      <c r="P1861" s="48" t="s">
        <v>1312</v>
      </c>
      <c r="Q1861" s="48" t="s">
        <v>31</v>
      </c>
      <c r="R1861" s="48" t="s">
        <v>31</v>
      </c>
      <c r="S1861" s="48" t="s">
        <v>31</v>
      </c>
      <c r="T1861" s="48" t="s">
        <v>31</v>
      </c>
      <c r="U1861" s="46" t="s">
        <v>1154</v>
      </c>
    </row>
    <row r="1862" spans="1:21">
      <c r="A1862" s="48" t="s">
        <v>1245</v>
      </c>
      <c r="B1862" s="48" t="s">
        <v>124</v>
      </c>
      <c r="C1862" s="48" t="s">
        <v>689</v>
      </c>
      <c r="D1862" s="48">
        <v>2</v>
      </c>
      <c r="E1862" s="48">
        <v>1</v>
      </c>
      <c r="F1862" t="s">
        <v>667</v>
      </c>
      <c r="G1862" s="48" t="s">
        <v>1305</v>
      </c>
      <c r="H1862" s="48" t="s">
        <v>5235</v>
      </c>
      <c r="I1862" s="48" t="s">
        <v>5235</v>
      </c>
      <c r="J1862" s="48" t="s">
        <v>5236</v>
      </c>
      <c r="K1862" s="48" t="s">
        <v>1326</v>
      </c>
      <c r="L1862" s="48" t="s">
        <v>5237</v>
      </c>
      <c r="M1862" s="48" t="s">
        <v>4432</v>
      </c>
      <c r="N1862" s="48" t="s">
        <v>1310</v>
      </c>
      <c r="O1862" s="48" t="s">
        <v>1311</v>
      </c>
      <c r="P1862" s="48" t="s">
        <v>1312</v>
      </c>
      <c r="Q1862" s="48" t="s">
        <v>31</v>
      </c>
      <c r="R1862" s="48" t="s">
        <v>31</v>
      </c>
      <c r="S1862" s="48" t="s">
        <v>31</v>
      </c>
      <c r="T1862" s="48" t="s">
        <v>31</v>
      </c>
      <c r="U1862" s="46" t="s">
        <v>1154</v>
      </c>
    </row>
    <row r="1863" spans="1:21">
      <c r="A1863" s="48" t="s">
        <v>1245</v>
      </c>
      <c r="B1863" s="48" t="s">
        <v>124</v>
      </c>
      <c r="C1863" s="48" t="s">
        <v>689</v>
      </c>
      <c r="D1863" s="48">
        <v>2</v>
      </c>
      <c r="E1863" s="48">
        <v>1</v>
      </c>
      <c r="F1863" t="s">
        <v>667</v>
      </c>
      <c r="G1863" s="48" t="s">
        <v>1305</v>
      </c>
      <c r="H1863" s="48" t="s">
        <v>5238</v>
      </c>
      <c r="I1863" s="48" t="s">
        <v>5238</v>
      </c>
      <c r="J1863" s="48" t="s">
        <v>5239</v>
      </c>
      <c r="K1863" s="48" t="s">
        <v>1320</v>
      </c>
      <c r="L1863" s="48" t="s">
        <v>5240</v>
      </c>
      <c r="M1863" s="48" t="s">
        <v>4432</v>
      </c>
      <c r="N1863" s="48" t="s">
        <v>1310</v>
      </c>
      <c r="O1863" s="48" t="s">
        <v>1311</v>
      </c>
      <c r="P1863" s="48" t="s">
        <v>1312</v>
      </c>
      <c r="Q1863" s="48" t="s">
        <v>31</v>
      </c>
      <c r="R1863" s="48" t="s">
        <v>31</v>
      </c>
      <c r="S1863" s="48" t="s">
        <v>31</v>
      </c>
      <c r="T1863" s="48" t="s">
        <v>31</v>
      </c>
      <c r="U1863" s="46" t="s">
        <v>1154</v>
      </c>
    </row>
    <row r="1864" spans="1:21">
      <c r="A1864" s="48" t="s">
        <v>1245</v>
      </c>
      <c r="B1864" s="48" t="s">
        <v>124</v>
      </c>
      <c r="C1864" s="48" t="s">
        <v>689</v>
      </c>
      <c r="D1864" s="48">
        <v>2</v>
      </c>
      <c r="E1864" s="48">
        <v>1</v>
      </c>
      <c r="F1864" t="s">
        <v>667</v>
      </c>
      <c r="G1864" s="48" t="s">
        <v>1305</v>
      </c>
      <c r="H1864" s="48" t="s">
        <v>5241</v>
      </c>
      <c r="I1864" s="48" t="s">
        <v>5241</v>
      </c>
      <c r="J1864" s="48" t="s">
        <v>5242</v>
      </c>
      <c r="K1864" s="48" t="s">
        <v>1317</v>
      </c>
      <c r="L1864" s="48" t="s">
        <v>5243</v>
      </c>
      <c r="M1864" s="48" t="s">
        <v>4432</v>
      </c>
      <c r="N1864" s="48" t="s">
        <v>1310</v>
      </c>
      <c r="O1864" s="48" t="s">
        <v>1311</v>
      </c>
      <c r="P1864" s="48" t="s">
        <v>1312</v>
      </c>
      <c r="Q1864" s="48" t="s">
        <v>31</v>
      </c>
      <c r="R1864" s="48" t="s">
        <v>31</v>
      </c>
      <c r="S1864" s="48" t="s">
        <v>31</v>
      </c>
      <c r="T1864" s="48" t="s">
        <v>31</v>
      </c>
      <c r="U1864" s="46" t="s">
        <v>1154</v>
      </c>
    </row>
    <row r="1865" spans="1:21">
      <c r="A1865" s="48" t="s">
        <v>1245</v>
      </c>
      <c r="B1865" s="48" t="s">
        <v>124</v>
      </c>
      <c r="C1865" s="48" t="s">
        <v>689</v>
      </c>
      <c r="D1865" s="48">
        <v>2</v>
      </c>
      <c r="E1865" s="48">
        <v>1</v>
      </c>
      <c r="F1865" t="s">
        <v>667</v>
      </c>
      <c r="G1865" s="48" t="s">
        <v>1305</v>
      </c>
      <c r="H1865" s="48" t="s">
        <v>5244</v>
      </c>
      <c r="I1865" s="48" t="s">
        <v>5244</v>
      </c>
      <c r="J1865" s="48" t="s">
        <v>5245</v>
      </c>
      <c r="K1865" s="48" t="s">
        <v>1307</v>
      </c>
      <c r="L1865" s="48" t="s">
        <v>5246</v>
      </c>
      <c r="M1865" s="48" t="s">
        <v>4432</v>
      </c>
      <c r="N1865" s="48" t="s">
        <v>1310</v>
      </c>
      <c r="O1865" s="48" t="s">
        <v>1311</v>
      </c>
      <c r="P1865" s="48" t="s">
        <v>1312</v>
      </c>
      <c r="Q1865" s="48" t="s">
        <v>31</v>
      </c>
      <c r="R1865" s="48" t="s">
        <v>31</v>
      </c>
      <c r="S1865" s="48" t="s">
        <v>31</v>
      </c>
      <c r="T1865" s="48" t="s">
        <v>31</v>
      </c>
      <c r="U1865" s="46" t="s">
        <v>1154</v>
      </c>
    </row>
    <row r="1866" spans="1:21">
      <c r="A1866" s="48" t="s">
        <v>1187</v>
      </c>
      <c r="B1866" s="48" t="s">
        <v>125</v>
      </c>
      <c r="C1866" s="48" t="s">
        <v>666</v>
      </c>
      <c r="D1866" s="48">
        <v>1</v>
      </c>
      <c r="E1866" s="48">
        <v>0</v>
      </c>
      <c r="F1866" t="s">
        <v>804</v>
      </c>
      <c r="G1866" s="48" t="s">
        <v>1305</v>
      </c>
      <c r="H1866" s="48" t="s">
        <v>4340</v>
      </c>
      <c r="I1866" s="48" t="s">
        <v>4340</v>
      </c>
      <c r="J1866" s="48" t="s">
        <v>5247</v>
      </c>
      <c r="K1866" s="48" t="s">
        <v>1320</v>
      </c>
      <c r="L1866" s="48" t="s">
        <v>5248</v>
      </c>
      <c r="M1866" s="48" t="s">
        <v>4432</v>
      </c>
      <c r="N1866" s="48" t="s">
        <v>1310</v>
      </c>
      <c r="O1866" s="48" t="s">
        <v>1311</v>
      </c>
      <c r="P1866" s="48" t="s">
        <v>1312</v>
      </c>
      <c r="Q1866" s="48" t="s">
        <v>31</v>
      </c>
      <c r="R1866" s="48" t="s">
        <v>31</v>
      </c>
      <c r="S1866" s="48" t="s">
        <v>31</v>
      </c>
      <c r="T1866" s="48" t="s">
        <v>31</v>
      </c>
      <c r="U1866" s="46" t="s">
        <v>1154</v>
      </c>
    </row>
    <row r="1867" spans="1:21">
      <c r="A1867" s="48" t="s">
        <v>1187</v>
      </c>
      <c r="B1867" s="48" t="s">
        <v>125</v>
      </c>
      <c r="C1867" s="48" t="s">
        <v>666</v>
      </c>
      <c r="D1867" s="48">
        <v>1</v>
      </c>
      <c r="E1867" s="48">
        <v>0</v>
      </c>
      <c r="F1867" t="s">
        <v>804</v>
      </c>
      <c r="G1867" s="48" t="s">
        <v>1305</v>
      </c>
      <c r="H1867" s="48" t="s">
        <v>4344</v>
      </c>
      <c r="I1867" s="48" t="s">
        <v>4344</v>
      </c>
      <c r="J1867" s="48" t="s">
        <v>5249</v>
      </c>
      <c r="K1867" s="48" t="s">
        <v>1326</v>
      </c>
      <c r="L1867" s="48" t="s">
        <v>5250</v>
      </c>
      <c r="M1867" s="48" t="s">
        <v>4432</v>
      </c>
      <c r="N1867" s="48" t="s">
        <v>1310</v>
      </c>
      <c r="O1867" s="48" t="s">
        <v>1311</v>
      </c>
      <c r="P1867" s="48" t="s">
        <v>1312</v>
      </c>
      <c r="Q1867" s="48" t="s">
        <v>31</v>
      </c>
      <c r="R1867" s="48" t="s">
        <v>31</v>
      </c>
      <c r="S1867" s="48" t="s">
        <v>31</v>
      </c>
      <c r="T1867" s="48" t="s">
        <v>31</v>
      </c>
      <c r="U1867" s="46" t="s">
        <v>1154</v>
      </c>
    </row>
    <row r="1868" spans="1:21">
      <c r="A1868" s="48" t="s">
        <v>1187</v>
      </c>
      <c r="B1868" s="48" t="s">
        <v>125</v>
      </c>
      <c r="C1868" s="48" t="s">
        <v>666</v>
      </c>
      <c r="D1868" s="48">
        <v>1</v>
      </c>
      <c r="E1868" s="48">
        <v>0</v>
      </c>
      <c r="F1868" t="s">
        <v>804</v>
      </c>
      <c r="G1868" s="48" t="s">
        <v>1305</v>
      </c>
      <c r="H1868" s="48" t="s">
        <v>4336</v>
      </c>
      <c r="I1868" s="48" t="s">
        <v>4336</v>
      </c>
      <c r="J1868" s="48" t="s">
        <v>5251</v>
      </c>
      <c r="K1868" s="48" t="s">
        <v>1314</v>
      </c>
      <c r="L1868" s="48" t="s">
        <v>5252</v>
      </c>
      <c r="M1868" s="48" t="s">
        <v>4432</v>
      </c>
      <c r="N1868" s="48" t="s">
        <v>1310</v>
      </c>
      <c r="O1868" s="48" t="s">
        <v>1311</v>
      </c>
      <c r="P1868" s="48" t="s">
        <v>1312</v>
      </c>
      <c r="Q1868" s="48" t="s">
        <v>31</v>
      </c>
      <c r="R1868" s="48" t="s">
        <v>31</v>
      </c>
      <c r="S1868" s="48" t="s">
        <v>31</v>
      </c>
      <c r="T1868" s="48" t="s">
        <v>31</v>
      </c>
      <c r="U1868" s="46" t="s">
        <v>1154</v>
      </c>
    </row>
    <row r="1869" spans="1:21">
      <c r="A1869" s="48" t="s">
        <v>1187</v>
      </c>
      <c r="B1869" s="48" t="s">
        <v>125</v>
      </c>
      <c r="C1869" s="48" t="s">
        <v>666</v>
      </c>
      <c r="D1869" s="48">
        <v>1</v>
      </c>
      <c r="E1869" s="48">
        <v>0</v>
      </c>
      <c r="F1869" t="s">
        <v>804</v>
      </c>
      <c r="G1869" s="48" t="s">
        <v>1305</v>
      </c>
      <c r="H1869" s="48" t="s">
        <v>4346</v>
      </c>
      <c r="I1869" s="48" t="s">
        <v>4346</v>
      </c>
      <c r="J1869" s="48" t="s">
        <v>5253</v>
      </c>
      <c r="K1869" s="48" t="s">
        <v>1329</v>
      </c>
      <c r="L1869" s="48" t="s">
        <v>5254</v>
      </c>
      <c r="M1869" s="48" t="s">
        <v>4432</v>
      </c>
      <c r="N1869" s="48" t="s">
        <v>1310</v>
      </c>
      <c r="O1869" s="48" t="s">
        <v>1311</v>
      </c>
      <c r="P1869" s="48" t="s">
        <v>1312</v>
      </c>
      <c r="Q1869" s="48" t="s">
        <v>31</v>
      </c>
      <c r="R1869" s="48" t="s">
        <v>31</v>
      </c>
      <c r="S1869" s="48" t="s">
        <v>31</v>
      </c>
      <c r="T1869" s="48" t="s">
        <v>31</v>
      </c>
      <c r="U1869" s="46" t="s">
        <v>1154</v>
      </c>
    </row>
    <row r="1870" spans="1:21">
      <c r="A1870" s="48" t="s">
        <v>1187</v>
      </c>
      <c r="B1870" s="48" t="s">
        <v>125</v>
      </c>
      <c r="C1870" s="48" t="s">
        <v>666</v>
      </c>
      <c r="D1870" s="48">
        <v>1</v>
      </c>
      <c r="E1870" s="48">
        <v>0</v>
      </c>
      <c r="F1870" t="s">
        <v>804</v>
      </c>
      <c r="G1870" s="48" t="s">
        <v>1305</v>
      </c>
      <c r="H1870" s="48" t="s">
        <v>4342</v>
      </c>
      <c r="I1870" s="48" t="s">
        <v>4342</v>
      </c>
      <c r="J1870" s="48" t="s">
        <v>5255</v>
      </c>
      <c r="K1870" s="48" t="s">
        <v>1323</v>
      </c>
      <c r="L1870" s="48" t="s">
        <v>5256</v>
      </c>
      <c r="M1870" s="48" t="s">
        <v>4432</v>
      </c>
      <c r="N1870" s="48" t="s">
        <v>1310</v>
      </c>
      <c r="O1870" s="48" t="s">
        <v>1311</v>
      </c>
      <c r="P1870" s="48" t="s">
        <v>1312</v>
      </c>
      <c r="Q1870" s="48" t="s">
        <v>31</v>
      </c>
      <c r="R1870" s="48" t="s">
        <v>31</v>
      </c>
      <c r="S1870" s="48" t="s">
        <v>31</v>
      </c>
      <c r="T1870" s="48" t="s">
        <v>31</v>
      </c>
      <c r="U1870" s="46" t="s">
        <v>1154</v>
      </c>
    </row>
    <row r="1871" spans="1:21">
      <c r="A1871" s="48" t="s">
        <v>1187</v>
      </c>
      <c r="B1871" s="48" t="s">
        <v>125</v>
      </c>
      <c r="C1871" s="48" t="s">
        <v>666</v>
      </c>
      <c r="D1871" s="48">
        <v>1</v>
      </c>
      <c r="E1871" s="48">
        <v>0</v>
      </c>
      <c r="F1871" t="s">
        <v>804</v>
      </c>
      <c r="G1871" s="48" t="s">
        <v>1305</v>
      </c>
      <c r="H1871" s="48" t="s">
        <v>4338</v>
      </c>
      <c r="I1871" s="48" t="s">
        <v>4338</v>
      </c>
      <c r="J1871" s="48" t="s">
        <v>5257</v>
      </c>
      <c r="K1871" s="48" t="s">
        <v>1317</v>
      </c>
      <c r="L1871" s="48" t="s">
        <v>5258</v>
      </c>
      <c r="M1871" s="48" t="s">
        <v>4432</v>
      </c>
      <c r="N1871" s="48" t="s">
        <v>1310</v>
      </c>
      <c r="O1871" s="48" t="s">
        <v>1311</v>
      </c>
      <c r="P1871" s="48" t="s">
        <v>1312</v>
      </c>
      <c r="Q1871" s="48" t="s">
        <v>31</v>
      </c>
      <c r="R1871" s="48" t="s">
        <v>31</v>
      </c>
      <c r="S1871" s="48" t="s">
        <v>31</v>
      </c>
      <c r="T1871" s="48" t="s">
        <v>31</v>
      </c>
      <c r="U1871" s="46" t="s">
        <v>1154</v>
      </c>
    </row>
    <row r="1872" spans="1:21">
      <c r="A1872" s="48" t="s">
        <v>1187</v>
      </c>
      <c r="B1872" s="48" t="s">
        <v>125</v>
      </c>
      <c r="C1872" s="48" t="s">
        <v>666</v>
      </c>
      <c r="D1872" s="48">
        <v>1</v>
      </c>
      <c r="E1872" s="48">
        <v>0</v>
      </c>
      <c r="F1872" t="s">
        <v>804</v>
      </c>
      <c r="G1872" s="48" t="s">
        <v>1305</v>
      </c>
      <c r="H1872" s="48" t="s">
        <v>4334</v>
      </c>
      <c r="I1872" s="48" t="s">
        <v>4334</v>
      </c>
      <c r="J1872" s="48" t="s">
        <v>5259</v>
      </c>
      <c r="K1872" s="48" t="s">
        <v>1307</v>
      </c>
      <c r="L1872" s="48" t="s">
        <v>5260</v>
      </c>
      <c r="M1872" s="48" t="s">
        <v>4432</v>
      </c>
      <c r="N1872" s="48" t="s">
        <v>1310</v>
      </c>
      <c r="O1872" s="48" t="s">
        <v>1311</v>
      </c>
      <c r="P1872" s="48" t="s">
        <v>1312</v>
      </c>
      <c r="Q1872" s="48" t="s">
        <v>31</v>
      </c>
      <c r="R1872" s="48" t="s">
        <v>31</v>
      </c>
      <c r="S1872" s="48" t="s">
        <v>31</v>
      </c>
      <c r="T1872" s="48" t="s">
        <v>31</v>
      </c>
      <c r="U1872" s="46" t="s">
        <v>1154</v>
      </c>
    </row>
    <row r="1873" spans="1:21">
      <c r="A1873" s="48" t="s">
        <v>1187</v>
      </c>
      <c r="B1873" s="48" t="s">
        <v>125</v>
      </c>
      <c r="C1873" s="48" t="s">
        <v>666</v>
      </c>
      <c r="D1873" s="48">
        <v>1</v>
      </c>
      <c r="E1873" s="48">
        <v>0</v>
      </c>
      <c r="F1873" t="s">
        <v>804</v>
      </c>
      <c r="G1873" s="48" t="s">
        <v>1305</v>
      </c>
      <c r="H1873" s="48" t="s">
        <v>4348</v>
      </c>
      <c r="I1873" s="48" t="s">
        <v>4348</v>
      </c>
      <c r="J1873" s="48" t="s">
        <v>5261</v>
      </c>
      <c r="K1873" s="48" t="s">
        <v>1332</v>
      </c>
      <c r="L1873" s="48" t="s">
        <v>5262</v>
      </c>
      <c r="M1873" s="48" t="s">
        <v>4432</v>
      </c>
      <c r="N1873" s="48" t="s">
        <v>1310</v>
      </c>
      <c r="O1873" s="48" t="s">
        <v>1311</v>
      </c>
      <c r="P1873" s="48" t="s">
        <v>1312</v>
      </c>
      <c r="Q1873" s="48" t="s">
        <v>31</v>
      </c>
      <c r="R1873" s="48" t="s">
        <v>31</v>
      </c>
      <c r="S1873" s="48" t="s">
        <v>31</v>
      </c>
      <c r="T1873" s="48" t="s">
        <v>31</v>
      </c>
      <c r="U1873" s="46" t="s">
        <v>1154</v>
      </c>
    </row>
    <row r="1874" spans="1:21">
      <c r="A1874" s="48" t="s">
        <v>1179</v>
      </c>
      <c r="B1874" s="48" t="s">
        <v>127</v>
      </c>
      <c r="C1874" s="48" t="s">
        <v>666</v>
      </c>
      <c r="D1874" s="48">
        <v>1</v>
      </c>
      <c r="E1874" s="48">
        <v>0</v>
      </c>
      <c r="F1874" t="s">
        <v>723</v>
      </c>
      <c r="G1874" s="48" t="s">
        <v>1305</v>
      </c>
      <c r="H1874" s="48" t="s">
        <v>5263</v>
      </c>
      <c r="I1874" s="48" t="s">
        <v>5263</v>
      </c>
      <c r="J1874" s="48" t="s">
        <v>5264</v>
      </c>
      <c r="K1874" s="48" t="s">
        <v>1329</v>
      </c>
      <c r="L1874" s="48" t="s">
        <v>5265</v>
      </c>
      <c r="M1874" s="48" t="s">
        <v>4432</v>
      </c>
      <c r="N1874" s="48" t="s">
        <v>1310</v>
      </c>
      <c r="O1874" s="48" t="s">
        <v>1311</v>
      </c>
      <c r="P1874" s="48" t="s">
        <v>1312</v>
      </c>
      <c r="Q1874" s="48" t="s">
        <v>31</v>
      </c>
      <c r="R1874" s="48" t="s">
        <v>31</v>
      </c>
      <c r="S1874" s="48" t="s">
        <v>31</v>
      </c>
      <c r="T1874" s="48" t="s">
        <v>31</v>
      </c>
      <c r="U1874" s="46" t="s">
        <v>1154</v>
      </c>
    </row>
    <row r="1875" spans="1:21">
      <c r="A1875" s="48" t="s">
        <v>1179</v>
      </c>
      <c r="B1875" s="48" t="s">
        <v>127</v>
      </c>
      <c r="C1875" s="48" t="s">
        <v>666</v>
      </c>
      <c r="D1875" s="48">
        <v>1</v>
      </c>
      <c r="E1875" s="48">
        <v>0</v>
      </c>
      <c r="F1875" t="s">
        <v>723</v>
      </c>
      <c r="G1875" s="48" t="s">
        <v>1305</v>
      </c>
      <c r="H1875" s="48" t="s">
        <v>5266</v>
      </c>
      <c r="I1875" s="48" t="s">
        <v>5266</v>
      </c>
      <c r="J1875" s="48" t="s">
        <v>5267</v>
      </c>
      <c r="K1875" s="48" t="s">
        <v>1323</v>
      </c>
      <c r="L1875" s="48" t="s">
        <v>5268</v>
      </c>
      <c r="M1875" s="48" t="s">
        <v>4432</v>
      </c>
      <c r="N1875" s="48" t="s">
        <v>1310</v>
      </c>
      <c r="O1875" s="48" t="s">
        <v>1311</v>
      </c>
      <c r="P1875" s="48" t="s">
        <v>1312</v>
      </c>
      <c r="Q1875" s="48" t="s">
        <v>31</v>
      </c>
      <c r="R1875" s="48" t="s">
        <v>31</v>
      </c>
      <c r="S1875" s="48" t="s">
        <v>31</v>
      </c>
      <c r="T1875" s="48" t="s">
        <v>31</v>
      </c>
      <c r="U1875" s="46" t="s">
        <v>1154</v>
      </c>
    </row>
    <row r="1876" spans="1:21">
      <c r="A1876" s="48" t="s">
        <v>1179</v>
      </c>
      <c r="B1876" s="48" t="s">
        <v>127</v>
      </c>
      <c r="C1876" s="48" t="s">
        <v>666</v>
      </c>
      <c r="D1876" s="48">
        <v>1</v>
      </c>
      <c r="E1876" s="48">
        <v>0</v>
      </c>
      <c r="F1876" t="s">
        <v>723</v>
      </c>
      <c r="G1876" s="48" t="s">
        <v>1305</v>
      </c>
      <c r="H1876" s="48" t="s">
        <v>5269</v>
      </c>
      <c r="I1876" s="48" t="s">
        <v>5269</v>
      </c>
      <c r="J1876" s="48" t="s">
        <v>5270</v>
      </c>
      <c r="K1876" s="48" t="s">
        <v>1332</v>
      </c>
      <c r="L1876" s="49" t="s">
        <v>5271</v>
      </c>
      <c r="M1876" s="48" t="s">
        <v>4432</v>
      </c>
      <c r="N1876" s="48" t="s">
        <v>1310</v>
      </c>
      <c r="O1876" s="48" t="s">
        <v>1311</v>
      </c>
      <c r="P1876" s="48" t="s">
        <v>1312</v>
      </c>
      <c r="Q1876" s="48" t="s">
        <v>31</v>
      </c>
      <c r="R1876" s="48" t="s">
        <v>31</v>
      </c>
      <c r="S1876" s="48" t="s">
        <v>31</v>
      </c>
      <c r="T1876" s="48" t="s">
        <v>31</v>
      </c>
      <c r="U1876" s="46" t="s">
        <v>1154</v>
      </c>
    </row>
    <row r="1877" spans="1:21">
      <c r="A1877" s="48" t="s">
        <v>1179</v>
      </c>
      <c r="B1877" s="48" t="s">
        <v>127</v>
      </c>
      <c r="C1877" s="48" t="s">
        <v>666</v>
      </c>
      <c r="D1877" s="48">
        <v>1</v>
      </c>
      <c r="E1877" s="48">
        <v>0</v>
      </c>
      <c r="F1877" t="s">
        <v>723</v>
      </c>
      <c r="G1877" s="48" t="s">
        <v>1305</v>
      </c>
      <c r="H1877" s="48" t="s">
        <v>5272</v>
      </c>
      <c r="I1877" s="48" t="s">
        <v>5272</v>
      </c>
      <c r="J1877" s="48" t="s">
        <v>5273</v>
      </c>
      <c r="K1877" s="48" t="s">
        <v>1317</v>
      </c>
      <c r="L1877" s="48" t="s">
        <v>5274</v>
      </c>
      <c r="M1877" s="48" t="s">
        <v>4432</v>
      </c>
      <c r="N1877" s="48" t="s">
        <v>1310</v>
      </c>
      <c r="O1877" s="48" t="s">
        <v>1311</v>
      </c>
      <c r="P1877" s="48" t="s">
        <v>1312</v>
      </c>
      <c r="Q1877" s="48" t="s">
        <v>31</v>
      </c>
      <c r="R1877" s="48" t="s">
        <v>31</v>
      </c>
      <c r="S1877" s="48" t="s">
        <v>31</v>
      </c>
      <c r="T1877" s="48" t="s">
        <v>31</v>
      </c>
      <c r="U1877" s="46" t="s">
        <v>1154</v>
      </c>
    </row>
    <row r="1878" spans="1:21">
      <c r="A1878" s="48" t="s">
        <v>1179</v>
      </c>
      <c r="B1878" s="48" t="s">
        <v>127</v>
      </c>
      <c r="C1878" s="48" t="s">
        <v>666</v>
      </c>
      <c r="D1878" s="48">
        <v>1</v>
      </c>
      <c r="E1878" s="48">
        <v>0</v>
      </c>
      <c r="F1878" t="s">
        <v>723</v>
      </c>
      <c r="G1878" s="48" t="s">
        <v>1305</v>
      </c>
      <c r="H1878" s="48" t="s">
        <v>5275</v>
      </c>
      <c r="I1878" s="48" t="s">
        <v>5275</v>
      </c>
      <c r="J1878" s="48" t="s">
        <v>5276</v>
      </c>
      <c r="K1878" s="48" t="s">
        <v>1320</v>
      </c>
      <c r="L1878" s="48" t="s">
        <v>5277</v>
      </c>
      <c r="M1878" s="48" t="s">
        <v>4432</v>
      </c>
      <c r="N1878" s="48" t="s">
        <v>1310</v>
      </c>
      <c r="O1878" s="48" t="s">
        <v>1311</v>
      </c>
      <c r="P1878" s="48" t="s">
        <v>1312</v>
      </c>
      <c r="Q1878" s="48" t="s">
        <v>31</v>
      </c>
      <c r="R1878" s="48" t="s">
        <v>31</v>
      </c>
      <c r="S1878" s="48" t="s">
        <v>31</v>
      </c>
      <c r="T1878" s="48" t="s">
        <v>31</v>
      </c>
      <c r="U1878" s="46" t="s">
        <v>1154</v>
      </c>
    </row>
    <row r="1879" spans="1:21">
      <c r="A1879" s="48" t="s">
        <v>1179</v>
      </c>
      <c r="B1879" s="48" t="s">
        <v>127</v>
      </c>
      <c r="C1879" s="48" t="s">
        <v>666</v>
      </c>
      <c r="D1879" s="48">
        <v>1</v>
      </c>
      <c r="E1879" s="48">
        <v>0</v>
      </c>
      <c r="F1879" t="s">
        <v>723</v>
      </c>
      <c r="G1879" s="48" t="s">
        <v>1305</v>
      </c>
      <c r="H1879" s="48" t="s">
        <v>5278</v>
      </c>
      <c r="I1879" s="48" t="s">
        <v>5278</v>
      </c>
      <c r="J1879" s="48" t="s">
        <v>5279</v>
      </c>
      <c r="K1879" s="48" t="s">
        <v>1326</v>
      </c>
      <c r="L1879" s="48" t="s">
        <v>5280</v>
      </c>
      <c r="M1879" s="48" t="s">
        <v>4432</v>
      </c>
      <c r="N1879" s="48" t="s">
        <v>1310</v>
      </c>
      <c r="O1879" s="48" t="s">
        <v>1311</v>
      </c>
      <c r="P1879" s="48" t="s">
        <v>1312</v>
      </c>
      <c r="Q1879" s="48" t="s">
        <v>31</v>
      </c>
      <c r="R1879" s="48" t="s">
        <v>31</v>
      </c>
      <c r="S1879" s="48" t="s">
        <v>31</v>
      </c>
      <c r="T1879" s="48" t="s">
        <v>31</v>
      </c>
      <c r="U1879" s="46" t="s">
        <v>1154</v>
      </c>
    </row>
    <row r="1880" spans="1:21">
      <c r="A1880" s="48" t="s">
        <v>1179</v>
      </c>
      <c r="B1880" s="48" t="s">
        <v>127</v>
      </c>
      <c r="C1880" s="48" t="s">
        <v>666</v>
      </c>
      <c r="D1880" s="48">
        <v>1</v>
      </c>
      <c r="E1880" s="48">
        <v>0</v>
      </c>
      <c r="F1880" t="s">
        <v>723</v>
      </c>
      <c r="G1880" s="48" t="s">
        <v>1305</v>
      </c>
      <c r="H1880" s="48" t="s">
        <v>5281</v>
      </c>
      <c r="I1880" s="48" t="s">
        <v>5281</v>
      </c>
      <c r="J1880" s="48" t="s">
        <v>5282</v>
      </c>
      <c r="K1880" s="48" t="s">
        <v>1314</v>
      </c>
      <c r="L1880" s="48" t="s">
        <v>5283</v>
      </c>
      <c r="M1880" s="48" t="s">
        <v>4432</v>
      </c>
      <c r="N1880" s="48" t="s">
        <v>1310</v>
      </c>
      <c r="O1880" s="48" t="s">
        <v>1311</v>
      </c>
      <c r="P1880" s="48" t="s">
        <v>1312</v>
      </c>
      <c r="Q1880" s="48" t="s">
        <v>31</v>
      </c>
      <c r="R1880" s="48" t="s">
        <v>31</v>
      </c>
      <c r="S1880" s="48" t="s">
        <v>31</v>
      </c>
      <c r="T1880" s="48" t="s">
        <v>31</v>
      </c>
      <c r="U1880" s="46" t="s">
        <v>1154</v>
      </c>
    </row>
    <row r="1881" spans="1:21">
      <c r="A1881" s="48" t="s">
        <v>1179</v>
      </c>
      <c r="B1881" s="48" t="s">
        <v>127</v>
      </c>
      <c r="C1881" s="48" t="s">
        <v>666</v>
      </c>
      <c r="D1881" s="48">
        <v>1</v>
      </c>
      <c r="E1881" s="48">
        <v>0</v>
      </c>
      <c r="F1881" t="s">
        <v>723</v>
      </c>
      <c r="G1881" s="48" t="s">
        <v>1305</v>
      </c>
      <c r="H1881" s="48" t="s">
        <v>5284</v>
      </c>
      <c r="I1881" s="48" t="s">
        <v>5284</v>
      </c>
      <c r="J1881" s="48" t="s">
        <v>5285</v>
      </c>
      <c r="K1881" s="48" t="s">
        <v>1307</v>
      </c>
      <c r="L1881" s="48" t="s">
        <v>5286</v>
      </c>
      <c r="M1881" s="48" t="s">
        <v>4432</v>
      </c>
      <c r="N1881" s="48" t="s">
        <v>1310</v>
      </c>
      <c r="O1881" s="48" t="s">
        <v>1311</v>
      </c>
      <c r="P1881" s="48" t="s">
        <v>1312</v>
      </c>
      <c r="Q1881" s="48" t="s">
        <v>31</v>
      </c>
      <c r="R1881" s="48" t="s">
        <v>31</v>
      </c>
      <c r="S1881" s="48" t="s">
        <v>31</v>
      </c>
      <c r="T1881" s="48" t="s">
        <v>31</v>
      </c>
      <c r="U1881" s="46" t="s">
        <v>1154</v>
      </c>
    </row>
    <row r="1882" spans="1:21">
      <c r="A1882" s="48" t="s">
        <v>1193</v>
      </c>
      <c r="B1882" s="48" t="s">
        <v>129</v>
      </c>
      <c r="C1882" s="48" t="s">
        <v>666</v>
      </c>
      <c r="D1882" s="48">
        <v>1</v>
      </c>
      <c r="E1882" s="48">
        <v>0</v>
      </c>
      <c r="F1882" t="s">
        <v>746</v>
      </c>
      <c r="G1882" s="48" t="s">
        <v>1305</v>
      </c>
      <c r="H1882" s="48" t="s">
        <v>5287</v>
      </c>
      <c r="I1882" s="48" t="s">
        <v>5287</v>
      </c>
      <c r="J1882" s="48" t="s">
        <v>5288</v>
      </c>
      <c r="K1882" s="48" t="s">
        <v>1329</v>
      </c>
      <c r="L1882" s="48" t="s">
        <v>5289</v>
      </c>
      <c r="M1882" s="48" t="s">
        <v>4432</v>
      </c>
      <c r="N1882" s="48" t="s">
        <v>1310</v>
      </c>
      <c r="O1882" s="48" t="s">
        <v>1311</v>
      </c>
      <c r="P1882" s="48" t="s">
        <v>1312</v>
      </c>
      <c r="Q1882" s="48" t="s">
        <v>31</v>
      </c>
      <c r="R1882" s="48" t="s">
        <v>31</v>
      </c>
      <c r="S1882" s="48" t="s">
        <v>31</v>
      </c>
      <c r="T1882" s="48" t="s">
        <v>31</v>
      </c>
      <c r="U1882" s="46" t="s">
        <v>1154</v>
      </c>
    </row>
    <row r="1883" spans="1:21">
      <c r="A1883" s="48" t="s">
        <v>1193</v>
      </c>
      <c r="B1883" s="48" t="s">
        <v>129</v>
      </c>
      <c r="C1883" s="48" t="s">
        <v>666</v>
      </c>
      <c r="D1883" s="48">
        <v>1</v>
      </c>
      <c r="E1883" s="48">
        <v>0</v>
      </c>
      <c r="F1883" t="s">
        <v>746</v>
      </c>
      <c r="G1883" s="48" t="s">
        <v>1305</v>
      </c>
      <c r="H1883" s="48" t="s">
        <v>5290</v>
      </c>
      <c r="I1883" s="48" t="s">
        <v>5290</v>
      </c>
      <c r="J1883" s="48" t="s">
        <v>5291</v>
      </c>
      <c r="K1883" s="48" t="s">
        <v>1320</v>
      </c>
      <c r="L1883" s="48" t="s">
        <v>5292</v>
      </c>
      <c r="M1883" s="48" t="s">
        <v>4432</v>
      </c>
      <c r="N1883" s="48" t="s">
        <v>1310</v>
      </c>
      <c r="O1883" s="48" t="s">
        <v>1311</v>
      </c>
      <c r="P1883" s="48" t="s">
        <v>1312</v>
      </c>
      <c r="Q1883" s="48" t="s">
        <v>31</v>
      </c>
      <c r="R1883" s="48" t="s">
        <v>31</v>
      </c>
      <c r="S1883" s="48" t="s">
        <v>31</v>
      </c>
      <c r="T1883" s="48" t="s">
        <v>31</v>
      </c>
      <c r="U1883" s="46" t="s">
        <v>1154</v>
      </c>
    </row>
    <row r="1884" spans="1:21">
      <c r="A1884" s="48" t="s">
        <v>1193</v>
      </c>
      <c r="B1884" s="48" t="s">
        <v>129</v>
      </c>
      <c r="C1884" s="48" t="s">
        <v>666</v>
      </c>
      <c r="D1884" s="48">
        <v>1</v>
      </c>
      <c r="E1884" s="48">
        <v>0</v>
      </c>
      <c r="F1884" t="s">
        <v>746</v>
      </c>
      <c r="G1884" s="48" t="s">
        <v>1305</v>
      </c>
      <c r="H1884" s="48" t="s">
        <v>5293</v>
      </c>
      <c r="I1884" s="48" t="s">
        <v>5293</v>
      </c>
      <c r="J1884" s="48" t="s">
        <v>5294</v>
      </c>
      <c r="K1884" s="48" t="s">
        <v>1332</v>
      </c>
      <c r="L1884" s="48" t="s">
        <v>5295</v>
      </c>
      <c r="M1884" s="48" t="s">
        <v>4432</v>
      </c>
      <c r="N1884" s="48" t="s">
        <v>1310</v>
      </c>
      <c r="O1884" s="48" t="s">
        <v>1311</v>
      </c>
      <c r="P1884" s="48" t="s">
        <v>1312</v>
      </c>
      <c r="Q1884" s="48" t="s">
        <v>31</v>
      </c>
      <c r="R1884" s="48" t="s">
        <v>31</v>
      </c>
      <c r="S1884" s="48" t="s">
        <v>31</v>
      </c>
      <c r="T1884" s="48" t="s">
        <v>31</v>
      </c>
      <c r="U1884" s="46" t="s">
        <v>1154</v>
      </c>
    </row>
    <row r="1885" spans="1:21">
      <c r="A1885" s="48" t="s">
        <v>1193</v>
      </c>
      <c r="B1885" s="48" t="s">
        <v>129</v>
      </c>
      <c r="C1885" s="48" t="s">
        <v>666</v>
      </c>
      <c r="D1885" s="48">
        <v>1</v>
      </c>
      <c r="E1885" s="48">
        <v>0</v>
      </c>
      <c r="F1885" t="s">
        <v>746</v>
      </c>
      <c r="G1885" s="48" t="s">
        <v>1305</v>
      </c>
      <c r="H1885" s="48" t="s">
        <v>5296</v>
      </c>
      <c r="I1885" s="48" t="s">
        <v>5296</v>
      </c>
      <c r="J1885" s="48" t="s">
        <v>5297</v>
      </c>
      <c r="K1885" s="48" t="s">
        <v>1317</v>
      </c>
      <c r="L1885" s="48" t="s">
        <v>5298</v>
      </c>
      <c r="M1885" s="48" t="s">
        <v>4432</v>
      </c>
      <c r="N1885" s="48" t="s">
        <v>1310</v>
      </c>
      <c r="O1885" s="48" t="s">
        <v>1311</v>
      </c>
      <c r="P1885" s="48" t="s">
        <v>1312</v>
      </c>
      <c r="Q1885" s="48" t="s">
        <v>31</v>
      </c>
      <c r="R1885" s="48" t="s">
        <v>31</v>
      </c>
      <c r="S1885" s="48" t="s">
        <v>31</v>
      </c>
      <c r="T1885" s="48" t="s">
        <v>31</v>
      </c>
      <c r="U1885" s="46" t="s">
        <v>1154</v>
      </c>
    </row>
    <row r="1886" spans="1:21">
      <c r="A1886" s="48" t="s">
        <v>1193</v>
      </c>
      <c r="B1886" s="48" t="s">
        <v>129</v>
      </c>
      <c r="C1886" s="48" t="s">
        <v>666</v>
      </c>
      <c r="D1886" s="48">
        <v>1</v>
      </c>
      <c r="E1886" s="48">
        <v>0</v>
      </c>
      <c r="F1886" t="s">
        <v>746</v>
      </c>
      <c r="G1886" s="48" t="s">
        <v>1305</v>
      </c>
      <c r="H1886" s="48" t="s">
        <v>5299</v>
      </c>
      <c r="I1886" s="48" t="s">
        <v>5299</v>
      </c>
      <c r="J1886" s="48" t="s">
        <v>5300</v>
      </c>
      <c r="K1886" s="48" t="s">
        <v>1323</v>
      </c>
      <c r="L1886" s="48" t="s">
        <v>5301</v>
      </c>
      <c r="M1886" s="48" t="s">
        <v>4432</v>
      </c>
      <c r="N1886" s="48" t="s">
        <v>1310</v>
      </c>
      <c r="O1886" s="48" t="s">
        <v>1311</v>
      </c>
      <c r="P1886" s="48" t="s">
        <v>1312</v>
      </c>
      <c r="Q1886" s="48" t="s">
        <v>31</v>
      </c>
      <c r="R1886" s="48" t="s">
        <v>31</v>
      </c>
      <c r="S1886" s="48" t="s">
        <v>31</v>
      </c>
      <c r="T1886" s="48" t="s">
        <v>31</v>
      </c>
      <c r="U1886" s="46" t="s">
        <v>1154</v>
      </c>
    </row>
    <row r="1887" spans="1:21">
      <c r="A1887" s="48" t="s">
        <v>1193</v>
      </c>
      <c r="B1887" s="48" t="s">
        <v>129</v>
      </c>
      <c r="C1887" s="48" t="s">
        <v>666</v>
      </c>
      <c r="D1887" s="48">
        <v>1</v>
      </c>
      <c r="E1887" s="48">
        <v>0</v>
      </c>
      <c r="F1887" t="s">
        <v>746</v>
      </c>
      <c r="G1887" s="48" t="s">
        <v>1305</v>
      </c>
      <c r="H1887" s="48" t="s">
        <v>5302</v>
      </c>
      <c r="I1887" s="48" t="s">
        <v>5302</v>
      </c>
      <c r="J1887" s="48" t="s">
        <v>5303</v>
      </c>
      <c r="K1887" s="48" t="s">
        <v>1307</v>
      </c>
      <c r="L1887" s="48" t="s">
        <v>5304</v>
      </c>
      <c r="M1887" s="48" t="s">
        <v>4432</v>
      </c>
      <c r="N1887" s="48" t="s">
        <v>1310</v>
      </c>
      <c r="O1887" s="48" t="s">
        <v>1311</v>
      </c>
      <c r="P1887" s="48" t="s">
        <v>1312</v>
      </c>
      <c r="Q1887" s="48" t="s">
        <v>31</v>
      </c>
      <c r="R1887" s="48" t="s">
        <v>31</v>
      </c>
      <c r="S1887" s="48" t="s">
        <v>31</v>
      </c>
      <c r="T1887" s="48" t="s">
        <v>31</v>
      </c>
      <c r="U1887" s="46" t="s">
        <v>1154</v>
      </c>
    </row>
    <row r="1888" spans="1:21">
      <c r="A1888" s="48" t="s">
        <v>1193</v>
      </c>
      <c r="B1888" s="48" t="s">
        <v>129</v>
      </c>
      <c r="C1888" s="48" t="s">
        <v>666</v>
      </c>
      <c r="D1888" s="48">
        <v>1</v>
      </c>
      <c r="E1888" s="48">
        <v>0</v>
      </c>
      <c r="F1888" t="s">
        <v>746</v>
      </c>
      <c r="G1888" s="48" t="s">
        <v>1305</v>
      </c>
      <c r="H1888" s="48" t="s">
        <v>5305</v>
      </c>
      <c r="I1888" s="48" t="s">
        <v>5305</v>
      </c>
      <c r="J1888" s="48" t="s">
        <v>5306</v>
      </c>
      <c r="K1888" s="48" t="s">
        <v>1326</v>
      </c>
      <c r="L1888" s="48" t="s">
        <v>5307</v>
      </c>
      <c r="M1888" s="48" t="s">
        <v>4432</v>
      </c>
      <c r="N1888" s="48" t="s">
        <v>1310</v>
      </c>
      <c r="O1888" s="48" t="s">
        <v>1311</v>
      </c>
      <c r="P1888" s="48" t="s">
        <v>1312</v>
      </c>
      <c r="Q1888" s="48" t="s">
        <v>31</v>
      </c>
      <c r="R1888" s="48" t="s">
        <v>31</v>
      </c>
      <c r="S1888" s="48" t="s">
        <v>31</v>
      </c>
      <c r="T1888" s="48" t="s">
        <v>31</v>
      </c>
      <c r="U1888" s="46" t="s">
        <v>1154</v>
      </c>
    </row>
    <row r="1889" spans="1:21">
      <c r="A1889" s="48" t="s">
        <v>1193</v>
      </c>
      <c r="B1889" s="48" t="s">
        <v>129</v>
      </c>
      <c r="C1889" s="48" t="s">
        <v>666</v>
      </c>
      <c r="D1889" s="48">
        <v>1</v>
      </c>
      <c r="E1889" s="48">
        <v>0</v>
      </c>
      <c r="F1889" t="s">
        <v>746</v>
      </c>
      <c r="G1889" s="48" t="s">
        <v>1305</v>
      </c>
      <c r="H1889" s="48" t="s">
        <v>5308</v>
      </c>
      <c r="I1889" s="48" t="s">
        <v>5308</v>
      </c>
      <c r="J1889" s="48" t="s">
        <v>5309</v>
      </c>
      <c r="K1889" s="48" t="s">
        <v>1314</v>
      </c>
      <c r="L1889" s="48" t="s">
        <v>5310</v>
      </c>
      <c r="M1889" s="48" t="s">
        <v>4432</v>
      </c>
      <c r="N1889" s="48" t="s">
        <v>1310</v>
      </c>
      <c r="O1889" s="48" t="s">
        <v>1311</v>
      </c>
      <c r="P1889" s="48" t="s">
        <v>1312</v>
      </c>
      <c r="Q1889" s="48" t="s">
        <v>31</v>
      </c>
      <c r="R1889" s="48" t="s">
        <v>31</v>
      </c>
      <c r="S1889" s="48" t="s">
        <v>31</v>
      </c>
      <c r="T1889" s="48" t="s">
        <v>31</v>
      </c>
      <c r="U1889" s="46" t="s">
        <v>1154</v>
      </c>
    </row>
    <row r="1890" spans="1:21">
      <c r="A1890" s="48" t="s">
        <v>1155</v>
      </c>
      <c r="B1890" s="48" t="s">
        <v>131</v>
      </c>
      <c r="C1890" s="48" t="s">
        <v>666</v>
      </c>
      <c r="D1890" s="48">
        <v>1</v>
      </c>
      <c r="E1890" s="48">
        <v>0</v>
      </c>
      <c r="F1890" t="s">
        <v>804</v>
      </c>
      <c r="G1890" s="48" t="s">
        <v>1305</v>
      </c>
      <c r="H1890" s="48" t="s">
        <v>5311</v>
      </c>
      <c r="I1890" s="48" t="s">
        <v>5311</v>
      </c>
      <c r="J1890" s="48" t="s">
        <v>5312</v>
      </c>
      <c r="K1890" s="48" t="s">
        <v>1317</v>
      </c>
      <c r="L1890" s="48" t="s">
        <v>5313</v>
      </c>
      <c r="M1890" s="48" t="s">
        <v>4432</v>
      </c>
      <c r="N1890" s="48" t="s">
        <v>1310</v>
      </c>
      <c r="O1890" s="48" t="s">
        <v>1311</v>
      </c>
      <c r="P1890" s="48" t="s">
        <v>1312</v>
      </c>
      <c r="Q1890" s="48" t="s">
        <v>31</v>
      </c>
      <c r="R1890" s="48" t="s">
        <v>31</v>
      </c>
      <c r="S1890" s="48" t="s">
        <v>31</v>
      </c>
      <c r="T1890" s="48" t="s">
        <v>31</v>
      </c>
      <c r="U1890" s="46" t="s">
        <v>1154</v>
      </c>
    </row>
    <row r="1891" spans="1:21">
      <c r="A1891" s="48" t="s">
        <v>1155</v>
      </c>
      <c r="B1891" s="48" t="s">
        <v>131</v>
      </c>
      <c r="C1891" s="48" t="s">
        <v>666</v>
      </c>
      <c r="D1891" s="48">
        <v>1</v>
      </c>
      <c r="E1891" s="48">
        <v>0</v>
      </c>
      <c r="F1891" t="s">
        <v>804</v>
      </c>
      <c r="G1891" s="48" t="s">
        <v>1305</v>
      </c>
      <c r="H1891" s="48" t="s">
        <v>5314</v>
      </c>
      <c r="I1891" s="48" t="s">
        <v>5314</v>
      </c>
      <c r="J1891" s="48" t="s">
        <v>5315</v>
      </c>
      <c r="K1891" s="48" t="s">
        <v>1307</v>
      </c>
      <c r="L1891" s="48" t="s">
        <v>5316</v>
      </c>
      <c r="M1891" s="48" t="s">
        <v>4432</v>
      </c>
      <c r="N1891" s="48" t="s">
        <v>1310</v>
      </c>
      <c r="O1891" s="48" t="s">
        <v>1311</v>
      </c>
      <c r="P1891" s="48" t="s">
        <v>1312</v>
      </c>
      <c r="Q1891" s="48" t="s">
        <v>31</v>
      </c>
      <c r="R1891" s="48" t="s">
        <v>31</v>
      </c>
      <c r="S1891" s="48" t="s">
        <v>31</v>
      </c>
      <c r="T1891" s="48" t="s">
        <v>31</v>
      </c>
      <c r="U1891" s="46" t="s">
        <v>1154</v>
      </c>
    </row>
    <row r="1892" spans="1:21">
      <c r="A1892" s="48" t="s">
        <v>1155</v>
      </c>
      <c r="B1892" s="48" t="s">
        <v>131</v>
      </c>
      <c r="C1892" s="48" t="s">
        <v>666</v>
      </c>
      <c r="D1892" s="48">
        <v>1</v>
      </c>
      <c r="E1892" s="48">
        <v>0</v>
      </c>
      <c r="F1892" t="s">
        <v>804</v>
      </c>
      <c r="G1892" s="48" t="s">
        <v>1305</v>
      </c>
      <c r="H1892" s="48" t="s">
        <v>5317</v>
      </c>
      <c r="I1892" s="48" t="s">
        <v>5317</v>
      </c>
      <c r="J1892" s="48" t="s">
        <v>5318</v>
      </c>
      <c r="K1892" s="48" t="s">
        <v>1326</v>
      </c>
      <c r="L1892" s="48" t="s">
        <v>5319</v>
      </c>
      <c r="M1892" s="48" t="s">
        <v>4432</v>
      </c>
      <c r="N1892" s="48" t="s">
        <v>1310</v>
      </c>
      <c r="O1892" s="48" t="s">
        <v>1311</v>
      </c>
      <c r="P1892" s="48" t="s">
        <v>1312</v>
      </c>
      <c r="Q1892" s="48" t="s">
        <v>31</v>
      </c>
      <c r="R1892" s="48" t="s">
        <v>31</v>
      </c>
      <c r="S1892" s="48" t="s">
        <v>31</v>
      </c>
      <c r="T1892" s="48" t="s">
        <v>31</v>
      </c>
      <c r="U1892" s="46" t="s">
        <v>1154</v>
      </c>
    </row>
    <row r="1893" spans="1:21">
      <c r="A1893" s="48" t="s">
        <v>1155</v>
      </c>
      <c r="B1893" s="48" t="s">
        <v>131</v>
      </c>
      <c r="C1893" s="48" t="s">
        <v>666</v>
      </c>
      <c r="D1893" s="48">
        <v>1</v>
      </c>
      <c r="E1893" s="48">
        <v>0</v>
      </c>
      <c r="F1893" t="s">
        <v>804</v>
      </c>
      <c r="G1893" s="48" t="s">
        <v>1305</v>
      </c>
      <c r="H1893" s="48" t="s">
        <v>5320</v>
      </c>
      <c r="I1893" s="48" t="s">
        <v>5320</v>
      </c>
      <c r="J1893" s="48" t="s">
        <v>5321</v>
      </c>
      <c r="K1893" s="48" t="s">
        <v>1314</v>
      </c>
      <c r="L1893" s="48" t="s">
        <v>5322</v>
      </c>
      <c r="M1893" s="48" t="s">
        <v>4432</v>
      </c>
      <c r="N1893" s="48" t="s">
        <v>1310</v>
      </c>
      <c r="O1893" s="48" t="s">
        <v>1311</v>
      </c>
      <c r="P1893" s="48" t="s">
        <v>1312</v>
      </c>
      <c r="Q1893" s="48" t="s">
        <v>31</v>
      </c>
      <c r="R1893" s="48" t="s">
        <v>31</v>
      </c>
      <c r="S1893" s="48" t="s">
        <v>31</v>
      </c>
      <c r="T1893" s="48" t="s">
        <v>31</v>
      </c>
      <c r="U1893" s="46" t="s">
        <v>1154</v>
      </c>
    </row>
    <row r="1894" spans="1:21">
      <c r="A1894" s="48" t="s">
        <v>1155</v>
      </c>
      <c r="B1894" s="48" t="s">
        <v>131</v>
      </c>
      <c r="C1894" s="48" t="s">
        <v>666</v>
      </c>
      <c r="D1894" s="48">
        <v>1</v>
      </c>
      <c r="E1894" s="48">
        <v>0</v>
      </c>
      <c r="F1894" t="s">
        <v>804</v>
      </c>
      <c r="G1894" s="48" t="s">
        <v>1305</v>
      </c>
      <c r="H1894" s="48" t="s">
        <v>5323</v>
      </c>
      <c r="I1894" s="48" t="s">
        <v>5323</v>
      </c>
      <c r="J1894" s="48" t="s">
        <v>5324</v>
      </c>
      <c r="K1894" s="48" t="s">
        <v>1329</v>
      </c>
      <c r="L1894" s="48" t="s">
        <v>5325</v>
      </c>
      <c r="M1894" s="48" t="s">
        <v>4432</v>
      </c>
      <c r="N1894" s="48" t="s">
        <v>1310</v>
      </c>
      <c r="O1894" s="48" t="s">
        <v>1311</v>
      </c>
      <c r="P1894" s="48" t="s">
        <v>1312</v>
      </c>
      <c r="Q1894" s="48" t="s">
        <v>31</v>
      </c>
      <c r="R1894" s="48" t="s">
        <v>31</v>
      </c>
      <c r="S1894" s="48" t="s">
        <v>31</v>
      </c>
      <c r="T1894" s="48" t="s">
        <v>31</v>
      </c>
      <c r="U1894" s="46" t="s">
        <v>1154</v>
      </c>
    </row>
    <row r="1895" spans="1:21">
      <c r="A1895" s="48" t="s">
        <v>1155</v>
      </c>
      <c r="B1895" s="48" t="s">
        <v>131</v>
      </c>
      <c r="C1895" s="48" t="s">
        <v>666</v>
      </c>
      <c r="D1895" s="48">
        <v>1</v>
      </c>
      <c r="E1895" s="48">
        <v>0</v>
      </c>
      <c r="F1895" t="s">
        <v>804</v>
      </c>
      <c r="G1895" s="48" t="s">
        <v>1305</v>
      </c>
      <c r="H1895" s="48" t="s">
        <v>5326</v>
      </c>
      <c r="I1895" s="48" t="s">
        <v>5326</v>
      </c>
      <c r="J1895" s="48" t="s">
        <v>5327</v>
      </c>
      <c r="K1895" s="48" t="s">
        <v>1332</v>
      </c>
      <c r="L1895" s="48" t="s">
        <v>5328</v>
      </c>
      <c r="M1895" s="48" t="s">
        <v>4432</v>
      </c>
      <c r="N1895" s="48" t="s">
        <v>1310</v>
      </c>
      <c r="O1895" s="48" t="s">
        <v>1311</v>
      </c>
      <c r="P1895" s="48" t="s">
        <v>1312</v>
      </c>
      <c r="Q1895" s="48" t="s">
        <v>31</v>
      </c>
      <c r="R1895" s="48" t="s">
        <v>31</v>
      </c>
      <c r="S1895" s="48" t="s">
        <v>31</v>
      </c>
      <c r="T1895" s="48" t="s">
        <v>31</v>
      </c>
      <c r="U1895" s="46" t="s">
        <v>1154</v>
      </c>
    </row>
    <row r="1896" spans="1:21">
      <c r="A1896" s="48" t="s">
        <v>1155</v>
      </c>
      <c r="B1896" s="48" t="s">
        <v>131</v>
      </c>
      <c r="C1896" s="48" t="s">
        <v>666</v>
      </c>
      <c r="D1896" s="48">
        <v>1</v>
      </c>
      <c r="E1896" s="48">
        <v>0</v>
      </c>
      <c r="F1896" t="s">
        <v>804</v>
      </c>
      <c r="G1896" s="48" t="s">
        <v>1305</v>
      </c>
      <c r="H1896" s="48" t="s">
        <v>5329</v>
      </c>
      <c r="I1896" s="48" t="s">
        <v>5329</v>
      </c>
      <c r="J1896" s="48" t="s">
        <v>5330</v>
      </c>
      <c r="K1896" s="48" t="s">
        <v>1323</v>
      </c>
      <c r="L1896" s="48" t="s">
        <v>5331</v>
      </c>
      <c r="M1896" s="48" t="s">
        <v>4432</v>
      </c>
      <c r="N1896" s="48" t="s">
        <v>1310</v>
      </c>
      <c r="O1896" s="48" t="s">
        <v>1311</v>
      </c>
      <c r="P1896" s="48" t="s">
        <v>1312</v>
      </c>
      <c r="Q1896" s="48" t="s">
        <v>31</v>
      </c>
      <c r="R1896" s="48" t="s">
        <v>31</v>
      </c>
      <c r="S1896" s="48" t="s">
        <v>31</v>
      </c>
      <c r="T1896" s="48" t="s">
        <v>31</v>
      </c>
      <c r="U1896" s="46" t="s">
        <v>1154</v>
      </c>
    </row>
    <row r="1897" spans="1:21">
      <c r="A1897" s="48" t="s">
        <v>1155</v>
      </c>
      <c r="B1897" s="48" t="s">
        <v>131</v>
      </c>
      <c r="C1897" s="48" t="s">
        <v>666</v>
      </c>
      <c r="D1897" s="48">
        <v>1</v>
      </c>
      <c r="E1897" s="48">
        <v>0</v>
      </c>
      <c r="F1897" t="s">
        <v>804</v>
      </c>
      <c r="G1897" s="48" t="s">
        <v>1305</v>
      </c>
      <c r="H1897" s="48" t="s">
        <v>5332</v>
      </c>
      <c r="I1897" s="48" t="s">
        <v>5332</v>
      </c>
      <c r="J1897" s="48" t="s">
        <v>5333</v>
      </c>
      <c r="K1897" s="48" t="s">
        <v>1320</v>
      </c>
      <c r="L1897" s="48" t="s">
        <v>5334</v>
      </c>
      <c r="M1897" s="48" t="s">
        <v>4432</v>
      </c>
      <c r="N1897" s="48" t="s">
        <v>1310</v>
      </c>
      <c r="O1897" s="48" t="s">
        <v>1311</v>
      </c>
      <c r="P1897" s="48" t="s">
        <v>1312</v>
      </c>
      <c r="Q1897" s="48" t="s">
        <v>31</v>
      </c>
      <c r="R1897" s="48" t="s">
        <v>31</v>
      </c>
      <c r="S1897" s="48" t="s">
        <v>31</v>
      </c>
      <c r="T1897" s="48" t="s">
        <v>31</v>
      </c>
      <c r="U1897" s="46" t="s">
        <v>1154</v>
      </c>
    </row>
    <row r="1898" spans="1:21">
      <c r="A1898" s="48" t="s">
        <v>1235</v>
      </c>
      <c r="B1898" s="48" t="s">
        <v>133</v>
      </c>
      <c r="C1898" s="48" t="s">
        <v>666</v>
      </c>
      <c r="D1898" s="48">
        <v>1</v>
      </c>
      <c r="E1898" s="48">
        <v>0</v>
      </c>
      <c r="F1898" t="s">
        <v>750</v>
      </c>
      <c r="G1898" s="48" t="s">
        <v>1305</v>
      </c>
      <c r="H1898" s="48" t="s">
        <v>5335</v>
      </c>
      <c r="I1898" s="48" t="s">
        <v>5335</v>
      </c>
      <c r="J1898" s="48" t="s">
        <v>5336</v>
      </c>
      <c r="K1898" s="48" t="s">
        <v>1320</v>
      </c>
      <c r="L1898" s="48" t="s">
        <v>5337</v>
      </c>
      <c r="M1898" s="48" t="s">
        <v>4432</v>
      </c>
      <c r="N1898" s="48" t="s">
        <v>1310</v>
      </c>
      <c r="O1898" s="48" t="s">
        <v>1311</v>
      </c>
      <c r="P1898" s="48" t="s">
        <v>1312</v>
      </c>
      <c r="Q1898" s="48" t="s">
        <v>31</v>
      </c>
      <c r="R1898" s="48" t="s">
        <v>31</v>
      </c>
      <c r="S1898" s="48" t="s">
        <v>31</v>
      </c>
      <c r="T1898" s="48" t="s">
        <v>31</v>
      </c>
      <c r="U1898" s="46" t="s">
        <v>1154</v>
      </c>
    </row>
    <row r="1899" spans="1:21">
      <c r="A1899" s="48" t="s">
        <v>1235</v>
      </c>
      <c r="B1899" s="48" t="s">
        <v>133</v>
      </c>
      <c r="C1899" s="48" t="s">
        <v>666</v>
      </c>
      <c r="D1899" s="48">
        <v>1</v>
      </c>
      <c r="E1899" s="48">
        <v>0</v>
      </c>
      <c r="F1899" t="s">
        <v>750</v>
      </c>
      <c r="G1899" s="48" t="s">
        <v>1305</v>
      </c>
      <c r="H1899" s="48" t="s">
        <v>5338</v>
      </c>
      <c r="I1899" s="48" t="s">
        <v>5338</v>
      </c>
      <c r="J1899" s="48" t="s">
        <v>5339</v>
      </c>
      <c r="K1899" s="48" t="s">
        <v>1329</v>
      </c>
      <c r="L1899" s="48" t="s">
        <v>5340</v>
      </c>
      <c r="M1899" s="48" t="s">
        <v>4432</v>
      </c>
      <c r="N1899" s="48" t="s">
        <v>1310</v>
      </c>
      <c r="O1899" s="48" t="s">
        <v>1311</v>
      </c>
      <c r="P1899" s="48" t="s">
        <v>1312</v>
      </c>
      <c r="Q1899" s="48" t="s">
        <v>31</v>
      </c>
      <c r="R1899" s="48" t="s">
        <v>31</v>
      </c>
      <c r="S1899" s="48" t="s">
        <v>31</v>
      </c>
      <c r="T1899" s="48" t="s">
        <v>31</v>
      </c>
      <c r="U1899" s="46" t="s">
        <v>1154</v>
      </c>
    </row>
    <row r="1900" spans="1:21">
      <c r="A1900" s="48" t="s">
        <v>1235</v>
      </c>
      <c r="B1900" s="48" t="s">
        <v>133</v>
      </c>
      <c r="C1900" s="48" t="s">
        <v>666</v>
      </c>
      <c r="D1900" s="48">
        <v>1</v>
      </c>
      <c r="E1900" s="48">
        <v>0</v>
      </c>
      <c r="F1900" t="s">
        <v>750</v>
      </c>
      <c r="G1900" s="48" t="s">
        <v>1305</v>
      </c>
      <c r="H1900" s="48" t="s">
        <v>5341</v>
      </c>
      <c r="I1900" s="48" t="s">
        <v>5341</v>
      </c>
      <c r="J1900" s="48" t="s">
        <v>5342</v>
      </c>
      <c r="K1900" s="48" t="s">
        <v>1332</v>
      </c>
      <c r="L1900" s="49" t="s">
        <v>5343</v>
      </c>
      <c r="M1900" s="48" t="s">
        <v>4432</v>
      </c>
      <c r="N1900" s="48" t="s">
        <v>1310</v>
      </c>
      <c r="O1900" s="48" t="s">
        <v>1311</v>
      </c>
      <c r="P1900" s="48" t="s">
        <v>1312</v>
      </c>
      <c r="Q1900" s="48" t="s">
        <v>31</v>
      </c>
      <c r="R1900" s="48" t="s">
        <v>31</v>
      </c>
      <c r="S1900" s="48" t="s">
        <v>31</v>
      </c>
      <c r="T1900" s="48" t="s">
        <v>31</v>
      </c>
      <c r="U1900" s="46" t="s">
        <v>1154</v>
      </c>
    </row>
    <row r="1901" spans="1:21">
      <c r="A1901" s="48" t="s">
        <v>1235</v>
      </c>
      <c r="B1901" s="48" t="s">
        <v>133</v>
      </c>
      <c r="C1901" s="48" t="s">
        <v>666</v>
      </c>
      <c r="D1901" s="48">
        <v>1</v>
      </c>
      <c r="E1901" s="48">
        <v>0</v>
      </c>
      <c r="F1901" t="s">
        <v>750</v>
      </c>
      <c r="G1901" s="48" t="s">
        <v>1305</v>
      </c>
      <c r="H1901" s="48" t="s">
        <v>5344</v>
      </c>
      <c r="I1901" s="48" t="s">
        <v>5344</v>
      </c>
      <c r="J1901" s="48" t="s">
        <v>5345</v>
      </c>
      <c r="K1901" s="48" t="s">
        <v>1323</v>
      </c>
      <c r="L1901" s="48" t="s">
        <v>5346</v>
      </c>
      <c r="M1901" s="48" t="s">
        <v>4432</v>
      </c>
      <c r="N1901" s="48" t="s">
        <v>1310</v>
      </c>
      <c r="O1901" s="48" t="s">
        <v>1311</v>
      </c>
      <c r="P1901" s="48" t="s">
        <v>1312</v>
      </c>
      <c r="Q1901" s="48" t="s">
        <v>31</v>
      </c>
      <c r="R1901" s="48" t="s">
        <v>31</v>
      </c>
      <c r="S1901" s="48" t="s">
        <v>31</v>
      </c>
      <c r="T1901" s="48" t="s">
        <v>31</v>
      </c>
      <c r="U1901" s="46" t="s">
        <v>1154</v>
      </c>
    </row>
    <row r="1902" spans="1:21">
      <c r="A1902" s="48" t="s">
        <v>1235</v>
      </c>
      <c r="B1902" s="48" t="s">
        <v>133</v>
      </c>
      <c r="C1902" s="48" t="s">
        <v>666</v>
      </c>
      <c r="D1902" s="48">
        <v>1</v>
      </c>
      <c r="E1902" s="48">
        <v>0</v>
      </c>
      <c r="F1902" t="s">
        <v>750</v>
      </c>
      <c r="G1902" s="48" t="s">
        <v>1305</v>
      </c>
      <c r="H1902" s="48" t="s">
        <v>5347</v>
      </c>
      <c r="I1902" s="48" t="s">
        <v>5347</v>
      </c>
      <c r="J1902" s="48" t="s">
        <v>5348</v>
      </c>
      <c r="K1902" s="48" t="s">
        <v>1314</v>
      </c>
      <c r="L1902" s="48" t="s">
        <v>5349</v>
      </c>
      <c r="M1902" s="48" t="s">
        <v>4432</v>
      </c>
      <c r="N1902" s="48" t="s">
        <v>1310</v>
      </c>
      <c r="O1902" s="48" t="s">
        <v>1311</v>
      </c>
      <c r="P1902" s="48" t="s">
        <v>1312</v>
      </c>
      <c r="Q1902" s="48" t="s">
        <v>31</v>
      </c>
      <c r="R1902" s="48" t="s">
        <v>31</v>
      </c>
      <c r="S1902" s="48" t="s">
        <v>31</v>
      </c>
      <c r="T1902" s="48" t="s">
        <v>31</v>
      </c>
      <c r="U1902" s="46" t="s">
        <v>1154</v>
      </c>
    </row>
    <row r="1903" spans="1:21">
      <c r="A1903" s="48" t="s">
        <v>1235</v>
      </c>
      <c r="B1903" s="48" t="s">
        <v>133</v>
      </c>
      <c r="C1903" s="48" t="s">
        <v>666</v>
      </c>
      <c r="D1903" s="48">
        <v>1</v>
      </c>
      <c r="E1903" s="48">
        <v>0</v>
      </c>
      <c r="F1903" t="s">
        <v>750</v>
      </c>
      <c r="G1903" s="48" t="s">
        <v>1305</v>
      </c>
      <c r="H1903" s="48" t="s">
        <v>5350</v>
      </c>
      <c r="I1903" s="48" t="s">
        <v>5350</v>
      </c>
      <c r="J1903" s="48" t="s">
        <v>5351</v>
      </c>
      <c r="K1903" s="48" t="s">
        <v>1326</v>
      </c>
      <c r="L1903" s="48" t="s">
        <v>5352</v>
      </c>
      <c r="M1903" s="48" t="s">
        <v>4432</v>
      </c>
      <c r="N1903" s="48" t="s">
        <v>1310</v>
      </c>
      <c r="O1903" s="48" t="s">
        <v>1311</v>
      </c>
      <c r="P1903" s="48" t="s">
        <v>1312</v>
      </c>
      <c r="Q1903" s="48" t="s">
        <v>31</v>
      </c>
      <c r="R1903" s="48" t="s">
        <v>31</v>
      </c>
      <c r="S1903" s="48" t="s">
        <v>31</v>
      </c>
      <c r="T1903" s="48" t="s">
        <v>31</v>
      </c>
      <c r="U1903" s="46" t="s">
        <v>1154</v>
      </c>
    </row>
    <row r="1904" spans="1:21">
      <c r="A1904" s="48" t="s">
        <v>1235</v>
      </c>
      <c r="B1904" s="48" t="s">
        <v>133</v>
      </c>
      <c r="C1904" s="48" t="s">
        <v>666</v>
      </c>
      <c r="D1904" s="48">
        <v>1</v>
      </c>
      <c r="E1904" s="48">
        <v>0</v>
      </c>
      <c r="F1904" t="s">
        <v>750</v>
      </c>
      <c r="G1904" s="48" t="s">
        <v>1305</v>
      </c>
      <c r="H1904" s="48" t="s">
        <v>5353</v>
      </c>
      <c r="I1904" s="48" t="s">
        <v>5353</v>
      </c>
      <c r="J1904" s="48" t="s">
        <v>5354</v>
      </c>
      <c r="K1904" s="48" t="s">
        <v>1307</v>
      </c>
      <c r="L1904" s="49" t="s">
        <v>5355</v>
      </c>
      <c r="M1904" s="48" t="s">
        <v>4432</v>
      </c>
      <c r="N1904" s="48" t="s">
        <v>1310</v>
      </c>
      <c r="O1904" s="48" t="s">
        <v>1311</v>
      </c>
      <c r="P1904" s="48" t="s">
        <v>1312</v>
      </c>
      <c r="Q1904" s="48" t="s">
        <v>31</v>
      </c>
      <c r="R1904" s="48" t="s">
        <v>31</v>
      </c>
      <c r="S1904" s="48" t="s">
        <v>31</v>
      </c>
      <c r="T1904" s="48" t="s">
        <v>31</v>
      </c>
      <c r="U1904" s="46" t="s">
        <v>1154</v>
      </c>
    </row>
    <row r="1905" spans="1:21">
      <c r="A1905" s="48" t="s">
        <v>1235</v>
      </c>
      <c r="B1905" s="48" t="s">
        <v>133</v>
      </c>
      <c r="C1905" s="48" t="s">
        <v>666</v>
      </c>
      <c r="D1905" s="48">
        <v>1</v>
      </c>
      <c r="E1905" s="48">
        <v>0</v>
      </c>
      <c r="F1905" t="s">
        <v>750</v>
      </c>
      <c r="G1905" s="48" t="s">
        <v>1305</v>
      </c>
      <c r="H1905" s="48" t="s">
        <v>5356</v>
      </c>
      <c r="I1905" s="48" t="s">
        <v>5356</v>
      </c>
      <c r="J1905" s="48" t="s">
        <v>5357</v>
      </c>
      <c r="K1905" s="48" t="s">
        <v>1317</v>
      </c>
      <c r="L1905" s="48" t="s">
        <v>5358</v>
      </c>
      <c r="M1905" s="48" t="s">
        <v>4432</v>
      </c>
      <c r="N1905" s="48" t="s">
        <v>1310</v>
      </c>
      <c r="O1905" s="48" t="s">
        <v>1311</v>
      </c>
      <c r="P1905" s="48" t="s">
        <v>1312</v>
      </c>
      <c r="Q1905" s="48" t="s">
        <v>31</v>
      </c>
      <c r="R1905" s="48" t="s">
        <v>31</v>
      </c>
      <c r="S1905" s="48" t="s">
        <v>31</v>
      </c>
      <c r="T1905" s="48" t="s">
        <v>31</v>
      </c>
      <c r="U1905" s="46" t="s">
        <v>1154</v>
      </c>
    </row>
    <row r="1906" spans="1:21">
      <c r="A1906" s="48" t="s">
        <v>1214</v>
      </c>
      <c r="B1906" s="48" t="s">
        <v>135</v>
      </c>
      <c r="C1906" s="48" t="s">
        <v>666</v>
      </c>
      <c r="D1906" s="48">
        <v>1</v>
      </c>
      <c r="E1906" s="48">
        <v>0</v>
      </c>
      <c r="F1906" t="s">
        <v>735</v>
      </c>
      <c r="G1906" s="48" t="s">
        <v>1305</v>
      </c>
      <c r="H1906" s="48" t="s">
        <v>2940</v>
      </c>
      <c r="I1906" s="48" t="s">
        <v>2940</v>
      </c>
      <c r="J1906" s="48" t="s">
        <v>5359</v>
      </c>
      <c r="K1906" s="48" t="s">
        <v>1332</v>
      </c>
      <c r="L1906" s="48" t="s">
        <v>5360</v>
      </c>
      <c r="M1906" s="48" t="s">
        <v>4432</v>
      </c>
      <c r="N1906" s="48" t="s">
        <v>1310</v>
      </c>
      <c r="O1906" s="48" t="s">
        <v>1311</v>
      </c>
      <c r="P1906" s="48" t="s">
        <v>1312</v>
      </c>
      <c r="Q1906" s="48" t="s">
        <v>31</v>
      </c>
      <c r="R1906" s="48" t="s">
        <v>31</v>
      </c>
      <c r="S1906" s="48" t="s">
        <v>31</v>
      </c>
      <c r="T1906" s="48" t="s">
        <v>31</v>
      </c>
      <c r="U1906" s="46" t="s">
        <v>1154</v>
      </c>
    </row>
    <row r="1907" spans="1:21">
      <c r="A1907" s="48" t="s">
        <v>1214</v>
      </c>
      <c r="B1907" s="48" t="s">
        <v>135</v>
      </c>
      <c r="C1907" s="48" t="s">
        <v>666</v>
      </c>
      <c r="D1907" s="48">
        <v>1</v>
      </c>
      <c r="E1907" s="48">
        <v>0</v>
      </c>
      <c r="F1907" t="s">
        <v>735</v>
      </c>
      <c r="G1907" s="48" t="s">
        <v>1305</v>
      </c>
      <c r="H1907" s="48" t="s">
        <v>2932</v>
      </c>
      <c r="I1907" s="48" t="s">
        <v>2932</v>
      </c>
      <c r="J1907" s="48" t="s">
        <v>5361</v>
      </c>
      <c r="K1907" s="48" t="s">
        <v>1320</v>
      </c>
      <c r="L1907" s="48" t="s">
        <v>5362</v>
      </c>
      <c r="M1907" s="48" t="s">
        <v>4432</v>
      </c>
      <c r="N1907" s="48" t="s">
        <v>1310</v>
      </c>
      <c r="O1907" s="48" t="s">
        <v>1311</v>
      </c>
      <c r="P1907" s="48" t="s">
        <v>1312</v>
      </c>
      <c r="Q1907" s="48" t="s">
        <v>31</v>
      </c>
      <c r="R1907" s="48" t="s">
        <v>31</v>
      </c>
      <c r="S1907" s="48" t="s">
        <v>31</v>
      </c>
      <c r="T1907" s="48" t="s">
        <v>31</v>
      </c>
      <c r="U1907" s="46" t="s">
        <v>1154</v>
      </c>
    </row>
    <row r="1908" spans="1:21">
      <c r="A1908" s="48" t="s">
        <v>1214</v>
      </c>
      <c r="B1908" s="48" t="s">
        <v>135</v>
      </c>
      <c r="C1908" s="48" t="s">
        <v>666</v>
      </c>
      <c r="D1908" s="48">
        <v>1</v>
      </c>
      <c r="E1908" s="48">
        <v>0</v>
      </c>
      <c r="F1908" t="s">
        <v>735</v>
      </c>
      <c r="G1908" s="48" t="s">
        <v>1305</v>
      </c>
      <c r="H1908" s="48" t="s">
        <v>2930</v>
      </c>
      <c r="I1908" s="48" t="s">
        <v>2930</v>
      </c>
      <c r="J1908" s="48" t="s">
        <v>5363</v>
      </c>
      <c r="K1908" s="48" t="s">
        <v>1317</v>
      </c>
      <c r="L1908" s="48" t="s">
        <v>5364</v>
      </c>
      <c r="M1908" s="48" t="s">
        <v>4432</v>
      </c>
      <c r="N1908" s="48" t="s">
        <v>1310</v>
      </c>
      <c r="O1908" s="48" t="s">
        <v>1311</v>
      </c>
      <c r="P1908" s="48" t="s">
        <v>1312</v>
      </c>
      <c r="Q1908" s="48" t="s">
        <v>31</v>
      </c>
      <c r="R1908" s="48" t="s">
        <v>31</v>
      </c>
      <c r="S1908" s="48" t="s">
        <v>31</v>
      </c>
      <c r="T1908" s="48" t="s">
        <v>31</v>
      </c>
      <c r="U1908" s="46" t="s">
        <v>1154</v>
      </c>
    </row>
    <row r="1909" spans="1:21">
      <c r="A1909" s="48" t="s">
        <v>1214</v>
      </c>
      <c r="B1909" s="48" t="s">
        <v>135</v>
      </c>
      <c r="C1909" s="48" t="s">
        <v>666</v>
      </c>
      <c r="D1909" s="48">
        <v>1</v>
      </c>
      <c r="E1909" s="48">
        <v>0</v>
      </c>
      <c r="F1909" t="s">
        <v>735</v>
      </c>
      <c r="G1909" s="48" t="s">
        <v>1305</v>
      </c>
      <c r="H1909" s="48" t="s">
        <v>2934</v>
      </c>
      <c r="I1909" s="48" t="s">
        <v>2934</v>
      </c>
      <c r="J1909" s="48" t="s">
        <v>5365</v>
      </c>
      <c r="K1909" s="48" t="s">
        <v>1323</v>
      </c>
      <c r="L1909" s="48" t="s">
        <v>5366</v>
      </c>
      <c r="M1909" s="48" t="s">
        <v>4432</v>
      </c>
      <c r="N1909" s="48" t="s">
        <v>1310</v>
      </c>
      <c r="O1909" s="48" t="s">
        <v>1311</v>
      </c>
      <c r="P1909" s="48" t="s">
        <v>1312</v>
      </c>
      <c r="Q1909" s="48" t="s">
        <v>31</v>
      </c>
      <c r="R1909" s="48" t="s">
        <v>31</v>
      </c>
      <c r="S1909" s="48" t="s">
        <v>31</v>
      </c>
      <c r="T1909" s="48" t="s">
        <v>31</v>
      </c>
      <c r="U1909" s="46" t="s">
        <v>1154</v>
      </c>
    </row>
    <row r="1910" spans="1:21">
      <c r="A1910" s="48" t="s">
        <v>1214</v>
      </c>
      <c r="B1910" s="48" t="s">
        <v>135</v>
      </c>
      <c r="C1910" s="48" t="s">
        <v>666</v>
      </c>
      <c r="D1910" s="48">
        <v>1</v>
      </c>
      <c r="E1910" s="48">
        <v>0</v>
      </c>
      <c r="F1910" t="s">
        <v>735</v>
      </c>
      <c r="G1910" s="48" t="s">
        <v>1305</v>
      </c>
      <c r="H1910" s="48" t="s">
        <v>2938</v>
      </c>
      <c r="I1910" s="48" t="s">
        <v>2938</v>
      </c>
      <c r="J1910" s="48" t="s">
        <v>5367</v>
      </c>
      <c r="K1910" s="48" t="s">
        <v>1329</v>
      </c>
      <c r="L1910" s="48" t="s">
        <v>5368</v>
      </c>
      <c r="M1910" s="48" t="s">
        <v>4432</v>
      </c>
      <c r="N1910" s="48" t="s">
        <v>1310</v>
      </c>
      <c r="O1910" s="48" t="s">
        <v>1311</v>
      </c>
      <c r="P1910" s="48" t="s">
        <v>1312</v>
      </c>
      <c r="Q1910" s="48" t="s">
        <v>31</v>
      </c>
      <c r="R1910" s="48" t="s">
        <v>31</v>
      </c>
      <c r="S1910" s="48" t="s">
        <v>31</v>
      </c>
      <c r="T1910" s="48" t="s">
        <v>31</v>
      </c>
      <c r="U1910" s="46" t="s">
        <v>1154</v>
      </c>
    </row>
    <row r="1911" spans="1:21">
      <c r="A1911" s="48" t="s">
        <v>1214</v>
      </c>
      <c r="B1911" s="48" t="s">
        <v>135</v>
      </c>
      <c r="C1911" s="48" t="s">
        <v>666</v>
      </c>
      <c r="D1911" s="48">
        <v>1</v>
      </c>
      <c r="E1911" s="48">
        <v>0</v>
      </c>
      <c r="F1911" t="s">
        <v>735</v>
      </c>
      <c r="G1911" s="48" t="s">
        <v>1305</v>
      </c>
      <c r="H1911" s="48" t="s">
        <v>2936</v>
      </c>
      <c r="I1911" s="48" t="s">
        <v>2936</v>
      </c>
      <c r="J1911" s="48" t="s">
        <v>5369</v>
      </c>
      <c r="K1911" s="48" t="s">
        <v>1326</v>
      </c>
      <c r="L1911" s="48" t="s">
        <v>5370</v>
      </c>
      <c r="M1911" s="48" t="s">
        <v>4432</v>
      </c>
      <c r="N1911" s="48" t="s">
        <v>1310</v>
      </c>
      <c r="O1911" s="48" t="s">
        <v>1311</v>
      </c>
      <c r="P1911" s="48" t="s">
        <v>1312</v>
      </c>
      <c r="Q1911" s="48" t="s">
        <v>31</v>
      </c>
      <c r="R1911" s="48" t="s">
        <v>31</v>
      </c>
      <c r="S1911" s="48" t="s">
        <v>31</v>
      </c>
      <c r="T1911" s="48" t="s">
        <v>31</v>
      </c>
      <c r="U1911" s="46" t="s">
        <v>1154</v>
      </c>
    </row>
    <row r="1912" spans="1:21">
      <c r="A1912" s="48" t="s">
        <v>1214</v>
      </c>
      <c r="B1912" s="48" t="s">
        <v>135</v>
      </c>
      <c r="C1912" s="48" t="s">
        <v>666</v>
      </c>
      <c r="D1912" s="48">
        <v>1</v>
      </c>
      <c r="E1912" s="48">
        <v>0</v>
      </c>
      <c r="F1912" t="s">
        <v>735</v>
      </c>
      <c r="G1912" s="48" t="s">
        <v>1305</v>
      </c>
      <c r="H1912" s="48" t="s">
        <v>2928</v>
      </c>
      <c r="I1912" s="48" t="s">
        <v>2928</v>
      </c>
      <c r="J1912" s="48" t="s">
        <v>5371</v>
      </c>
      <c r="K1912" s="48" t="s">
        <v>1314</v>
      </c>
      <c r="L1912" s="48" t="s">
        <v>5372</v>
      </c>
      <c r="M1912" s="48" t="s">
        <v>4432</v>
      </c>
      <c r="N1912" s="48" t="s">
        <v>1310</v>
      </c>
      <c r="O1912" s="48" t="s">
        <v>1311</v>
      </c>
      <c r="P1912" s="48" t="s">
        <v>1312</v>
      </c>
      <c r="Q1912" s="48" t="s">
        <v>31</v>
      </c>
      <c r="R1912" s="48" t="s">
        <v>31</v>
      </c>
      <c r="S1912" s="48" t="s">
        <v>31</v>
      </c>
      <c r="T1912" s="48" t="s">
        <v>31</v>
      </c>
      <c r="U1912" s="46" t="s">
        <v>1154</v>
      </c>
    </row>
    <row r="1913" spans="1:21">
      <c r="A1913" s="48" t="s">
        <v>1214</v>
      </c>
      <c r="B1913" s="48" t="s">
        <v>135</v>
      </c>
      <c r="C1913" s="48" t="s">
        <v>666</v>
      </c>
      <c r="D1913" s="48">
        <v>1</v>
      </c>
      <c r="E1913" s="48">
        <v>0</v>
      </c>
      <c r="F1913" t="s">
        <v>735</v>
      </c>
      <c r="G1913" s="48" t="s">
        <v>1305</v>
      </c>
      <c r="H1913" s="48" t="s">
        <v>2926</v>
      </c>
      <c r="I1913" s="48" t="s">
        <v>2926</v>
      </c>
      <c r="J1913" s="48" t="s">
        <v>5373</v>
      </c>
      <c r="K1913" s="48" t="s">
        <v>1307</v>
      </c>
      <c r="L1913" s="48" t="s">
        <v>5374</v>
      </c>
      <c r="M1913" s="48" t="s">
        <v>4432</v>
      </c>
      <c r="N1913" s="48" t="s">
        <v>1310</v>
      </c>
      <c r="O1913" s="48" t="s">
        <v>1311</v>
      </c>
      <c r="P1913" s="48" t="s">
        <v>1312</v>
      </c>
      <c r="Q1913" s="48" t="s">
        <v>31</v>
      </c>
      <c r="R1913" s="48" t="s">
        <v>31</v>
      </c>
      <c r="S1913" s="48" t="s">
        <v>31</v>
      </c>
      <c r="T1913" s="48" t="s">
        <v>31</v>
      </c>
      <c r="U1913" s="46" t="s">
        <v>1154</v>
      </c>
    </row>
    <row r="1914" spans="1:21">
      <c r="A1914" s="48" t="s">
        <v>1170</v>
      </c>
      <c r="B1914" s="48" t="s">
        <v>137</v>
      </c>
      <c r="C1914" s="48" t="s">
        <v>666</v>
      </c>
      <c r="D1914" s="48">
        <v>1</v>
      </c>
      <c r="E1914" s="48">
        <v>0</v>
      </c>
      <c r="F1914" t="s">
        <v>755</v>
      </c>
      <c r="G1914" s="48" t="s">
        <v>1305</v>
      </c>
      <c r="H1914" s="48" t="s">
        <v>5375</v>
      </c>
      <c r="I1914" s="48" t="s">
        <v>5375</v>
      </c>
      <c r="J1914" s="48" t="s">
        <v>5376</v>
      </c>
      <c r="K1914" s="48" t="s">
        <v>1326</v>
      </c>
      <c r="L1914" s="48" t="s">
        <v>5377</v>
      </c>
      <c r="M1914" s="48" t="s">
        <v>4432</v>
      </c>
      <c r="N1914" s="48" t="s">
        <v>1310</v>
      </c>
      <c r="O1914" s="48" t="s">
        <v>1311</v>
      </c>
      <c r="P1914" s="48" t="s">
        <v>1312</v>
      </c>
      <c r="Q1914" s="48" t="s">
        <v>31</v>
      </c>
      <c r="R1914" s="48" t="s">
        <v>31</v>
      </c>
      <c r="S1914" s="48" t="s">
        <v>31</v>
      </c>
      <c r="T1914" s="48" t="s">
        <v>31</v>
      </c>
      <c r="U1914" s="46" t="s">
        <v>1154</v>
      </c>
    </row>
    <row r="1915" spans="1:21">
      <c r="A1915" s="48" t="s">
        <v>1170</v>
      </c>
      <c r="B1915" s="48" t="s">
        <v>137</v>
      </c>
      <c r="C1915" s="48" t="s">
        <v>666</v>
      </c>
      <c r="D1915" s="48">
        <v>1</v>
      </c>
      <c r="E1915" s="48">
        <v>0</v>
      </c>
      <c r="F1915" t="s">
        <v>755</v>
      </c>
      <c r="G1915" s="48" t="s">
        <v>1305</v>
      </c>
      <c r="H1915" s="48" t="s">
        <v>5378</v>
      </c>
      <c r="I1915" s="48" t="s">
        <v>5378</v>
      </c>
      <c r="J1915" s="48" t="s">
        <v>5379</v>
      </c>
      <c r="K1915" s="48" t="s">
        <v>1307</v>
      </c>
      <c r="L1915" s="48" t="s">
        <v>5380</v>
      </c>
      <c r="M1915" s="48" t="s">
        <v>4432</v>
      </c>
      <c r="N1915" s="48" t="s">
        <v>1310</v>
      </c>
      <c r="O1915" s="48" t="s">
        <v>1311</v>
      </c>
      <c r="P1915" s="48" t="s">
        <v>1312</v>
      </c>
      <c r="Q1915" s="48" t="s">
        <v>31</v>
      </c>
      <c r="R1915" s="48" t="s">
        <v>31</v>
      </c>
      <c r="S1915" s="48" t="s">
        <v>31</v>
      </c>
      <c r="T1915" s="48" t="s">
        <v>31</v>
      </c>
      <c r="U1915" s="46" t="s">
        <v>1154</v>
      </c>
    </row>
    <row r="1916" spans="1:21">
      <c r="A1916" s="48" t="s">
        <v>1170</v>
      </c>
      <c r="B1916" s="48" t="s">
        <v>137</v>
      </c>
      <c r="C1916" s="48" t="s">
        <v>666</v>
      </c>
      <c r="D1916" s="48">
        <v>1</v>
      </c>
      <c r="E1916" s="48">
        <v>0</v>
      </c>
      <c r="F1916" t="s">
        <v>755</v>
      </c>
      <c r="G1916" s="48" t="s">
        <v>1305</v>
      </c>
      <c r="H1916" s="48" t="s">
        <v>5381</v>
      </c>
      <c r="I1916" s="48" t="s">
        <v>5381</v>
      </c>
      <c r="J1916" s="48" t="s">
        <v>5382</v>
      </c>
      <c r="K1916" s="48" t="s">
        <v>1329</v>
      </c>
      <c r="L1916" s="48" t="s">
        <v>5383</v>
      </c>
      <c r="M1916" s="48" t="s">
        <v>4432</v>
      </c>
      <c r="N1916" s="48" t="s">
        <v>1310</v>
      </c>
      <c r="O1916" s="48" t="s">
        <v>1311</v>
      </c>
      <c r="P1916" s="48" t="s">
        <v>1312</v>
      </c>
      <c r="Q1916" s="48" t="s">
        <v>31</v>
      </c>
      <c r="R1916" s="48" t="s">
        <v>31</v>
      </c>
      <c r="S1916" s="48" t="s">
        <v>31</v>
      </c>
      <c r="T1916" s="48" t="s">
        <v>31</v>
      </c>
      <c r="U1916" s="46" t="s">
        <v>1154</v>
      </c>
    </row>
    <row r="1917" spans="1:21">
      <c r="A1917" s="48" t="s">
        <v>1170</v>
      </c>
      <c r="B1917" s="48" t="s">
        <v>137</v>
      </c>
      <c r="C1917" s="48" t="s">
        <v>666</v>
      </c>
      <c r="D1917" s="48">
        <v>1</v>
      </c>
      <c r="E1917" s="48">
        <v>0</v>
      </c>
      <c r="F1917" t="s">
        <v>755</v>
      </c>
      <c r="G1917" s="48" t="s">
        <v>1305</v>
      </c>
      <c r="H1917" s="48" t="s">
        <v>5384</v>
      </c>
      <c r="I1917" s="48" t="s">
        <v>5384</v>
      </c>
      <c r="J1917" s="48" t="s">
        <v>5385</v>
      </c>
      <c r="K1917" s="48" t="s">
        <v>1320</v>
      </c>
      <c r="L1917" s="48" t="s">
        <v>5386</v>
      </c>
      <c r="M1917" s="48" t="s">
        <v>4432</v>
      </c>
      <c r="N1917" s="48" t="s">
        <v>1310</v>
      </c>
      <c r="O1917" s="48" t="s">
        <v>1311</v>
      </c>
      <c r="P1917" s="48" t="s">
        <v>1312</v>
      </c>
      <c r="Q1917" s="48" t="s">
        <v>31</v>
      </c>
      <c r="R1917" s="48" t="s">
        <v>31</v>
      </c>
      <c r="S1917" s="48" t="s">
        <v>31</v>
      </c>
      <c r="T1917" s="48" t="s">
        <v>31</v>
      </c>
      <c r="U1917" s="46" t="s">
        <v>1154</v>
      </c>
    </row>
    <row r="1918" spans="1:21">
      <c r="A1918" s="48" t="s">
        <v>1170</v>
      </c>
      <c r="B1918" s="48" t="s">
        <v>137</v>
      </c>
      <c r="C1918" s="48" t="s">
        <v>666</v>
      </c>
      <c r="D1918" s="48">
        <v>1</v>
      </c>
      <c r="E1918" s="48">
        <v>0</v>
      </c>
      <c r="F1918" t="s">
        <v>755</v>
      </c>
      <c r="G1918" s="48" t="s">
        <v>1305</v>
      </c>
      <c r="H1918" s="48" t="s">
        <v>5387</v>
      </c>
      <c r="I1918" s="48" t="s">
        <v>5387</v>
      </c>
      <c r="J1918" s="48" t="s">
        <v>5388</v>
      </c>
      <c r="K1918" s="48" t="s">
        <v>1332</v>
      </c>
      <c r="L1918" s="48" t="s">
        <v>5389</v>
      </c>
      <c r="M1918" s="48" t="s">
        <v>4432</v>
      </c>
      <c r="N1918" s="48" t="s">
        <v>1310</v>
      </c>
      <c r="O1918" s="48" t="s">
        <v>1311</v>
      </c>
      <c r="P1918" s="48" t="s">
        <v>1312</v>
      </c>
      <c r="Q1918" s="48" t="s">
        <v>31</v>
      </c>
      <c r="R1918" s="48" t="s">
        <v>31</v>
      </c>
      <c r="S1918" s="48" t="s">
        <v>31</v>
      </c>
      <c r="T1918" s="48" t="s">
        <v>31</v>
      </c>
      <c r="U1918" s="46" t="s">
        <v>1154</v>
      </c>
    </row>
    <row r="1919" spans="1:21">
      <c r="A1919" s="48" t="s">
        <v>1170</v>
      </c>
      <c r="B1919" s="48" t="s">
        <v>137</v>
      </c>
      <c r="C1919" s="48" t="s">
        <v>666</v>
      </c>
      <c r="D1919" s="48">
        <v>1</v>
      </c>
      <c r="E1919" s="48">
        <v>0</v>
      </c>
      <c r="F1919" t="s">
        <v>755</v>
      </c>
      <c r="G1919" s="48" t="s">
        <v>1305</v>
      </c>
      <c r="H1919" s="48" t="s">
        <v>5390</v>
      </c>
      <c r="I1919" s="48" t="s">
        <v>5390</v>
      </c>
      <c r="J1919" s="48" t="s">
        <v>5391</v>
      </c>
      <c r="K1919" s="48" t="s">
        <v>1323</v>
      </c>
      <c r="L1919" s="48" t="s">
        <v>5392</v>
      </c>
      <c r="M1919" s="48" t="s">
        <v>4432</v>
      </c>
      <c r="N1919" s="48" t="s">
        <v>1310</v>
      </c>
      <c r="O1919" s="48" t="s">
        <v>1311</v>
      </c>
      <c r="P1919" s="48" t="s">
        <v>1312</v>
      </c>
      <c r="Q1919" s="48" t="s">
        <v>31</v>
      </c>
      <c r="R1919" s="48" t="s">
        <v>31</v>
      </c>
      <c r="S1919" s="48" t="s">
        <v>31</v>
      </c>
      <c r="T1919" s="48" t="s">
        <v>31</v>
      </c>
      <c r="U1919" s="46" t="s">
        <v>1154</v>
      </c>
    </row>
    <row r="1920" spans="1:21">
      <c r="A1920" s="48" t="s">
        <v>1170</v>
      </c>
      <c r="B1920" s="48" t="s">
        <v>137</v>
      </c>
      <c r="C1920" s="48" t="s">
        <v>666</v>
      </c>
      <c r="D1920" s="48">
        <v>1</v>
      </c>
      <c r="E1920" s="48">
        <v>0</v>
      </c>
      <c r="F1920" t="s">
        <v>755</v>
      </c>
      <c r="G1920" s="48" t="s">
        <v>1305</v>
      </c>
      <c r="H1920" s="48" t="s">
        <v>5393</v>
      </c>
      <c r="I1920" s="48" t="s">
        <v>5393</v>
      </c>
      <c r="J1920" s="48" t="s">
        <v>5394</v>
      </c>
      <c r="K1920" s="48" t="s">
        <v>1314</v>
      </c>
      <c r="L1920" s="48" t="s">
        <v>5395</v>
      </c>
      <c r="M1920" s="48" t="s">
        <v>4432</v>
      </c>
      <c r="N1920" s="48" t="s">
        <v>1310</v>
      </c>
      <c r="O1920" s="48" t="s">
        <v>1311</v>
      </c>
      <c r="P1920" s="48" t="s">
        <v>1312</v>
      </c>
      <c r="Q1920" s="48" t="s">
        <v>31</v>
      </c>
      <c r="R1920" s="48" t="s">
        <v>31</v>
      </c>
      <c r="S1920" s="48" t="s">
        <v>31</v>
      </c>
      <c r="T1920" s="48" t="s">
        <v>31</v>
      </c>
      <c r="U1920" s="46" t="s">
        <v>1154</v>
      </c>
    </row>
    <row r="1921" spans="1:21">
      <c r="A1921" s="48" t="s">
        <v>1170</v>
      </c>
      <c r="B1921" s="48" t="s">
        <v>137</v>
      </c>
      <c r="C1921" s="48" t="s">
        <v>666</v>
      </c>
      <c r="D1921" s="48">
        <v>1</v>
      </c>
      <c r="E1921" s="48">
        <v>0</v>
      </c>
      <c r="F1921" t="s">
        <v>755</v>
      </c>
      <c r="G1921" s="48" t="s">
        <v>1305</v>
      </c>
      <c r="H1921" s="48" t="s">
        <v>5396</v>
      </c>
      <c r="I1921" s="48" t="s">
        <v>5396</v>
      </c>
      <c r="J1921" s="48" t="s">
        <v>5397</v>
      </c>
      <c r="K1921" s="48" t="s">
        <v>1317</v>
      </c>
      <c r="L1921" s="48" t="s">
        <v>5398</v>
      </c>
      <c r="M1921" s="48" t="s">
        <v>4432</v>
      </c>
      <c r="N1921" s="48" t="s">
        <v>1310</v>
      </c>
      <c r="O1921" s="48" t="s">
        <v>1311</v>
      </c>
      <c r="P1921" s="48" t="s">
        <v>1312</v>
      </c>
      <c r="Q1921" s="48" t="s">
        <v>31</v>
      </c>
      <c r="R1921" s="48" t="s">
        <v>31</v>
      </c>
      <c r="S1921" s="48" t="s">
        <v>31</v>
      </c>
      <c r="T1921" s="48" t="s">
        <v>31</v>
      </c>
      <c r="U1921" s="46" t="s">
        <v>1154</v>
      </c>
    </row>
    <row r="1922" spans="1:21">
      <c r="A1922" s="48" t="s">
        <v>1228</v>
      </c>
      <c r="B1922" s="48" t="s">
        <v>139</v>
      </c>
      <c r="C1922" s="48" t="s">
        <v>666</v>
      </c>
      <c r="D1922" s="48">
        <v>1</v>
      </c>
      <c r="E1922" s="48">
        <v>0</v>
      </c>
      <c r="F1922" t="s">
        <v>706</v>
      </c>
      <c r="G1922" s="48" t="s">
        <v>1305</v>
      </c>
      <c r="H1922" s="48" t="s">
        <v>5399</v>
      </c>
      <c r="I1922" s="48" t="s">
        <v>5399</v>
      </c>
      <c r="J1922" s="48" t="s">
        <v>5400</v>
      </c>
      <c r="K1922" s="48" t="s">
        <v>1326</v>
      </c>
      <c r="L1922" s="48" t="s">
        <v>5401</v>
      </c>
      <c r="M1922" s="48" t="s">
        <v>4432</v>
      </c>
      <c r="N1922" s="48" t="s">
        <v>1310</v>
      </c>
      <c r="O1922" s="48" t="s">
        <v>1311</v>
      </c>
      <c r="P1922" s="48" t="s">
        <v>1312</v>
      </c>
      <c r="Q1922" s="48" t="s">
        <v>31</v>
      </c>
      <c r="R1922" s="48" t="s">
        <v>31</v>
      </c>
      <c r="S1922" s="48" t="s">
        <v>31</v>
      </c>
      <c r="T1922" s="48" t="s">
        <v>31</v>
      </c>
      <c r="U1922" s="46" t="s">
        <v>1154</v>
      </c>
    </row>
    <row r="1923" spans="1:21">
      <c r="A1923" s="48" t="s">
        <v>1228</v>
      </c>
      <c r="B1923" s="48" t="s">
        <v>139</v>
      </c>
      <c r="C1923" s="48" t="s">
        <v>666</v>
      </c>
      <c r="D1923" s="48">
        <v>1</v>
      </c>
      <c r="E1923" s="48">
        <v>0</v>
      </c>
      <c r="F1923" t="s">
        <v>706</v>
      </c>
      <c r="G1923" s="48" t="s">
        <v>1305</v>
      </c>
      <c r="H1923" s="48" t="s">
        <v>5402</v>
      </c>
      <c r="I1923" s="48" t="s">
        <v>5402</v>
      </c>
      <c r="J1923" s="48" t="s">
        <v>5403</v>
      </c>
      <c r="K1923" s="48" t="s">
        <v>1320</v>
      </c>
      <c r="L1923" s="48" t="s">
        <v>5404</v>
      </c>
      <c r="M1923" s="48" t="s">
        <v>4432</v>
      </c>
      <c r="N1923" s="48" t="s">
        <v>1310</v>
      </c>
      <c r="O1923" s="48" t="s">
        <v>1311</v>
      </c>
      <c r="P1923" s="48" t="s">
        <v>1312</v>
      </c>
      <c r="Q1923" s="48" t="s">
        <v>31</v>
      </c>
      <c r="R1923" s="48" t="s">
        <v>31</v>
      </c>
      <c r="S1923" s="48" t="s">
        <v>31</v>
      </c>
      <c r="T1923" s="48" t="s">
        <v>31</v>
      </c>
      <c r="U1923" s="46" t="s">
        <v>1154</v>
      </c>
    </row>
    <row r="1924" spans="1:21">
      <c r="A1924" s="48" t="s">
        <v>1228</v>
      </c>
      <c r="B1924" s="48" t="s">
        <v>139</v>
      </c>
      <c r="C1924" s="48" t="s">
        <v>666</v>
      </c>
      <c r="D1924" s="48">
        <v>1</v>
      </c>
      <c r="E1924" s="48">
        <v>0</v>
      </c>
      <c r="F1924" t="s">
        <v>706</v>
      </c>
      <c r="G1924" s="48" t="s">
        <v>1305</v>
      </c>
      <c r="H1924" s="48" t="s">
        <v>5405</v>
      </c>
      <c r="I1924" s="48" t="s">
        <v>5405</v>
      </c>
      <c r="J1924" s="48" t="s">
        <v>5406</v>
      </c>
      <c r="K1924" s="48" t="s">
        <v>1317</v>
      </c>
      <c r="L1924" s="48" t="s">
        <v>5407</v>
      </c>
      <c r="M1924" s="48" t="s">
        <v>4432</v>
      </c>
      <c r="N1924" s="48" t="s">
        <v>1310</v>
      </c>
      <c r="O1924" s="48" t="s">
        <v>1311</v>
      </c>
      <c r="P1924" s="48" t="s">
        <v>1312</v>
      </c>
      <c r="Q1924" s="48" t="s">
        <v>31</v>
      </c>
      <c r="R1924" s="48" t="s">
        <v>31</v>
      </c>
      <c r="S1924" s="48" t="s">
        <v>31</v>
      </c>
      <c r="T1924" s="48" t="s">
        <v>31</v>
      </c>
      <c r="U1924" s="46" t="s">
        <v>1154</v>
      </c>
    </row>
    <row r="1925" spans="1:21">
      <c r="A1925" s="48" t="s">
        <v>1228</v>
      </c>
      <c r="B1925" s="48" t="s">
        <v>139</v>
      </c>
      <c r="C1925" s="48" t="s">
        <v>666</v>
      </c>
      <c r="D1925" s="48">
        <v>1</v>
      </c>
      <c r="E1925" s="48">
        <v>0</v>
      </c>
      <c r="F1925" t="s">
        <v>706</v>
      </c>
      <c r="G1925" s="48" t="s">
        <v>1305</v>
      </c>
      <c r="H1925" s="48" t="s">
        <v>5408</v>
      </c>
      <c r="I1925" s="48" t="s">
        <v>5408</v>
      </c>
      <c r="J1925" s="48" t="s">
        <v>5409</v>
      </c>
      <c r="K1925" s="48" t="s">
        <v>1307</v>
      </c>
      <c r="L1925" s="48" t="s">
        <v>5410</v>
      </c>
      <c r="M1925" s="48" t="s">
        <v>4432</v>
      </c>
      <c r="N1925" s="48" t="s">
        <v>1310</v>
      </c>
      <c r="O1925" s="48" t="s">
        <v>1311</v>
      </c>
      <c r="P1925" s="48" t="s">
        <v>1312</v>
      </c>
      <c r="Q1925" s="48" t="s">
        <v>31</v>
      </c>
      <c r="R1925" s="48" t="s">
        <v>31</v>
      </c>
      <c r="S1925" s="48" t="s">
        <v>31</v>
      </c>
      <c r="T1925" s="48" t="s">
        <v>31</v>
      </c>
      <c r="U1925" s="46" t="s">
        <v>1154</v>
      </c>
    </row>
    <row r="1926" spans="1:21">
      <c r="A1926" s="48" t="s">
        <v>1228</v>
      </c>
      <c r="B1926" s="48" t="s">
        <v>139</v>
      </c>
      <c r="C1926" s="48" t="s">
        <v>666</v>
      </c>
      <c r="D1926" s="48">
        <v>1</v>
      </c>
      <c r="E1926" s="48">
        <v>0</v>
      </c>
      <c r="F1926" t="s">
        <v>706</v>
      </c>
      <c r="G1926" s="48" t="s">
        <v>1305</v>
      </c>
      <c r="H1926" s="48" t="s">
        <v>5411</v>
      </c>
      <c r="I1926" s="48" t="s">
        <v>5411</v>
      </c>
      <c r="J1926" s="48" t="s">
        <v>5412</v>
      </c>
      <c r="K1926" s="48" t="s">
        <v>1314</v>
      </c>
      <c r="L1926" s="48" t="s">
        <v>5413</v>
      </c>
      <c r="M1926" s="48" t="s">
        <v>4432</v>
      </c>
      <c r="N1926" s="48" t="s">
        <v>1310</v>
      </c>
      <c r="O1926" s="48" t="s">
        <v>1311</v>
      </c>
      <c r="P1926" s="48" t="s">
        <v>1312</v>
      </c>
      <c r="Q1926" s="48" t="s">
        <v>31</v>
      </c>
      <c r="R1926" s="48" t="s">
        <v>31</v>
      </c>
      <c r="S1926" s="48" t="s">
        <v>31</v>
      </c>
      <c r="T1926" s="48" t="s">
        <v>31</v>
      </c>
      <c r="U1926" s="46" t="s">
        <v>1154</v>
      </c>
    </row>
    <row r="1927" spans="1:21">
      <c r="A1927" s="48" t="s">
        <v>1228</v>
      </c>
      <c r="B1927" s="48" t="s">
        <v>139</v>
      </c>
      <c r="C1927" s="48" t="s">
        <v>666</v>
      </c>
      <c r="D1927" s="48">
        <v>1</v>
      </c>
      <c r="E1927" s="48">
        <v>0</v>
      </c>
      <c r="F1927" t="s">
        <v>706</v>
      </c>
      <c r="G1927" s="48" t="s">
        <v>1305</v>
      </c>
      <c r="H1927" s="48" t="s">
        <v>5414</v>
      </c>
      <c r="I1927" s="48" t="s">
        <v>5414</v>
      </c>
      <c r="J1927" s="48" t="s">
        <v>5415</v>
      </c>
      <c r="K1927" s="48" t="s">
        <v>1329</v>
      </c>
      <c r="L1927" s="48" t="s">
        <v>5416</v>
      </c>
      <c r="M1927" s="48" t="s">
        <v>4432</v>
      </c>
      <c r="N1927" s="48" t="s">
        <v>1310</v>
      </c>
      <c r="O1927" s="48" t="s">
        <v>1311</v>
      </c>
      <c r="P1927" s="48" t="s">
        <v>1312</v>
      </c>
      <c r="Q1927" s="48" t="s">
        <v>31</v>
      </c>
      <c r="R1927" s="48" t="s">
        <v>31</v>
      </c>
      <c r="S1927" s="48" t="s">
        <v>31</v>
      </c>
      <c r="T1927" s="48" t="s">
        <v>31</v>
      </c>
      <c r="U1927" s="46" t="s">
        <v>1154</v>
      </c>
    </row>
    <row r="1928" spans="1:21">
      <c r="A1928" s="48" t="s">
        <v>1228</v>
      </c>
      <c r="B1928" s="48" t="s">
        <v>139</v>
      </c>
      <c r="C1928" s="48" t="s">
        <v>666</v>
      </c>
      <c r="D1928" s="48">
        <v>1</v>
      </c>
      <c r="E1928" s="48">
        <v>0</v>
      </c>
      <c r="F1928" t="s">
        <v>706</v>
      </c>
      <c r="G1928" s="48" t="s">
        <v>1305</v>
      </c>
      <c r="H1928" s="48" t="s">
        <v>5417</v>
      </c>
      <c r="I1928" s="48" t="s">
        <v>5417</v>
      </c>
      <c r="J1928" s="48" t="s">
        <v>5418</v>
      </c>
      <c r="K1928" s="48" t="s">
        <v>1323</v>
      </c>
      <c r="L1928" s="48" t="s">
        <v>5419</v>
      </c>
      <c r="M1928" s="48" t="s">
        <v>4432</v>
      </c>
      <c r="N1928" s="48" t="s">
        <v>1310</v>
      </c>
      <c r="O1928" s="48" t="s">
        <v>1311</v>
      </c>
      <c r="P1928" s="48" t="s">
        <v>1312</v>
      </c>
      <c r="Q1928" s="48" t="s">
        <v>31</v>
      </c>
      <c r="R1928" s="48" t="s">
        <v>31</v>
      </c>
      <c r="S1928" s="48" t="s">
        <v>31</v>
      </c>
      <c r="T1928" s="48" t="s">
        <v>31</v>
      </c>
      <c r="U1928" s="46" t="s">
        <v>1154</v>
      </c>
    </row>
    <row r="1929" spans="1:21">
      <c r="A1929" s="48" t="s">
        <v>1228</v>
      </c>
      <c r="B1929" s="48" t="s">
        <v>139</v>
      </c>
      <c r="C1929" s="48" t="s">
        <v>666</v>
      </c>
      <c r="D1929" s="48">
        <v>1</v>
      </c>
      <c r="E1929" s="48">
        <v>0</v>
      </c>
      <c r="F1929" t="s">
        <v>706</v>
      </c>
      <c r="G1929" s="48" t="s">
        <v>1305</v>
      </c>
      <c r="H1929" s="48" t="s">
        <v>5420</v>
      </c>
      <c r="I1929" s="48" t="s">
        <v>5420</v>
      </c>
      <c r="J1929" s="48" t="s">
        <v>5421</v>
      </c>
      <c r="K1929" s="48" t="s">
        <v>1332</v>
      </c>
      <c r="L1929" s="48" t="s">
        <v>5422</v>
      </c>
      <c r="M1929" s="48" t="s">
        <v>4432</v>
      </c>
      <c r="N1929" s="48" t="s">
        <v>1310</v>
      </c>
      <c r="O1929" s="48" t="s">
        <v>1311</v>
      </c>
      <c r="P1929" s="48" t="s">
        <v>1312</v>
      </c>
      <c r="Q1929" s="48" t="s">
        <v>31</v>
      </c>
      <c r="R1929" s="48" t="s">
        <v>31</v>
      </c>
      <c r="S1929" s="48" t="s">
        <v>31</v>
      </c>
      <c r="T1929" s="48" t="s">
        <v>31</v>
      </c>
      <c r="U1929" s="46" t="s">
        <v>1154</v>
      </c>
    </row>
    <row r="1930" spans="1:21">
      <c r="A1930" s="48" t="s">
        <v>1164</v>
      </c>
      <c r="B1930" s="48" t="s">
        <v>141</v>
      </c>
      <c r="C1930" s="48" t="s">
        <v>666</v>
      </c>
      <c r="D1930" s="48">
        <v>3</v>
      </c>
      <c r="E1930" s="48">
        <v>1</v>
      </c>
      <c r="F1930" t="s">
        <v>667</v>
      </c>
      <c r="G1930" s="48" t="s">
        <v>1305</v>
      </c>
      <c r="H1930" s="48" t="s">
        <v>5423</v>
      </c>
      <c r="I1930" s="48" t="s">
        <v>5423</v>
      </c>
      <c r="J1930" s="48" t="s">
        <v>5424</v>
      </c>
      <c r="K1930" s="48" t="s">
        <v>1317</v>
      </c>
      <c r="L1930" s="48" t="s">
        <v>5425</v>
      </c>
      <c r="M1930" s="48" t="s">
        <v>4432</v>
      </c>
      <c r="N1930" s="48" t="s">
        <v>1310</v>
      </c>
      <c r="O1930" s="48" t="s">
        <v>1311</v>
      </c>
      <c r="P1930" s="48" t="s">
        <v>1312</v>
      </c>
      <c r="Q1930" s="48" t="s">
        <v>31</v>
      </c>
      <c r="R1930" s="48" t="s">
        <v>31</v>
      </c>
      <c r="S1930" s="48" t="s">
        <v>31</v>
      </c>
      <c r="T1930" s="48" t="s">
        <v>31</v>
      </c>
      <c r="U1930" s="46" t="s">
        <v>1154</v>
      </c>
    </row>
    <row r="1931" spans="1:21">
      <c r="A1931" s="48" t="s">
        <v>1164</v>
      </c>
      <c r="B1931" s="48" t="s">
        <v>141</v>
      </c>
      <c r="C1931" s="48" t="s">
        <v>666</v>
      </c>
      <c r="D1931" s="48">
        <v>3</v>
      </c>
      <c r="E1931" s="48">
        <v>1</v>
      </c>
      <c r="F1931" t="s">
        <v>667</v>
      </c>
      <c r="G1931" s="48" t="s">
        <v>1305</v>
      </c>
      <c r="H1931" s="48" t="s">
        <v>5426</v>
      </c>
      <c r="I1931" s="48" t="s">
        <v>5426</v>
      </c>
      <c r="J1931" s="48" t="s">
        <v>5427</v>
      </c>
      <c r="K1931" s="48" t="s">
        <v>1329</v>
      </c>
      <c r="L1931" s="48" t="s">
        <v>5428</v>
      </c>
      <c r="M1931" s="48" t="s">
        <v>4432</v>
      </c>
      <c r="N1931" s="48" t="s">
        <v>1310</v>
      </c>
      <c r="O1931" s="48" t="s">
        <v>1311</v>
      </c>
      <c r="P1931" s="48" t="s">
        <v>1312</v>
      </c>
      <c r="Q1931" s="48" t="s">
        <v>31</v>
      </c>
      <c r="R1931" s="48" t="s">
        <v>31</v>
      </c>
      <c r="S1931" s="48" t="s">
        <v>31</v>
      </c>
      <c r="T1931" s="48" t="s">
        <v>31</v>
      </c>
      <c r="U1931" s="46" t="s">
        <v>1154</v>
      </c>
    </row>
    <row r="1932" spans="1:21">
      <c r="A1932" s="48" t="s">
        <v>1164</v>
      </c>
      <c r="B1932" s="48" t="s">
        <v>141</v>
      </c>
      <c r="C1932" s="48" t="s">
        <v>666</v>
      </c>
      <c r="D1932" s="48">
        <v>3</v>
      </c>
      <c r="E1932" s="48">
        <v>1</v>
      </c>
      <c r="F1932" t="s">
        <v>667</v>
      </c>
      <c r="G1932" s="48" t="s">
        <v>1305</v>
      </c>
      <c r="H1932" s="48" t="s">
        <v>5429</v>
      </c>
      <c r="I1932" s="48" t="s">
        <v>5429</v>
      </c>
      <c r="J1932" s="48" t="s">
        <v>5430</v>
      </c>
      <c r="K1932" s="48" t="s">
        <v>1323</v>
      </c>
      <c r="L1932" s="48" t="s">
        <v>5431</v>
      </c>
      <c r="M1932" s="48" t="s">
        <v>4432</v>
      </c>
      <c r="N1932" s="48" t="s">
        <v>1310</v>
      </c>
      <c r="O1932" s="48" t="s">
        <v>1311</v>
      </c>
      <c r="P1932" s="48" t="s">
        <v>1312</v>
      </c>
      <c r="Q1932" s="48" t="s">
        <v>31</v>
      </c>
      <c r="R1932" s="48" t="s">
        <v>31</v>
      </c>
      <c r="S1932" s="48" t="s">
        <v>31</v>
      </c>
      <c r="T1932" s="48" t="s">
        <v>31</v>
      </c>
      <c r="U1932" s="46" t="s">
        <v>1154</v>
      </c>
    </row>
    <row r="1933" spans="1:21">
      <c r="A1933" s="48" t="s">
        <v>1164</v>
      </c>
      <c r="B1933" s="48" t="s">
        <v>141</v>
      </c>
      <c r="C1933" s="48" t="s">
        <v>666</v>
      </c>
      <c r="D1933" s="48">
        <v>3</v>
      </c>
      <c r="E1933" s="48">
        <v>1</v>
      </c>
      <c r="F1933" t="s">
        <v>667</v>
      </c>
      <c r="G1933" s="48" t="s">
        <v>1305</v>
      </c>
      <c r="H1933" s="48" t="s">
        <v>5432</v>
      </c>
      <c r="I1933" s="48" t="s">
        <v>5432</v>
      </c>
      <c r="J1933" s="48" t="s">
        <v>5433</v>
      </c>
      <c r="K1933" s="48" t="s">
        <v>1332</v>
      </c>
      <c r="L1933" s="48" t="s">
        <v>5434</v>
      </c>
      <c r="M1933" s="48" t="s">
        <v>4432</v>
      </c>
      <c r="N1933" s="48" t="s">
        <v>1310</v>
      </c>
      <c r="O1933" s="48" t="s">
        <v>1311</v>
      </c>
      <c r="P1933" s="48" t="s">
        <v>1312</v>
      </c>
      <c r="Q1933" s="48" t="s">
        <v>31</v>
      </c>
      <c r="R1933" s="48" t="s">
        <v>31</v>
      </c>
      <c r="S1933" s="48" t="s">
        <v>31</v>
      </c>
      <c r="T1933" s="48" t="s">
        <v>31</v>
      </c>
      <c r="U1933" s="46" t="s">
        <v>1154</v>
      </c>
    </row>
    <row r="1934" spans="1:21">
      <c r="A1934" s="48" t="s">
        <v>1164</v>
      </c>
      <c r="B1934" s="48" t="s">
        <v>141</v>
      </c>
      <c r="C1934" s="48" t="s">
        <v>666</v>
      </c>
      <c r="D1934" s="48">
        <v>3</v>
      </c>
      <c r="E1934" s="48">
        <v>1</v>
      </c>
      <c r="F1934" t="s">
        <v>667</v>
      </c>
      <c r="G1934" s="48" t="s">
        <v>1305</v>
      </c>
      <c r="H1934" s="48" t="s">
        <v>5435</v>
      </c>
      <c r="I1934" s="48" t="s">
        <v>5435</v>
      </c>
      <c r="J1934" s="48" t="s">
        <v>5436</v>
      </c>
      <c r="K1934" s="48" t="s">
        <v>1320</v>
      </c>
      <c r="L1934" s="48" t="s">
        <v>5437</v>
      </c>
      <c r="M1934" s="48" t="s">
        <v>4432</v>
      </c>
      <c r="N1934" s="48" t="s">
        <v>1310</v>
      </c>
      <c r="O1934" s="48" t="s">
        <v>1311</v>
      </c>
      <c r="P1934" s="48" t="s">
        <v>1312</v>
      </c>
      <c r="Q1934" s="48" t="s">
        <v>31</v>
      </c>
      <c r="R1934" s="48" t="s">
        <v>31</v>
      </c>
      <c r="S1934" s="48" t="s">
        <v>31</v>
      </c>
      <c r="T1934" s="48" t="s">
        <v>31</v>
      </c>
      <c r="U1934" s="46" t="s">
        <v>1154</v>
      </c>
    </row>
    <row r="1935" spans="1:21">
      <c r="A1935" s="48" t="s">
        <v>1164</v>
      </c>
      <c r="B1935" s="48" t="s">
        <v>141</v>
      </c>
      <c r="C1935" s="48" t="s">
        <v>666</v>
      </c>
      <c r="D1935" s="48">
        <v>3</v>
      </c>
      <c r="E1935" s="48">
        <v>1</v>
      </c>
      <c r="F1935" t="s">
        <v>667</v>
      </c>
      <c r="G1935" s="48" t="s">
        <v>1305</v>
      </c>
      <c r="H1935" s="48" t="s">
        <v>5438</v>
      </c>
      <c r="I1935" s="48" t="s">
        <v>5438</v>
      </c>
      <c r="J1935" s="48" t="s">
        <v>5439</v>
      </c>
      <c r="K1935" s="48" t="s">
        <v>1326</v>
      </c>
      <c r="L1935" s="48" t="s">
        <v>5440</v>
      </c>
      <c r="M1935" s="48" t="s">
        <v>4432</v>
      </c>
      <c r="N1935" s="48" t="s">
        <v>1310</v>
      </c>
      <c r="O1935" s="48" t="s">
        <v>1311</v>
      </c>
      <c r="P1935" s="48" t="s">
        <v>1312</v>
      </c>
      <c r="Q1935" s="48" t="s">
        <v>31</v>
      </c>
      <c r="R1935" s="48" t="s">
        <v>31</v>
      </c>
      <c r="S1935" s="48" t="s">
        <v>31</v>
      </c>
      <c r="T1935" s="48" t="s">
        <v>31</v>
      </c>
      <c r="U1935" s="46" t="s">
        <v>1154</v>
      </c>
    </row>
    <row r="1936" spans="1:21">
      <c r="A1936" s="48" t="s">
        <v>1164</v>
      </c>
      <c r="B1936" s="48" t="s">
        <v>141</v>
      </c>
      <c r="C1936" s="48" t="s">
        <v>666</v>
      </c>
      <c r="D1936" s="48">
        <v>3</v>
      </c>
      <c r="E1936" s="48">
        <v>1</v>
      </c>
      <c r="F1936" t="s">
        <v>667</v>
      </c>
      <c r="G1936" s="48" t="s">
        <v>1305</v>
      </c>
      <c r="H1936" s="48" t="s">
        <v>5441</v>
      </c>
      <c r="I1936" s="48" t="s">
        <v>5441</v>
      </c>
      <c r="J1936" s="48" t="s">
        <v>5442</v>
      </c>
      <c r="K1936" s="48" t="s">
        <v>1314</v>
      </c>
      <c r="L1936" s="48" t="s">
        <v>5443</v>
      </c>
      <c r="M1936" s="48" t="s">
        <v>4432</v>
      </c>
      <c r="N1936" s="48" t="s">
        <v>1310</v>
      </c>
      <c r="O1936" s="48" t="s">
        <v>1311</v>
      </c>
      <c r="P1936" s="48" t="s">
        <v>1312</v>
      </c>
      <c r="Q1936" s="48" t="s">
        <v>31</v>
      </c>
      <c r="R1936" s="48" t="s">
        <v>31</v>
      </c>
      <c r="S1936" s="48" t="s">
        <v>31</v>
      </c>
      <c r="T1936" s="48" t="s">
        <v>31</v>
      </c>
      <c r="U1936" s="46" t="s">
        <v>1154</v>
      </c>
    </row>
    <row r="1937" spans="1:21">
      <c r="A1937" s="48" t="s">
        <v>1164</v>
      </c>
      <c r="B1937" s="48" t="s">
        <v>141</v>
      </c>
      <c r="C1937" s="48" t="s">
        <v>666</v>
      </c>
      <c r="D1937" s="48">
        <v>3</v>
      </c>
      <c r="E1937" s="48">
        <v>1</v>
      </c>
      <c r="F1937" t="s">
        <v>667</v>
      </c>
      <c r="G1937" s="48" t="s">
        <v>1305</v>
      </c>
      <c r="H1937" s="48" t="s">
        <v>5444</v>
      </c>
      <c r="I1937" s="48" t="s">
        <v>5444</v>
      </c>
      <c r="J1937" s="48" t="s">
        <v>5445</v>
      </c>
      <c r="K1937" s="48" t="s">
        <v>1307</v>
      </c>
      <c r="L1937" s="48" t="s">
        <v>5446</v>
      </c>
      <c r="M1937" s="48" t="s">
        <v>4432</v>
      </c>
      <c r="N1937" s="48" t="s">
        <v>1310</v>
      </c>
      <c r="O1937" s="48" t="s">
        <v>1311</v>
      </c>
      <c r="P1937" s="48" t="s">
        <v>1312</v>
      </c>
      <c r="Q1937" s="48" t="s">
        <v>31</v>
      </c>
      <c r="R1937" s="48" t="s">
        <v>31</v>
      </c>
      <c r="S1937" s="48" t="s">
        <v>31</v>
      </c>
      <c r="T1937" s="48" t="s">
        <v>31</v>
      </c>
      <c r="U1937" s="46" t="s">
        <v>1154</v>
      </c>
    </row>
    <row r="1938" spans="1:21">
      <c r="A1938" s="48" t="s">
        <v>1159</v>
      </c>
      <c r="B1938" s="48" t="s">
        <v>141</v>
      </c>
      <c r="C1938" s="48" t="s">
        <v>689</v>
      </c>
      <c r="D1938" s="48">
        <v>3</v>
      </c>
      <c r="E1938" s="48">
        <v>1</v>
      </c>
      <c r="F1938" t="s">
        <v>667</v>
      </c>
      <c r="G1938" s="48" t="s">
        <v>1305</v>
      </c>
      <c r="H1938" s="48" t="s">
        <v>5447</v>
      </c>
      <c r="I1938" s="48" t="s">
        <v>5447</v>
      </c>
      <c r="J1938" s="48" t="s">
        <v>5448</v>
      </c>
      <c r="K1938" s="48" t="s">
        <v>1307</v>
      </c>
      <c r="L1938" s="48" t="s">
        <v>5449</v>
      </c>
      <c r="M1938" s="48" t="s">
        <v>4432</v>
      </c>
      <c r="N1938" s="48" t="s">
        <v>1310</v>
      </c>
      <c r="O1938" s="48" t="s">
        <v>1311</v>
      </c>
      <c r="P1938" s="48" t="s">
        <v>1312</v>
      </c>
      <c r="Q1938" s="48" t="s">
        <v>31</v>
      </c>
      <c r="R1938" s="48" t="s">
        <v>31</v>
      </c>
      <c r="S1938" s="48" t="s">
        <v>31</v>
      </c>
      <c r="T1938" s="48" t="s">
        <v>31</v>
      </c>
      <c r="U1938" s="46" t="s">
        <v>1154</v>
      </c>
    </row>
    <row r="1939" spans="1:21">
      <c r="A1939" s="48" t="s">
        <v>1159</v>
      </c>
      <c r="B1939" s="48" t="s">
        <v>141</v>
      </c>
      <c r="C1939" s="48" t="s">
        <v>689</v>
      </c>
      <c r="D1939" s="48">
        <v>3</v>
      </c>
      <c r="E1939" s="48">
        <v>1</v>
      </c>
      <c r="F1939" t="s">
        <v>667</v>
      </c>
      <c r="G1939" s="48" t="s">
        <v>1305</v>
      </c>
      <c r="H1939" s="48" t="s">
        <v>5450</v>
      </c>
      <c r="I1939" s="48" t="s">
        <v>5450</v>
      </c>
      <c r="J1939" s="48" t="s">
        <v>5451</v>
      </c>
      <c r="K1939" s="48" t="s">
        <v>1332</v>
      </c>
      <c r="L1939" s="48" t="s">
        <v>5452</v>
      </c>
      <c r="M1939" s="48" t="s">
        <v>4432</v>
      </c>
      <c r="N1939" s="48" t="s">
        <v>1310</v>
      </c>
      <c r="O1939" s="48" t="s">
        <v>1311</v>
      </c>
      <c r="P1939" s="48" t="s">
        <v>1312</v>
      </c>
      <c r="Q1939" s="48" t="s">
        <v>31</v>
      </c>
      <c r="R1939" s="48" t="s">
        <v>31</v>
      </c>
      <c r="S1939" s="48" t="s">
        <v>31</v>
      </c>
      <c r="T1939" s="48" t="s">
        <v>31</v>
      </c>
      <c r="U1939" s="46" t="s">
        <v>1154</v>
      </c>
    </row>
    <row r="1940" spans="1:21">
      <c r="A1940" s="48" t="s">
        <v>1159</v>
      </c>
      <c r="B1940" s="48" t="s">
        <v>141</v>
      </c>
      <c r="C1940" s="48" t="s">
        <v>689</v>
      </c>
      <c r="D1940" s="48">
        <v>3</v>
      </c>
      <c r="E1940" s="48">
        <v>1</v>
      </c>
      <c r="F1940" t="s">
        <v>667</v>
      </c>
      <c r="G1940" s="48" t="s">
        <v>1305</v>
      </c>
      <c r="H1940" s="48" t="s">
        <v>5453</v>
      </c>
      <c r="I1940" s="48" t="s">
        <v>5453</v>
      </c>
      <c r="J1940" s="48" t="s">
        <v>5454</v>
      </c>
      <c r="K1940" s="48" t="s">
        <v>1314</v>
      </c>
      <c r="L1940" s="48" t="s">
        <v>5455</v>
      </c>
      <c r="M1940" s="48" t="s">
        <v>4432</v>
      </c>
      <c r="N1940" s="48" t="s">
        <v>1310</v>
      </c>
      <c r="O1940" s="48" t="s">
        <v>1311</v>
      </c>
      <c r="P1940" s="48" t="s">
        <v>1312</v>
      </c>
      <c r="Q1940" s="48" t="s">
        <v>31</v>
      </c>
      <c r="R1940" s="48" t="s">
        <v>31</v>
      </c>
      <c r="S1940" s="48" t="s">
        <v>31</v>
      </c>
      <c r="T1940" s="48" t="s">
        <v>31</v>
      </c>
      <c r="U1940" s="46" t="s">
        <v>1154</v>
      </c>
    </row>
    <row r="1941" spans="1:21">
      <c r="A1941" s="48" t="s">
        <v>1159</v>
      </c>
      <c r="B1941" s="48" t="s">
        <v>141</v>
      </c>
      <c r="C1941" s="48" t="s">
        <v>689</v>
      </c>
      <c r="D1941" s="48">
        <v>3</v>
      </c>
      <c r="E1941" s="48">
        <v>1</v>
      </c>
      <c r="F1941" t="s">
        <v>667</v>
      </c>
      <c r="G1941" s="48" t="s">
        <v>1305</v>
      </c>
      <c r="H1941" s="48" t="s">
        <v>5456</v>
      </c>
      <c r="I1941" s="48" t="s">
        <v>5456</v>
      </c>
      <c r="J1941" s="48" t="s">
        <v>5457</v>
      </c>
      <c r="K1941" s="48" t="s">
        <v>1317</v>
      </c>
      <c r="L1941" s="48" t="s">
        <v>5458</v>
      </c>
      <c r="M1941" s="48" t="s">
        <v>4432</v>
      </c>
      <c r="N1941" s="48" t="s">
        <v>1310</v>
      </c>
      <c r="O1941" s="48" t="s">
        <v>1311</v>
      </c>
      <c r="P1941" s="48" t="s">
        <v>1312</v>
      </c>
      <c r="Q1941" s="48" t="s">
        <v>31</v>
      </c>
      <c r="R1941" s="48" t="s">
        <v>31</v>
      </c>
      <c r="S1941" s="48" t="s">
        <v>31</v>
      </c>
      <c r="T1941" s="48" t="s">
        <v>31</v>
      </c>
      <c r="U1941" s="46" t="s">
        <v>1154</v>
      </c>
    </row>
    <row r="1942" spans="1:21">
      <c r="A1942" s="48" t="s">
        <v>1159</v>
      </c>
      <c r="B1942" s="48" t="s">
        <v>141</v>
      </c>
      <c r="C1942" s="48" t="s">
        <v>689</v>
      </c>
      <c r="D1942" s="48">
        <v>3</v>
      </c>
      <c r="E1942" s="48">
        <v>1</v>
      </c>
      <c r="F1942" t="s">
        <v>667</v>
      </c>
      <c r="G1942" s="48" t="s">
        <v>1305</v>
      </c>
      <c r="H1942" s="48" t="s">
        <v>5459</v>
      </c>
      <c r="I1942" s="48" t="s">
        <v>5459</v>
      </c>
      <c r="J1942" s="48" t="s">
        <v>5460</v>
      </c>
      <c r="K1942" s="48" t="s">
        <v>1323</v>
      </c>
      <c r="L1942" s="48" t="s">
        <v>5461</v>
      </c>
      <c r="M1942" s="48" t="s">
        <v>4432</v>
      </c>
      <c r="N1942" s="48" t="s">
        <v>1310</v>
      </c>
      <c r="O1942" s="48" t="s">
        <v>1311</v>
      </c>
      <c r="P1942" s="48" t="s">
        <v>1312</v>
      </c>
      <c r="Q1942" s="48" t="s">
        <v>31</v>
      </c>
      <c r="R1942" s="48" t="s">
        <v>31</v>
      </c>
      <c r="S1942" s="48" t="s">
        <v>31</v>
      </c>
      <c r="T1942" s="48" t="s">
        <v>31</v>
      </c>
      <c r="U1942" s="46" t="s">
        <v>1154</v>
      </c>
    </row>
    <row r="1943" spans="1:21">
      <c r="A1943" s="48" t="s">
        <v>1159</v>
      </c>
      <c r="B1943" s="48" t="s">
        <v>141</v>
      </c>
      <c r="C1943" s="48" t="s">
        <v>689</v>
      </c>
      <c r="D1943" s="48">
        <v>3</v>
      </c>
      <c r="E1943" s="48">
        <v>1</v>
      </c>
      <c r="F1943" t="s">
        <v>667</v>
      </c>
      <c r="G1943" s="48" t="s">
        <v>1305</v>
      </c>
      <c r="H1943" s="48" t="s">
        <v>5462</v>
      </c>
      <c r="I1943" s="48" t="s">
        <v>5462</v>
      </c>
      <c r="J1943" s="48" t="s">
        <v>5463</v>
      </c>
      <c r="K1943" s="48" t="s">
        <v>1329</v>
      </c>
      <c r="L1943" s="48" t="s">
        <v>5464</v>
      </c>
      <c r="M1943" s="48" t="s">
        <v>4432</v>
      </c>
      <c r="N1943" s="48" t="s">
        <v>1310</v>
      </c>
      <c r="O1943" s="48" t="s">
        <v>1311</v>
      </c>
      <c r="P1943" s="48" t="s">
        <v>1312</v>
      </c>
      <c r="Q1943" s="48" t="s">
        <v>31</v>
      </c>
      <c r="R1943" s="48" t="s">
        <v>31</v>
      </c>
      <c r="S1943" s="48" t="s">
        <v>31</v>
      </c>
      <c r="T1943" s="48" t="s">
        <v>31</v>
      </c>
      <c r="U1943" s="46" t="s">
        <v>1154</v>
      </c>
    </row>
    <row r="1944" spans="1:21">
      <c r="A1944" s="48" t="s">
        <v>1159</v>
      </c>
      <c r="B1944" s="48" t="s">
        <v>141</v>
      </c>
      <c r="C1944" s="48" t="s">
        <v>689</v>
      </c>
      <c r="D1944" s="48">
        <v>3</v>
      </c>
      <c r="E1944" s="48">
        <v>1</v>
      </c>
      <c r="F1944" t="s">
        <v>667</v>
      </c>
      <c r="G1944" s="48" t="s">
        <v>1305</v>
      </c>
      <c r="H1944" s="48" t="s">
        <v>5465</v>
      </c>
      <c r="I1944" s="48" t="s">
        <v>5465</v>
      </c>
      <c r="J1944" s="48" t="s">
        <v>5466</v>
      </c>
      <c r="K1944" s="48" t="s">
        <v>1320</v>
      </c>
      <c r="L1944" s="48" t="s">
        <v>5467</v>
      </c>
      <c r="M1944" s="48" t="s">
        <v>4432</v>
      </c>
      <c r="N1944" s="48" t="s">
        <v>1310</v>
      </c>
      <c r="O1944" s="48" t="s">
        <v>1311</v>
      </c>
      <c r="P1944" s="48" t="s">
        <v>1312</v>
      </c>
      <c r="Q1944" s="48" t="s">
        <v>31</v>
      </c>
      <c r="R1944" s="48" t="s">
        <v>31</v>
      </c>
      <c r="S1944" s="48" t="s">
        <v>31</v>
      </c>
      <c r="T1944" s="48" t="s">
        <v>31</v>
      </c>
      <c r="U1944" s="46" t="s">
        <v>1154</v>
      </c>
    </row>
    <row r="1945" spans="1:21">
      <c r="A1945" s="48" t="s">
        <v>1159</v>
      </c>
      <c r="B1945" s="48" t="s">
        <v>141</v>
      </c>
      <c r="C1945" s="48" t="s">
        <v>689</v>
      </c>
      <c r="D1945" s="48">
        <v>3</v>
      </c>
      <c r="E1945" s="48">
        <v>1</v>
      </c>
      <c r="F1945" t="s">
        <v>667</v>
      </c>
      <c r="G1945" s="48" t="s">
        <v>1305</v>
      </c>
      <c r="H1945" s="48" t="s">
        <v>5468</v>
      </c>
      <c r="I1945" s="48" t="s">
        <v>5468</v>
      </c>
      <c r="J1945" s="48" t="s">
        <v>5469</v>
      </c>
      <c r="K1945" s="48" t="s">
        <v>1326</v>
      </c>
      <c r="L1945" s="48" t="s">
        <v>5470</v>
      </c>
      <c r="M1945" s="48" t="s">
        <v>4432</v>
      </c>
      <c r="N1945" s="48" t="s">
        <v>1310</v>
      </c>
      <c r="O1945" s="48" t="s">
        <v>1311</v>
      </c>
      <c r="P1945" s="48" t="s">
        <v>1312</v>
      </c>
      <c r="Q1945" s="48" t="s">
        <v>31</v>
      </c>
      <c r="R1945" s="48" t="s">
        <v>31</v>
      </c>
      <c r="S1945" s="48" t="s">
        <v>31</v>
      </c>
      <c r="T1945" s="48" t="s">
        <v>31</v>
      </c>
      <c r="U1945" s="46" t="s">
        <v>1154</v>
      </c>
    </row>
    <row r="1946" spans="1:21">
      <c r="A1946" s="48" t="s">
        <v>1162</v>
      </c>
      <c r="B1946" s="48" t="s">
        <v>141</v>
      </c>
      <c r="C1946" s="48" t="s">
        <v>814</v>
      </c>
      <c r="D1946" s="48">
        <v>3</v>
      </c>
      <c r="E1946" s="48">
        <v>1</v>
      </c>
      <c r="F1946" t="s">
        <v>1149</v>
      </c>
      <c r="G1946" s="48" t="s">
        <v>1305</v>
      </c>
      <c r="H1946" s="48" t="s">
        <v>5471</v>
      </c>
      <c r="I1946" s="48" t="s">
        <v>5471</v>
      </c>
      <c r="J1946" s="48" t="s">
        <v>5472</v>
      </c>
      <c r="K1946" s="48" t="s">
        <v>1329</v>
      </c>
      <c r="L1946" s="48" t="s">
        <v>5473</v>
      </c>
      <c r="M1946" s="48" t="s">
        <v>4432</v>
      </c>
      <c r="N1946" s="48" t="s">
        <v>1310</v>
      </c>
      <c r="O1946" s="48" t="s">
        <v>1311</v>
      </c>
      <c r="P1946" s="48" t="s">
        <v>1312</v>
      </c>
      <c r="Q1946" s="48" t="s">
        <v>31</v>
      </c>
      <c r="R1946" s="48" t="s">
        <v>31</v>
      </c>
      <c r="S1946" s="48" t="s">
        <v>31</v>
      </c>
      <c r="T1946" s="48" t="s">
        <v>31</v>
      </c>
      <c r="U1946" s="46" t="s">
        <v>1154</v>
      </c>
    </row>
    <row r="1947" spans="1:21">
      <c r="A1947" s="48" t="s">
        <v>1162</v>
      </c>
      <c r="B1947" s="48" t="s">
        <v>141</v>
      </c>
      <c r="C1947" s="48" t="s">
        <v>814</v>
      </c>
      <c r="D1947" s="48">
        <v>3</v>
      </c>
      <c r="E1947" s="48">
        <v>1</v>
      </c>
      <c r="F1947" t="s">
        <v>1149</v>
      </c>
      <c r="G1947" s="48" t="s">
        <v>1305</v>
      </c>
      <c r="H1947" s="48" t="s">
        <v>5474</v>
      </c>
      <c r="I1947" s="48" t="s">
        <v>5474</v>
      </c>
      <c r="J1947" s="48" t="s">
        <v>5475</v>
      </c>
      <c r="K1947" s="48" t="s">
        <v>1320</v>
      </c>
      <c r="L1947" s="48" t="s">
        <v>5476</v>
      </c>
      <c r="M1947" s="48" t="s">
        <v>4432</v>
      </c>
      <c r="N1947" s="48" t="s">
        <v>1310</v>
      </c>
      <c r="O1947" s="48" t="s">
        <v>1311</v>
      </c>
      <c r="P1947" s="48" t="s">
        <v>1312</v>
      </c>
      <c r="Q1947" s="48" t="s">
        <v>31</v>
      </c>
      <c r="R1947" s="48" t="s">
        <v>31</v>
      </c>
      <c r="S1947" s="48" t="s">
        <v>31</v>
      </c>
      <c r="T1947" s="48" t="s">
        <v>31</v>
      </c>
      <c r="U1947" s="46" t="s">
        <v>1154</v>
      </c>
    </row>
    <row r="1948" spans="1:21">
      <c r="A1948" s="48" t="s">
        <v>1162</v>
      </c>
      <c r="B1948" s="48" t="s">
        <v>141</v>
      </c>
      <c r="C1948" s="48" t="s">
        <v>814</v>
      </c>
      <c r="D1948" s="48">
        <v>3</v>
      </c>
      <c r="E1948" s="48">
        <v>1</v>
      </c>
      <c r="F1948" t="s">
        <v>1149</v>
      </c>
      <c r="G1948" s="48" t="s">
        <v>1305</v>
      </c>
      <c r="H1948" s="48" t="s">
        <v>5477</v>
      </c>
      <c r="I1948" s="48" t="s">
        <v>5477</v>
      </c>
      <c r="J1948" s="48" t="s">
        <v>5478</v>
      </c>
      <c r="K1948" s="48" t="s">
        <v>1307</v>
      </c>
      <c r="L1948" s="48" t="s">
        <v>5479</v>
      </c>
      <c r="M1948" s="48" t="s">
        <v>4432</v>
      </c>
      <c r="N1948" s="48" t="s">
        <v>1310</v>
      </c>
      <c r="O1948" s="48" t="s">
        <v>1311</v>
      </c>
      <c r="P1948" s="48" t="s">
        <v>1312</v>
      </c>
      <c r="Q1948" s="48" t="s">
        <v>31</v>
      </c>
      <c r="R1948" s="48" t="s">
        <v>31</v>
      </c>
      <c r="S1948" s="48" t="s">
        <v>31</v>
      </c>
      <c r="T1948" s="48" t="s">
        <v>31</v>
      </c>
      <c r="U1948" s="46" t="s">
        <v>1154</v>
      </c>
    </row>
    <row r="1949" spans="1:21">
      <c r="A1949" s="48" t="s">
        <v>1162</v>
      </c>
      <c r="B1949" s="48" t="s">
        <v>141</v>
      </c>
      <c r="C1949" s="48" t="s">
        <v>814</v>
      </c>
      <c r="D1949" s="48">
        <v>3</v>
      </c>
      <c r="E1949" s="48">
        <v>1</v>
      </c>
      <c r="F1949" t="s">
        <v>1149</v>
      </c>
      <c r="G1949" s="48" t="s">
        <v>1305</v>
      </c>
      <c r="H1949" s="48" t="s">
        <v>5480</v>
      </c>
      <c r="I1949" s="48" t="s">
        <v>5480</v>
      </c>
      <c r="J1949" s="48" t="s">
        <v>5481</v>
      </c>
      <c r="K1949" s="48" t="s">
        <v>1314</v>
      </c>
      <c r="L1949" s="48" t="s">
        <v>5482</v>
      </c>
      <c r="M1949" s="48" t="s">
        <v>4432</v>
      </c>
      <c r="N1949" s="48" t="s">
        <v>1310</v>
      </c>
      <c r="O1949" s="48" t="s">
        <v>1311</v>
      </c>
      <c r="P1949" s="48" t="s">
        <v>1312</v>
      </c>
      <c r="Q1949" s="48" t="s">
        <v>31</v>
      </c>
      <c r="R1949" s="48" t="s">
        <v>31</v>
      </c>
      <c r="S1949" s="48" t="s">
        <v>31</v>
      </c>
      <c r="T1949" s="48" t="s">
        <v>31</v>
      </c>
      <c r="U1949" s="46" t="s">
        <v>1154</v>
      </c>
    </row>
    <row r="1950" spans="1:21">
      <c r="A1950" s="48" t="s">
        <v>1162</v>
      </c>
      <c r="B1950" s="48" t="s">
        <v>141</v>
      </c>
      <c r="C1950" s="48" t="s">
        <v>814</v>
      </c>
      <c r="D1950" s="48">
        <v>3</v>
      </c>
      <c r="E1950" s="48">
        <v>1</v>
      </c>
      <c r="F1950" t="s">
        <v>1149</v>
      </c>
      <c r="G1950" s="48" t="s">
        <v>1305</v>
      </c>
      <c r="H1950" s="48" t="s">
        <v>5483</v>
      </c>
      <c r="I1950" s="48" t="s">
        <v>5483</v>
      </c>
      <c r="J1950" s="48" t="s">
        <v>5484</v>
      </c>
      <c r="K1950" s="48" t="s">
        <v>1317</v>
      </c>
      <c r="L1950" s="48" t="s">
        <v>5485</v>
      </c>
      <c r="M1950" s="48" t="s">
        <v>4432</v>
      </c>
      <c r="N1950" s="48" t="s">
        <v>1310</v>
      </c>
      <c r="O1950" s="48" t="s">
        <v>1311</v>
      </c>
      <c r="P1950" s="48" t="s">
        <v>1312</v>
      </c>
      <c r="Q1950" s="48" t="s">
        <v>31</v>
      </c>
      <c r="R1950" s="48" t="s">
        <v>31</v>
      </c>
      <c r="S1950" s="48" t="s">
        <v>31</v>
      </c>
      <c r="T1950" s="48" t="s">
        <v>31</v>
      </c>
      <c r="U1950" s="46" t="s">
        <v>1154</v>
      </c>
    </row>
    <row r="1951" spans="1:21">
      <c r="A1951" s="48" t="s">
        <v>1162</v>
      </c>
      <c r="B1951" s="48" t="s">
        <v>141</v>
      </c>
      <c r="C1951" s="48" t="s">
        <v>814</v>
      </c>
      <c r="D1951" s="48">
        <v>3</v>
      </c>
      <c r="E1951" s="48">
        <v>1</v>
      </c>
      <c r="F1951" t="s">
        <v>1149</v>
      </c>
      <c r="G1951" s="48" t="s">
        <v>1305</v>
      </c>
      <c r="H1951" s="48" t="s">
        <v>5486</v>
      </c>
      <c r="I1951" s="48" t="s">
        <v>5486</v>
      </c>
      <c r="J1951" s="48" t="s">
        <v>5487</v>
      </c>
      <c r="K1951" s="48" t="s">
        <v>1326</v>
      </c>
      <c r="L1951" s="48" t="s">
        <v>5488</v>
      </c>
      <c r="M1951" s="48" t="s">
        <v>4432</v>
      </c>
      <c r="N1951" s="48" t="s">
        <v>1310</v>
      </c>
      <c r="O1951" s="48" t="s">
        <v>1311</v>
      </c>
      <c r="P1951" s="48" t="s">
        <v>1312</v>
      </c>
      <c r="Q1951" s="48" t="s">
        <v>31</v>
      </c>
      <c r="R1951" s="48" t="s">
        <v>31</v>
      </c>
      <c r="S1951" s="48" t="s">
        <v>31</v>
      </c>
      <c r="T1951" s="48" t="s">
        <v>31</v>
      </c>
      <c r="U1951" s="46" t="s">
        <v>1154</v>
      </c>
    </row>
    <row r="1952" spans="1:21">
      <c r="A1952" s="48" t="s">
        <v>1162</v>
      </c>
      <c r="B1952" s="48" t="s">
        <v>141</v>
      </c>
      <c r="C1952" s="48" t="s">
        <v>814</v>
      </c>
      <c r="D1952" s="48">
        <v>3</v>
      </c>
      <c r="E1952" s="48">
        <v>1</v>
      </c>
      <c r="F1952" t="s">
        <v>1149</v>
      </c>
      <c r="G1952" s="48" t="s">
        <v>1305</v>
      </c>
      <c r="H1952" s="48" t="s">
        <v>5489</v>
      </c>
      <c r="I1952" s="48" t="s">
        <v>5489</v>
      </c>
      <c r="J1952" s="48" t="s">
        <v>5490</v>
      </c>
      <c r="K1952" s="48" t="s">
        <v>1332</v>
      </c>
      <c r="L1952" s="48" t="s">
        <v>5491</v>
      </c>
      <c r="M1952" s="48" t="s">
        <v>4432</v>
      </c>
      <c r="N1952" s="48" t="s">
        <v>1310</v>
      </c>
      <c r="O1952" s="48" t="s">
        <v>1311</v>
      </c>
      <c r="P1952" s="48" t="s">
        <v>1312</v>
      </c>
      <c r="Q1952" s="48" t="s">
        <v>31</v>
      </c>
      <c r="R1952" s="48" t="s">
        <v>31</v>
      </c>
      <c r="S1952" s="48" t="s">
        <v>31</v>
      </c>
      <c r="T1952" s="48" t="s">
        <v>31</v>
      </c>
      <c r="U1952" s="46" t="s">
        <v>1154</v>
      </c>
    </row>
    <row r="1953" spans="1:21">
      <c r="A1953" s="48" t="s">
        <v>1162</v>
      </c>
      <c r="B1953" s="48" t="s">
        <v>141</v>
      </c>
      <c r="C1953" s="48" t="s">
        <v>814</v>
      </c>
      <c r="D1953" s="48">
        <v>3</v>
      </c>
      <c r="E1953" s="48">
        <v>1</v>
      </c>
      <c r="F1953" t="s">
        <v>1149</v>
      </c>
      <c r="G1953" s="48" t="s">
        <v>1305</v>
      </c>
      <c r="H1953" s="48" t="s">
        <v>5492</v>
      </c>
      <c r="I1953" s="48" t="s">
        <v>5492</v>
      </c>
      <c r="J1953" s="48" t="s">
        <v>5493</v>
      </c>
      <c r="K1953" s="48" t="s">
        <v>1323</v>
      </c>
      <c r="L1953" s="48" t="s">
        <v>5494</v>
      </c>
      <c r="M1953" s="48" t="s">
        <v>4432</v>
      </c>
      <c r="N1953" s="48" t="s">
        <v>1310</v>
      </c>
      <c r="O1953" s="48" t="s">
        <v>1311</v>
      </c>
      <c r="P1953" s="48" t="s">
        <v>1312</v>
      </c>
      <c r="Q1953" s="48" t="s">
        <v>31</v>
      </c>
      <c r="R1953" s="48" t="s">
        <v>31</v>
      </c>
      <c r="S1953" s="48" t="s">
        <v>31</v>
      </c>
      <c r="T1953" s="48" t="s">
        <v>31</v>
      </c>
      <c r="U1953" s="46" t="s">
        <v>1154</v>
      </c>
    </row>
    <row r="1954" spans="1:21">
      <c r="A1954" s="48" t="s">
        <v>1233</v>
      </c>
      <c r="B1954" s="48" t="s">
        <v>143</v>
      </c>
      <c r="C1954" s="48" t="s">
        <v>666</v>
      </c>
      <c r="D1954" s="48">
        <v>1</v>
      </c>
      <c r="E1954" s="48">
        <v>0</v>
      </c>
      <c r="F1954" t="s">
        <v>698</v>
      </c>
      <c r="G1954" s="48" t="s">
        <v>1305</v>
      </c>
      <c r="H1954" s="48" t="s">
        <v>5495</v>
      </c>
      <c r="I1954" s="48" t="s">
        <v>5495</v>
      </c>
      <c r="J1954" s="48" t="s">
        <v>5496</v>
      </c>
      <c r="K1954" s="48" t="s">
        <v>1320</v>
      </c>
      <c r="L1954" s="48" t="s">
        <v>5497</v>
      </c>
      <c r="M1954" s="48" t="s">
        <v>4432</v>
      </c>
      <c r="N1954" s="48" t="s">
        <v>1310</v>
      </c>
      <c r="O1954" s="48" t="s">
        <v>1311</v>
      </c>
      <c r="P1954" s="48" t="s">
        <v>1312</v>
      </c>
      <c r="Q1954" s="48" t="s">
        <v>31</v>
      </c>
      <c r="R1954" s="48" t="s">
        <v>31</v>
      </c>
      <c r="S1954" s="48" t="s">
        <v>31</v>
      </c>
      <c r="T1954" s="48" t="s">
        <v>31</v>
      </c>
      <c r="U1954" s="46" t="s">
        <v>1154</v>
      </c>
    </row>
    <row r="1955" spans="1:21">
      <c r="A1955" s="48" t="s">
        <v>1233</v>
      </c>
      <c r="B1955" s="48" t="s">
        <v>143</v>
      </c>
      <c r="C1955" s="48" t="s">
        <v>666</v>
      </c>
      <c r="D1955" s="48">
        <v>1</v>
      </c>
      <c r="E1955" s="48">
        <v>0</v>
      </c>
      <c r="F1955" t="s">
        <v>698</v>
      </c>
      <c r="G1955" s="48" t="s">
        <v>1305</v>
      </c>
      <c r="H1955" s="48" t="s">
        <v>5498</v>
      </c>
      <c r="I1955" s="48" t="s">
        <v>5498</v>
      </c>
      <c r="J1955" s="48" t="s">
        <v>5499</v>
      </c>
      <c r="K1955" s="48" t="s">
        <v>1326</v>
      </c>
      <c r="L1955" s="48" t="s">
        <v>5500</v>
      </c>
      <c r="M1955" s="48" t="s">
        <v>4432</v>
      </c>
      <c r="N1955" s="48" t="s">
        <v>1310</v>
      </c>
      <c r="O1955" s="48" t="s">
        <v>1311</v>
      </c>
      <c r="P1955" s="48" t="s">
        <v>1312</v>
      </c>
      <c r="Q1955" s="48" t="s">
        <v>31</v>
      </c>
      <c r="R1955" s="48" t="s">
        <v>31</v>
      </c>
      <c r="S1955" s="48" t="s">
        <v>31</v>
      </c>
      <c r="T1955" s="48" t="s">
        <v>31</v>
      </c>
      <c r="U1955" s="46" t="s">
        <v>1154</v>
      </c>
    </row>
    <row r="1956" spans="1:21">
      <c r="A1956" s="48" t="s">
        <v>1233</v>
      </c>
      <c r="B1956" s="48" t="s">
        <v>143</v>
      </c>
      <c r="C1956" s="48" t="s">
        <v>666</v>
      </c>
      <c r="D1956" s="48">
        <v>1</v>
      </c>
      <c r="E1956" s="48">
        <v>0</v>
      </c>
      <c r="F1956" t="s">
        <v>698</v>
      </c>
      <c r="G1956" s="48" t="s">
        <v>1305</v>
      </c>
      <c r="H1956" s="48" t="s">
        <v>5501</v>
      </c>
      <c r="I1956" s="48" t="s">
        <v>5501</v>
      </c>
      <c r="J1956" s="48" t="s">
        <v>5502</v>
      </c>
      <c r="K1956" s="48" t="s">
        <v>1314</v>
      </c>
      <c r="L1956" s="48" t="s">
        <v>5503</v>
      </c>
      <c r="M1956" s="48" t="s">
        <v>4432</v>
      </c>
      <c r="N1956" s="48" t="s">
        <v>1310</v>
      </c>
      <c r="O1956" s="48" t="s">
        <v>1311</v>
      </c>
      <c r="P1956" s="48" t="s">
        <v>1312</v>
      </c>
      <c r="Q1956" s="48" t="s">
        <v>31</v>
      </c>
      <c r="R1956" s="48" t="s">
        <v>31</v>
      </c>
      <c r="S1956" s="48" t="s">
        <v>31</v>
      </c>
      <c r="T1956" s="48" t="s">
        <v>31</v>
      </c>
      <c r="U1956" s="46" t="s">
        <v>1154</v>
      </c>
    </row>
    <row r="1957" spans="1:21">
      <c r="A1957" s="48" t="s">
        <v>1233</v>
      </c>
      <c r="B1957" s="48" t="s">
        <v>143</v>
      </c>
      <c r="C1957" s="48" t="s">
        <v>666</v>
      </c>
      <c r="D1957" s="48">
        <v>1</v>
      </c>
      <c r="E1957" s="48">
        <v>0</v>
      </c>
      <c r="F1957" t="s">
        <v>698</v>
      </c>
      <c r="G1957" s="48" t="s">
        <v>1305</v>
      </c>
      <c r="H1957" s="48" t="s">
        <v>5504</v>
      </c>
      <c r="I1957" s="48" t="s">
        <v>5504</v>
      </c>
      <c r="J1957" s="48" t="s">
        <v>5505</v>
      </c>
      <c r="K1957" s="48" t="s">
        <v>1329</v>
      </c>
      <c r="L1957" s="48" t="s">
        <v>5506</v>
      </c>
      <c r="M1957" s="48" t="s">
        <v>4432</v>
      </c>
      <c r="N1957" s="48" t="s">
        <v>1310</v>
      </c>
      <c r="O1957" s="48" t="s">
        <v>1311</v>
      </c>
      <c r="P1957" s="48" t="s">
        <v>1312</v>
      </c>
      <c r="Q1957" s="48" t="s">
        <v>31</v>
      </c>
      <c r="R1957" s="48" t="s">
        <v>31</v>
      </c>
      <c r="S1957" s="48" t="s">
        <v>31</v>
      </c>
      <c r="T1957" s="48" t="s">
        <v>31</v>
      </c>
      <c r="U1957" s="46" t="s">
        <v>1154</v>
      </c>
    </row>
    <row r="1958" spans="1:21">
      <c r="A1958" s="48" t="s">
        <v>1233</v>
      </c>
      <c r="B1958" s="48" t="s">
        <v>143</v>
      </c>
      <c r="C1958" s="48" t="s">
        <v>666</v>
      </c>
      <c r="D1958" s="48">
        <v>1</v>
      </c>
      <c r="E1958" s="48">
        <v>0</v>
      </c>
      <c r="F1958" t="s">
        <v>698</v>
      </c>
      <c r="G1958" s="48" t="s">
        <v>1305</v>
      </c>
      <c r="H1958" s="48" t="s">
        <v>5507</v>
      </c>
      <c r="I1958" s="48" t="s">
        <v>5507</v>
      </c>
      <c r="J1958" s="48" t="s">
        <v>5508</v>
      </c>
      <c r="K1958" s="48" t="s">
        <v>1307</v>
      </c>
      <c r="L1958" s="48" t="s">
        <v>5509</v>
      </c>
      <c r="M1958" s="48" t="s">
        <v>4432</v>
      </c>
      <c r="N1958" s="48" t="s">
        <v>1310</v>
      </c>
      <c r="O1958" s="48" t="s">
        <v>1311</v>
      </c>
      <c r="P1958" s="48" t="s">
        <v>1312</v>
      </c>
      <c r="Q1958" s="48" t="s">
        <v>31</v>
      </c>
      <c r="R1958" s="48" t="s">
        <v>31</v>
      </c>
      <c r="S1958" s="48" t="s">
        <v>31</v>
      </c>
      <c r="T1958" s="48" t="s">
        <v>31</v>
      </c>
      <c r="U1958" s="46" t="s">
        <v>1154</v>
      </c>
    </row>
    <row r="1959" spans="1:21">
      <c r="A1959" s="48" t="s">
        <v>1233</v>
      </c>
      <c r="B1959" s="48" t="s">
        <v>143</v>
      </c>
      <c r="C1959" s="48" t="s">
        <v>666</v>
      </c>
      <c r="D1959" s="48">
        <v>1</v>
      </c>
      <c r="E1959" s="48">
        <v>0</v>
      </c>
      <c r="F1959" t="s">
        <v>698</v>
      </c>
      <c r="G1959" s="48" t="s">
        <v>1305</v>
      </c>
      <c r="H1959" s="48" t="s">
        <v>5510</v>
      </c>
      <c r="I1959" s="48" t="s">
        <v>5510</v>
      </c>
      <c r="J1959" s="48" t="s">
        <v>5511</v>
      </c>
      <c r="K1959" s="48" t="s">
        <v>1317</v>
      </c>
      <c r="L1959" s="48" t="s">
        <v>5512</v>
      </c>
      <c r="M1959" s="48" t="s">
        <v>4432</v>
      </c>
      <c r="N1959" s="48" t="s">
        <v>1310</v>
      </c>
      <c r="O1959" s="48" t="s">
        <v>1311</v>
      </c>
      <c r="P1959" s="48" t="s">
        <v>1312</v>
      </c>
      <c r="Q1959" s="48" t="s">
        <v>31</v>
      </c>
      <c r="R1959" s="48" t="s">
        <v>31</v>
      </c>
      <c r="S1959" s="48" t="s">
        <v>31</v>
      </c>
      <c r="T1959" s="48" t="s">
        <v>31</v>
      </c>
      <c r="U1959" s="46" t="s">
        <v>1154</v>
      </c>
    </row>
    <row r="1960" spans="1:21">
      <c r="A1960" s="48" t="s">
        <v>1233</v>
      </c>
      <c r="B1960" s="48" t="s">
        <v>143</v>
      </c>
      <c r="C1960" s="48" t="s">
        <v>666</v>
      </c>
      <c r="D1960" s="48">
        <v>1</v>
      </c>
      <c r="E1960" s="48">
        <v>0</v>
      </c>
      <c r="F1960" t="s">
        <v>698</v>
      </c>
      <c r="G1960" s="48" t="s">
        <v>1305</v>
      </c>
      <c r="H1960" s="48" t="s">
        <v>5513</v>
      </c>
      <c r="I1960" s="48" t="s">
        <v>5513</v>
      </c>
      <c r="J1960" s="48" t="s">
        <v>5514</v>
      </c>
      <c r="K1960" s="48" t="s">
        <v>1332</v>
      </c>
      <c r="L1960" s="48" t="s">
        <v>5515</v>
      </c>
      <c r="M1960" s="48" t="s">
        <v>4432</v>
      </c>
      <c r="N1960" s="48" t="s">
        <v>1310</v>
      </c>
      <c r="O1960" s="48" t="s">
        <v>1311</v>
      </c>
      <c r="P1960" s="48" t="s">
        <v>1312</v>
      </c>
      <c r="Q1960" s="48" t="s">
        <v>31</v>
      </c>
      <c r="R1960" s="48" t="s">
        <v>31</v>
      </c>
      <c r="S1960" s="48" t="s">
        <v>31</v>
      </c>
      <c r="T1960" s="48" t="s">
        <v>31</v>
      </c>
      <c r="U1960" s="46" t="s">
        <v>1154</v>
      </c>
    </row>
    <row r="1961" spans="1:21">
      <c r="A1961" s="48" t="s">
        <v>1233</v>
      </c>
      <c r="B1961" s="48" t="s">
        <v>143</v>
      </c>
      <c r="C1961" s="48" t="s">
        <v>666</v>
      </c>
      <c r="D1961" s="48">
        <v>1</v>
      </c>
      <c r="E1961" s="48">
        <v>0</v>
      </c>
      <c r="F1961" t="s">
        <v>698</v>
      </c>
      <c r="G1961" s="48" t="s">
        <v>1305</v>
      </c>
      <c r="H1961" s="48" t="s">
        <v>5516</v>
      </c>
      <c r="I1961" s="48" t="s">
        <v>5516</v>
      </c>
      <c r="J1961" s="48" t="s">
        <v>5517</v>
      </c>
      <c r="K1961" s="48" t="s">
        <v>1323</v>
      </c>
      <c r="L1961" s="48" t="s">
        <v>5518</v>
      </c>
      <c r="M1961" s="48" t="s">
        <v>4432</v>
      </c>
      <c r="N1961" s="48" t="s">
        <v>1310</v>
      </c>
      <c r="O1961" s="48" t="s">
        <v>1311</v>
      </c>
      <c r="P1961" s="48" t="s">
        <v>1312</v>
      </c>
      <c r="Q1961" s="48" t="s">
        <v>31</v>
      </c>
      <c r="R1961" s="48" t="s">
        <v>31</v>
      </c>
      <c r="S1961" s="48" t="s">
        <v>31</v>
      </c>
      <c r="T1961" s="48" t="s">
        <v>31</v>
      </c>
      <c r="U1961" s="46" t="s">
        <v>1154</v>
      </c>
    </row>
    <row r="1962" spans="1:21">
      <c r="A1962" s="48" t="s">
        <v>1243</v>
      </c>
      <c r="B1962" s="48" t="s">
        <v>145</v>
      </c>
      <c r="C1962" s="48" t="s">
        <v>666</v>
      </c>
      <c r="D1962" s="48">
        <v>1</v>
      </c>
      <c r="E1962" s="48">
        <v>0</v>
      </c>
      <c r="F1962" t="s">
        <v>698</v>
      </c>
      <c r="G1962" s="48" t="s">
        <v>1305</v>
      </c>
      <c r="H1962" s="48" t="s">
        <v>5519</v>
      </c>
      <c r="I1962" s="48" t="s">
        <v>5519</v>
      </c>
      <c r="J1962" s="48" t="s">
        <v>5520</v>
      </c>
      <c r="K1962" s="48" t="s">
        <v>1307</v>
      </c>
      <c r="L1962" s="48" t="s">
        <v>5521</v>
      </c>
      <c r="M1962" s="48" t="s">
        <v>4432</v>
      </c>
      <c r="N1962" s="48" t="s">
        <v>1310</v>
      </c>
      <c r="O1962" s="48" t="s">
        <v>1311</v>
      </c>
      <c r="P1962" s="48" t="s">
        <v>1312</v>
      </c>
      <c r="Q1962" s="48" t="s">
        <v>31</v>
      </c>
      <c r="R1962" s="48" t="s">
        <v>31</v>
      </c>
      <c r="S1962" s="48" t="s">
        <v>31</v>
      </c>
      <c r="T1962" s="48" t="s">
        <v>31</v>
      </c>
      <c r="U1962" s="46" t="s">
        <v>1154</v>
      </c>
    </row>
    <row r="1963" spans="1:21">
      <c r="A1963" s="48" t="s">
        <v>1243</v>
      </c>
      <c r="B1963" s="48" t="s">
        <v>145</v>
      </c>
      <c r="C1963" s="48" t="s">
        <v>666</v>
      </c>
      <c r="D1963" s="48">
        <v>1</v>
      </c>
      <c r="E1963" s="48">
        <v>0</v>
      </c>
      <c r="F1963" t="s">
        <v>698</v>
      </c>
      <c r="G1963" s="48" t="s">
        <v>1305</v>
      </c>
      <c r="H1963" s="48" t="s">
        <v>5522</v>
      </c>
      <c r="I1963" s="48" t="s">
        <v>5522</v>
      </c>
      <c r="J1963" s="48" t="s">
        <v>5523</v>
      </c>
      <c r="K1963" s="48" t="s">
        <v>1326</v>
      </c>
      <c r="L1963" s="48" t="s">
        <v>5524</v>
      </c>
      <c r="M1963" s="48" t="s">
        <v>4432</v>
      </c>
      <c r="N1963" s="48" t="s">
        <v>1310</v>
      </c>
      <c r="O1963" s="48" t="s">
        <v>1311</v>
      </c>
      <c r="P1963" s="48" t="s">
        <v>1312</v>
      </c>
      <c r="Q1963" s="48" t="s">
        <v>31</v>
      </c>
      <c r="R1963" s="48" t="s">
        <v>31</v>
      </c>
      <c r="S1963" s="48" t="s">
        <v>31</v>
      </c>
      <c r="T1963" s="48" t="s">
        <v>31</v>
      </c>
      <c r="U1963" s="46" t="s">
        <v>1154</v>
      </c>
    </row>
    <row r="1964" spans="1:21">
      <c r="A1964" s="48" t="s">
        <v>1243</v>
      </c>
      <c r="B1964" s="48" t="s">
        <v>145</v>
      </c>
      <c r="C1964" s="48" t="s">
        <v>666</v>
      </c>
      <c r="D1964" s="48">
        <v>1</v>
      </c>
      <c r="E1964" s="48">
        <v>0</v>
      </c>
      <c r="F1964" t="s">
        <v>698</v>
      </c>
      <c r="G1964" s="48" t="s">
        <v>1305</v>
      </c>
      <c r="H1964" s="48" t="s">
        <v>5525</v>
      </c>
      <c r="I1964" s="48" t="s">
        <v>5525</v>
      </c>
      <c r="J1964" s="48" t="s">
        <v>5526</v>
      </c>
      <c r="K1964" s="48" t="s">
        <v>1329</v>
      </c>
      <c r="L1964" s="48" t="s">
        <v>5527</v>
      </c>
      <c r="M1964" s="48" t="s">
        <v>4432</v>
      </c>
      <c r="N1964" s="48" t="s">
        <v>1310</v>
      </c>
      <c r="O1964" s="48" t="s">
        <v>1311</v>
      </c>
      <c r="P1964" s="48" t="s">
        <v>1312</v>
      </c>
      <c r="Q1964" s="48" t="s">
        <v>31</v>
      </c>
      <c r="R1964" s="48" t="s">
        <v>31</v>
      </c>
      <c r="S1964" s="48" t="s">
        <v>31</v>
      </c>
      <c r="T1964" s="48" t="s">
        <v>31</v>
      </c>
      <c r="U1964" s="46" t="s">
        <v>1154</v>
      </c>
    </row>
    <row r="1965" spans="1:21">
      <c r="A1965" s="48" t="s">
        <v>1243</v>
      </c>
      <c r="B1965" s="48" t="s">
        <v>145</v>
      </c>
      <c r="C1965" s="48" t="s">
        <v>666</v>
      </c>
      <c r="D1965" s="48">
        <v>1</v>
      </c>
      <c r="E1965" s="48">
        <v>0</v>
      </c>
      <c r="F1965" t="s">
        <v>698</v>
      </c>
      <c r="G1965" s="48" t="s">
        <v>1305</v>
      </c>
      <c r="H1965" s="48" t="s">
        <v>5528</v>
      </c>
      <c r="I1965" s="48" t="s">
        <v>5528</v>
      </c>
      <c r="J1965" s="48" t="s">
        <v>5529</v>
      </c>
      <c r="K1965" s="48" t="s">
        <v>1317</v>
      </c>
      <c r="L1965" s="48" t="s">
        <v>5530</v>
      </c>
      <c r="M1965" s="48" t="s">
        <v>4432</v>
      </c>
      <c r="N1965" s="48" t="s">
        <v>1310</v>
      </c>
      <c r="O1965" s="48" t="s">
        <v>1311</v>
      </c>
      <c r="P1965" s="48" t="s">
        <v>1312</v>
      </c>
      <c r="Q1965" s="48" t="s">
        <v>31</v>
      </c>
      <c r="R1965" s="48" t="s">
        <v>31</v>
      </c>
      <c r="S1965" s="48" t="s">
        <v>31</v>
      </c>
      <c r="T1965" s="48" t="s">
        <v>31</v>
      </c>
      <c r="U1965" s="46" t="s">
        <v>1154</v>
      </c>
    </row>
    <row r="1966" spans="1:21">
      <c r="A1966" s="48" t="s">
        <v>1243</v>
      </c>
      <c r="B1966" s="48" t="s">
        <v>145</v>
      </c>
      <c r="C1966" s="48" t="s">
        <v>666</v>
      </c>
      <c r="D1966" s="48">
        <v>1</v>
      </c>
      <c r="E1966" s="48">
        <v>0</v>
      </c>
      <c r="F1966" t="s">
        <v>698</v>
      </c>
      <c r="G1966" s="48" t="s">
        <v>1305</v>
      </c>
      <c r="H1966" s="48" t="s">
        <v>5531</v>
      </c>
      <c r="I1966" s="48" t="s">
        <v>5531</v>
      </c>
      <c r="J1966" s="48" t="s">
        <v>5532</v>
      </c>
      <c r="K1966" s="48" t="s">
        <v>1314</v>
      </c>
      <c r="L1966" s="48" t="s">
        <v>5533</v>
      </c>
      <c r="M1966" s="48" t="s">
        <v>4432</v>
      </c>
      <c r="N1966" s="48" t="s">
        <v>1310</v>
      </c>
      <c r="O1966" s="48" t="s">
        <v>1311</v>
      </c>
      <c r="P1966" s="48" t="s">
        <v>1312</v>
      </c>
      <c r="Q1966" s="48" t="s">
        <v>31</v>
      </c>
      <c r="R1966" s="48" t="s">
        <v>31</v>
      </c>
      <c r="S1966" s="48" t="s">
        <v>31</v>
      </c>
      <c r="T1966" s="48" t="s">
        <v>31</v>
      </c>
      <c r="U1966" s="46" t="s">
        <v>1154</v>
      </c>
    </row>
    <row r="1967" spans="1:21">
      <c r="A1967" s="48" t="s">
        <v>1243</v>
      </c>
      <c r="B1967" s="48" t="s">
        <v>145</v>
      </c>
      <c r="C1967" s="48" t="s">
        <v>666</v>
      </c>
      <c r="D1967" s="48">
        <v>1</v>
      </c>
      <c r="E1967" s="48">
        <v>0</v>
      </c>
      <c r="F1967" t="s">
        <v>698</v>
      </c>
      <c r="G1967" s="48" t="s">
        <v>1305</v>
      </c>
      <c r="H1967" s="48" t="s">
        <v>5534</v>
      </c>
      <c r="I1967" s="48" t="s">
        <v>5534</v>
      </c>
      <c r="J1967" s="48" t="s">
        <v>5535</v>
      </c>
      <c r="K1967" s="48" t="s">
        <v>1332</v>
      </c>
      <c r="L1967" s="48" t="s">
        <v>5536</v>
      </c>
      <c r="M1967" s="48" t="s">
        <v>4432</v>
      </c>
      <c r="N1967" s="48" t="s">
        <v>1310</v>
      </c>
      <c r="O1967" s="48" t="s">
        <v>1311</v>
      </c>
      <c r="P1967" s="48" t="s">
        <v>1312</v>
      </c>
      <c r="Q1967" s="48" t="s">
        <v>31</v>
      </c>
      <c r="R1967" s="48" t="s">
        <v>31</v>
      </c>
      <c r="S1967" s="48" t="s">
        <v>31</v>
      </c>
      <c r="T1967" s="48" t="s">
        <v>31</v>
      </c>
      <c r="U1967" s="46" t="s">
        <v>1154</v>
      </c>
    </row>
    <row r="1968" spans="1:21">
      <c r="A1968" s="48" t="s">
        <v>1243</v>
      </c>
      <c r="B1968" s="48" t="s">
        <v>145</v>
      </c>
      <c r="C1968" s="48" t="s">
        <v>666</v>
      </c>
      <c r="D1968" s="48">
        <v>1</v>
      </c>
      <c r="E1968" s="48">
        <v>0</v>
      </c>
      <c r="F1968" t="s">
        <v>698</v>
      </c>
      <c r="G1968" s="48" t="s">
        <v>1305</v>
      </c>
      <c r="H1968" s="48" t="s">
        <v>5537</v>
      </c>
      <c r="I1968" s="48" t="s">
        <v>5537</v>
      </c>
      <c r="J1968" s="48" t="s">
        <v>5538</v>
      </c>
      <c r="K1968" s="48" t="s">
        <v>1320</v>
      </c>
      <c r="L1968" s="48" t="s">
        <v>5539</v>
      </c>
      <c r="M1968" s="48" t="s">
        <v>4432</v>
      </c>
      <c r="N1968" s="48" t="s">
        <v>1310</v>
      </c>
      <c r="O1968" s="48" t="s">
        <v>1311</v>
      </c>
      <c r="P1968" s="48" t="s">
        <v>1312</v>
      </c>
      <c r="Q1968" s="48" t="s">
        <v>31</v>
      </c>
      <c r="R1968" s="48" t="s">
        <v>31</v>
      </c>
      <c r="S1968" s="48" t="s">
        <v>31</v>
      </c>
      <c r="T1968" s="48" t="s">
        <v>31</v>
      </c>
      <c r="U1968" s="46" t="s">
        <v>1154</v>
      </c>
    </row>
    <row r="1969" spans="1:21">
      <c r="A1969" s="48" t="s">
        <v>1243</v>
      </c>
      <c r="B1969" s="48" t="s">
        <v>145</v>
      </c>
      <c r="C1969" s="48" t="s">
        <v>666</v>
      </c>
      <c r="D1969" s="48">
        <v>1</v>
      </c>
      <c r="E1969" s="48">
        <v>0</v>
      </c>
      <c r="F1969" t="s">
        <v>698</v>
      </c>
      <c r="G1969" s="48" t="s">
        <v>1305</v>
      </c>
      <c r="H1969" s="48" t="s">
        <v>5540</v>
      </c>
      <c r="I1969" s="48" t="s">
        <v>5540</v>
      </c>
      <c r="J1969" s="48" t="s">
        <v>5541</v>
      </c>
      <c r="K1969" s="48" t="s">
        <v>1323</v>
      </c>
      <c r="L1969" s="49" t="s">
        <v>5542</v>
      </c>
      <c r="M1969" s="48" t="s">
        <v>4432</v>
      </c>
      <c r="N1969" s="48" t="s">
        <v>1310</v>
      </c>
      <c r="O1969" s="48" t="s">
        <v>1311</v>
      </c>
      <c r="P1969" s="48" t="s">
        <v>1312</v>
      </c>
      <c r="Q1969" s="48" t="s">
        <v>31</v>
      </c>
      <c r="R1969" s="48" t="s">
        <v>31</v>
      </c>
      <c r="S1969" s="48" t="s">
        <v>31</v>
      </c>
      <c r="T1969" s="48" t="s">
        <v>31</v>
      </c>
      <c r="U1969" s="46" t="s">
        <v>1154</v>
      </c>
    </row>
    <row r="1970" spans="1:21">
      <c r="A1970" s="48" t="s">
        <v>1177</v>
      </c>
      <c r="B1970" s="48" t="s">
        <v>147</v>
      </c>
      <c r="C1970" s="48" t="s">
        <v>666</v>
      </c>
      <c r="D1970" s="48">
        <v>1</v>
      </c>
      <c r="E1970" s="48">
        <v>0</v>
      </c>
      <c r="F1970" t="s">
        <v>733</v>
      </c>
      <c r="G1970" s="48" t="s">
        <v>1305</v>
      </c>
      <c r="H1970" s="48" t="s">
        <v>5543</v>
      </c>
      <c r="I1970" s="48" t="s">
        <v>5543</v>
      </c>
      <c r="J1970" s="48" t="s">
        <v>5544</v>
      </c>
      <c r="K1970" s="48" t="s">
        <v>1332</v>
      </c>
      <c r="L1970" s="48" t="s">
        <v>5545</v>
      </c>
      <c r="M1970" s="48" t="s">
        <v>4432</v>
      </c>
      <c r="N1970" s="48" t="s">
        <v>1310</v>
      </c>
      <c r="O1970" s="48" t="s">
        <v>1311</v>
      </c>
      <c r="P1970" s="48" t="s">
        <v>1312</v>
      </c>
      <c r="Q1970" s="48" t="s">
        <v>31</v>
      </c>
      <c r="R1970" s="48" t="s">
        <v>31</v>
      </c>
      <c r="S1970" s="48" t="s">
        <v>31</v>
      </c>
      <c r="T1970" s="48" t="s">
        <v>31</v>
      </c>
      <c r="U1970" s="46" t="s">
        <v>1154</v>
      </c>
    </row>
    <row r="1971" spans="1:21">
      <c r="A1971" s="48" t="s">
        <v>1177</v>
      </c>
      <c r="B1971" s="48" t="s">
        <v>147</v>
      </c>
      <c r="C1971" s="48" t="s">
        <v>666</v>
      </c>
      <c r="D1971" s="48">
        <v>1</v>
      </c>
      <c r="E1971" s="48">
        <v>0</v>
      </c>
      <c r="F1971" t="s">
        <v>733</v>
      </c>
      <c r="G1971" s="48" t="s">
        <v>1305</v>
      </c>
      <c r="H1971" s="48" t="s">
        <v>5546</v>
      </c>
      <c r="I1971" s="48" t="s">
        <v>5546</v>
      </c>
      <c r="J1971" s="48" t="s">
        <v>5547</v>
      </c>
      <c r="K1971" s="48" t="s">
        <v>1323</v>
      </c>
      <c r="L1971" s="48" t="s">
        <v>5548</v>
      </c>
      <c r="M1971" s="48" t="s">
        <v>4432</v>
      </c>
      <c r="N1971" s="48" t="s">
        <v>1310</v>
      </c>
      <c r="O1971" s="48" t="s">
        <v>1311</v>
      </c>
      <c r="P1971" s="48" t="s">
        <v>1312</v>
      </c>
      <c r="Q1971" s="48" t="s">
        <v>31</v>
      </c>
      <c r="R1971" s="48" t="s">
        <v>31</v>
      </c>
      <c r="S1971" s="48" t="s">
        <v>31</v>
      </c>
      <c r="T1971" s="48" t="s">
        <v>31</v>
      </c>
      <c r="U1971" s="46" t="s">
        <v>1154</v>
      </c>
    </row>
    <row r="1972" spans="1:21">
      <c r="A1972" s="48" t="s">
        <v>1177</v>
      </c>
      <c r="B1972" s="48" t="s">
        <v>147</v>
      </c>
      <c r="C1972" s="48" t="s">
        <v>666</v>
      </c>
      <c r="D1972" s="48">
        <v>1</v>
      </c>
      <c r="E1972" s="48">
        <v>0</v>
      </c>
      <c r="F1972" t="s">
        <v>733</v>
      </c>
      <c r="G1972" s="48" t="s">
        <v>1305</v>
      </c>
      <c r="H1972" s="48" t="s">
        <v>5549</v>
      </c>
      <c r="I1972" s="48" t="s">
        <v>5549</v>
      </c>
      <c r="J1972" s="48" t="s">
        <v>5550</v>
      </c>
      <c r="K1972" s="48" t="s">
        <v>1314</v>
      </c>
      <c r="L1972" s="48" t="s">
        <v>5551</v>
      </c>
      <c r="M1972" s="48" t="s">
        <v>4432</v>
      </c>
      <c r="N1972" s="48" t="s">
        <v>1310</v>
      </c>
      <c r="O1972" s="48" t="s">
        <v>1311</v>
      </c>
      <c r="P1972" s="48" t="s">
        <v>1312</v>
      </c>
      <c r="Q1972" s="48" t="s">
        <v>31</v>
      </c>
      <c r="R1972" s="48" t="s">
        <v>31</v>
      </c>
      <c r="S1972" s="48" t="s">
        <v>31</v>
      </c>
      <c r="T1972" s="48" t="s">
        <v>31</v>
      </c>
      <c r="U1972" s="46" t="s">
        <v>1154</v>
      </c>
    </row>
    <row r="1973" spans="1:21">
      <c r="A1973" s="48" t="s">
        <v>1177</v>
      </c>
      <c r="B1973" s="48" t="s">
        <v>147</v>
      </c>
      <c r="C1973" s="48" t="s">
        <v>666</v>
      </c>
      <c r="D1973" s="48">
        <v>1</v>
      </c>
      <c r="E1973" s="48">
        <v>0</v>
      </c>
      <c r="F1973" t="s">
        <v>733</v>
      </c>
      <c r="G1973" s="48" t="s">
        <v>1305</v>
      </c>
      <c r="H1973" s="48" t="s">
        <v>5552</v>
      </c>
      <c r="I1973" s="48" t="s">
        <v>5552</v>
      </c>
      <c r="J1973" s="48" t="s">
        <v>5553</v>
      </c>
      <c r="K1973" s="48" t="s">
        <v>1320</v>
      </c>
      <c r="L1973" s="48" t="s">
        <v>5554</v>
      </c>
      <c r="M1973" s="48" t="s">
        <v>4432</v>
      </c>
      <c r="N1973" s="48" t="s">
        <v>1310</v>
      </c>
      <c r="O1973" s="48" t="s">
        <v>1311</v>
      </c>
      <c r="P1973" s="48" t="s">
        <v>1312</v>
      </c>
      <c r="Q1973" s="48" t="s">
        <v>31</v>
      </c>
      <c r="R1973" s="48" t="s">
        <v>31</v>
      </c>
      <c r="S1973" s="48" t="s">
        <v>31</v>
      </c>
      <c r="T1973" s="48" t="s">
        <v>31</v>
      </c>
      <c r="U1973" s="46" t="s">
        <v>1154</v>
      </c>
    </row>
    <row r="1974" spans="1:21">
      <c r="A1974" s="48" t="s">
        <v>1177</v>
      </c>
      <c r="B1974" s="48" t="s">
        <v>147</v>
      </c>
      <c r="C1974" s="48" t="s">
        <v>666</v>
      </c>
      <c r="D1974" s="48">
        <v>1</v>
      </c>
      <c r="E1974" s="48">
        <v>0</v>
      </c>
      <c r="F1974" t="s">
        <v>733</v>
      </c>
      <c r="G1974" s="48" t="s">
        <v>1305</v>
      </c>
      <c r="H1974" s="48" t="s">
        <v>5555</v>
      </c>
      <c r="I1974" s="48" t="s">
        <v>5555</v>
      </c>
      <c r="J1974" s="48" t="s">
        <v>5556</v>
      </c>
      <c r="K1974" s="48" t="s">
        <v>1326</v>
      </c>
      <c r="L1974" s="48" t="s">
        <v>5557</v>
      </c>
      <c r="M1974" s="48" t="s">
        <v>4432</v>
      </c>
      <c r="N1974" s="48" t="s">
        <v>1310</v>
      </c>
      <c r="O1974" s="48" t="s">
        <v>1311</v>
      </c>
      <c r="P1974" s="48" t="s">
        <v>1312</v>
      </c>
      <c r="Q1974" s="48" t="s">
        <v>31</v>
      </c>
      <c r="R1974" s="48" t="s">
        <v>31</v>
      </c>
      <c r="S1974" s="48" t="s">
        <v>31</v>
      </c>
      <c r="T1974" s="48" t="s">
        <v>31</v>
      </c>
      <c r="U1974" s="46" t="s">
        <v>1154</v>
      </c>
    </row>
    <row r="1975" spans="1:21">
      <c r="A1975" s="48" t="s">
        <v>1177</v>
      </c>
      <c r="B1975" s="48" t="s">
        <v>147</v>
      </c>
      <c r="C1975" s="48" t="s">
        <v>666</v>
      </c>
      <c r="D1975" s="48">
        <v>1</v>
      </c>
      <c r="E1975" s="48">
        <v>0</v>
      </c>
      <c r="F1975" t="s">
        <v>733</v>
      </c>
      <c r="G1975" s="48" t="s">
        <v>1305</v>
      </c>
      <c r="H1975" s="48" t="s">
        <v>5558</v>
      </c>
      <c r="I1975" s="48" t="s">
        <v>5558</v>
      </c>
      <c r="J1975" s="48" t="s">
        <v>5559</v>
      </c>
      <c r="K1975" s="48" t="s">
        <v>1307</v>
      </c>
      <c r="L1975" s="48" t="s">
        <v>5560</v>
      </c>
      <c r="M1975" s="48" t="s">
        <v>4432</v>
      </c>
      <c r="N1975" s="48" t="s">
        <v>1310</v>
      </c>
      <c r="O1975" s="48" t="s">
        <v>1311</v>
      </c>
      <c r="P1975" s="48" t="s">
        <v>1312</v>
      </c>
      <c r="Q1975" s="48" t="s">
        <v>31</v>
      </c>
      <c r="R1975" s="48" t="s">
        <v>31</v>
      </c>
      <c r="S1975" s="48" t="s">
        <v>31</v>
      </c>
      <c r="T1975" s="48" t="s">
        <v>31</v>
      </c>
      <c r="U1975" s="46" t="s">
        <v>1154</v>
      </c>
    </row>
    <row r="1976" spans="1:21">
      <c r="A1976" s="48" t="s">
        <v>1177</v>
      </c>
      <c r="B1976" s="48" t="s">
        <v>147</v>
      </c>
      <c r="C1976" s="48" t="s">
        <v>666</v>
      </c>
      <c r="D1976" s="48">
        <v>1</v>
      </c>
      <c r="E1976" s="48">
        <v>0</v>
      </c>
      <c r="F1976" t="s">
        <v>733</v>
      </c>
      <c r="G1976" s="48" t="s">
        <v>1305</v>
      </c>
      <c r="H1976" s="48" t="s">
        <v>5561</v>
      </c>
      <c r="I1976" s="48" t="s">
        <v>5561</v>
      </c>
      <c r="J1976" s="48" t="s">
        <v>5562</v>
      </c>
      <c r="K1976" s="48" t="s">
        <v>1317</v>
      </c>
      <c r="L1976" s="48" t="s">
        <v>5563</v>
      </c>
      <c r="M1976" s="48" t="s">
        <v>4432</v>
      </c>
      <c r="N1976" s="48" t="s">
        <v>1310</v>
      </c>
      <c r="O1976" s="48" t="s">
        <v>1311</v>
      </c>
      <c r="P1976" s="48" t="s">
        <v>1312</v>
      </c>
      <c r="Q1976" s="48" t="s">
        <v>31</v>
      </c>
      <c r="R1976" s="48" t="s">
        <v>31</v>
      </c>
      <c r="S1976" s="48" t="s">
        <v>31</v>
      </c>
      <c r="T1976" s="48" t="s">
        <v>31</v>
      </c>
      <c r="U1976" s="46" t="s">
        <v>1154</v>
      </c>
    </row>
    <row r="1977" spans="1:21">
      <c r="A1977" s="48" t="s">
        <v>1177</v>
      </c>
      <c r="B1977" s="48" t="s">
        <v>147</v>
      </c>
      <c r="C1977" s="48" t="s">
        <v>666</v>
      </c>
      <c r="D1977" s="48">
        <v>1</v>
      </c>
      <c r="E1977" s="48">
        <v>0</v>
      </c>
      <c r="F1977" t="s">
        <v>733</v>
      </c>
      <c r="G1977" s="48" t="s">
        <v>1305</v>
      </c>
      <c r="H1977" s="48" t="s">
        <v>5564</v>
      </c>
      <c r="I1977" s="48" t="s">
        <v>5564</v>
      </c>
      <c r="J1977" s="48" t="s">
        <v>5565</v>
      </c>
      <c r="K1977" s="48" t="s">
        <v>1329</v>
      </c>
      <c r="L1977" s="48" t="s">
        <v>5566</v>
      </c>
      <c r="M1977" s="48" t="s">
        <v>4432</v>
      </c>
      <c r="N1977" s="48" t="s">
        <v>1310</v>
      </c>
      <c r="O1977" s="48" t="s">
        <v>1311</v>
      </c>
      <c r="P1977" s="48" t="s">
        <v>1312</v>
      </c>
      <c r="Q1977" s="48" t="s">
        <v>31</v>
      </c>
      <c r="R1977" s="48" t="s">
        <v>31</v>
      </c>
      <c r="S1977" s="48" t="s">
        <v>31</v>
      </c>
      <c r="T1977" s="48" t="s">
        <v>31</v>
      </c>
      <c r="U1977" s="46" t="s">
        <v>1154</v>
      </c>
    </row>
    <row r="1978" spans="1:21">
      <c r="A1978" s="48" t="s">
        <v>1254</v>
      </c>
      <c r="B1978" s="48" t="s">
        <v>149</v>
      </c>
      <c r="C1978" s="48" t="s">
        <v>666</v>
      </c>
      <c r="D1978" s="48">
        <v>1</v>
      </c>
      <c r="E1978" s="48">
        <v>0</v>
      </c>
      <c r="F1978" t="s">
        <v>698</v>
      </c>
      <c r="G1978" s="48" t="s">
        <v>1305</v>
      </c>
      <c r="H1978" s="48" t="s">
        <v>5567</v>
      </c>
      <c r="I1978" s="48" t="s">
        <v>5567</v>
      </c>
      <c r="J1978" s="48" t="s">
        <v>5568</v>
      </c>
      <c r="K1978" s="48" t="s">
        <v>1320</v>
      </c>
      <c r="L1978" s="48" t="s">
        <v>5569</v>
      </c>
      <c r="M1978" s="48" t="s">
        <v>4432</v>
      </c>
      <c r="N1978" s="48" t="s">
        <v>1310</v>
      </c>
      <c r="O1978" s="48" t="s">
        <v>1311</v>
      </c>
      <c r="P1978" s="48" t="s">
        <v>1312</v>
      </c>
      <c r="Q1978" s="48" t="s">
        <v>31</v>
      </c>
      <c r="R1978" s="48" t="s">
        <v>31</v>
      </c>
      <c r="S1978" s="48" t="s">
        <v>31</v>
      </c>
      <c r="T1978" s="48" t="s">
        <v>31</v>
      </c>
      <c r="U1978" s="46" t="s">
        <v>1154</v>
      </c>
    </row>
    <row r="1979" spans="1:21">
      <c r="A1979" s="48" t="s">
        <v>1254</v>
      </c>
      <c r="B1979" s="48" t="s">
        <v>149</v>
      </c>
      <c r="C1979" s="48" t="s">
        <v>666</v>
      </c>
      <c r="D1979" s="48">
        <v>1</v>
      </c>
      <c r="E1979" s="48">
        <v>0</v>
      </c>
      <c r="F1979" t="s">
        <v>698</v>
      </c>
      <c r="G1979" s="48" t="s">
        <v>1305</v>
      </c>
      <c r="H1979" s="48" t="s">
        <v>5570</v>
      </c>
      <c r="I1979" s="48" t="s">
        <v>5570</v>
      </c>
      <c r="J1979" s="48" t="s">
        <v>5571</v>
      </c>
      <c r="K1979" s="48" t="s">
        <v>1326</v>
      </c>
      <c r="L1979" s="48" t="s">
        <v>5572</v>
      </c>
      <c r="M1979" s="48" t="s">
        <v>4432</v>
      </c>
      <c r="N1979" s="48" t="s">
        <v>1310</v>
      </c>
      <c r="O1979" s="48" t="s">
        <v>1311</v>
      </c>
      <c r="P1979" s="48" t="s">
        <v>1312</v>
      </c>
      <c r="Q1979" s="48" t="s">
        <v>31</v>
      </c>
      <c r="R1979" s="48" t="s">
        <v>31</v>
      </c>
      <c r="S1979" s="48" t="s">
        <v>31</v>
      </c>
      <c r="T1979" s="48" t="s">
        <v>31</v>
      </c>
      <c r="U1979" s="46" t="s">
        <v>1154</v>
      </c>
    </row>
    <row r="1980" spans="1:21">
      <c r="A1980" s="48" t="s">
        <v>1254</v>
      </c>
      <c r="B1980" s="48" t="s">
        <v>149</v>
      </c>
      <c r="C1980" s="48" t="s">
        <v>666</v>
      </c>
      <c r="D1980" s="48">
        <v>1</v>
      </c>
      <c r="E1980" s="48">
        <v>0</v>
      </c>
      <c r="F1980" t="s">
        <v>698</v>
      </c>
      <c r="G1980" s="48" t="s">
        <v>1305</v>
      </c>
      <c r="H1980" s="48" t="s">
        <v>5573</v>
      </c>
      <c r="I1980" s="48" t="s">
        <v>5573</v>
      </c>
      <c r="J1980" s="48" t="s">
        <v>5574</v>
      </c>
      <c r="K1980" s="48" t="s">
        <v>1307</v>
      </c>
      <c r="L1980" s="48" t="s">
        <v>5575</v>
      </c>
      <c r="M1980" s="48" t="s">
        <v>4432</v>
      </c>
      <c r="N1980" s="48" t="s">
        <v>1310</v>
      </c>
      <c r="O1980" s="48" t="s">
        <v>1311</v>
      </c>
      <c r="P1980" s="48" t="s">
        <v>1312</v>
      </c>
      <c r="Q1980" s="48" t="s">
        <v>31</v>
      </c>
      <c r="R1980" s="48" t="s">
        <v>31</v>
      </c>
      <c r="S1980" s="48" t="s">
        <v>31</v>
      </c>
      <c r="T1980" s="48" t="s">
        <v>31</v>
      </c>
      <c r="U1980" s="46" t="s">
        <v>1154</v>
      </c>
    </row>
    <row r="1981" spans="1:21">
      <c r="A1981" s="48" t="s">
        <v>1254</v>
      </c>
      <c r="B1981" s="48" t="s">
        <v>149</v>
      </c>
      <c r="C1981" s="48" t="s">
        <v>666</v>
      </c>
      <c r="D1981" s="48">
        <v>1</v>
      </c>
      <c r="E1981" s="48">
        <v>0</v>
      </c>
      <c r="F1981" t="s">
        <v>698</v>
      </c>
      <c r="G1981" s="48" t="s">
        <v>1305</v>
      </c>
      <c r="H1981" s="48" t="s">
        <v>5576</v>
      </c>
      <c r="I1981" s="48" t="s">
        <v>5576</v>
      </c>
      <c r="J1981" s="48" t="s">
        <v>5577</v>
      </c>
      <c r="K1981" s="48" t="s">
        <v>1329</v>
      </c>
      <c r="L1981" s="48" t="s">
        <v>5578</v>
      </c>
      <c r="M1981" s="48" t="s">
        <v>4432</v>
      </c>
      <c r="N1981" s="48" t="s">
        <v>1310</v>
      </c>
      <c r="O1981" s="48" t="s">
        <v>1311</v>
      </c>
      <c r="P1981" s="48" t="s">
        <v>1312</v>
      </c>
      <c r="Q1981" s="48" t="s">
        <v>31</v>
      </c>
      <c r="R1981" s="48" t="s">
        <v>31</v>
      </c>
      <c r="S1981" s="48" t="s">
        <v>31</v>
      </c>
      <c r="T1981" s="48" t="s">
        <v>31</v>
      </c>
      <c r="U1981" s="46" t="s">
        <v>1154</v>
      </c>
    </row>
    <row r="1982" spans="1:21">
      <c r="A1982" s="48" t="s">
        <v>1254</v>
      </c>
      <c r="B1982" s="48" t="s">
        <v>149</v>
      </c>
      <c r="C1982" s="48" t="s">
        <v>666</v>
      </c>
      <c r="D1982" s="48">
        <v>1</v>
      </c>
      <c r="E1982" s="48">
        <v>0</v>
      </c>
      <c r="F1982" t="s">
        <v>698</v>
      </c>
      <c r="G1982" s="48" t="s">
        <v>1305</v>
      </c>
      <c r="H1982" s="48" t="s">
        <v>5579</v>
      </c>
      <c r="I1982" s="48" t="s">
        <v>5579</v>
      </c>
      <c r="J1982" s="48" t="s">
        <v>5580</v>
      </c>
      <c r="K1982" s="48" t="s">
        <v>1317</v>
      </c>
      <c r="L1982" s="48" t="s">
        <v>5581</v>
      </c>
      <c r="M1982" s="48" t="s">
        <v>4432</v>
      </c>
      <c r="N1982" s="48" t="s">
        <v>1310</v>
      </c>
      <c r="O1982" s="48" t="s">
        <v>1311</v>
      </c>
      <c r="P1982" s="48" t="s">
        <v>1312</v>
      </c>
      <c r="Q1982" s="48" t="s">
        <v>31</v>
      </c>
      <c r="R1982" s="48" t="s">
        <v>31</v>
      </c>
      <c r="S1982" s="48" t="s">
        <v>31</v>
      </c>
      <c r="T1982" s="48" t="s">
        <v>31</v>
      </c>
      <c r="U1982" s="46" t="s">
        <v>1154</v>
      </c>
    </row>
    <row r="1983" spans="1:21">
      <c r="A1983" s="48" t="s">
        <v>1254</v>
      </c>
      <c r="B1983" s="48" t="s">
        <v>149</v>
      </c>
      <c r="C1983" s="48" t="s">
        <v>666</v>
      </c>
      <c r="D1983" s="48">
        <v>1</v>
      </c>
      <c r="E1983" s="48">
        <v>0</v>
      </c>
      <c r="F1983" t="s">
        <v>698</v>
      </c>
      <c r="G1983" s="48" t="s">
        <v>1305</v>
      </c>
      <c r="H1983" s="48" t="s">
        <v>5582</v>
      </c>
      <c r="I1983" s="48" t="s">
        <v>5582</v>
      </c>
      <c r="J1983" s="48" t="s">
        <v>5583</v>
      </c>
      <c r="K1983" s="48" t="s">
        <v>1332</v>
      </c>
      <c r="L1983" s="48" t="s">
        <v>5584</v>
      </c>
      <c r="M1983" s="48" t="s">
        <v>4432</v>
      </c>
      <c r="N1983" s="48" t="s">
        <v>1310</v>
      </c>
      <c r="O1983" s="48" t="s">
        <v>1311</v>
      </c>
      <c r="P1983" s="48" t="s">
        <v>1312</v>
      </c>
      <c r="Q1983" s="48" t="s">
        <v>31</v>
      </c>
      <c r="R1983" s="48" t="s">
        <v>31</v>
      </c>
      <c r="S1983" s="48" t="s">
        <v>31</v>
      </c>
      <c r="T1983" s="48" t="s">
        <v>31</v>
      </c>
      <c r="U1983" s="46" t="s">
        <v>1154</v>
      </c>
    </row>
    <row r="1984" spans="1:21">
      <c r="A1984" s="48" t="s">
        <v>1254</v>
      </c>
      <c r="B1984" s="48" t="s">
        <v>149</v>
      </c>
      <c r="C1984" s="48" t="s">
        <v>666</v>
      </c>
      <c r="D1984" s="48">
        <v>1</v>
      </c>
      <c r="E1984" s="48">
        <v>0</v>
      </c>
      <c r="F1984" t="s">
        <v>698</v>
      </c>
      <c r="G1984" s="48" t="s">
        <v>1305</v>
      </c>
      <c r="H1984" s="48" t="s">
        <v>5585</v>
      </c>
      <c r="I1984" s="48" t="s">
        <v>5585</v>
      </c>
      <c r="J1984" s="48" t="s">
        <v>5586</v>
      </c>
      <c r="K1984" s="48" t="s">
        <v>1314</v>
      </c>
      <c r="L1984" s="48" t="s">
        <v>5587</v>
      </c>
      <c r="M1984" s="48" t="s">
        <v>4432</v>
      </c>
      <c r="N1984" s="48" t="s">
        <v>1310</v>
      </c>
      <c r="O1984" s="48" t="s">
        <v>1311</v>
      </c>
      <c r="P1984" s="48" t="s">
        <v>1312</v>
      </c>
      <c r="Q1984" s="48" t="s">
        <v>31</v>
      </c>
      <c r="R1984" s="48" t="s">
        <v>31</v>
      </c>
      <c r="S1984" s="48" t="s">
        <v>31</v>
      </c>
      <c r="T1984" s="48" t="s">
        <v>31</v>
      </c>
      <c r="U1984" s="46" t="s">
        <v>1154</v>
      </c>
    </row>
    <row r="1985" spans="1:21">
      <c r="A1985" s="48" t="s">
        <v>1254</v>
      </c>
      <c r="B1985" s="48" t="s">
        <v>149</v>
      </c>
      <c r="C1985" s="48" t="s">
        <v>666</v>
      </c>
      <c r="D1985" s="48">
        <v>1</v>
      </c>
      <c r="E1985" s="48">
        <v>0</v>
      </c>
      <c r="F1985" t="s">
        <v>698</v>
      </c>
      <c r="G1985" s="48" t="s">
        <v>1305</v>
      </c>
      <c r="H1985" s="48" t="s">
        <v>5588</v>
      </c>
      <c r="I1985" s="48" t="s">
        <v>5588</v>
      </c>
      <c r="J1985" s="48" t="s">
        <v>5589</v>
      </c>
      <c r="K1985" s="48" t="s">
        <v>1323</v>
      </c>
      <c r="L1985" s="48" t="s">
        <v>5590</v>
      </c>
      <c r="M1985" s="48" t="s">
        <v>4432</v>
      </c>
      <c r="N1985" s="48" t="s">
        <v>1310</v>
      </c>
      <c r="O1985" s="48" t="s">
        <v>1311</v>
      </c>
      <c r="P1985" s="48" t="s">
        <v>1312</v>
      </c>
      <c r="Q1985" s="48" t="s">
        <v>31</v>
      </c>
      <c r="R1985" s="48" t="s">
        <v>31</v>
      </c>
      <c r="S1985" s="48" t="s">
        <v>31</v>
      </c>
      <c r="T1985" s="48" t="s">
        <v>31</v>
      </c>
      <c r="U1985" s="46" t="s">
        <v>1154</v>
      </c>
    </row>
    <row r="1986" spans="1:21">
      <c r="A1986" s="48" t="s">
        <v>1201</v>
      </c>
      <c r="B1986" s="48" t="s">
        <v>151</v>
      </c>
      <c r="C1986" s="48" t="s">
        <v>666</v>
      </c>
      <c r="D1986" s="48">
        <v>1</v>
      </c>
      <c r="E1986" s="48">
        <v>0</v>
      </c>
      <c r="F1986" t="s">
        <v>764</v>
      </c>
      <c r="G1986" s="48" t="s">
        <v>1305</v>
      </c>
      <c r="H1986" s="48" t="s">
        <v>4024</v>
      </c>
      <c r="I1986" s="48" t="s">
        <v>4024</v>
      </c>
      <c r="J1986" s="48" t="s">
        <v>5591</v>
      </c>
      <c r="K1986" s="48" t="s">
        <v>1326</v>
      </c>
      <c r="L1986" s="48" t="s">
        <v>5592</v>
      </c>
      <c r="M1986" s="48" t="s">
        <v>4432</v>
      </c>
      <c r="N1986" s="48" t="s">
        <v>1310</v>
      </c>
      <c r="O1986" s="48" t="s">
        <v>1311</v>
      </c>
      <c r="P1986" s="48" t="s">
        <v>1312</v>
      </c>
      <c r="Q1986" s="48" t="s">
        <v>31</v>
      </c>
      <c r="R1986" s="48" t="s">
        <v>31</v>
      </c>
      <c r="S1986" s="48" t="s">
        <v>31</v>
      </c>
      <c r="T1986" s="48" t="s">
        <v>31</v>
      </c>
      <c r="U1986" s="46" t="s">
        <v>1154</v>
      </c>
    </row>
    <row r="1987" spans="1:21">
      <c r="A1987" s="48" t="s">
        <v>1201</v>
      </c>
      <c r="B1987" s="48" t="s">
        <v>151</v>
      </c>
      <c r="C1987" s="48" t="s">
        <v>666</v>
      </c>
      <c r="D1987" s="48">
        <v>1</v>
      </c>
      <c r="E1987" s="48">
        <v>0</v>
      </c>
      <c r="F1987" t="s">
        <v>764</v>
      </c>
      <c r="G1987" s="48" t="s">
        <v>1305</v>
      </c>
      <c r="H1987" s="48" t="s">
        <v>4022</v>
      </c>
      <c r="I1987" s="48" t="s">
        <v>4022</v>
      </c>
      <c r="J1987" s="48" t="s">
        <v>5593</v>
      </c>
      <c r="K1987" s="48" t="s">
        <v>1323</v>
      </c>
      <c r="L1987" s="48" t="s">
        <v>5594</v>
      </c>
      <c r="M1987" s="48" t="s">
        <v>4432</v>
      </c>
      <c r="N1987" s="48" t="s">
        <v>1310</v>
      </c>
      <c r="O1987" s="48" t="s">
        <v>1311</v>
      </c>
      <c r="P1987" s="48" t="s">
        <v>1312</v>
      </c>
      <c r="Q1987" s="48" t="s">
        <v>31</v>
      </c>
      <c r="R1987" s="48" t="s">
        <v>31</v>
      </c>
      <c r="S1987" s="48" t="s">
        <v>31</v>
      </c>
      <c r="T1987" s="48" t="s">
        <v>31</v>
      </c>
      <c r="U1987" s="46" t="s">
        <v>1154</v>
      </c>
    </row>
    <row r="1988" spans="1:21">
      <c r="A1988" s="48" t="s">
        <v>1201</v>
      </c>
      <c r="B1988" s="48" t="s">
        <v>151</v>
      </c>
      <c r="C1988" s="48" t="s">
        <v>666</v>
      </c>
      <c r="D1988" s="48">
        <v>1</v>
      </c>
      <c r="E1988" s="48">
        <v>0</v>
      </c>
      <c r="F1988" t="s">
        <v>764</v>
      </c>
      <c r="G1988" s="48" t="s">
        <v>1305</v>
      </c>
      <c r="H1988" s="48" t="s">
        <v>4014</v>
      </c>
      <c r="I1988" s="48" t="s">
        <v>4014</v>
      </c>
      <c r="J1988" s="48" t="s">
        <v>5595</v>
      </c>
      <c r="K1988" s="48" t="s">
        <v>1307</v>
      </c>
      <c r="L1988" s="48" t="s">
        <v>5596</v>
      </c>
      <c r="M1988" s="48" t="s">
        <v>4432</v>
      </c>
      <c r="N1988" s="48" t="s">
        <v>1310</v>
      </c>
      <c r="O1988" s="48" t="s">
        <v>1311</v>
      </c>
      <c r="P1988" s="48" t="s">
        <v>1312</v>
      </c>
      <c r="Q1988" s="48" t="s">
        <v>31</v>
      </c>
      <c r="R1988" s="48" t="s">
        <v>31</v>
      </c>
      <c r="S1988" s="48" t="s">
        <v>31</v>
      </c>
      <c r="T1988" s="48" t="s">
        <v>31</v>
      </c>
      <c r="U1988" s="46" t="s">
        <v>1154</v>
      </c>
    </row>
    <row r="1989" spans="1:21">
      <c r="A1989" s="48" t="s">
        <v>1201</v>
      </c>
      <c r="B1989" s="48" t="s">
        <v>151</v>
      </c>
      <c r="C1989" s="48" t="s">
        <v>666</v>
      </c>
      <c r="D1989" s="48">
        <v>1</v>
      </c>
      <c r="E1989" s="48">
        <v>0</v>
      </c>
      <c r="F1989" t="s">
        <v>764</v>
      </c>
      <c r="G1989" s="48" t="s">
        <v>1305</v>
      </c>
      <c r="H1989" s="48" t="s">
        <v>4018</v>
      </c>
      <c r="I1989" s="48" t="s">
        <v>4018</v>
      </c>
      <c r="J1989" s="48" t="s">
        <v>5597</v>
      </c>
      <c r="K1989" s="48" t="s">
        <v>1317</v>
      </c>
      <c r="L1989" s="48" t="s">
        <v>5598</v>
      </c>
      <c r="M1989" s="48" t="s">
        <v>4432</v>
      </c>
      <c r="N1989" s="48" t="s">
        <v>1310</v>
      </c>
      <c r="O1989" s="48" t="s">
        <v>1311</v>
      </c>
      <c r="P1989" s="48" t="s">
        <v>1312</v>
      </c>
      <c r="Q1989" s="48" t="s">
        <v>31</v>
      </c>
      <c r="R1989" s="48" t="s">
        <v>31</v>
      </c>
      <c r="S1989" s="48" t="s">
        <v>31</v>
      </c>
      <c r="T1989" s="48" t="s">
        <v>31</v>
      </c>
      <c r="U1989" s="46" t="s">
        <v>1154</v>
      </c>
    </row>
    <row r="1990" spans="1:21">
      <c r="A1990" s="48" t="s">
        <v>1201</v>
      </c>
      <c r="B1990" s="48" t="s">
        <v>151</v>
      </c>
      <c r="C1990" s="48" t="s">
        <v>666</v>
      </c>
      <c r="D1990" s="48">
        <v>1</v>
      </c>
      <c r="E1990" s="48">
        <v>0</v>
      </c>
      <c r="F1990" t="s">
        <v>764</v>
      </c>
      <c r="G1990" s="48" t="s">
        <v>1305</v>
      </c>
      <c r="H1990" s="48" t="s">
        <v>4020</v>
      </c>
      <c r="I1990" s="48" t="s">
        <v>4020</v>
      </c>
      <c r="J1990" s="48" t="s">
        <v>5599</v>
      </c>
      <c r="K1990" s="48" t="s">
        <v>1320</v>
      </c>
      <c r="L1990" s="48" t="s">
        <v>5600</v>
      </c>
      <c r="M1990" s="48" t="s">
        <v>4432</v>
      </c>
      <c r="N1990" s="48" t="s">
        <v>1310</v>
      </c>
      <c r="O1990" s="48" t="s">
        <v>1311</v>
      </c>
      <c r="P1990" s="48" t="s">
        <v>1312</v>
      </c>
      <c r="Q1990" s="48" t="s">
        <v>31</v>
      </c>
      <c r="R1990" s="48" t="s">
        <v>31</v>
      </c>
      <c r="S1990" s="48" t="s">
        <v>31</v>
      </c>
      <c r="T1990" s="48" t="s">
        <v>31</v>
      </c>
      <c r="U1990" s="46" t="s">
        <v>1154</v>
      </c>
    </row>
    <row r="1991" spans="1:21">
      <c r="A1991" s="48" t="s">
        <v>1201</v>
      </c>
      <c r="B1991" s="48" t="s">
        <v>151</v>
      </c>
      <c r="C1991" s="48" t="s">
        <v>666</v>
      </c>
      <c r="D1991" s="48">
        <v>1</v>
      </c>
      <c r="E1991" s="48">
        <v>0</v>
      </c>
      <c r="F1991" t="s">
        <v>764</v>
      </c>
      <c r="G1991" s="48" t="s">
        <v>1305</v>
      </c>
      <c r="H1991" s="48" t="s">
        <v>4016</v>
      </c>
      <c r="I1991" s="48" t="s">
        <v>4016</v>
      </c>
      <c r="J1991" s="48" t="s">
        <v>5601</v>
      </c>
      <c r="K1991" s="48" t="s">
        <v>1314</v>
      </c>
      <c r="L1991" s="48" t="s">
        <v>5602</v>
      </c>
      <c r="M1991" s="48" t="s">
        <v>4432</v>
      </c>
      <c r="N1991" s="48" t="s">
        <v>1310</v>
      </c>
      <c r="O1991" s="48" t="s">
        <v>1311</v>
      </c>
      <c r="P1991" s="48" t="s">
        <v>1312</v>
      </c>
      <c r="Q1991" s="48" t="s">
        <v>31</v>
      </c>
      <c r="R1991" s="48" t="s">
        <v>31</v>
      </c>
      <c r="S1991" s="48" t="s">
        <v>31</v>
      </c>
      <c r="T1991" s="48" t="s">
        <v>31</v>
      </c>
      <c r="U1991" s="46" t="s">
        <v>1154</v>
      </c>
    </row>
    <row r="1992" spans="1:21">
      <c r="A1992" s="48" t="s">
        <v>1201</v>
      </c>
      <c r="B1992" s="48" t="s">
        <v>151</v>
      </c>
      <c r="C1992" s="48" t="s">
        <v>666</v>
      </c>
      <c r="D1992" s="48">
        <v>1</v>
      </c>
      <c r="E1992" s="48">
        <v>0</v>
      </c>
      <c r="F1992" t="s">
        <v>764</v>
      </c>
      <c r="G1992" s="48" t="s">
        <v>1305</v>
      </c>
      <c r="H1992" s="48" t="s">
        <v>4028</v>
      </c>
      <c r="I1992" s="48" t="s">
        <v>4028</v>
      </c>
      <c r="J1992" s="48" t="s">
        <v>5603</v>
      </c>
      <c r="K1992" s="48" t="s">
        <v>1332</v>
      </c>
      <c r="L1992" s="48" t="s">
        <v>5604</v>
      </c>
      <c r="M1992" s="48" t="s">
        <v>4432</v>
      </c>
      <c r="N1992" s="48" t="s">
        <v>1310</v>
      </c>
      <c r="O1992" s="48" t="s">
        <v>1311</v>
      </c>
      <c r="P1992" s="48" t="s">
        <v>1312</v>
      </c>
      <c r="Q1992" s="48" t="s">
        <v>31</v>
      </c>
      <c r="R1992" s="48" t="s">
        <v>31</v>
      </c>
      <c r="S1992" s="48" t="s">
        <v>31</v>
      </c>
      <c r="T1992" s="48" t="s">
        <v>31</v>
      </c>
      <c r="U1992" s="46" t="s">
        <v>1154</v>
      </c>
    </row>
    <row r="1993" spans="1:21">
      <c r="A1993" s="48" t="s">
        <v>1201</v>
      </c>
      <c r="B1993" s="48" t="s">
        <v>151</v>
      </c>
      <c r="C1993" s="48" t="s">
        <v>666</v>
      </c>
      <c r="D1993" s="48">
        <v>1</v>
      </c>
      <c r="E1993" s="48">
        <v>0</v>
      </c>
      <c r="F1993" t="s">
        <v>764</v>
      </c>
      <c r="G1993" s="48" t="s">
        <v>1305</v>
      </c>
      <c r="H1993" s="48" t="s">
        <v>4026</v>
      </c>
      <c r="I1993" s="48" t="s">
        <v>4026</v>
      </c>
      <c r="J1993" s="48" t="s">
        <v>5605</v>
      </c>
      <c r="K1993" s="48" t="s">
        <v>1329</v>
      </c>
      <c r="L1993" s="48" t="s">
        <v>5606</v>
      </c>
      <c r="M1993" s="48" t="s">
        <v>4432</v>
      </c>
      <c r="N1993" s="48" t="s">
        <v>1310</v>
      </c>
      <c r="O1993" s="48" t="s">
        <v>1311</v>
      </c>
      <c r="P1993" s="48" t="s">
        <v>1312</v>
      </c>
      <c r="Q1993" s="48" t="s">
        <v>31</v>
      </c>
      <c r="R1993" s="48" t="s">
        <v>31</v>
      </c>
      <c r="S1993" s="48" t="s">
        <v>31</v>
      </c>
      <c r="T1993" s="48" t="s">
        <v>31</v>
      </c>
      <c r="U1993" s="46" t="s">
        <v>1154</v>
      </c>
    </row>
    <row r="1994" spans="1:21">
      <c r="A1994" s="48" t="s">
        <v>1230</v>
      </c>
      <c r="B1994" s="48" t="s">
        <v>153</v>
      </c>
      <c r="C1994" s="48" t="s">
        <v>666</v>
      </c>
      <c r="D1994" s="48">
        <v>1</v>
      </c>
      <c r="E1994" s="48">
        <v>0</v>
      </c>
      <c r="F1994" t="s">
        <v>690</v>
      </c>
      <c r="G1994" s="48" t="s">
        <v>1305</v>
      </c>
      <c r="H1994" s="48" t="s">
        <v>5607</v>
      </c>
      <c r="I1994" s="48" t="s">
        <v>5607</v>
      </c>
      <c r="J1994" s="48" t="s">
        <v>5608</v>
      </c>
      <c r="K1994" s="48" t="s">
        <v>1326</v>
      </c>
      <c r="L1994" s="48" t="s">
        <v>5609</v>
      </c>
      <c r="M1994" s="48" t="s">
        <v>4432</v>
      </c>
      <c r="N1994" s="48" t="s">
        <v>1310</v>
      </c>
      <c r="O1994" s="48" t="s">
        <v>1311</v>
      </c>
      <c r="P1994" s="48" t="s">
        <v>1312</v>
      </c>
      <c r="Q1994" s="48" t="s">
        <v>31</v>
      </c>
      <c r="R1994" s="48" t="s">
        <v>31</v>
      </c>
      <c r="S1994" s="48" t="s">
        <v>31</v>
      </c>
      <c r="T1994" s="48" t="s">
        <v>31</v>
      </c>
      <c r="U1994" s="46" t="s">
        <v>1154</v>
      </c>
    </row>
    <row r="1995" spans="1:21">
      <c r="A1995" s="48" t="s">
        <v>1230</v>
      </c>
      <c r="B1995" s="48" t="s">
        <v>153</v>
      </c>
      <c r="C1995" s="48" t="s">
        <v>666</v>
      </c>
      <c r="D1995" s="48">
        <v>1</v>
      </c>
      <c r="E1995" s="48">
        <v>0</v>
      </c>
      <c r="F1995" t="s">
        <v>690</v>
      </c>
      <c r="G1995" s="48" t="s">
        <v>1305</v>
      </c>
      <c r="H1995" s="48" t="s">
        <v>5610</v>
      </c>
      <c r="I1995" s="48" t="s">
        <v>5610</v>
      </c>
      <c r="J1995" s="48" t="s">
        <v>5611</v>
      </c>
      <c r="K1995" s="48" t="s">
        <v>1317</v>
      </c>
      <c r="L1995" s="48" t="s">
        <v>5612</v>
      </c>
      <c r="M1995" s="48" t="s">
        <v>4432</v>
      </c>
      <c r="N1995" s="48" t="s">
        <v>1310</v>
      </c>
      <c r="O1995" s="48" t="s">
        <v>1311</v>
      </c>
      <c r="P1995" s="48" t="s">
        <v>1312</v>
      </c>
      <c r="Q1995" s="48" t="s">
        <v>31</v>
      </c>
      <c r="R1995" s="48" t="s">
        <v>31</v>
      </c>
      <c r="S1995" s="48" t="s">
        <v>31</v>
      </c>
      <c r="T1995" s="48" t="s">
        <v>31</v>
      </c>
      <c r="U1995" s="46" t="s">
        <v>1154</v>
      </c>
    </row>
    <row r="1996" spans="1:21">
      <c r="A1996" s="48" t="s">
        <v>1230</v>
      </c>
      <c r="B1996" s="48" t="s">
        <v>153</v>
      </c>
      <c r="C1996" s="48" t="s">
        <v>666</v>
      </c>
      <c r="D1996" s="48">
        <v>1</v>
      </c>
      <c r="E1996" s="48">
        <v>0</v>
      </c>
      <c r="F1996" t="s">
        <v>690</v>
      </c>
      <c r="G1996" s="48" t="s">
        <v>1305</v>
      </c>
      <c r="H1996" s="48" t="s">
        <v>5613</v>
      </c>
      <c r="I1996" s="48" t="s">
        <v>5613</v>
      </c>
      <c r="J1996" s="48" t="s">
        <v>5614</v>
      </c>
      <c r="K1996" s="48" t="s">
        <v>1307</v>
      </c>
      <c r="L1996" s="48" t="s">
        <v>5615</v>
      </c>
      <c r="M1996" s="48" t="s">
        <v>4432</v>
      </c>
      <c r="N1996" s="48" t="s">
        <v>1310</v>
      </c>
      <c r="O1996" s="48" t="s">
        <v>1311</v>
      </c>
      <c r="P1996" s="48" t="s">
        <v>1312</v>
      </c>
      <c r="Q1996" s="48" t="s">
        <v>31</v>
      </c>
      <c r="R1996" s="48" t="s">
        <v>31</v>
      </c>
      <c r="S1996" s="48" t="s">
        <v>31</v>
      </c>
      <c r="T1996" s="48" t="s">
        <v>31</v>
      </c>
      <c r="U1996" s="46" t="s">
        <v>1154</v>
      </c>
    </row>
    <row r="1997" spans="1:21">
      <c r="A1997" s="48" t="s">
        <v>1230</v>
      </c>
      <c r="B1997" s="48" t="s">
        <v>153</v>
      </c>
      <c r="C1997" s="48" t="s">
        <v>666</v>
      </c>
      <c r="D1997" s="48">
        <v>1</v>
      </c>
      <c r="E1997" s="48">
        <v>0</v>
      </c>
      <c r="F1997" t="s">
        <v>690</v>
      </c>
      <c r="G1997" s="48" t="s">
        <v>1305</v>
      </c>
      <c r="H1997" s="48" t="s">
        <v>5616</v>
      </c>
      <c r="I1997" s="48" t="s">
        <v>5616</v>
      </c>
      <c r="J1997" s="48" t="s">
        <v>5617</v>
      </c>
      <c r="K1997" s="48" t="s">
        <v>1329</v>
      </c>
      <c r="L1997" s="48" t="s">
        <v>5618</v>
      </c>
      <c r="M1997" s="48" t="s">
        <v>4432</v>
      </c>
      <c r="N1997" s="48" t="s">
        <v>1310</v>
      </c>
      <c r="O1997" s="48" t="s">
        <v>1311</v>
      </c>
      <c r="P1997" s="48" t="s">
        <v>1312</v>
      </c>
      <c r="Q1997" s="48" t="s">
        <v>31</v>
      </c>
      <c r="R1997" s="48" t="s">
        <v>31</v>
      </c>
      <c r="S1997" s="48" t="s">
        <v>31</v>
      </c>
      <c r="T1997" s="48" t="s">
        <v>31</v>
      </c>
      <c r="U1997" s="46" t="s">
        <v>1154</v>
      </c>
    </row>
    <row r="1998" spans="1:21">
      <c r="A1998" s="48" t="s">
        <v>1230</v>
      </c>
      <c r="B1998" s="48" t="s">
        <v>153</v>
      </c>
      <c r="C1998" s="48" t="s">
        <v>666</v>
      </c>
      <c r="D1998" s="48">
        <v>1</v>
      </c>
      <c r="E1998" s="48">
        <v>0</v>
      </c>
      <c r="F1998" t="s">
        <v>690</v>
      </c>
      <c r="G1998" s="48" t="s">
        <v>1305</v>
      </c>
      <c r="H1998" s="48" t="s">
        <v>5619</v>
      </c>
      <c r="I1998" s="48" t="s">
        <v>5619</v>
      </c>
      <c r="J1998" s="48" t="s">
        <v>5620</v>
      </c>
      <c r="K1998" s="48" t="s">
        <v>1323</v>
      </c>
      <c r="L1998" s="48" t="s">
        <v>5621</v>
      </c>
      <c r="M1998" s="48" t="s">
        <v>4432</v>
      </c>
      <c r="N1998" s="48" t="s">
        <v>1310</v>
      </c>
      <c r="O1998" s="48" t="s">
        <v>1311</v>
      </c>
      <c r="P1998" s="48" t="s">
        <v>1312</v>
      </c>
      <c r="Q1998" s="48" t="s">
        <v>31</v>
      </c>
      <c r="R1998" s="48" t="s">
        <v>31</v>
      </c>
      <c r="S1998" s="48" t="s">
        <v>31</v>
      </c>
      <c r="T1998" s="48" t="s">
        <v>31</v>
      </c>
      <c r="U1998" s="46" t="s">
        <v>1154</v>
      </c>
    </row>
    <row r="1999" spans="1:21">
      <c r="A1999" s="48" t="s">
        <v>1230</v>
      </c>
      <c r="B1999" s="48" t="s">
        <v>153</v>
      </c>
      <c r="C1999" s="48" t="s">
        <v>666</v>
      </c>
      <c r="D1999" s="48">
        <v>1</v>
      </c>
      <c r="E1999" s="48">
        <v>0</v>
      </c>
      <c r="F1999" t="s">
        <v>690</v>
      </c>
      <c r="G1999" s="48" t="s">
        <v>1305</v>
      </c>
      <c r="H1999" s="48" t="s">
        <v>5622</v>
      </c>
      <c r="I1999" s="48" t="s">
        <v>5622</v>
      </c>
      <c r="J1999" s="48" t="s">
        <v>5623</v>
      </c>
      <c r="K1999" s="48" t="s">
        <v>1314</v>
      </c>
      <c r="L1999" s="48" t="s">
        <v>5624</v>
      </c>
      <c r="M1999" s="48" t="s">
        <v>4432</v>
      </c>
      <c r="N1999" s="48" t="s">
        <v>1310</v>
      </c>
      <c r="O1999" s="48" t="s">
        <v>1311</v>
      </c>
      <c r="P1999" s="48" t="s">
        <v>1312</v>
      </c>
      <c r="Q1999" s="48" t="s">
        <v>31</v>
      </c>
      <c r="R1999" s="48" t="s">
        <v>31</v>
      </c>
      <c r="S1999" s="48" t="s">
        <v>31</v>
      </c>
      <c r="T1999" s="48" t="s">
        <v>31</v>
      </c>
      <c r="U1999" s="46" t="s">
        <v>1154</v>
      </c>
    </row>
    <row r="2000" spans="1:21">
      <c r="A2000" s="48" t="s">
        <v>1230</v>
      </c>
      <c r="B2000" s="48" t="s">
        <v>153</v>
      </c>
      <c r="C2000" s="48" t="s">
        <v>666</v>
      </c>
      <c r="D2000" s="48">
        <v>1</v>
      </c>
      <c r="E2000" s="48">
        <v>0</v>
      </c>
      <c r="F2000" t="s">
        <v>690</v>
      </c>
      <c r="G2000" s="48" t="s">
        <v>1305</v>
      </c>
      <c r="H2000" s="48" t="s">
        <v>5625</v>
      </c>
      <c r="I2000" s="48" t="s">
        <v>5625</v>
      </c>
      <c r="J2000" s="48" t="s">
        <v>5626</v>
      </c>
      <c r="K2000" s="48" t="s">
        <v>1320</v>
      </c>
      <c r="L2000" s="48" t="s">
        <v>5627</v>
      </c>
      <c r="M2000" s="48" t="s">
        <v>4432</v>
      </c>
      <c r="N2000" s="48" t="s">
        <v>1310</v>
      </c>
      <c r="O2000" s="48" t="s">
        <v>1311</v>
      </c>
      <c r="P2000" s="48" t="s">
        <v>1312</v>
      </c>
      <c r="Q2000" s="48" t="s">
        <v>31</v>
      </c>
      <c r="R2000" s="48" t="s">
        <v>31</v>
      </c>
      <c r="S2000" s="48" t="s">
        <v>31</v>
      </c>
      <c r="T2000" s="48" t="s">
        <v>31</v>
      </c>
      <c r="U2000" s="46" t="s">
        <v>1154</v>
      </c>
    </row>
    <row r="2001" spans="1:21">
      <c r="A2001" s="48" t="s">
        <v>1230</v>
      </c>
      <c r="B2001" s="48" t="s">
        <v>153</v>
      </c>
      <c r="C2001" s="48" t="s">
        <v>666</v>
      </c>
      <c r="D2001" s="48">
        <v>1</v>
      </c>
      <c r="E2001" s="48">
        <v>0</v>
      </c>
      <c r="F2001" t="s">
        <v>690</v>
      </c>
      <c r="G2001" s="48" t="s">
        <v>1305</v>
      </c>
      <c r="H2001" s="48" t="s">
        <v>5628</v>
      </c>
      <c r="I2001" s="48" t="s">
        <v>5628</v>
      </c>
      <c r="J2001" s="48" t="s">
        <v>5629</v>
      </c>
      <c r="K2001" s="48" t="s">
        <v>1332</v>
      </c>
      <c r="L2001" s="48" t="s">
        <v>5630</v>
      </c>
      <c r="M2001" s="48" t="s">
        <v>4432</v>
      </c>
      <c r="N2001" s="48" t="s">
        <v>1310</v>
      </c>
      <c r="O2001" s="48" t="s">
        <v>1311</v>
      </c>
      <c r="P2001" s="48" t="s">
        <v>1312</v>
      </c>
      <c r="Q2001" s="48" t="s">
        <v>31</v>
      </c>
      <c r="R2001" s="48" t="s">
        <v>31</v>
      </c>
      <c r="S2001" s="48" t="s">
        <v>31</v>
      </c>
      <c r="T2001" s="48" t="s">
        <v>31</v>
      </c>
      <c r="U2001" s="46" t="s">
        <v>1154</v>
      </c>
    </row>
    <row r="2002" spans="1:21">
      <c r="A2002" s="48" t="s">
        <v>1244</v>
      </c>
      <c r="B2002" s="48" t="s">
        <v>155</v>
      </c>
      <c r="C2002" s="48" t="s">
        <v>666</v>
      </c>
      <c r="D2002" s="48">
        <v>1</v>
      </c>
      <c r="E2002" s="48">
        <v>0</v>
      </c>
      <c r="F2002" t="s">
        <v>777</v>
      </c>
      <c r="G2002" s="48" t="s">
        <v>1305</v>
      </c>
      <c r="H2002" s="48" t="s">
        <v>5631</v>
      </c>
      <c r="I2002" s="48" t="s">
        <v>5631</v>
      </c>
      <c r="J2002" s="48" t="s">
        <v>5632</v>
      </c>
      <c r="K2002" s="48" t="s">
        <v>1307</v>
      </c>
      <c r="L2002" s="48" t="s">
        <v>5633</v>
      </c>
      <c r="M2002" s="48" t="s">
        <v>4432</v>
      </c>
      <c r="N2002" s="48" t="s">
        <v>1310</v>
      </c>
      <c r="O2002" s="48" t="s">
        <v>1311</v>
      </c>
      <c r="P2002" s="48" t="s">
        <v>1312</v>
      </c>
      <c r="Q2002" s="48" t="s">
        <v>31</v>
      </c>
      <c r="R2002" s="48" t="s">
        <v>31</v>
      </c>
      <c r="S2002" s="48" t="s">
        <v>31</v>
      </c>
      <c r="T2002" s="48" t="s">
        <v>31</v>
      </c>
      <c r="U2002" s="46" t="s">
        <v>1154</v>
      </c>
    </row>
    <row r="2003" spans="1:21">
      <c r="A2003" s="48" t="s">
        <v>1244</v>
      </c>
      <c r="B2003" s="48" t="s">
        <v>155</v>
      </c>
      <c r="C2003" s="48" t="s">
        <v>666</v>
      </c>
      <c r="D2003" s="48">
        <v>1</v>
      </c>
      <c r="E2003" s="48">
        <v>0</v>
      </c>
      <c r="F2003" t="s">
        <v>777</v>
      </c>
      <c r="G2003" s="48" t="s">
        <v>1305</v>
      </c>
      <c r="H2003" s="48" t="s">
        <v>5634</v>
      </c>
      <c r="I2003" s="48" t="s">
        <v>5634</v>
      </c>
      <c r="J2003" s="48" t="s">
        <v>5635</v>
      </c>
      <c r="K2003" s="48" t="s">
        <v>1326</v>
      </c>
      <c r="L2003" s="48" t="s">
        <v>5636</v>
      </c>
      <c r="M2003" s="48" t="s">
        <v>4432</v>
      </c>
      <c r="N2003" s="48" t="s">
        <v>1310</v>
      </c>
      <c r="O2003" s="48" t="s">
        <v>1311</v>
      </c>
      <c r="P2003" s="48" t="s">
        <v>1312</v>
      </c>
      <c r="Q2003" s="48" t="s">
        <v>31</v>
      </c>
      <c r="R2003" s="48" t="s">
        <v>31</v>
      </c>
      <c r="S2003" s="48" t="s">
        <v>31</v>
      </c>
      <c r="T2003" s="48" t="s">
        <v>31</v>
      </c>
      <c r="U2003" s="46" t="s">
        <v>1154</v>
      </c>
    </row>
    <row r="2004" spans="1:21">
      <c r="A2004" s="48" t="s">
        <v>1244</v>
      </c>
      <c r="B2004" s="48" t="s">
        <v>155</v>
      </c>
      <c r="C2004" s="48" t="s">
        <v>666</v>
      </c>
      <c r="D2004" s="48">
        <v>1</v>
      </c>
      <c r="E2004" s="48">
        <v>0</v>
      </c>
      <c r="F2004" t="s">
        <v>777</v>
      </c>
      <c r="G2004" s="48" t="s">
        <v>1305</v>
      </c>
      <c r="H2004" s="48" t="s">
        <v>5637</v>
      </c>
      <c r="I2004" s="48" t="s">
        <v>5637</v>
      </c>
      <c r="J2004" s="48" t="s">
        <v>5638</v>
      </c>
      <c r="K2004" s="48" t="s">
        <v>1323</v>
      </c>
      <c r="L2004" s="48" t="s">
        <v>5639</v>
      </c>
      <c r="M2004" s="48" t="s">
        <v>4432</v>
      </c>
      <c r="N2004" s="48" t="s">
        <v>1310</v>
      </c>
      <c r="O2004" s="48" t="s">
        <v>1311</v>
      </c>
      <c r="P2004" s="48" t="s">
        <v>1312</v>
      </c>
      <c r="Q2004" s="48" t="s">
        <v>31</v>
      </c>
      <c r="R2004" s="48" t="s">
        <v>31</v>
      </c>
      <c r="S2004" s="48" t="s">
        <v>31</v>
      </c>
      <c r="T2004" s="48" t="s">
        <v>31</v>
      </c>
      <c r="U2004" s="46" t="s">
        <v>1154</v>
      </c>
    </row>
    <row r="2005" spans="1:21">
      <c r="A2005" s="48" t="s">
        <v>1244</v>
      </c>
      <c r="B2005" s="48" t="s">
        <v>155</v>
      </c>
      <c r="C2005" s="48" t="s">
        <v>666</v>
      </c>
      <c r="D2005" s="48">
        <v>1</v>
      </c>
      <c r="E2005" s="48">
        <v>0</v>
      </c>
      <c r="F2005" t="s">
        <v>777</v>
      </c>
      <c r="G2005" s="48" t="s">
        <v>1305</v>
      </c>
      <c r="H2005" s="48" t="s">
        <v>5640</v>
      </c>
      <c r="I2005" s="48" t="s">
        <v>5640</v>
      </c>
      <c r="J2005" s="48" t="s">
        <v>5641</v>
      </c>
      <c r="K2005" s="48" t="s">
        <v>1332</v>
      </c>
      <c r="L2005" s="48" t="s">
        <v>5642</v>
      </c>
      <c r="M2005" s="48" t="s">
        <v>4432</v>
      </c>
      <c r="N2005" s="48" t="s">
        <v>1310</v>
      </c>
      <c r="O2005" s="48" t="s">
        <v>1311</v>
      </c>
      <c r="P2005" s="48" t="s">
        <v>1312</v>
      </c>
      <c r="Q2005" s="48" t="s">
        <v>31</v>
      </c>
      <c r="R2005" s="48" t="s">
        <v>31</v>
      </c>
      <c r="S2005" s="48" t="s">
        <v>31</v>
      </c>
      <c r="T2005" s="48" t="s">
        <v>31</v>
      </c>
      <c r="U2005" s="46" t="s">
        <v>1154</v>
      </c>
    </row>
    <row r="2006" spans="1:21">
      <c r="A2006" s="48" t="s">
        <v>1244</v>
      </c>
      <c r="B2006" s="48" t="s">
        <v>155</v>
      </c>
      <c r="C2006" s="48" t="s">
        <v>666</v>
      </c>
      <c r="D2006" s="48">
        <v>1</v>
      </c>
      <c r="E2006" s="48">
        <v>0</v>
      </c>
      <c r="F2006" t="s">
        <v>777</v>
      </c>
      <c r="G2006" s="48" t="s">
        <v>1305</v>
      </c>
      <c r="H2006" s="48" t="s">
        <v>5643</v>
      </c>
      <c r="I2006" s="48" t="s">
        <v>5643</v>
      </c>
      <c r="J2006" s="48" t="s">
        <v>5644</v>
      </c>
      <c r="K2006" s="48" t="s">
        <v>1320</v>
      </c>
      <c r="L2006" s="48" t="s">
        <v>5645</v>
      </c>
      <c r="M2006" s="48" t="s">
        <v>4432</v>
      </c>
      <c r="N2006" s="48" t="s">
        <v>1310</v>
      </c>
      <c r="O2006" s="48" t="s">
        <v>1311</v>
      </c>
      <c r="P2006" s="48" t="s">
        <v>1312</v>
      </c>
      <c r="Q2006" s="48" t="s">
        <v>31</v>
      </c>
      <c r="R2006" s="48" t="s">
        <v>31</v>
      </c>
      <c r="S2006" s="48" t="s">
        <v>31</v>
      </c>
      <c r="T2006" s="48" t="s">
        <v>31</v>
      </c>
      <c r="U2006" s="46" t="s">
        <v>1154</v>
      </c>
    </row>
    <row r="2007" spans="1:21">
      <c r="A2007" s="48" t="s">
        <v>1244</v>
      </c>
      <c r="B2007" s="48" t="s">
        <v>155</v>
      </c>
      <c r="C2007" s="48" t="s">
        <v>666</v>
      </c>
      <c r="D2007" s="48">
        <v>1</v>
      </c>
      <c r="E2007" s="48">
        <v>0</v>
      </c>
      <c r="F2007" t="s">
        <v>777</v>
      </c>
      <c r="G2007" s="48" t="s">
        <v>1305</v>
      </c>
      <c r="H2007" s="48" t="s">
        <v>5646</v>
      </c>
      <c r="I2007" s="48" t="s">
        <v>5646</v>
      </c>
      <c r="J2007" s="48" t="s">
        <v>5647</v>
      </c>
      <c r="K2007" s="48" t="s">
        <v>1314</v>
      </c>
      <c r="L2007" s="48" t="s">
        <v>5648</v>
      </c>
      <c r="M2007" s="48" t="s">
        <v>4432</v>
      </c>
      <c r="N2007" s="48" t="s">
        <v>1310</v>
      </c>
      <c r="O2007" s="48" t="s">
        <v>1311</v>
      </c>
      <c r="P2007" s="48" t="s">
        <v>1312</v>
      </c>
      <c r="Q2007" s="48" t="s">
        <v>31</v>
      </c>
      <c r="R2007" s="48" t="s">
        <v>31</v>
      </c>
      <c r="S2007" s="48" t="s">
        <v>31</v>
      </c>
      <c r="T2007" s="48" t="s">
        <v>31</v>
      </c>
      <c r="U2007" s="46" t="s">
        <v>1154</v>
      </c>
    </row>
    <row r="2008" spans="1:21">
      <c r="A2008" s="48" t="s">
        <v>1244</v>
      </c>
      <c r="B2008" s="48" t="s">
        <v>155</v>
      </c>
      <c r="C2008" s="48" t="s">
        <v>666</v>
      </c>
      <c r="D2008" s="48">
        <v>1</v>
      </c>
      <c r="E2008" s="48">
        <v>0</v>
      </c>
      <c r="F2008" t="s">
        <v>777</v>
      </c>
      <c r="G2008" s="48" t="s">
        <v>1305</v>
      </c>
      <c r="H2008" s="48" t="s">
        <v>5649</v>
      </c>
      <c r="I2008" s="48" t="s">
        <v>5649</v>
      </c>
      <c r="J2008" s="48" t="s">
        <v>5650</v>
      </c>
      <c r="K2008" s="48" t="s">
        <v>1329</v>
      </c>
      <c r="L2008" s="48" t="s">
        <v>5651</v>
      </c>
      <c r="M2008" s="48" t="s">
        <v>4432</v>
      </c>
      <c r="N2008" s="48" t="s">
        <v>1310</v>
      </c>
      <c r="O2008" s="48" t="s">
        <v>1311</v>
      </c>
      <c r="P2008" s="48" t="s">
        <v>1312</v>
      </c>
      <c r="Q2008" s="48" t="s">
        <v>31</v>
      </c>
      <c r="R2008" s="48" t="s">
        <v>31</v>
      </c>
      <c r="S2008" s="48" t="s">
        <v>31</v>
      </c>
      <c r="T2008" s="48" t="s">
        <v>31</v>
      </c>
      <c r="U2008" s="46" t="s">
        <v>1154</v>
      </c>
    </row>
    <row r="2009" spans="1:21">
      <c r="A2009" s="48" t="s">
        <v>1244</v>
      </c>
      <c r="B2009" s="48" t="s">
        <v>155</v>
      </c>
      <c r="C2009" s="48" t="s">
        <v>666</v>
      </c>
      <c r="D2009" s="48">
        <v>1</v>
      </c>
      <c r="E2009" s="48">
        <v>0</v>
      </c>
      <c r="F2009" t="s">
        <v>777</v>
      </c>
      <c r="G2009" s="48" t="s">
        <v>1305</v>
      </c>
      <c r="H2009" s="48" t="s">
        <v>5652</v>
      </c>
      <c r="I2009" s="48" t="s">
        <v>5652</v>
      </c>
      <c r="J2009" s="48" t="s">
        <v>5653</v>
      </c>
      <c r="K2009" s="48" t="s">
        <v>1317</v>
      </c>
      <c r="L2009" s="48" t="s">
        <v>5654</v>
      </c>
      <c r="M2009" s="48" t="s">
        <v>4432</v>
      </c>
      <c r="N2009" s="48" t="s">
        <v>1310</v>
      </c>
      <c r="O2009" s="48" t="s">
        <v>1311</v>
      </c>
      <c r="P2009" s="48" t="s">
        <v>1312</v>
      </c>
      <c r="Q2009" s="48" t="s">
        <v>31</v>
      </c>
      <c r="R2009" s="48" t="s">
        <v>31</v>
      </c>
      <c r="S2009" s="48" t="s">
        <v>31</v>
      </c>
      <c r="T2009" s="48" t="s">
        <v>31</v>
      </c>
      <c r="U2009" s="46" t="s">
        <v>1154</v>
      </c>
    </row>
    <row r="2010" spans="1:21">
      <c r="A2010" s="48" t="s">
        <v>1157</v>
      </c>
      <c r="B2010" s="48" t="s">
        <v>157</v>
      </c>
      <c r="C2010" s="48" t="s">
        <v>666</v>
      </c>
      <c r="D2010" s="48">
        <v>2</v>
      </c>
      <c r="E2010" s="48">
        <v>1</v>
      </c>
      <c r="F2010" t="s">
        <v>694</v>
      </c>
      <c r="G2010" s="48" t="s">
        <v>1305</v>
      </c>
      <c r="H2010" s="48" t="s">
        <v>5655</v>
      </c>
      <c r="I2010" s="48" t="s">
        <v>5655</v>
      </c>
      <c r="J2010" s="48" t="s">
        <v>5656</v>
      </c>
      <c r="K2010" s="48" t="s">
        <v>1314</v>
      </c>
      <c r="L2010" s="48" t="s">
        <v>5657</v>
      </c>
      <c r="M2010" s="48" t="s">
        <v>4432</v>
      </c>
      <c r="N2010" s="48" t="s">
        <v>1310</v>
      </c>
      <c r="O2010" s="48" t="s">
        <v>1311</v>
      </c>
      <c r="P2010" s="48" t="s">
        <v>1312</v>
      </c>
      <c r="Q2010" s="48" t="s">
        <v>31</v>
      </c>
      <c r="R2010" s="48" t="s">
        <v>31</v>
      </c>
      <c r="S2010" s="48" t="s">
        <v>31</v>
      </c>
      <c r="T2010" s="48" t="s">
        <v>31</v>
      </c>
      <c r="U2010" s="46" t="s">
        <v>1154</v>
      </c>
    </row>
    <row r="2011" spans="1:21">
      <c r="A2011" s="48" t="s">
        <v>1157</v>
      </c>
      <c r="B2011" s="48" t="s">
        <v>157</v>
      </c>
      <c r="C2011" s="48" t="s">
        <v>666</v>
      </c>
      <c r="D2011" s="48">
        <v>2</v>
      </c>
      <c r="E2011" s="48">
        <v>1</v>
      </c>
      <c r="F2011" t="s">
        <v>694</v>
      </c>
      <c r="G2011" s="48" t="s">
        <v>1305</v>
      </c>
      <c r="H2011" s="48" t="s">
        <v>5658</v>
      </c>
      <c r="I2011" s="48" t="s">
        <v>5658</v>
      </c>
      <c r="J2011" s="48" t="s">
        <v>5659</v>
      </c>
      <c r="K2011" s="48" t="s">
        <v>1332</v>
      </c>
      <c r="L2011" s="48" t="s">
        <v>5660</v>
      </c>
      <c r="M2011" s="48" t="s">
        <v>4432</v>
      </c>
      <c r="N2011" s="48" t="s">
        <v>1310</v>
      </c>
      <c r="O2011" s="48" t="s">
        <v>1311</v>
      </c>
      <c r="P2011" s="48" t="s">
        <v>1312</v>
      </c>
      <c r="Q2011" s="48" t="s">
        <v>31</v>
      </c>
      <c r="R2011" s="48" t="s">
        <v>31</v>
      </c>
      <c r="S2011" s="48" t="s">
        <v>31</v>
      </c>
      <c r="T2011" s="48" t="s">
        <v>31</v>
      </c>
      <c r="U2011" s="46" t="s">
        <v>1154</v>
      </c>
    </row>
    <row r="2012" spans="1:21">
      <c r="A2012" s="48" t="s">
        <v>1157</v>
      </c>
      <c r="B2012" s="48" t="s">
        <v>157</v>
      </c>
      <c r="C2012" s="48" t="s">
        <v>666</v>
      </c>
      <c r="D2012" s="48">
        <v>2</v>
      </c>
      <c r="E2012" s="48">
        <v>1</v>
      </c>
      <c r="F2012" t="s">
        <v>694</v>
      </c>
      <c r="G2012" s="48" t="s">
        <v>1305</v>
      </c>
      <c r="H2012" s="48" t="s">
        <v>5661</v>
      </c>
      <c r="I2012" s="48" t="s">
        <v>5661</v>
      </c>
      <c r="J2012" s="48" t="s">
        <v>5662</v>
      </c>
      <c r="K2012" s="48" t="s">
        <v>1307</v>
      </c>
      <c r="L2012" s="48" t="s">
        <v>5663</v>
      </c>
      <c r="M2012" s="48" t="s">
        <v>4432</v>
      </c>
      <c r="N2012" s="48" t="s">
        <v>1310</v>
      </c>
      <c r="O2012" s="48" t="s">
        <v>1311</v>
      </c>
      <c r="P2012" s="48" t="s">
        <v>1312</v>
      </c>
      <c r="Q2012" s="48" t="s">
        <v>31</v>
      </c>
      <c r="R2012" s="48" t="s">
        <v>31</v>
      </c>
      <c r="S2012" s="48" t="s">
        <v>31</v>
      </c>
      <c r="T2012" s="48" t="s">
        <v>31</v>
      </c>
      <c r="U2012" s="46" t="s">
        <v>1154</v>
      </c>
    </row>
    <row r="2013" spans="1:21">
      <c r="A2013" s="48" t="s">
        <v>1157</v>
      </c>
      <c r="B2013" s="48" t="s">
        <v>157</v>
      </c>
      <c r="C2013" s="48" t="s">
        <v>666</v>
      </c>
      <c r="D2013" s="48">
        <v>2</v>
      </c>
      <c r="E2013" s="48">
        <v>1</v>
      </c>
      <c r="F2013" t="s">
        <v>694</v>
      </c>
      <c r="G2013" s="48" t="s">
        <v>1305</v>
      </c>
      <c r="H2013" s="48" t="s">
        <v>5664</v>
      </c>
      <c r="I2013" s="48" t="s">
        <v>5664</v>
      </c>
      <c r="J2013" s="48" t="s">
        <v>5665</v>
      </c>
      <c r="K2013" s="48" t="s">
        <v>1320</v>
      </c>
      <c r="L2013" s="49" t="s">
        <v>5666</v>
      </c>
      <c r="M2013" s="48" t="s">
        <v>4432</v>
      </c>
      <c r="N2013" s="48" t="s">
        <v>1310</v>
      </c>
      <c r="O2013" s="48" t="s">
        <v>1311</v>
      </c>
      <c r="P2013" s="48" t="s">
        <v>1312</v>
      </c>
      <c r="Q2013" s="48" t="s">
        <v>31</v>
      </c>
      <c r="R2013" s="48" t="s">
        <v>31</v>
      </c>
      <c r="S2013" s="48" t="s">
        <v>31</v>
      </c>
      <c r="T2013" s="48" t="s">
        <v>31</v>
      </c>
      <c r="U2013" s="46" t="s">
        <v>1154</v>
      </c>
    </row>
    <row r="2014" spans="1:21">
      <c r="A2014" s="48" t="s">
        <v>1157</v>
      </c>
      <c r="B2014" s="48" t="s">
        <v>157</v>
      </c>
      <c r="C2014" s="48" t="s">
        <v>666</v>
      </c>
      <c r="D2014" s="48">
        <v>2</v>
      </c>
      <c r="E2014" s="48">
        <v>1</v>
      </c>
      <c r="F2014" t="s">
        <v>694</v>
      </c>
      <c r="G2014" s="48" t="s">
        <v>1305</v>
      </c>
      <c r="H2014" s="48" t="s">
        <v>5667</v>
      </c>
      <c r="I2014" s="48" t="s">
        <v>5667</v>
      </c>
      <c r="J2014" s="48" t="s">
        <v>5668</v>
      </c>
      <c r="K2014" s="48" t="s">
        <v>1323</v>
      </c>
      <c r="L2014" s="48" t="s">
        <v>5669</v>
      </c>
      <c r="M2014" s="48" t="s">
        <v>4432</v>
      </c>
      <c r="N2014" s="48" t="s">
        <v>1310</v>
      </c>
      <c r="O2014" s="48" t="s">
        <v>1311</v>
      </c>
      <c r="P2014" s="48" t="s">
        <v>1312</v>
      </c>
      <c r="Q2014" s="48" t="s">
        <v>31</v>
      </c>
      <c r="R2014" s="48" t="s">
        <v>31</v>
      </c>
      <c r="S2014" s="48" t="s">
        <v>31</v>
      </c>
      <c r="T2014" s="48" t="s">
        <v>31</v>
      </c>
      <c r="U2014" s="46" t="s">
        <v>1154</v>
      </c>
    </row>
    <row r="2015" spans="1:21">
      <c r="A2015" s="48" t="s">
        <v>1157</v>
      </c>
      <c r="B2015" s="48" t="s">
        <v>157</v>
      </c>
      <c r="C2015" s="48" t="s">
        <v>666</v>
      </c>
      <c r="D2015" s="48">
        <v>2</v>
      </c>
      <c r="E2015" s="48">
        <v>1</v>
      </c>
      <c r="F2015" t="s">
        <v>694</v>
      </c>
      <c r="G2015" s="48" t="s">
        <v>1305</v>
      </c>
      <c r="H2015" s="48" t="s">
        <v>5670</v>
      </c>
      <c r="I2015" s="48" t="s">
        <v>5670</v>
      </c>
      <c r="J2015" s="48" t="s">
        <v>5671</v>
      </c>
      <c r="K2015" s="48" t="s">
        <v>1329</v>
      </c>
      <c r="L2015" s="48" t="s">
        <v>5672</v>
      </c>
      <c r="M2015" s="48" t="s">
        <v>4432</v>
      </c>
      <c r="N2015" s="48" t="s">
        <v>1310</v>
      </c>
      <c r="O2015" s="48" t="s">
        <v>1311</v>
      </c>
      <c r="P2015" s="48" t="s">
        <v>1312</v>
      </c>
      <c r="Q2015" s="48" t="s">
        <v>31</v>
      </c>
      <c r="R2015" s="48" t="s">
        <v>31</v>
      </c>
      <c r="S2015" s="48" t="s">
        <v>31</v>
      </c>
      <c r="T2015" s="48" t="s">
        <v>31</v>
      </c>
      <c r="U2015" s="46" t="s">
        <v>1154</v>
      </c>
    </row>
    <row r="2016" spans="1:21">
      <c r="A2016" s="48" t="s">
        <v>1157</v>
      </c>
      <c r="B2016" s="48" t="s">
        <v>157</v>
      </c>
      <c r="C2016" s="48" t="s">
        <v>666</v>
      </c>
      <c r="D2016" s="48">
        <v>2</v>
      </c>
      <c r="E2016" s="48">
        <v>1</v>
      </c>
      <c r="F2016" t="s">
        <v>694</v>
      </c>
      <c r="G2016" s="48" t="s">
        <v>1305</v>
      </c>
      <c r="H2016" s="48" t="s">
        <v>5673</v>
      </c>
      <c r="I2016" s="48" t="s">
        <v>5673</v>
      </c>
      <c r="J2016" s="48" t="s">
        <v>5674</v>
      </c>
      <c r="K2016" s="48" t="s">
        <v>1326</v>
      </c>
      <c r="L2016" s="48" t="s">
        <v>5675</v>
      </c>
      <c r="M2016" s="48" t="s">
        <v>4432</v>
      </c>
      <c r="N2016" s="48" t="s">
        <v>1310</v>
      </c>
      <c r="O2016" s="48" t="s">
        <v>1311</v>
      </c>
      <c r="P2016" s="48" t="s">
        <v>1312</v>
      </c>
      <c r="Q2016" s="48" t="s">
        <v>31</v>
      </c>
      <c r="R2016" s="48" t="s">
        <v>31</v>
      </c>
      <c r="S2016" s="48" t="s">
        <v>31</v>
      </c>
      <c r="T2016" s="48" t="s">
        <v>31</v>
      </c>
      <c r="U2016" s="46" t="s">
        <v>1154</v>
      </c>
    </row>
    <row r="2017" spans="1:21">
      <c r="A2017" s="48" t="s">
        <v>1157</v>
      </c>
      <c r="B2017" s="48" t="s">
        <v>157</v>
      </c>
      <c r="C2017" s="48" t="s">
        <v>666</v>
      </c>
      <c r="D2017" s="48">
        <v>2</v>
      </c>
      <c r="E2017" s="48">
        <v>1</v>
      </c>
      <c r="F2017" t="s">
        <v>694</v>
      </c>
      <c r="G2017" s="48" t="s">
        <v>1305</v>
      </c>
      <c r="H2017" s="48" t="s">
        <v>5676</v>
      </c>
      <c r="I2017" s="48" t="s">
        <v>5676</v>
      </c>
      <c r="J2017" s="48" t="s">
        <v>5677</v>
      </c>
      <c r="K2017" s="48" t="s">
        <v>1317</v>
      </c>
      <c r="L2017" s="48" t="s">
        <v>5678</v>
      </c>
      <c r="M2017" s="48" t="s">
        <v>4432</v>
      </c>
      <c r="N2017" s="48" t="s">
        <v>1310</v>
      </c>
      <c r="O2017" s="48" t="s">
        <v>1311</v>
      </c>
      <c r="P2017" s="48" t="s">
        <v>1312</v>
      </c>
      <c r="Q2017" s="48" t="s">
        <v>31</v>
      </c>
      <c r="R2017" s="48" t="s">
        <v>31</v>
      </c>
      <c r="S2017" s="48" t="s">
        <v>31</v>
      </c>
      <c r="T2017" s="48" t="s">
        <v>31</v>
      </c>
      <c r="U2017" s="46" t="s">
        <v>1154</v>
      </c>
    </row>
    <row r="2018" spans="1:21">
      <c r="A2018" s="48" t="s">
        <v>1197</v>
      </c>
      <c r="B2018" s="48" t="s">
        <v>157</v>
      </c>
      <c r="C2018" s="48" t="s">
        <v>689</v>
      </c>
      <c r="D2018" s="48">
        <v>2</v>
      </c>
      <c r="E2018" s="48">
        <v>1</v>
      </c>
      <c r="F2018" t="s">
        <v>1149</v>
      </c>
      <c r="G2018" s="48" t="s">
        <v>1305</v>
      </c>
      <c r="H2018" s="48" t="s">
        <v>5658</v>
      </c>
      <c r="I2018" s="48" t="s">
        <v>5658</v>
      </c>
      <c r="J2018" s="48" t="s">
        <v>5679</v>
      </c>
      <c r="K2018" s="48" t="s">
        <v>1332</v>
      </c>
      <c r="L2018" s="48" t="s">
        <v>5680</v>
      </c>
      <c r="M2018" s="48" t="s">
        <v>4432</v>
      </c>
      <c r="N2018" s="48" t="s">
        <v>1310</v>
      </c>
      <c r="O2018" s="48" t="s">
        <v>1311</v>
      </c>
      <c r="P2018" s="48" t="s">
        <v>1312</v>
      </c>
      <c r="Q2018" s="48" t="s">
        <v>31</v>
      </c>
      <c r="R2018" s="48" t="s">
        <v>31</v>
      </c>
      <c r="S2018" s="48" t="s">
        <v>31</v>
      </c>
      <c r="T2018" s="48" t="s">
        <v>31</v>
      </c>
      <c r="U2018" s="46" t="s">
        <v>1154</v>
      </c>
    </row>
    <row r="2019" spans="1:21">
      <c r="A2019" s="48" t="s">
        <v>1197</v>
      </c>
      <c r="B2019" s="48" t="s">
        <v>157</v>
      </c>
      <c r="C2019" s="48" t="s">
        <v>689</v>
      </c>
      <c r="D2019" s="48">
        <v>2</v>
      </c>
      <c r="E2019" s="48">
        <v>1</v>
      </c>
      <c r="F2019" t="s">
        <v>1149</v>
      </c>
      <c r="G2019" s="48" t="s">
        <v>1305</v>
      </c>
      <c r="H2019" s="48" t="s">
        <v>5655</v>
      </c>
      <c r="I2019" s="48" t="s">
        <v>5655</v>
      </c>
      <c r="J2019" s="48" t="s">
        <v>5681</v>
      </c>
      <c r="K2019" s="48" t="s">
        <v>1314</v>
      </c>
      <c r="L2019" s="48" t="s">
        <v>5682</v>
      </c>
      <c r="M2019" s="48" t="s">
        <v>4432</v>
      </c>
      <c r="N2019" s="48" t="s">
        <v>1310</v>
      </c>
      <c r="O2019" s="48" t="s">
        <v>1311</v>
      </c>
      <c r="P2019" s="48" t="s">
        <v>1312</v>
      </c>
      <c r="Q2019" s="48" t="s">
        <v>31</v>
      </c>
      <c r="R2019" s="48" t="s">
        <v>31</v>
      </c>
      <c r="S2019" s="48" t="s">
        <v>31</v>
      </c>
      <c r="T2019" s="48" t="s">
        <v>31</v>
      </c>
      <c r="U2019" s="46" t="s">
        <v>1154</v>
      </c>
    </row>
    <row r="2020" spans="1:21">
      <c r="A2020" s="48" t="s">
        <v>1197</v>
      </c>
      <c r="B2020" s="48" t="s">
        <v>157</v>
      </c>
      <c r="C2020" s="48" t="s">
        <v>689</v>
      </c>
      <c r="D2020" s="48">
        <v>2</v>
      </c>
      <c r="E2020" s="48">
        <v>1</v>
      </c>
      <c r="F2020" t="s">
        <v>1149</v>
      </c>
      <c r="G2020" s="48" t="s">
        <v>1305</v>
      </c>
      <c r="H2020" s="48" t="s">
        <v>5676</v>
      </c>
      <c r="I2020" s="48" t="s">
        <v>5676</v>
      </c>
      <c r="J2020" s="48" t="s">
        <v>5683</v>
      </c>
      <c r="K2020" s="48" t="s">
        <v>1317</v>
      </c>
      <c r="L2020" s="48" t="s">
        <v>5684</v>
      </c>
      <c r="M2020" s="48" t="s">
        <v>4432</v>
      </c>
      <c r="N2020" s="48" t="s">
        <v>1310</v>
      </c>
      <c r="O2020" s="48" t="s">
        <v>1311</v>
      </c>
      <c r="P2020" s="48" t="s">
        <v>1312</v>
      </c>
      <c r="Q2020" s="48" t="s">
        <v>31</v>
      </c>
      <c r="R2020" s="48" t="s">
        <v>31</v>
      </c>
      <c r="S2020" s="48" t="s">
        <v>31</v>
      </c>
      <c r="T2020" s="48" t="s">
        <v>31</v>
      </c>
      <c r="U2020" s="46" t="s">
        <v>1154</v>
      </c>
    </row>
    <row r="2021" spans="1:21">
      <c r="A2021" s="48" t="s">
        <v>1197</v>
      </c>
      <c r="B2021" s="48" t="s">
        <v>157</v>
      </c>
      <c r="C2021" s="48" t="s">
        <v>689</v>
      </c>
      <c r="D2021" s="48">
        <v>2</v>
      </c>
      <c r="E2021" s="48">
        <v>1</v>
      </c>
      <c r="F2021" t="s">
        <v>1149</v>
      </c>
      <c r="G2021" s="48" t="s">
        <v>1305</v>
      </c>
      <c r="H2021" s="48" t="s">
        <v>5670</v>
      </c>
      <c r="I2021" s="48" t="s">
        <v>5670</v>
      </c>
      <c r="J2021" s="48" t="s">
        <v>5685</v>
      </c>
      <c r="K2021" s="48" t="s">
        <v>1329</v>
      </c>
      <c r="L2021" s="48" t="s">
        <v>5686</v>
      </c>
      <c r="M2021" s="48" t="s">
        <v>4432</v>
      </c>
      <c r="N2021" s="48" t="s">
        <v>1310</v>
      </c>
      <c r="O2021" s="48" t="s">
        <v>1311</v>
      </c>
      <c r="P2021" s="48" t="s">
        <v>1312</v>
      </c>
      <c r="Q2021" s="48" t="s">
        <v>31</v>
      </c>
      <c r="R2021" s="48" t="s">
        <v>31</v>
      </c>
      <c r="S2021" s="48" t="s">
        <v>31</v>
      </c>
      <c r="T2021" s="48" t="s">
        <v>31</v>
      </c>
      <c r="U2021" s="46" t="s">
        <v>1154</v>
      </c>
    </row>
    <row r="2022" spans="1:21">
      <c r="A2022" s="48" t="s">
        <v>1197</v>
      </c>
      <c r="B2022" s="48" t="s">
        <v>157</v>
      </c>
      <c r="C2022" s="48" t="s">
        <v>689</v>
      </c>
      <c r="D2022" s="48">
        <v>2</v>
      </c>
      <c r="E2022" s="48">
        <v>1</v>
      </c>
      <c r="F2022" t="s">
        <v>1149</v>
      </c>
      <c r="G2022" s="48" t="s">
        <v>1305</v>
      </c>
      <c r="H2022" s="48" t="s">
        <v>5661</v>
      </c>
      <c r="I2022" s="48" t="s">
        <v>5661</v>
      </c>
      <c r="J2022" s="48" t="s">
        <v>5687</v>
      </c>
      <c r="K2022" s="48" t="s">
        <v>1307</v>
      </c>
      <c r="L2022" s="48" t="s">
        <v>5688</v>
      </c>
      <c r="M2022" s="48" t="s">
        <v>4432</v>
      </c>
      <c r="N2022" s="48" t="s">
        <v>1310</v>
      </c>
      <c r="O2022" s="48" t="s">
        <v>1311</v>
      </c>
      <c r="P2022" s="48" t="s">
        <v>1312</v>
      </c>
      <c r="Q2022" s="48" t="s">
        <v>31</v>
      </c>
      <c r="R2022" s="48" t="s">
        <v>31</v>
      </c>
      <c r="S2022" s="48" t="s">
        <v>31</v>
      </c>
      <c r="T2022" s="48" t="s">
        <v>31</v>
      </c>
      <c r="U2022" s="46" t="s">
        <v>1154</v>
      </c>
    </row>
    <row r="2023" spans="1:21">
      <c r="A2023" s="48" t="s">
        <v>1197</v>
      </c>
      <c r="B2023" s="48" t="s">
        <v>157</v>
      </c>
      <c r="C2023" s="48" t="s">
        <v>689</v>
      </c>
      <c r="D2023" s="48">
        <v>2</v>
      </c>
      <c r="E2023" s="48">
        <v>1</v>
      </c>
      <c r="F2023" t="s">
        <v>1149</v>
      </c>
      <c r="G2023" s="48" t="s">
        <v>1305</v>
      </c>
      <c r="H2023" s="48" t="s">
        <v>5667</v>
      </c>
      <c r="I2023" s="48" t="s">
        <v>5667</v>
      </c>
      <c r="J2023" s="48" t="s">
        <v>5689</v>
      </c>
      <c r="K2023" s="48" t="s">
        <v>1323</v>
      </c>
      <c r="L2023" s="48" t="s">
        <v>5690</v>
      </c>
      <c r="M2023" s="48" t="s">
        <v>4432</v>
      </c>
      <c r="N2023" s="48" t="s">
        <v>1310</v>
      </c>
      <c r="O2023" s="48" t="s">
        <v>1311</v>
      </c>
      <c r="P2023" s="48" t="s">
        <v>1312</v>
      </c>
      <c r="Q2023" s="48" t="s">
        <v>31</v>
      </c>
      <c r="R2023" s="48" t="s">
        <v>31</v>
      </c>
      <c r="S2023" s="48" t="s">
        <v>31</v>
      </c>
      <c r="T2023" s="48" t="s">
        <v>31</v>
      </c>
      <c r="U2023" s="46" t="s">
        <v>1154</v>
      </c>
    </row>
    <row r="2024" spans="1:21">
      <c r="A2024" s="48" t="s">
        <v>1197</v>
      </c>
      <c r="B2024" s="48" t="s">
        <v>157</v>
      </c>
      <c r="C2024" s="48" t="s">
        <v>689</v>
      </c>
      <c r="D2024" s="48">
        <v>2</v>
      </c>
      <c r="E2024" s="48">
        <v>1</v>
      </c>
      <c r="F2024" t="s">
        <v>1149</v>
      </c>
      <c r="G2024" s="48" t="s">
        <v>1305</v>
      </c>
      <c r="H2024" s="48" t="s">
        <v>5673</v>
      </c>
      <c r="I2024" s="48" t="s">
        <v>5673</v>
      </c>
      <c r="J2024" s="48" t="s">
        <v>5691</v>
      </c>
      <c r="K2024" s="48" t="s">
        <v>1326</v>
      </c>
      <c r="L2024" s="48" t="s">
        <v>5692</v>
      </c>
      <c r="M2024" s="48" t="s">
        <v>4432</v>
      </c>
      <c r="N2024" s="48" t="s">
        <v>1310</v>
      </c>
      <c r="O2024" s="48" t="s">
        <v>1311</v>
      </c>
      <c r="P2024" s="48" t="s">
        <v>1312</v>
      </c>
      <c r="Q2024" s="48" t="s">
        <v>31</v>
      </c>
      <c r="R2024" s="48" t="s">
        <v>31</v>
      </c>
      <c r="S2024" s="48" t="s">
        <v>31</v>
      </c>
      <c r="T2024" s="48" t="s">
        <v>31</v>
      </c>
      <c r="U2024" s="46" t="s">
        <v>1154</v>
      </c>
    </row>
    <row r="2025" spans="1:21">
      <c r="A2025" s="48" t="s">
        <v>1197</v>
      </c>
      <c r="B2025" s="48" t="s">
        <v>157</v>
      </c>
      <c r="C2025" s="48" t="s">
        <v>689</v>
      </c>
      <c r="D2025" s="48">
        <v>2</v>
      </c>
      <c r="E2025" s="48">
        <v>1</v>
      </c>
      <c r="F2025" t="s">
        <v>1149</v>
      </c>
      <c r="G2025" s="48" t="s">
        <v>1305</v>
      </c>
      <c r="H2025" s="48" t="s">
        <v>5664</v>
      </c>
      <c r="I2025" s="48" t="s">
        <v>5664</v>
      </c>
      <c r="J2025" s="48" t="s">
        <v>5693</v>
      </c>
      <c r="K2025" s="48" t="s">
        <v>1320</v>
      </c>
      <c r="L2025" s="48" t="s">
        <v>5694</v>
      </c>
      <c r="M2025" s="48" t="s">
        <v>4432</v>
      </c>
      <c r="N2025" s="48" t="s">
        <v>1310</v>
      </c>
      <c r="O2025" s="48" t="s">
        <v>1311</v>
      </c>
      <c r="P2025" s="48" t="s">
        <v>1312</v>
      </c>
      <c r="Q2025" s="48" t="s">
        <v>31</v>
      </c>
      <c r="R2025" s="48" t="s">
        <v>31</v>
      </c>
      <c r="S2025" s="48" t="s">
        <v>31</v>
      </c>
      <c r="T2025" s="48" t="s">
        <v>31</v>
      </c>
      <c r="U2025" s="46" t="s">
        <v>1154</v>
      </c>
    </row>
    <row r="2026" spans="1:21">
      <c r="A2026" s="48" t="s">
        <v>1222</v>
      </c>
      <c r="B2026" s="48" t="s">
        <v>159</v>
      </c>
      <c r="C2026" s="48" t="s">
        <v>666</v>
      </c>
      <c r="D2026" s="48">
        <v>1</v>
      </c>
      <c r="E2026" s="48">
        <v>0</v>
      </c>
      <c r="F2026" t="s">
        <v>773</v>
      </c>
      <c r="G2026" s="48" t="s">
        <v>1305</v>
      </c>
      <c r="H2026" s="48" t="s">
        <v>5695</v>
      </c>
      <c r="I2026" s="48" t="s">
        <v>5695</v>
      </c>
      <c r="J2026" s="48" t="s">
        <v>5696</v>
      </c>
      <c r="K2026" s="48" t="s">
        <v>1307</v>
      </c>
      <c r="L2026" s="48" t="s">
        <v>5697</v>
      </c>
      <c r="M2026" s="48" t="s">
        <v>4432</v>
      </c>
      <c r="N2026" s="48" t="s">
        <v>1310</v>
      </c>
      <c r="O2026" s="48" t="s">
        <v>1311</v>
      </c>
      <c r="P2026" s="48" t="s">
        <v>1312</v>
      </c>
      <c r="Q2026" s="48" t="s">
        <v>31</v>
      </c>
      <c r="R2026" s="48" t="s">
        <v>31</v>
      </c>
      <c r="S2026" s="48" t="s">
        <v>31</v>
      </c>
      <c r="T2026" s="48" t="s">
        <v>31</v>
      </c>
      <c r="U2026" s="46" t="s">
        <v>1154</v>
      </c>
    </row>
    <row r="2027" spans="1:21">
      <c r="A2027" s="48" t="s">
        <v>1222</v>
      </c>
      <c r="B2027" s="48" t="s">
        <v>159</v>
      </c>
      <c r="C2027" s="48" t="s">
        <v>666</v>
      </c>
      <c r="D2027" s="48">
        <v>1</v>
      </c>
      <c r="E2027" s="48">
        <v>0</v>
      </c>
      <c r="F2027" t="s">
        <v>773</v>
      </c>
      <c r="G2027" s="48" t="s">
        <v>1305</v>
      </c>
      <c r="H2027" s="48" t="s">
        <v>5698</v>
      </c>
      <c r="I2027" s="48" t="s">
        <v>5698</v>
      </c>
      <c r="J2027" s="48" t="s">
        <v>5699</v>
      </c>
      <c r="K2027" s="48" t="s">
        <v>1317</v>
      </c>
      <c r="L2027" s="48" t="s">
        <v>5700</v>
      </c>
      <c r="M2027" s="48" t="s">
        <v>4432</v>
      </c>
      <c r="N2027" s="48" t="s">
        <v>1310</v>
      </c>
      <c r="O2027" s="48" t="s">
        <v>1311</v>
      </c>
      <c r="P2027" s="48" t="s">
        <v>1312</v>
      </c>
      <c r="Q2027" s="48" t="s">
        <v>31</v>
      </c>
      <c r="R2027" s="48" t="s">
        <v>31</v>
      </c>
      <c r="S2027" s="48" t="s">
        <v>31</v>
      </c>
      <c r="T2027" s="48" t="s">
        <v>31</v>
      </c>
      <c r="U2027" s="46" t="s">
        <v>1154</v>
      </c>
    </row>
    <row r="2028" spans="1:21">
      <c r="A2028" s="48" t="s">
        <v>1222</v>
      </c>
      <c r="B2028" s="48" t="s">
        <v>159</v>
      </c>
      <c r="C2028" s="48" t="s">
        <v>666</v>
      </c>
      <c r="D2028" s="48">
        <v>1</v>
      </c>
      <c r="E2028" s="48">
        <v>0</v>
      </c>
      <c r="F2028" t="s">
        <v>773</v>
      </c>
      <c r="G2028" s="48" t="s">
        <v>1305</v>
      </c>
      <c r="H2028" s="48" t="s">
        <v>5701</v>
      </c>
      <c r="I2028" s="48" t="s">
        <v>5701</v>
      </c>
      <c r="J2028" s="48" t="s">
        <v>5702</v>
      </c>
      <c r="K2028" s="48" t="s">
        <v>1323</v>
      </c>
      <c r="L2028" s="48" t="s">
        <v>5703</v>
      </c>
      <c r="M2028" s="48" t="s">
        <v>4432</v>
      </c>
      <c r="N2028" s="48" t="s">
        <v>1310</v>
      </c>
      <c r="O2028" s="48" t="s">
        <v>1311</v>
      </c>
      <c r="P2028" s="48" t="s">
        <v>1312</v>
      </c>
      <c r="Q2028" s="48" t="s">
        <v>31</v>
      </c>
      <c r="R2028" s="48" t="s">
        <v>31</v>
      </c>
      <c r="S2028" s="48" t="s">
        <v>31</v>
      </c>
      <c r="T2028" s="48" t="s">
        <v>31</v>
      </c>
      <c r="U2028" s="46" t="s">
        <v>1154</v>
      </c>
    </row>
    <row r="2029" spans="1:21">
      <c r="A2029" s="48" t="s">
        <v>1222</v>
      </c>
      <c r="B2029" s="48" t="s">
        <v>159</v>
      </c>
      <c r="C2029" s="48" t="s">
        <v>666</v>
      </c>
      <c r="D2029" s="48">
        <v>1</v>
      </c>
      <c r="E2029" s="48">
        <v>0</v>
      </c>
      <c r="F2029" t="s">
        <v>773</v>
      </c>
      <c r="G2029" s="48" t="s">
        <v>1305</v>
      </c>
      <c r="H2029" s="48" t="s">
        <v>5704</v>
      </c>
      <c r="I2029" s="48" t="s">
        <v>5704</v>
      </c>
      <c r="J2029" s="48" t="s">
        <v>5705</v>
      </c>
      <c r="K2029" s="48" t="s">
        <v>1320</v>
      </c>
      <c r="L2029" s="48" t="s">
        <v>5706</v>
      </c>
      <c r="M2029" s="48" t="s">
        <v>4432</v>
      </c>
      <c r="N2029" s="48" t="s">
        <v>1310</v>
      </c>
      <c r="O2029" s="48" t="s">
        <v>1311</v>
      </c>
      <c r="P2029" s="48" t="s">
        <v>1312</v>
      </c>
      <c r="Q2029" s="48" t="s">
        <v>31</v>
      </c>
      <c r="R2029" s="48" t="s">
        <v>31</v>
      </c>
      <c r="S2029" s="48" t="s">
        <v>31</v>
      </c>
      <c r="T2029" s="48" t="s">
        <v>31</v>
      </c>
      <c r="U2029" s="46" t="s">
        <v>1154</v>
      </c>
    </row>
    <row r="2030" spans="1:21">
      <c r="A2030" s="48" t="s">
        <v>1222</v>
      </c>
      <c r="B2030" s="48" t="s">
        <v>159</v>
      </c>
      <c r="C2030" s="48" t="s">
        <v>666</v>
      </c>
      <c r="D2030" s="48">
        <v>1</v>
      </c>
      <c r="E2030" s="48">
        <v>0</v>
      </c>
      <c r="F2030" t="s">
        <v>773</v>
      </c>
      <c r="G2030" s="48" t="s">
        <v>1305</v>
      </c>
      <c r="H2030" s="48" t="s">
        <v>5707</v>
      </c>
      <c r="I2030" s="48" t="s">
        <v>5707</v>
      </c>
      <c r="J2030" s="48" t="s">
        <v>5708</v>
      </c>
      <c r="K2030" s="48" t="s">
        <v>1329</v>
      </c>
      <c r="L2030" s="48" t="s">
        <v>5709</v>
      </c>
      <c r="M2030" s="48" t="s">
        <v>4432</v>
      </c>
      <c r="N2030" s="48" t="s">
        <v>1310</v>
      </c>
      <c r="O2030" s="48" t="s">
        <v>1311</v>
      </c>
      <c r="P2030" s="48" t="s">
        <v>1312</v>
      </c>
      <c r="Q2030" s="48" t="s">
        <v>31</v>
      </c>
      <c r="R2030" s="48" t="s">
        <v>31</v>
      </c>
      <c r="S2030" s="48" t="s">
        <v>31</v>
      </c>
      <c r="T2030" s="48" t="s">
        <v>31</v>
      </c>
      <c r="U2030" s="46" t="s">
        <v>1154</v>
      </c>
    </row>
    <row r="2031" spans="1:21">
      <c r="A2031" s="48" t="s">
        <v>1222</v>
      </c>
      <c r="B2031" s="48" t="s">
        <v>159</v>
      </c>
      <c r="C2031" s="48" t="s">
        <v>666</v>
      </c>
      <c r="D2031" s="48">
        <v>1</v>
      </c>
      <c r="E2031" s="48">
        <v>0</v>
      </c>
      <c r="F2031" t="s">
        <v>773</v>
      </c>
      <c r="G2031" s="48" t="s">
        <v>1305</v>
      </c>
      <c r="H2031" s="48" t="s">
        <v>5710</v>
      </c>
      <c r="I2031" s="48" t="s">
        <v>5710</v>
      </c>
      <c r="J2031" s="48" t="s">
        <v>5711</v>
      </c>
      <c r="K2031" s="48" t="s">
        <v>1332</v>
      </c>
      <c r="L2031" s="48" t="s">
        <v>5712</v>
      </c>
      <c r="M2031" s="48" t="s">
        <v>4432</v>
      </c>
      <c r="N2031" s="48" t="s">
        <v>1310</v>
      </c>
      <c r="O2031" s="48" t="s">
        <v>1311</v>
      </c>
      <c r="P2031" s="48" t="s">
        <v>1312</v>
      </c>
      <c r="Q2031" s="48" t="s">
        <v>31</v>
      </c>
      <c r="R2031" s="48" t="s">
        <v>31</v>
      </c>
      <c r="S2031" s="48" t="s">
        <v>31</v>
      </c>
      <c r="T2031" s="48" t="s">
        <v>31</v>
      </c>
      <c r="U2031" s="46" t="s">
        <v>1154</v>
      </c>
    </row>
    <row r="2032" spans="1:21">
      <c r="A2032" s="48" t="s">
        <v>1222</v>
      </c>
      <c r="B2032" s="48" t="s">
        <v>159</v>
      </c>
      <c r="C2032" s="48" t="s">
        <v>666</v>
      </c>
      <c r="D2032" s="48">
        <v>1</v>
      </c>
      <c r="E2032" s="48">
        <v>0</v>
      </c>
      <c r="F2032" t="s">
        <v>773</v>
      </c>
      <c r="G2032" s="48" t="s">
        <v>1305</v>
      </c>
      <c r="H2032" s="48" t="s">
        <v>5713</v>
      </c>
      <c r="I2032" s="48" t="s">
        <v>5713</v>
      </c>
      <c r="J2032" s="48" t="s">
        <v>5714</v>
      </c>
      <c r="K2032" s="48" t="s">
        <v>1326</v>
      </c>
      <c r="L2032" s="48" t="s">
        <v>5715</v>
      </c>
      <c r="M2032" s="48" t="s">
        <v>4432</v>
      </c>
      <c r="N2032" s="48" t="s">
        <v>1310</v>
      </c>
      <c r="O2032" s="48" t="s">
        <v>1311</v>
      </c>
      <c r="P2032" s="48" t="s">
        <v>1312</v>
      </c>
      <c r="Q2032" s="48" t="s">
        <v>31</v>
      </c>
      <c r="R2032" s="48" t="s">
        <v>31</v>
      </c>
      <c r="S2032" s="48" t="s">
        <v>31</v>
      </c>
      <c r="T2032" s="48" t="s">
        <v>31</v>
      </c>
      <c r="U2032" s="46" t="s">
        <v>1154</v>
      </c>
    </row>
    <row r="2033" spans="1:21">
      <c r="A2033" s="48" t="s">
        <v>1222</v>
      </c>
      <c r="B2033" s="48" t="s">
        <v>159</v>
      </c>
      <c r="C2033" s="48" t="s">
        <v>666</v>
      </c>
      <c r="D2033" s="48">
        <v>1</v>
      </c>
      <c r="E2033" s="48">
        <v>0</v>
      </c>
      <c r="F2033" t="s">
        <v>773</v>
      </c>
      <c r="G2033" s="48" t="s">
        <v>1305</v>
      </c>
      <c r="H2033" s="48" t="s">
        <v>5716</v>
      </c>
      <c r="I2033" s="48" t="s">
        <v>5716</v>
      </c>
      <c r="J2033" s="48" t="s">
        <v>5717</v>
      </c>
      <c r="K2033" s="48" t="s">
        <v>1314</v>
      </c>
      <c r="L2033" s="48" t="s">
        <v>5718</v>
      </c>
      <c r="M2033" s="48" t="s">
        <v>4432</v>
      </c>
      <c r="N2033" s="48" t="s">
        <v>1310</v>
      </c>
      <c r="O2033" s="48" t="s">
        <v>1311</v>
      </c>
      <c r="P2033" s="48" t="s">
        <v>1312</v>
      </c>
      <c r="Q2033" s="48" t="s">
        <v>31</v>
      </c>
      <c r="R2033" s="48" t="s">
        <v>31</v>
      </c>
      <c r="S2033" s="48" t="s">
        <v>31</v>
      </c>
      <c r="T2033" s="48" t="s">
        <v>31</v>
      </c>
      <c r="U2033" s="46" t="s">
        <v>1154</v>
      </c>
    </row>
    <row r="2034" spans="1:21">
      <c r="A2034" s="48" t="s">
        <v>1215</v>
      </c>
      <c r="B2034" s="48" t="s">
        <v>161</v>
      </c>
      <c r="C2034" s="48" t="s">
        <v>666</v>
      </c>
      <c r="D2034" s="48">
        <v>1</v>
      </c>
      <c r="E2034" s="48">
        <v>0</v>
      </c>
      <c r="F2034" t="s">
        <v>718</v>
      </c>
      <c r="G2034" s="48" t="s">
        <v>1305</v>
      </c>
      <c r="H2034" s="48" t="s">
        <v>5719</v>
      </c>
      <c r="I2034" s="48" t="s">
        <v>5719</v>
      </c>
      <c r="J2034" s="48" t="s">
        <v>5720</v>
      </c>
      <c r="K2034" s="48" t="s">
        <v>1317</v>
      </c>
      <c r="L2034" s="48" t="s">
        <v>5721</v>
      </c>
      <c r="M2034" s="48" t="s">
        <v>4432</v>
      </c>
      <c r="N2034" s="48" t="s">
        <v>1310</v>
      </c>
      <c r="O2034" s="48" t="s">
        <v>1311</v>
      </c>
      <c r="P2034" s="48" t="s">
        <v>1312</v>
      </c>
      <c r="Q2034" s="48" t="s">
        <v>31</v>
      </c>
      <c r="R2034" s="48" t="s">
        <v>31</v>
      </c>
      <c r="S2034" s="48" t="s">
        <v>31</v>
      </c>
      <c r="T2034" s="48" t="s">
        <v>31</v>
      </c>
      <c r="U2034" s="46" t="s">
        <v>1154</v>
      </c>
    </row>
    <row r="2035" spans="1:21">
      <c r="A2035" s="48" t="s">
        <v>1215</v>
      </c>
      <c r="B2035" s="48" t="s">
        <v>161</v>
      </c>
      <c r="C2035" s="48" t="s">
        <v>666</v>
      </c>
      <c r="D2035" s="48">
        <v>1</v>
      </c>
      <c r="E2035" s="48">
        <v>0</v>
      </c>
      <c r="F2035" t="s">
        <v>718</v>
      </c>
      <c r="G2035" s="48" t="s">
        <v>1305</v>
      </c>
      <c r="H2035" s="48" t="s">
        <v>5722</v>
      </c>
      <c r="I2035" s="48" t="s">
        <v>5722</v>
      </c>
      <c r="J2035" s="48" t="s">
        <v>5723</v>
      </c>
      <c r="K2035" s="48" t="s">
        <v>1329</v>
      </c>
      <c r="L2035" s="48" t="s">
        <v>5724</v>
      </c>
      <c r="M2035" s="48" t="s">
        <v>4432</v>
      </c>
      <c r="N2035" s="48" t="s">
        <v>1310</v>
      </c>
      <c r="O2035" s="48" t="s">
        <v>1311</v>
      </c>
      <c r="P2035" s="48" t="s">
        <v>1312</v>
      </c>
      <c r="Q2035" s="48" t="s">
        <v>31</v>
      </c>
      <c r="R2035" s="48" t="s">
        <v>31</v>
      </c>
      <c r="S2035" s="48" t="s">
        <v>31</v>
      </c>
      <c r="T2035" s="48" t="s">
        <v>31</v>
      </c>
      <c r="U2035" s="46" t="s">
        <v>1154</v>
      </c>
    </row>
    <row r="2036" spans="1:21">
      <c r="A2036" s="48" t="s">
        <v>1215</v>
      </c>
      <c r="B2036" s="48" t="s">
        <v>161</v>
      </c>
      <c r="C2036" s="48" t="s">
        <v>666</v>
      </c>
      <c r="D2036" s="48">
        <v>1</v>
      </c>
      <c r="E2036" s="48">
        <v>0</v>
      </c>
      <c r="F2036" t="s">
        <v>718</v>
      </c>
      <c r="G2036" s="48" t="s">
        <v>1305</v>
      </c>
      <c r="H2036" s="48" t="s">
        <v>5725</v>
      </c>
      <c r="I2036" s="48" t="s">
        <v>5725</v>
      </c>
      <c r="J2036" s="48" t="s">
        <v>5726</v>
      </c>
      <c r="K2036" s="48" t="s">
        <v>1314</v>
      </c>
      <c r="L2036" s="48" t="s">
        <v>5727</v>
      </c>
      <c r="M2036" s="48" t="s">
        <v>4432</v>
      </c>
      <c r="N2036" s="48" t="s">
        <v>1310</v>
      </c>
      <c r="O2036" s="48" t="s">
        <v>1311</v>
      </c>
      <c r="P2036" s="48" t="s">
        <v>1312</v>
      </c>
      <c r="Q2036" s="48" t="s">
        <v>31</v>
      </c>
      <c r="R2036" s="48" t="s">
        <v>31</v>
      </c>
      <c r="S2036" s="48" t="s">
        <v>31</v>
      </c>
      <c r="T2036" s="48" t="s">
        <v>31</v>
      </c>
      <c r="U2036" s="46" t="s">
        <v>1154</v>
      </c>
    </row>
    <row r="2037" spans="1:21">
      <c r="A2037" s="48" t="s">
        <v>1215</v>
      </c>
      <c r="B2037" s="48" t="s">
        <v>161</v>
      </c>
      <c r="C2037" s="48" t="s">
        <v>666</v>
      </c>
      <c r="D2037" s="48">
        <v>1</v>
      </c>
      <c r="E2037" s="48">
        <v>0</v>
      </c>
      <c r="F2037" t="s">
        <v>718</v>
      </c>
      <c r="G2037" s="48" t="s">
        <v>1305</v>
      </c>
      <c r="H2037" s="48" t="s">
        <v>5728</v>
      </c>
      <c r="I2037" s="48" t="s">
        <v>5728</v>
      </c>
      <c r="J2037" s="48" t="s">
        <v>5729</v>
      </c>
      <c r="K2037" s="48" t="s">
        <v>1320</v>
      </c>
      <c r="L2037" s="48" t="s">
        <v>5730</v>
      </c>
      <c r="M2037" s="48" t="s">
        <v>4432</v>
      </c>
      <c r="N2037" s="48" t="s">
        <v>1310</v>
      </c>
      <c r="O2037" s="48" t="s">
        <v>1311</v>
      </c>
      <c r="P2037" s="48" t="s">
        <v>1312</v>
      </c>
      <c r="Q2037" s="48" t="s">
        <v>31</v>
      </c>
      <c r="R2037" s="48" t="s">
        <v>31</v>
      </c>
      <c r="S2037" s="48" t="s">
        <v>31</v>
      </c>
      <c r="T2037" s="48" t="s">
        <v>31</v>
      </c>
      <c r="U2037" s="46" t="s">
        <v>1154</v>
      </c>
    </row>
    <row r="2038" spans="1:21">
      <c r="A2038" s="48" t="s">
        <v>1215</v>
      </c>
      <c r="B2038" s="48" t="s">
        <v>161</v>
      </c>
      <c r="C2038" s="48" t="s">
        <v>666</v>
      </c>
      <c r="D2038" s="48">
        <v>1</v>
      </c>
      <c r="E2038" s="48">
        <v>0</v>
      </c>
      <c r="F2038" t="s">
        <v>718</v>
      </c>
      <c r="G2038" s="48" t="s">
        <v>1305</v>
      </c>
      <c r="H2038" s="48" t="s">
        <v>5731</v>
      </c>
      <c r="I2038" s="48" t="s">
        <v>5731</v>
      </c>
      <c r="J2038" s="48" t="s">
        <v>5732</v>
      </c>
      <c r="K2038" s="48" t="s">
        <v>1332</v>
      </c>
      <c r="L2038" s="48" t="s">
        <v>5733</v>
      </c>
      <c r="M2038" s="48" t="s">
        <v>4432</v>
      </c>
      <c r="N2038" s="48" t="s">
        <v>1310</v>
      </c>
      <c r="O2038" s="48" t="s">
        <v>1311</v>
      </c>
      <c r="P2038" s="48" t="s">
        <v>1312</v>
      </c>
      <c r="Q2038" s="48" t="s">
        <v>31</v>
      </c>
      <c r="R2038" s="48" t="s">
        <v>31</v>
      </c>
      <c r="S2038" s="48" t="s">
        <v>31</v>
      </c>
      <c r="T2038" s="48" t="s">
        <v>31</v>
      </c>
      <c r="U2038" s="46" t="s">
        <v>1154</v>
      </c>
    </row>
    <row r="2039" spans="1:21">
      <c r="A2039" s="48" t="s">
        <v>1215</v>
      </c>
      <c r="B2039" s="48" t="s">
        <v>161</v>
      </c>
      <c r="C2039" s="48" t="s">
        <v>666</v>
      </c>
      <c r="D2039" s="48">
        <v>1</v>
      </c>
      <c r="E2039" s="48">
        <v>0</v>
      </c>
      <c r="F2039" t="s">
        <v>718</v>
      </c>
      <c r="G2039" s="48" t="s">
        <v>1305</v>
      </c>
      <c r="H2039" s="48" t="s">
        <v>5734</v>
      </c>
      <c r="I2039" s="48" t="s">
        <v>5734</v>
      </c>
      <c r="J2039" s="48" t="s">
        <v>5735</v>
      </c>
      <c r="K2039" s="48" t="s">
        <v>1326</v>
      </c>
      <c r="L2039" s="48" t="s">
        <v>5736</v>
      </c>
      <c r="M2039" s="48" t="s">
        <v>4432</v>
      </c>
      <c r="N2039" s="48" t="s">
        <v>1310</v>
      </c>
      <c r="O2039" s="48" t="s">
        <v>1311</v>
      </c>
      <c r="P2039" s="48" t="s">
        <v>1312</v>
      </c>
      <c r="Q2039" s="48" t="s">
        <v>31</v>
      </c>
      <c r="R2039" s="48" t="s">
        <v>31</v>
      </c>
      <c r="S2039" s="48" t="s">
        <v>31</v>
      </c>
      <c r="T2039" s="48" t="s">
        <v>31</v>
      </c>
      <c r="U2039" s="46" t="s">
        <v>1154</v>
      </c>
    </row>
    <row r="2040" spans="1:21">
      <c r="A2040" s="48" t="s">
        <v>1215</v>
      </c>
      <c r="B2040" s="48" t="s">
        <v>161</v>
      </c>
      <c r="C2040" s="48" t="s">
        <v>666</v>
      </c>
      <c r="D2040" s="48">
        <v>1</v>
      </c>
      <c r="E2040" s="48">
        <v>0</v>
      </c>
      <c r="F2040" t="s">
        <v>718</v>
      </c>
      <c r="G2040" s="48" t="s">
        <v>1305</v>
      </c>
      <c r="H2040" s="48" t="s">
        <v>5737</v>
      </c>
      <c r="I2040" s="48" t="s">
        <v>5737</v>
      </c>
      <c r="J2040" s="48" t="s">
        <v>5738</v>
      </c>
      <c r="K2040" s="48" t="s">
        <v>1323</v>
      </c>
      <c r="L2040" s="48" t="s">
        <v>5739</v>
      </c>
      <c r="M2040" s="48" t="s">
        <v>4432</v>
      </c>
      <c r="N2040" s="48" t="s">
        <v>1310</v>
      </c>
      <c r="O2040" s="48" t="s">
        <v>1311</v>
      </c>
      <c r="P2040" s="48" t="s">
        <v>1312</v>
      </c>
      <c r="Q2040" s="48" t="s">
        <v>31</v>
      </c>
      <c r="R2040" s="48" t="s">
        <v>31</v>
      </c>
      <c r="S2040" s="48" t="s">
        <v>31</v>
      </c>
      <c r="T2040" s="48" t="s">
        <v>31</v>
      </c>
      <c r="U2040" s="46" t="s">
        <v>1154</v>
      </c>
    </row>
    <row r="2041" spans="1:21">
      <c r="A2041" s="48" t="s">
        <v>1215</v>
      </c>
      <c r="B2041" s="48" t="s">
        <v>161</v>
      </c>
      <c r="C2041" s="48" t="s">
        <v>666</v>
      </c>
      <c r="D2041" s="48">
        <v>1</v>
      </c>
      <c r="E2041" s="48">
        <v>0</v>
      </c>
      <c r="F2041" t="s">
        <v>718</v>
      </c>
      <c r="G2041" s="48" t="s">
        <v>1305</v>
      </c>
      <c r="H2041" s="48" t="s">
        <v>5740</v>
      </c>
      <c r="I2041" s="48" t="s">
        <v>5740</v>
      </c>
      <c r="J2041" s="48" t="s">
        <v>5741</v>
      </c>
      <c r="K2041" s="48" t="s">
        <v>1307</v>
      </c>
      <c r="L2041" s="48" t="s">
        <v>5742</v>
      </c>
      <c r="M2041" s="48" t="s">
        <v>4432</v>
      </c>
      <c r="N2041" s="48" t="s">
        <v>1310</v>
      </c>
      <c r="O2041" s="48" t="s">
        <v>1311</v>
      </c>
      <c r="P2041" s="48" t="s">
        <v>1312</v>
      </c>
      <c r="Q2041" s="48" t="s">
        <v>31</v>
      </c>
      <c r="R2041" s="48" t="s">
        <v>31</v>
      </c>
      <c r="S2041" s="48" t="s">
        <v>31</v>
      </c>
      <c r="T2041" s="48" t="s">
        <v>31</v>
      </c>
      <c r="U2041" s="46" t="s">
        <v>1154</v>
      </c>
    </row>
    <row r="2042" spans="1:21">
      <c r="A2042" s="48" t="s">
        <v>1183</v>
      </c>
      <c r="B2042" s="48" t="s">
        <v>163</v>
      </c>
      <c r="C2042" s="48" t="s">
        <v>666</v>
      </c>
      <c r="D2042" s="48">
        <v>1</v>
      </c>
      <c r="E2042" s="48">
        <v>0</v>
      </c>
      <c r="F2042" t="s">
        <v>723</v>
      </c>
      <c r="G2042" s="48" t="s">
        <v>1305</v>
      </c>
      <c r="H2042" s="48" t="s">
        <v>5743</v>
      </c>
      <c r="I2042" s="48" t="s">
        <v>5743</v>
      </c>
      <c r="J2042" s="48" t="s">
        <v>5744</v>
      </c>
      <c r="K2042" s="48" t="s">
        <v>1317</v>
      </c>
      <c r="L2042" s="48" t="s">
        <v>5745</v>
      </c>
      <c r="M2042" s="48" t="s">
        <v>4432</v>
      </c>
      <c r="N2042" s="48" t="s">
        <v>1310</v>
      </c>
      <c r="O2042" s="48" t="s">
        <v>1311</v>
      </c>
      <c r="P2042" s="48" t="s">
        <v>1312</v>
      </c>
      <c r="Q2042" s="48" t="s">
        <v>31</v>
      </c>
      <c r="R2042" s="48" t="s">
        <v>31</v>
      </c>
      <c r="S2042" s="48" t="s">
        <v>31</v>
      </c>
      <c r="T2042" s="48" t="s">
        <v>31</v>
      </c>
      <c r="U2042" s="46" t="s">
        <v>1154</v>
      </c>
    </row>
    <row r="2043" spans="1:21">
      <c r="A2043" s="48" t="s">
        <v>1183</v>
      </c>
      <c r="B2043" s="48" t="s">
        <v>163</v>
      </c>
      <c r="C2043" s="48" t="s">
        <v>666</v>
      </c>
      <c r="D2043" s="48">
        <v>1</v>
      </c>
      <c r="E2043" s="48">
        <v>0</v>
      </c>
      <c r="F2043" t="s">
        <v>723</v>
      </c>
      <c r="G2043" s="48" t="s">
        <v>1305</v>
      </c>
      <c r="H2043" s="48" t="s">
        <v>5746</v>
      </c>
      <c r="I2043" s="48" t="s">
        <v>5746</v>
      </c>
      <c r="J2043" s="48" t="s">
        <v>5747</v>
      </c>
      <c r="K2043" s="48" t="s">
        <v>1314</v>
      </c>
      <c r="L2043" s="48" t="s">
        <v>5748</v>
      </c>
      <c r="M2043" s="48" t="s">
        <v>4432</v>
      </c>
      <c r="N2043" s="48" t="s">
        <v>1310</v>
      </c>
      <c r="O2043" s="48" t="s">
        <v>1311</v>
      </c>
      <c r="P2043" s="48" t="s">
        <v>1312</v>
      </c>
      <c r="Q2043" s="48" t="s">
        <v>31</v>
      </c>
      <c r="R2043" s="48" t="s">
        <v>31</v>
      </c>
      <c r="S2043" s="48" t="s">
        <v>31</v>
      </c>
      <c r="T2043" s="48" t="s">
        <v>31</v>
      </c>
      <c r="U2043" s="46" t="s">
        <v>1154</v>
      </c>
    </row>
    <row r="2044" spans="1:21">
      <c r="A2044" s="48" t="s">
        <v>1183</v>
      </c>
      <c r="B2044" s="48" t="s">
        <v>163</v>
      </c>
      <c r="C2044" s="48" t="s">
        <v>666</v>
      </c>
      <c r="D2044" s="48">
        <v>1</v>
      </c>
      <c r="E2044" s="48">
        <v>0</v>
      </c>
      <c r="F2044" t="s">
        <v>723</v>
      </c>
      <c r="G2044" s="48" t="s">
        <v>1305</v>
      </c>
      <c r="H2044" s="48" t="s">
        <v>5749</v>
      </c>
      <c r="I2044" s="48" t="s">
        <v>5749</v>
      </c>
      <c r="J2044" s="48" t="s">
        <v>5750</v>
      </c>
      <c r="K2044" s="48" t="s">
        <v>1320</v>
      </c>
      <c r="L2044" s="48" t="s">
        <v>5751</v>
      </c>
      <c r="M2044" s="48" t="s">
        <v>4432</v>
      </c>
      <c r="N2044" s="48" t="s">
        <v>1310</v>
      </c>
      <c r="O2044" s="48" t="s">
        <v>1311</v>
      </c>
      <c r="P2044" s="48" t="s">
        <v>1312</v>
      </c>
      <c r="Q2044" s="48" t="s">
        <v>31</v>
      </c>
      <c r="R2044" s="48" t="s">
        <v>31</v>
      </c>
      <c r="S2044" s="48" t="s">
        <v>31</v>
      </c>
      <c r="T2044" s="48" t="s">
        <v>31</v>
      </c>
      <c r="U2044" s="46" t="s">
        <v>1154</v>
      </c>
    </row>
    <row r="2045" spans="1:21">
      <c r="A2045" s="48" t="s">
        <v>1183</v>
      </c>
      <c r="B2045" s="48" t="s">
        <v>163</v>
      </c>
      <c r="C2045" s="48" t="s">
        <v>666</v>
      </c>
      <c r="D2045" s="48">
        <v>1</v>
      </c>
      <c r="E2045" s="48">
        <v>0</v>
      </c>
      <c r="F2045" t="s">
        <v>723</v>
      </c>
      <c r="G2045" s="48" t="s">
        <v>1305</v>
      </c>
      <c r="H2045" s="48" t="s">
        <v>5752</v>
      </c>
      <c r="I2045" s="48" t="s">
        <v>5752</v>
      </c>
      <c r="J2045" s="48" t="s">
        <v>5753</v>
      </c>
      <c r="K2045" s="48" t="s">
        <v>1326</v>
      </c>
      <c r="L2045" s="48" t="s">
        <v>5754</v>
      </c>
      <c r="M2045" s="48" t="s">
        <v>4432</v>
      </c>
      <c r="N2045" s="48" t="s">
        <v>1310</v>
      </c>
      <c r="O2045" s="48" t="s">
        <v>1311</v>
      </c>
      <c r="P2045" s="48" t="s">
        <v>1312</v>
      </c>
      <c r="Q2045" s="48" t="s">
        <v>31</v>
      </c>
      <c r="R2045" s="48" t="s">
        <v>31</v>
      </c>
      <c r="S2045" s="48" t="s">
        <v>31</v>
      </c>
      <c r="T2045" s="48" t="s">
        <v>31</v>
      </c>
      <c r="U2045" s="46" t="s">
        <v>1154</v>
      </c>
    </row>
    <row r="2046" spans="1:21">
      <c r="A2046" s="48" t="s">
        <v>1183</v>
      </c>
      <c r="B2046" s="48" t="s">
        <v>163</v>
      </c>
      <c r="C2046" s="48" t="s">
        <v>666</v>
      </c>
      <c r="D2046" s="48">
        <v>1</v>
      </c>
      <c r="E2046" s="48">
        <v>0</v>
      </c>
      <c r="F2046" t="s">
        <v>723</v>
      </c>
      <c r="G2046" s="48" t="s">
        <v>1305</v>
      </c>
      <c r="H2046" s="48" t="s">
        <v>5755</v>
      </c>
      <c r="I2046" s="48" t="s">
        <v>5755</v>
      </c>
      <c r="J2046" s="48" t="s">
        <v>5756</v>
      </c>
      <c r="K2046" s="48" t="s">
        <v>1323</v>
      </c>
      <c r="L2046" s="48" t="s">
        <v>5757</v>
      </c>
      <c r="M2046" s="48" t="s">
        <v>4432</v>
      </c>
      <c r="N2046" s="48" t="s">
        <v>1310</v>
      </c>
      <c r="O2046" s="48" t="s">
        <v>1311</v>
      </c>
      <c r="P2046" s="48" t="s">
        <v>1312</v>
      </c>
      <c r="Q2046" s="48" t="s">
        <v>31</v>
      </c>
      <c r="R2046" s="48" t="s">
        <v>31</v>
      </c>
      <c r="S2046" s="48" t="s">
        <v>31</v>
      </c>
      <c r="T2046" s="48" t="s">
        <v>31</v>
      </c>
      <c r="U2046" s="46" t="s">
        <v>1154</v>
      </c>
    </row>
    <row r="2047" spans="1:21">
      <c r="A2047" s="48" t="s">
        <v>1183</v>
      </c>
      <c r="B2047" s="48" t="s">
        <v>163</v>
      </c>
      <c r="C2047" s="48" t="s">
        <v>666</v>
      </c>
      <c r="D2047" s="48">
        <v>1</v>
      </c>
      <c r="E2047" s="48">
        <v>0</v>
      </c>
      <c r="F2047" t="s">
        <v>723</v>
      </c>
      <c r="G2047" s="48" t="s">
        <v>1305</v>
      </c>
      <c r="H2047" s="48" t="s">
        <v>5758</v>
      </c>
      <c r="I2047" s="48" t="s">
        <v>5758</v>
      </c>
      <c r="J2047" s="48" t="s">
        <v>5759</v>
      </c>
      <c r="K2047" s="48" t="s">
        <v>1329</v>
      </c>
      <c r="L2047" s="48" t="s">
        <v>5760</v>
      </c>
      <c r="M2047" s="48" t="s">
        <v>4432</v>
      </c>
      <c r="N2047" s="48" t="s">
        <v>1310</v>
      </c>
      <c r="O2047" s="48" t="s">
        <v>1311</v>
      </c>
      <c r="P2047" s="48" t="s">
        <v>1312</v>
      </c>
      <c r="Q2047" s="48" t="s">
        <v>31</v>
      </c>
      <c r="R2047" s="48" t="s">
        <v>31</v>
      </c>
      <c r="S2047" s="48" t="s">
        <v>31</v>
      </c>
      <c r="T2047" s="48" t="s">
        <v>31</v>
      </c>
      <c r="U2047" s="46" t="s">
        <v>1154</v>
      </c>
    </row>
    <row r="2048" spans="1:21">
      <c r="A2048" s="48" t="s">
        <v>1183</v>
      </c>
      <c r="B2048" s="48" t="s">
        <v>163</v>
      </c>
      <c r="C2048" s="48" t="s">
        <v>666</v>
      </c>
      <c r="D2048" s="48">
        <v>1</v>
      </c>
      <c r="E2048" s="48">
        <v>0</v>
      </c>
      <c r="F2048" t="s">
        <v>723</v>
      </c>
      <c r="G2048" s="48" t="s">
        <v>1305</v>
      </c>
      <c r="H2048" s="48" t="s">
        <v>5761</v>
      </c>
      <c r="I2048" s="48" t="s">
        <v>5761</v>
      </c>
      <c r="J2048" s="48" t="s">
        <v>5762</v>
      </c>
      <c r="K2048" s="48" t="s">
        <v>1307</v>
      </c>
      <c r="L2048" s="48" t="s">
        <v>5763</v>
      </c>
      <c r="M2048" s="48" t="s">
        <v>4432</v>
      </c>
      <c r="N2048" s="48" t="s">
        <v>1310</v>
      </c>
      <c r="O2048" s="48" t="s">
        <v>1311</v>
      </c>
      <c r="P2048" s="48" t="s">
        <v>1312</v>
      </c>
      <c r="Q2048" s="48" t="s">
        <v>31</v>
      </c>
      <c r="R2048" s="48" t="s">
        <v>31</v>
      </c>
      <c r="S2048" s="48" t="s">
        <v>31</v>
      </c>
      <c r="T2048" s="48" t="s">
        <v>31</v>
      </c>
      <c r="U2048" s="46" t="s">
        <v>1154</v>
      </c>
    </row>
    <row r="2049" spans="1:21">
      <c r="A2049" s="48" t="s">
        <v>1183</v>
      </c>
      <c r="B2049" s="48" t="s">
        <v>163</v>
      </c>
      <c r="C2049" s="48" t="s">
        <v>666</v>
      </c>
      <c r="D2049" s="48">
        <v>1</v>
      </c>
      <c r="E2049" s="48">
        <v>0</v>
      </c>
      <c r="F2049" t="s">
        <v>723</v>
      </c>
      <c r="G2049" s="48" t="s">
        <v>1305</v>
      </c>
      <c r="H2049" s="48" t="s">
        <v>5764</v>
      </c>
      <c r="I2049" s="48" t="s">
        <v>5764</v>
      </c>
      <c r="J2049" s="48" t="s">
        <v>5765</v>
      </c>
      <c r="K2049" s="48" t="s">
        <v>1332</v>
      </c>
      <c r="L2049" s="48" t="s">
        <v>5766</v>
      </c>
      <c r="M2049" s="48" t="s">
        <v>4432</v>
      </c>
      <c r="N2049" s="48" t="s">
        <v>1310</v>
      </c>
      <c r="O2049" s="48" t="s">
        <v>1311</v>
      </c>
      <c r="P2049" s="48" t="s">
        <v>1312</v>
      </c>
      <c r="Q2049" s="48" t="s">
        <v>31</v>
      </c>
      <c r="R2049" s="48" t="s">
        <v>31</v>
      </c>
      <c r="S2049" s="48" t="s">
        <v>31</v>
      </c>
      <c r="T2049" s="48" t="s">
        <v>31</v>
      </c>
      <c r="U2049" s="46" t="s">
        <v>1154</v>
      </c>
    </row>
    <row r="2050" spans="1:21">
      <c r="A2050" s="48" t="s">
        <v>1204</v>
      </c>
      <c r="B2050" s="48" t="s">
        <v>165</v>
      </c>
      <c r="C2050" s="48" t="s">
        <v>666</v>
      </c>
      <c r="D2050" s="48">
        <v>1</v>
      </c>
      <c r="E2050" s="48">
        <v>0</v>
      </c>
      <c r="F2050" t="s">
        <v>718</v>
      </c>
      <c r="G2050" s="48" t="s">
        <v>1305</v>
      </c>
      <c r="H2050" s="48" t="s">
        <v>5767</v>
      </c>
      <c r="I2050" s="48" t="s">
        <v>5767</v>
      </c>
      <c r="J2050" s="48" t="s">
        <v>5768</v>
      </c>
      <c r="K2050" s="48" t="s">
        <v>1320</v>
      </c>
      <c r="L2050" s="48" t="s">
        <v>5769</v>
      </c>
      <c r="M2050" s="48" t="s">
        <v>4432</v>
      </c>
      <c r="N2050" s="48" t="s">
        <v>1310</v>
      </c>
      <c r="O2050" s="48" t="s">
        <v>1311</v>
      </c>
      <c r="P2050" s="48" t="s">
        <v>1312</v>
      </c>
      <c r="Q2050" s="48" t="s">
        <v>31</v>
      </c>
      <c r="R2050" s="48" t="s">
        <v>31</v>
      </c>
      <c r="S2050" s="48" t="s">
        <v>31</v>
      </c>
      <c r="T2050" s="48" t="s">
        <v>31</v>
      </c>
      <c r="U2050" s="46" t="s">
        <v>1154</v>
      </c>
    </row>
    <row r="2051" spans="1:21">
      <c r="A2051" s="48" t="s">
        <v>1204</v>
      </c>
      <c r="B2051" s="48" t="s">
        <v>165</v>
      </c>
      <c r="C2051" s="48" t="s">
        <v>666</v>
      </c>
      <c r="D2051" s="48">
        <v>1</v>
      </c>
      <c r="E2051" s="48">
        <v>0</v>
      </c>
      <c r="F2051" t="s">
        <v>718</v>
      </c>
      <c r="G2051" s="48" t="s">
        <v>1305</v>
      </c>
      <c r="H2051" s="48" t="s">
        <v>5770</v>
      </c>
      <c r="I2051" s="48" t="s">
        <v>5770</v>
      </c>
      <c r="J2051" s="48" t="s">
        <v>5771</v>
      </c>
      <c r="K2051" s="48" t="s">
        <v>1307</v>
      </c>
      <c r="L2051" s="48" t="s">
        <v>5772</v>
      </c>
      <c r="M2051" s="48" t="s">
        <v>4432</v>
      </c>
      <c r="N2051" s="48" t="s">
        <v>1310</v>
      </c>
      <c r="O2051" s="48" t="s">
        <v>1311</v>
      </c>
      <c r="P2051" s="48" t="s">
        <v>1312</v>
      </c>
      <c r="Q2051" s="48" t="s">
        <v>31</v>
      </c>
      <c r="R2051" s="48" t="s">
        <v>31</v>
      </c>
      <c r="S2051" s="48" t="s">
        <v>31</v>
      </c>
      <c r="T2051" s="48" t="s">
        <v>31</v>
      </c>
      <c r="U2051" s="46" t="s">
        <v>1154</v>
      </c>
    </row>
    <row r="2052" spans="1:21">
      <c r="A2052" s="48" t="s">
        <v>1204</v>
      </c>
      <c r="B2052" s="48" t="s">
        <v>165</v>
      </c>
      <c r="C2052" s="48" t="s">
        <v>666</v>
      </c>
      <c r="D2052" s="48">
        <v>1</v>
      </c>
      <c r="E2052" s="48">
        <v>0</v>
      </c>
      <c r="F2052" t="s">
        <v>718</v>
      </c>
      <c r="G2052" s="48" t="s">
        <v>1305</v>
      </c>
      <c r="H2052" s="48" t="s">
        <v>5773</v>
      </c>
      <c r="I2052" s="48" t="s">
        <v>5773</v>
      </c>
      <c r="J2052" s="48" t="s">
        <v>5774</v>
      </c>
      <c r="K2052" s="48" t="s">
        <v>1317</v>
      </c>
      <c r="L2052" s="48" t="s">
        <v>5775</v>
      </c>
      <c r="M2052" s="48" t="s">
        <v>4432</v>
      </c>
      <c r="N2052" s="48" t="s">
        <v>1310</v>
      </c>
      <c r="O2052" s="48" t="s">
        <v>1311</v>
      </c>
      <c r="P2052" s="48" t="s">
        <v>1312</v>
      </c>
      <c r="Q2052" s="48" t="s">
        <v>31</v>
      </c>
      <c r="R2052" s="48" t="s">
        <v>31</v>
      </c>
      <c r="S2052" s="48" t="s">
        <v>31</v>
      </c>
      <c r="T2052" s="48" t="s">
        <v>31</v>
      </c>
      <c r="U2052" s="46" t="s">
        <v>1154</v>
      </c>
    </row>
    <row r="2053" spans="1:21">
      <c r="A2053" s="48" t="s">
        <v>1204</v>
      </c>
      <c r="B2053" s="48" t="s">
        <v>165</v>
      </c>
      <c r="C2053" s="48" t="s">
        <v>666</v>
      </c>
      <c r="D2053" s="48">
        <v>1</v>
      </c>
      <c r="E2053" s="48">
        <v>0</v>
      </c>
      <c r="F2053" t="s">
        <v>718</v>
      </c>
      <c r="G2053" s="48" t="s">
        <v>1305</v>
      </c>
      <c r="H2053" s="48" t="s">
        <v>5776</v>
      </c>
      <c r="I2053" s="48" t="s">
        <v>5776</v>
      </c>
      <c r="J2053" s="48" t="s">
        <v>5777</v>
      </c>
      <c r="K2053" s="48" t="s">
        <v>1332</v>
      </c>
      <c r="L2053" s="48" t="s">
        <v>5778</v>
      </c>
      <c r="M2053" s="48" t="s">
        <v>4432</v>
      </c>
      <c r="N2053" s="48" t="s">
        <v>1310</v>
      </c>
      <c r="O2053" s="48" t="s">
        <v>1311</v>
      </c>
      <c r="P2053" s="48" t="s">
        <v>1312</v>
      </c>
      <c r="Q2053" s="48" t="s">
        <v>31</v>
      </c>
      <c r="R2053" s="48" t="s">
        <v>31</v>
      </c>
      <c r="S2053" s="48" t="s">
        <v>31</v>
      </c>
      <c r="T2053" s="48" t="s">
        <v>31</v>
      </c>
      <c r="U2053" s="46" t="s">
        <v>1154</v>
      </c>
    </row>
    <row r="2054" spans="1:21">
      <c r="A2054" s="48" t="s">
        <v>1204</v>
      </c>
      <c r="B2054" s="48" t="s">
        <v>165</v>
      </c>
      <c r="C2054" s="48" t="s">
        <v>666</v>
      </c>
      <c r="D2054" s="48">
        <v>1</v>
      </c>
      <c r="E2054" s="48">
        <v>0</v>
      </c>
      <c r="F2054" t="s">
        <v>718</v>
      </c>
      <c r="G2054" s="48" t="s">
        <v>1305</v>
      </c>
      <c r="H2054" s="48" t="s">
        <v>5779</v>
      </c>
      <c r="I2054" s="48" t="s">
        <v>5779</v>
      </c>
      <c r="J2054" s="48" t="s">
        <v>5780</v>
      </c>
      <c r="K2054" s="48" t="s">
        <v>1326</v>
      </c>
      <c r="L2054" s="48" t="s">
        <v>5781</v>
      </c>
      <c r="M2054" s="48" t="s">
        <v>4432</v>
      </c>
      <c r="N2054" s="48" t="s">
        <v>1310</v>
      </c>
      <c r="O2054" s="48" t="s">
        <v>1311</v>
      </c>
      <c r="P2054" s="48" t="s">
        <v>1312</v>
      </c>
      <c r="Q2054" s="48" t="s">
        <v>31</v>
      </c>
      <c r="R2054" s="48" t="s">
        <v>31</v>
      </c>
      <c r="S2054" s="48" t="s">
        <v>31</v>
      </c>
      <c r="T2054" s="48" t="s">
        <v>31</v>
      </c>
      <c r="U2054" s="46" t="s">
        <v>1154</v>
      </c>
    </row>
    <row r="2055" spans="1:21">
      <c r="A2055" s="48" t="s">
        <v>1204</v>
      </c>
      <c r="B2055" s="48" t="s">
        <v>165</v>
      </c>
      <c r="C2055" s="48" t="s">
        <v>666</v>
      </c>
      <c r="D2055" s="48">
        <v>1</v>
      </c>
      <c r="E2055" s="48">
        <v>0</v>
      </c>
      <c r="F2055" t="s">
        <v>718</v>
      </c>
      <c r="G2055" s="48" t="s">
        <v>1305</v>
      </c>
      <c r="H2055" s="48" t="s">
        <v>5782</v>
      </c>
      <c r="I2055" s="48" t="s">
        <v>5782</v>
      </c>
      <c r="J2055" s="48" t="s">
        <v>5783</v>
      </c>
      <c r="K2055" s="48" t="s">
        <v>1329</v>
      </c>
      <c r="L2055" s="48" t="s">
        <v>5784</v>
      </c>
      <c r="M2055" s="48" t="s">
        <v>4432</v>
      </c>
      <c r="N2055" s="48" t="s">
        <v>1310</v>
      </c>
      <c r="O2055" s="48" t="s">
        <v>1311</v>
      </c>
      <c r="P2055" s="48" t="s">
        <v>1312</v>
      </c>
      <c r="Q2055" s="48" t="s">
        <v>31</v>
      </c>
      <c r="R2055" s="48" t="s">
        <v>31</v>
      </c>
      <c r="S2055" s="48" t="s">
        <v>31</v>
      </c>
      <c r="T2055" s="48" t="s">
        <v>31</v>
      </c>
      <c r="U2055" s="46" t="s">
        <v>1154</v>
      </c>
    </row>
    <row r="2056" spans="1:21">
      <c r="A2056" s="48" t="s">
        <v>1204</v>
      </c>
      <c r="B2056" s="48" t="s">
        <v>165</v>
      </c>
      <c r="C2056" s="48" t="s">
        <v>666</v>
      </c>
      <c r="D2056" s="48">
        <v>1</v>
      </c>
      <c r="E2056" s="48">
        <v>0</v>
      </c>
      <c r="F2056" t="s">
        <v>718</v>
      </c>
      <c r="G2056" s="48" t="s">
        <v>1305</v>
      </c>
      <c r="H2056" s="48" t="s">
        <v>5785</v>
      </c>
      <c r="I2056" s="48" t="s">
        <v>5785</v>
      </c>
      <c r="J2056" s="48" t="s">
        <v>5786</v>
      </c>
      <c r="K2056" s="48" t="s">
        <v>1323</v>
      </c>
      <c r="L2056" s="48" t="s">
        <v>5787</v>
      </c>
      <c r="M2056" s="48" t="s">
        <v>4432</v>
      </c>
      <c r="N2056" s="48" t="s">
        <v>1310</v>
      </c>
      <c r="O2056" s="48" t="s">
        <v>1311</v>
      </c>
      <c r="P2056" s="48" t="s">
        <v>1312</v>
      </c>
      <c r="Q2056" s="48" t="s">
        <v>31</v>
      </c>
      <c r="R2056" s="48" t="s">
        <v>31</v>
      </c>
      <c r="S2056" s="48" t="s">
        <v>31</v>
      </c>
      <c r="T2056" s="48" t="s">
        <v>31</v>
      </c>
      <c r="U2056" s="46" t="s">
        <v>1154</v>
      </c>
    </row>
    <row r="2057" spans="1:21">
      <c r="A2057" s="48" t="s">
        <v>1204</v>
      </c>
      <c r="B2057" s="48" t="s">
        <v>165</v>
      </c>
      <c r="C2057" s="48" t="s">
        <v>666</v>
      </c>
      <c r="D2057" s="48">
        <v>1</v>
      </c>
      <c r="E2057" s="48">
        <v>0</v>
      </c>
      <c r="F2057" t="s">
        <v>718</v>
      </c>
      <c r="G2057" s="48" t="s">
        <v>1305</v>
      </c>
      <c r="H2057" s="48" t="s">
        <v>5788</v>
      </c>
      <c r="I2057" s="48" t="s">
        <v>5788</v>
      </c>
      <c r="J2057" s="48" t="s">
        <v>5789</v>
      </c>
      <c r="K2057" s="48" t="s">
        <v>1314</v>
      </c>
      <c r="L2057" s="48" t="s">
        <v>5790</v>
      </c>
      <c r="M2057" s="48" t="s">
        <v>4432</v>
      </c>
      <c r="N2057" s="48" t="s">
        <v>1310</v>
      </c>
      <c r="O2057" s="48" t="s">
        <v>1311</v>
      </c>
      <c r="P2057" s="48" t="s">
        <v>1312</v>
      </c>
      <c r="Q2057" s="48" t="s">
        <v>31</v>
      </c>
      <c r="R2057" s="48" t="s">
        <v>31</v>
      </c>
      <c r="S2057" s="48" t="s">
        <v>31</v>
      </c>
      <c r="T2057" s="48" t="s">
        <v>31</v>
      </c>
      <c r="U2057" s="46" t="s">
        <v>1154</v>
      </c>
    </row>
    <row r="2058" spans="1:21">
      <c r="A2058" s="48" t="s">
        <v>1224</v>
      </c>
      <c r="B2058" s="48" t="s">
        <v>167</v>
      </c>
      <c r="C2058" s="48" t="s">
        <v>666</v>
      </c>
      <c r="D2058" s="48">
        <v>1</v>
      </c>
      <c r="E2058" s="48">
        <v>0</v>
      </c>
      <c r="F2058" t="s">
        <v>713</v>
      </c>
      <c r="G2058" s="48" t="s">
        <v>1305</v>
      </c>
      <c r="H2058" s="48" t="s">
        <v>5791</v>
      </c>
      <c r="I2058" s="48" t="s">
        <v>5791</v>
      </c>
      <c r="J2058" s="48" t="s">
        <v>5792</v>
      </c>
      <c r="K2058" s="48" t="s">
        <v>1307</v>
      </c>
      <c r="L2058" s="48" t="s">
        <v>5793</v>
      </c>
      <c r="M2058" s="48" t="s">
        <v>4432</v>
      </c>
      <c r="N2058" s="48" t="s">
        <v>1310</v>
      </c>
      <c r="O2058" s="48" t="s">
        <v>1311</v>
      </c>
      <c r="P2058" s="48" t="s">
        <v>1312</v>
      </c>
      <c r="Q2058" s="48" t="s">
        <v>31</v>
      </c>
      <c r="R2058" s="48" t="s">
        <v>31</v>
      </c>
      <c r="S2058" s="48" t="s">
        <v>31</v>
      </c>
      <c r="T2058" s="48" t="s">
        <v>31</v>
      </c>
      <c r="U2058" s="46" t="s">
        <v>1154</v>
      </c>
    </row>
    <row r="2059" spans="1:21">
      <c r="A2059" s="48" t="s">
        <v>1224</v>
      </c>
      <c r="B2059" s="48" t="s">
        <v>167</v>
      </c>
      <c r="C2059" s="48" t="s">
        <v>666</v>
      </c>
      <c r="D2059" s="48">
        <v>1</v>
      </c>
      <c r="E2059" s="48">
        <v>0</v>
      </c>
      <c r="F2059" t="s">
        <v>713</v>
      </c>
      <c r="G2059" s="48" t="s">
        <v>1305</v>
      </c>
      <c r="H2059" s="48" t="s">
        <v>5794</v>
      </c>
      <c r="I2059" s="48" t="s">
        <v>5794</v>
      </c>
      <c r="J2059" s="48" t="s">
        <v>5795</v>
      </c>
      <c r="K2059" s="48" t="s">
        <v>1332</v>
      </c>
      <c r="L2059" s="48" t="s">
        <v>5796</v>
      </c>
      <c r="M2059" s="48" t="s">
        <v>4432</v>
      </c>
      <c r="N2059" s="48" t="s">
        <v>1310</v>
      </c>
      <c r="O2059" s="48" t="s">
        <v>1311</v>
      </c>
      <c r="P2059" s="48" t="s">
        <v>1312</v>
      </c>
      <c r="Q2059" s="48" t="s">
        <v>31</v>
      </c>
      <c r="R2059" s="48" t="s">
        <v>31</v>
      </c>
      <c r="S2059" s="48" t="s">
        <v>31</v>
      </c>
      <c r="T2059" s="48" t="s">
        <v>31</v>
      </c>
      <c r="U2059" s="46" t="s">
        <v>1154</v>
      </c>
    </row>
    <row r="2060" spans="1:21">
      <c r="A2060" s="48" t="s">
        <v>1224</v>
      </c>
      <c r="B2060" s="48" t="s">
        <v>167</v>
      </c>
      <c r="C2060" s="48" t="s">
        <v>666</v>
      </c>
      <c r="D2060" s="48">
        <v>1</v>
      </c>
      <c r="E2060" s="48">
        <v>0</v>
      </c>
      <c r="F2060" t="s">
        <v>713</v>
      </c>
      <c r="G2060" s="48" t="s">
        <v>1305</v>
      </c>
      <c r="H2060" s="48" t="s">
        <v>5797</v>
      </c>
      <c r="I2060" s="48" t="s">
        <v>5797</v>
      </c>
      <c r="J2060" s="48" t="s">
        <v>5798</v>
      </c>
      <c r="K2060" s="48" t="s">
        <v>1320</v>
      </c>
      <c r="L2060" s="48" t="s">
        <v>5799</v>
      </c>
      <c r="M2060" s="48" t="s">
        <v>4432</v>
      </c>
      <c r="N2060" s="48" t="s">
        <v>1310</v>
      </c>
      <c r="O2060" s="48" t="s">
        <v>1311</v>
      </c>
      <c r="P2060" s="48" t="s">
        <v>1312</v>
      </c>
      <c r="Q2060" s="48" t="s">
        <v>31</v>
      </c>
      <c r="R2060" s="48" t="s">
        <v>31</v>
      </c>
      <c r="S2060" s="48" t="s">
        <v>31</v>
      </c>
      <c r="T2060" s="48" t="s">
        <v>31</v>
      </c>
      <c r="U2060" s="46" t="s">
        <v>1154</v>
      </c>
    </row>
    <row r="2061" spans="1:21">
      <c r="A2061" s="48" t="s">
        <v>1224</v>
      </c>
      <c r="B2061" s="48" t="s">
        <v>167</v>
      </c>
      <c r="C2061" s="48" t="s">
        <v>666</v>
      </c>
      <c r="D2061" s="48">
        <v>1</v>
      </c>
      <c r="E2061" s="48">
        <v>0</v>
      </c>
      <c r="F2061" t="s">
        <v>713</v>
      </c>
      <c r="G2061" s="48" t="s">
        <v>1305</v>
      </c>
      <c r="H2061" s="48" t="s">
        <v>5800</v>
      </c>
      <c r="I2061" s="48" t="s">
        <v>5800</v>
      </c>
      <c r="J2061" s="48" t="s">
        <v>5801</v>
      </c>
      <c r="K2061" s="48" t="s">
        <v>1314</v>
      </c>
      <c r="L2061" s="48" t="s">
        <v>5802</v>
      </c>
      <c r="M2061" s="48" t="s">
        <v>4432</v>
      </c>
      <c r="N2061" s="48" t="s">
        <v>1310</v>
      </c>
      <c r="O2061" s="48" t="s">
        <v>1311</v>
      </c>
      <c r="P2061" s="48" t="s">
        <v>1312</v>
      </c>
      <c r="Q2061" s="48" t="s">
        <v>31</v>
      </c>
      <c r="R2061" s="48" t="s">
        <v>31</v>
      </c>
      <c r="S2061" s="48" t="s">
        <v>31</v>
      </c>
      <c r="T2061" s="48" t="s">
        <v>31</v>
      </c>
      <c r="U2061" s="46" t="s">
        <v>1154</v>
      </c>
    </row>
    <row r="2062" spans="1:21">
      <c r="A2062" s="48" t="s">
        <v>1224</v>
      </c>
      <c r="B2062" s="48" t="s">
        <v>167</v>
      </c>
      <c r="C2062" s="48" t="s">
        <v>666</v>
      </c>
      <c r="D2062" s="48">
        <v>1</v>
      </c>
      <c r="E2062" s="48">
        <v>0</v>
      </c>
      <c r="F2062" t="s">
        <v>713</v>
      </c>
      <c r="G2062" s="48" t="s">
        <v>1305</v>
      </c>
      <c r="H2062" s="48" t="s">
        <v>5803</v>
      </c>
      <c r="I2062" s="48" t="s">
        <v>5803</v>
      </c>
      <c r="J2062" s="48" t="s">
        <v>5804</v>
      </c>
      <c r="K2062" s="48" t="s">
        <v>1317</v>
      </c>
      <c r="L2062" s="48" t="s">
        <v>5805</v>
      </c>
      <c r="M2062" s="48" t="s">
        <v>4432</v>
      </c>
      <c r="N2062" s="48" t="s">
        <v>1310</v>
      </c>
      <c r="O2062" s="48" t="s">
        <v>1311</v>
      </c>
      <c r="P2062" s="48" t="s">
        <v>1312</v>
      </c>
      <c r="Q2062" s="48" t="s">
        <v>31</v>
      </c>
      <c r="R2062" s="48" t="s">
        <v>31</v>
      </c>
      <c r="S2062" s="48" t="s">
        <v>31</v>
      </c>
      <c r="T2062" s="48" t="s">
        <v>31</v>
      </c>
      <c r="U2062" s="46" t="s">
        <v>1154</v>
      </c>
    </row>
    <row r="2063" spans="1:21">
      <c r="A2063" s="48" t="s">
        <v>1224</v>
      </c>
      <c r="B2063" s="48" t="s">
        <v>167</v>
      </c>
      <c r="C2063" s="48" t="s">
        <v>666</v>
      </c>
      <c r="D2063" s="48">
        <v>1</v>
      </c>
      <c r="E2063" s="48">
        <v>0</v>
      </c>
      <c r="F2063" t="s">
        <v>713</v>
      </c>
      <c r="G2063" s="48" t="s">
        <v>1305</v>
      </c>
      <c r="H2063" s="48" t="s">
        <v>5806</v>
      </c>
      <c r="I2063" s="48" t="s">
        <v>5806</v>
      </c>
      <c r="J2063" s="48" t="s">
        <v>5807</v>
      </c>
      <c r="K2063" s="48" t="s">
        <v>1326</v>
      </c>
      <c r="L2063" s="48" t="s">
        <v>5808</v>
      </c>
      <c r="M2063" s="48" t="s">
        <v>4432</v>
      </c>
      <c r="N2063" s="48" t="s">
        <v>1310</v>
      </c>
      <c r="O2063" s="48" t="s">
        <v>1311</v>
      </c>
      <c r="P2063" s="48" t="s">
        <v>1312</v>
      </c>
      <c r="Q2063" s="48" t="s">
        <v>31</v>
      </c>
      <c r="R2063" s="48" t="s">
        <v>31</v>
      </c>
      <c r="S2063" s="48" t="s">
        <v>31</v>
      </c>
      <c r="T2063" s="48" t="s">
        <v>31</v>
      </c>
      <c r="U2063" s="46" t="s">
        <v>1154</v>
      </c>
    </row>
    <row r="2064" spans="1:21">
      <c r="A2064" s="48" t="s">
        <v>1224</v>
      </c>
      <c r="B2064" s="48" t="s">
        <v>167</v>
      </c>
      <c r="C2064" s="48" t="s">
        <v>666</v>
      </c>
      <c r="D2064" s="48">
        <v>1</v>
      </c>
      <c r="E2064" s="48">
        <v>0</v>
      </c>
      <c r="F2064" t="s">
        <v>713</v>
      </c>
      <c r="G2064" s="48" t="s">
        <v>1305</v>
      </c>
      <c r="H2064" s="48" t="s">
        <v>5809</v>
      </c>
      <c r="I2064" s="48" t="s">
        <v>5809</v>
      </c>
      <c r="J2064" s="48" t="s">
        <v>5810</v>
      </c>
      <c r="K2064" s="48" t="s">
        <v>1323</v>
      </c>
      <c r="L2064" s="48" t="s">
        <v>5811</v>
      </c>
      <c r="M2064" s="48" t="s">
        <v>4432</v>
      </c>
      <c r="N2064" s="48" t="s">
        <v>1310</v>
      </c>
      <c r="O2064" s="48" t="s">
        <v>1311</v>
      </c>
      <c r="P2064" s="48" t="s">
        <v>1312</v>
      </c>
      <c r="Q2064" s="48" t="s">
        <v>31</v>
      </c>
      <c r="R2064" s="48" t="s">
        <v>31</v>
      </c>
      <c r="S2064" s="48" t="s">
        <v>31</v>
      </c>
      <c r="T2064" s="48" t="s">
        <v>31</v>
      </c>
      <c r="U2064" s="46" t="s">
        <v>1154</v>
      </c>
    </row>
    <row r="2065" spans="1:21">
      <c r="A2065" s="48" t="s">
        <v>1224</v>
      </c>
      <c r="B2065" s="48" t="s">
        <v>167</v>
      </c>
      <c r="C2065" s="48" t="s">
        <v>666</v>
      </c>
      <c r="D2065" s="48">
        <v>1</v>
      </c>
      <c r="E2065" s="48">
        <v>0</v>
      </c>
      <c r="F2065" t="s">
        <v>713</v>
      </c>
      <c r="G2065" s="48" t="s">
        <v>1305</v>
      </c>
      <c r="H2065" s="48" t="s">
        <v>5812</v>
      </c>
      <c r="I2065" s="48" t="s">
        <v>5812</v>
      </c>
      <c r="J2065" s="48" t="s">
        <v>5813</v>
      </c>
      <c r="K2065" s="48" t="s">
        <v>1329</v>
      </c>
      <c r="L2065" s="48" t="s">
        <v>5814</v>
      </c>
      <c r="M2065" s="48" t="s">
        <v>4432</v>
      </c>
      <c r="N2065" s="48" t="s">
        <v>1310</v>
      </c>
      <c r="O2065" s="48" t="s">
        <v>1311</v>
      </c>
      <c r="P2065" s="48" t="s">
        <v>1312</v>
      </c>
      <c r="Q2065" s="48" t="s">
        <v>31</v>
      </c>
      <c r="R2065" s="48" t="s">
        <v>31</v>
      </c>
      <c r="S2065" s="48" t="s">
        <v>31</v>
      </c>
      <c r="T2065" s="48" t="s">
        <v>31</v>
      </c>
      <c r="U2065" s="46" t="s">
        <v>1154</v>
      </c>
    </row>
    <row r="2066" spans="1:21">
      <c r="A2066" s="48" t="s">
        <v>1158</v>
      </c>
      <c r="B2066" s="48" t="s">
        <v>169</v>
      </c>
      <c r="C2066" s="48" t="s">
        <v>666</v>
      </c>
      <c r="D2066" s="48">
        <v>1</v>
      </c>
      <c r="E2066" s="48">
        <v>0</v>
      </c>
      <c r="F2066" t="s">
        <v>690</v>
      </c>
      <c r="G2066" s="48" t="s">
        <v>1305</v>
      </c>
      <c r="H2066" s="48" t="s">
        <v>5815</v>
      </c>
      <c r="I2066" s="48" t="s">
        <v>5815</v>
      </c>
      <c r="J2066" s="48" t="s">
        <v>5816</v>
      </c>
      <c r="K2066" s="48" t="s">
        <v>1332</v>
      </c>
      <c r="L2066" s="48" t="s">
        <v>5817</v>
      </c>
      <c r="M2066" s="48" t="s">
        <v>4432</v>
      </c>
      <c r="N2066" s="48" t="s">
        <v>1310</v>
      </c>
      <c r="O2066" s="48" t="s">
        <v>1311</v>
      </c>
      <c r="P2066" s="48" t="s">
        <v>1312</v>
      </c>
      <c r="Q2066" s="48" t="s">
        <v>31</v>
      </c>
      <c r="R2066" s="48" t="s">
        <v>31</v>
      </c>
      <c r="S2066" s="48" t="s">
        <v>31</v>
      </c>
      <c r="T2066" s="48" t="s">
        <v>31</v>
      </c>
      <c r="U2066" s="46" t="s">
        <v>1154</v>
      </c>
    </row>
    <row r="2067" spans="1:21">
      <c r="A2067" s="48" t="s">
        <v>1158</v>
      </c>
      <c r="B2067" s="48" t="s">
        <v>169</v>
      </c>
      <c r="C2067" s="48" t="s">
        <v>666</v>
      </c>
      <c r="D2067" s="48">
        <v>1</v>
      </c>
      <c r="E2067" s="48">
        <v>0</v>
      </c>
      <c r="F2067" t="s">
        <v>690</v>
      </c>
      <c r="G2067" s="48" t="s">
        <v>1305</v>
      </c>
      <c r="H2067" s="48" t="s">
        <v>5818</v>
      </c>
      <c r="I2067" s="48" t="s">
        <v>5818</v>
      </c>
      <c r="J2067" s="48" t="s">
        <v>5819</v>
      </c>
      <c r="K2067" s="48" t="s">
        <v>1317</v>
      </c>
      <c r="L2067" s="48" t="s">
        <v>5820</v>
      </c>
      <c r="M2067" s="48" t="s">
        <v>4432</v>
      </c>
      <c r="N2067" s="48" t="s">
        <v>1310</v>
      </c>
      <c r="O2067" s="48" t="s">
        <v>1311</v>
      </c>
      <c r="P2067" s="48" t="s">
        <v>1312</v>
      </c>
      <c r="Q2067" s="48" t="s">
        <v>31</v>
      </c>
      <c r="R2067" s="48" t="s">
        <v>31</v>
      </c>
      <c r="S2067" s="48" t="s">
        <v>31</v>
      </c>
      <c r="T2067" s="48" t="s">
        <v>31</v>
      </c>
      <c r="U2067" s="46" t="s">
        <v>1154</v>
      </c>
    </row>
    <row r="2068" spans="1:21">
      <c r="A2068" s="48" t="s">
        <v>1158</v>
      </c>
      <c r="B2068" s="48" t="s">
        <v>169</v>
      </c>
      <c r="C2068" s="48" t="s">
        <v>666</v>
      </c>
      <c r="D2068" s="48">
        <v>1</v>
      </c>
      <c r="E2068" s="48">
        <v>0</v>
      </c>
      <c r="F2068" t="s">
        <v>690</v>
      </c>
      <c r="G2068" s="48" t="s">
        <v>1305</v>
      </c>
      <c r="H2068" s="48" t="s">
        <v>5821</v>
      </c>
      <c r="I2068" s="48" t="s">
        <v>5821</v>
      </c>
      <c r="J2068" s="48" t="s">
        <v>5822</v>
      </c>
      <c r="K2068" s="48" t="s">
        <v>1320</v>
      </c>
      <c r="L2068" s="48" t="s">
        <v>5823</v>
      </c>
      <c r="M2068" s="48" t="s">
        <v>4432</v>
      </c>
      <c r="N2068" s="48" t="s">
        <v>1310</v>
      </c>
      <c r="O2068" s="48" t="s">
        <v>1311</v>
      </c>
      <c r="P2068" s="48" t="s">
        <v>1312</v>
      </c>
      <c r="Q2068" s="48" t="s">
        <v>31</v>
      </c>
      <c r="R2068" s="48" t="s">
        <v>31</v>
      </c>
      <c r="S2068" s="48" t="s">
        <v>31</v>
      </c>
      <c r="T2068" s="48" t="s">
        <v>31</v>
      </c>
      <c r="U2068" s="46" t="s">
        <v>1154</v>
      </c>
    </row>
    <row r="2069" spans="1:21">
      <c r="A2069" s="48" t="s">
        <v>1158</v>
      </c>
      <c r="B2069" s="48" t="s">
        <v>169</v>
      </c>
      <c r="C2069" s="48" t="s">
        <v>666</v>
      </c>
      <c r="D2069" s="48">
        <v>1</v>
      </c>
      <c r="E2069" s="48">
        <v>0</v>
      </c>
      <c r="F2069" t="s">
        <v>690</v>
      </c>
      <c r="G2069" s="48" t="s">
        <v>1305</v>
      </c>
      <c r="H2069" s="48" t="s">
        <v>5824</v>
      </c>
      <c r="I2069" s="48" t="s">
        <v>5824</v>
      </c>
      <c r="J2069" s="48" t="s">
        <v>5825</v>
      </c>
      <c r="K2069" s="48" t="s">
        <v>1326</v>
      </c>
      <c r="L2069" s="48" t="s">
        <v>5826</v>
      </c>
      <c r="M2069" s="48" t="s">
        <v>4432</v>
      </c>
      <c r="N2069" s="48" t="s">
        <v>1310</v>
      </c>
      <c r="O2069" s="48" t="s">
        <v>1311</v>
      </c>
      <c r="P2069" s="48" t="s">
        <v>1312</v>
      </c>
      <c r="Q2069" s="48" t="s">
        <v>31</v>
      </c>
      <c r="R2069" s="48" t="s">
        <v>31</v>
      </c>
      <c r="S2069" s="48" t="s">
        <v>31</v>
      </c>
      <c r="T2069" s="48" t="s">
        <v>31</v>
      </c>
      <c r="U2069" s="46" t="s">
        <v>1154</v>
      </c>
    </row>
    <row r="2070" spans="1:21">
      <c r="A2070" s="48" t="s">
        <v>1158</v>
      </c>
      <c r="B2070" s="48" t="s">
        <v>169</v>
      </c>
      <c r="C2070" s="48" t="s">
        <v>666</v>
      </c>
      <c r="D2070" s="48">
        <v>1</v>
      </c>
      <c r="E2070" s="48">
        <v>0</v>
      </c>
      <c r="F2070" t="s">
        <v>690</v>
      </c>
      <c r="G2070" s="48" t="s">
        <v>1305</v>
      </c>
      <c r="H2070" s="48" t="s">
        <v>5827</v>
      </c>
      <c r="I2070" s="48" t="s">
        <v>5827</v>
      </c>
      <c r="J2070" s="48" t="s">
        <v>5828</v>
      </c>
      <c r="K2070" s="48" t="s">
        <v>1314</v>
      </c>
      <c r="L2070" s="48" t="s">
        <v>5829</v>
      </c>
      <c r="M2070" s="48" t="s">
        <v>4432</v>
      </c>
      <c r="N2070" s="48" t="s">
        <v>1310</v>
      </c>
      <c r="O2070" s="48" t="s">
        <v>1311</v>
      </c>
      <c r="P2070" s="48" t="s">
        <v>1312</v>
      </c>
      <c r="Q2070" s="48" t="s">
        <v>31</v>
      </c>
      <c r="R2070" s="48" t="s">
        <v>31</v>
      </c>
      <c r="S2070" s="48" t="s">
        <v>31</v>
      </c>
      <c r="T2070" s="48" t="s">
        <v>31</v>
      </c>
      <c r="U2070" s="46" t="s">
        <v>1154</v>
      </c>
    </row>
    <row r="2071" spans="1:21">
      <c r="A2071" s="48" t="s">
        <v>1158</v>
      </c>
      <c r="B2071" s="48" t="s">
        <v>169</v>
      </c>
      <c r="C2071" s="48" t="s">
        <v>666</v>
      </c>
      <c r="D2071" s="48">
        <v>1</v>
      </c>
      <c r="E2071" s="48">
        <v>0</v>
      </c>
      <c r="F2071" t="s">
        <v>690</v>
      </c>
      <c r="G2071" s="48" t="s">
        <v>1305</v>
      </c>
      <c r="H2071" s="48" t="s">
        <v>5830</v>
      </c>
      <c r="I2071" s="48" t="s">
        <v>5830</v>
      </c>
      <c r="J2071" s="48" t="s">
        <v>5831</v>
      </c>
      <c r="K2071" s="48" t="s">
        <v>1307</v>
      </c>
      <c r="L2071" s="48" t="s">
        <v>5832</v>
      </c>
      <c r="M2071" s="48" t="s">
        <v>4432</v>
      </c>
      <c r="N2071" s="48" t="s">
        <v>1310</v>
      </c>
      <c r="O2071" s="48" t="s">
        <v>1311</v>
      </c>
      <c r="P2071" s="48" t="s">
        <v>1312</v>
      </c>
      <c r="Q2071" s="48" t="s">
        <v>31</v>
      </c>
      <c r="R2071" s="48" t="s">
        <v>31</v>
      </c>
      <c r="S2071" s="48" t="s">
        <v>31</v>
      </c>
      <c r="T2071" s="48" t="s">
        <v>31</v>
      </c>
      <c r="U2071" s="46" t="s">
        <v>1154</v>
      </c>
    </row>
    <row r="2072" spans="1:21">
      <c r="A2072" s="48" t="s">
        <v>1158</v>
      </c>
      <c r="B2072" s="48" t="s">
        <v>169</v>
      </c>
      <c r="C2072" s="48" t="s">
        <v>666</v>
      </c>
      <c r="D2072" s="48">
        <v>1</v>
      </c>
      <c r="E2072" s="48">
        <v>0</v>
      </c>
      <c r="F2072" t="s">
        <v>690</v>
      </c>
      <c r="G2072" s="48" t="s">
        <v>1305</v>
      </c>
      <c r="H2072" s="48" t="s">
        <v>5833</v>
      </c>
      <c r="I2072" s="48" t="s">
        <v>5833</v>
      </c>
      <c r="J2072" s="48" t="s">
        <v>5834</v>
      </c>
      <c r="K2072" s="48" t="s">
        <v>1329</v>
      </c>
      <c r="L2072" s="48" t="s">
        <v>5835</v>
      </c>
      <c r="M2072" s="48" t="s">
        <v>4432</v>
      </c>
      <c r="N2072" s="48" t="s">
        <v>1310</v>
      </c>
      <c r="O2072" s="48" t="s">
        <v>1311</v>
      </c>
      <c r="P2072" s="48" t="s">
        <v>1312</v>
      </c>
      <c r="Q2072" s="48" t="s">
        <v>31</v>
      </c>
      <c r="R2072" s="48" t="s">
        <v>31</v>
      </c>
      <c r="S2072" s="48" t="s">
        <v>31</v>
      </c>
      <c r="T2072" s="48" t="s">
        <v>31</v>
      </c>
      <c r="U2072" s="46" t="s">
        <v>1154</v>
      </c>
    </row>
    <row r="2073" spans="1:21">
      <c r="A2073" s="48" t="s">
        <v>1158</v>
      </c>
      <c r="B2073" s="48" t="s">
        <v>169</v>
      </c>
      <c r="C2073" s="48" t="s">
        <v>666</v>
      </c>
      <c r="D2073" s="48">
        <v>1</v>
      </c>
      <c r="E2073" s="48">
        <v>0</v>
      </c>
      <c r="F2073" t="s">
        <v>690</v>
      </c>
      <c r="G2073" s="48" t="s">
        <v>1305</v>
      </c>
      <c r="H2073" s="48" t="s">
        <v>5836</v>
      </c>
      <c r="I2073" s="48" t="s">
        <v>5836</v>
      </c>
      <c r="J2073" s="48" t="s">
        <v>5837</v>
      </c>
      <c r="K2073" s="48" t="s">
        <v>1323</v>
      </c>
      <c r="L2073" s="48" t="s">
        <v>5838</v>
      </c>
      <c r="M2073" s="48" t="s">
        <v>4432</v>
      </c>
      <c r="N2073" s="48" t="s">
        <v>1310</v>
      </c>
      <c r="O2073" s="48" t="s">
        <v>1311</v>
      </c>
      <c r="P2073" s="48" t="s">
        <v>1312</v>
      </c>
      <c r="Q2073" s="48" t="s">
        <v>31</v>
      </c>
      <c r="R2073" s="48" t="s">
        <v>31</v>
      </c>
      <c r="S2073" s="48" t="s">
        <v>31</v>
      </c>
      <c r="T2073" s="48" t="s">
        <v>31</v>
      </c>
      <c r="U2073" s="46" t="s">
        <v>1154</v>
      </c>
    </row>
    <row r="2074" spans="1:21">
      <c r="A2074" s="48" t="s">
        <v>1173</v>
      </c>
      <c r="B2074" s="48" t="s">
        <v>171</v>
      </c>
      <c r="C2074" s="48" t="s">
        <v>666</v>
      </c>
      <c r="D2074" s="48">
        <v>1</v>
      </c>
      <c r="E2074" s="48">
        <v>0</v>
      </c>
      <c r="F2074" t="s">
        <v>733</v>
      </c>
      <c r="G2074" s="48" t="s">
        <v>1305</v>
      </c>
      <c r="H2074" s="48" t="s">
        <v>5839</v>
      </c>
      <c r="I2074" s="48" t="s">
        <v>5839</v>
      </c>
      <c r="J2074" s="48" t="s">
        <v>5840</v>
      </c>
      <c r="K2074" s="48" t="s">
        <v>1314</v>
      </c>
      <c r="L2074" s="48" t="s">
        <v>5841</v>
      </c>
      <c r="M2074" s="48" t="s">
        <v>4432</v>
      </c>
      <c r="N2074" s="48" t="s">
        <v>1310</v>
      </c>
      <c r="O2074" s="48" t="s">
        <v>1311</v>
      </c>
      <c r="P2074" s="48" t="s">
        <v>1312</v>
      </c>
      <c r="Q2074" s="48" t="s">
        <v>31</v>
      </c>
      <c r="R2074" s="48" t="s">
        <v>31</v>
      </c>
      <c r="S2074" s="48" t="s">
        <v>31</v>
      </c>
      <c r="T2074" s="48" t="s">
        <v>31</v>
      </c>
      <c r="U2074" s="46" t="s">
        <v>1154</v>
      </c>
    </row>
    <row r="2075" spans="1:21">
      <c r="A2075" s="48" t="s">
        <v>1173</v>
      </c>
      <c r="B2075" s="48" t="s">
        <v>171</v>
      </c>
      <c r="C2075" s="48" t="s">
        <v>666</v>
      </c>
      <c r="D2075" s="48">
        <v>1</v>
      </c>
      <c r="E2075" s="48">
        <v>0</v>
      </c>
      <c r="F2075" t="s">
        <v>733</v>
      </c>
      <c r="G2075" s="48" t="s">
        <v>1305</v>
      </c>
      <c r="H2075" s="48" t="s">
        <v>5842</v>
      </c>
      <c r="I2075" s="48" t="s">
        <v>5842</v>
      </c>
      <c r="J2075" s="48" t="s">
        <v>5843</v>
      </c>
      <c r="K2075" s="48" t="s">
        <v>1332</v>
      </c>
      <c r="L2075" s="48" t="s">
        <v>5844</v>
      </c>
      <c r="M2075" s="48" t="s">
        <v>4432</v>
      </c>
      <c r="N2075" s="48" t="s">
        <v>1310</v>
      </c>
      <c r="O2075" s="48" t="s">
        <v>1311</v>
      </c>
      <c r="P2075" s="48" t="s">
        <v>1312</v>
      </c>
      <c r="Q2075" s="48" t="s">
        <v>31</v>
      </c>
      <c r="R2075" s="48" t="s">
        <v>31</v>
      </c>
      <c r="S2075" s="48" t="s">
        <v>31</v>
      </c>
      <c r="T2075" s="48" t="s">
        <v>31</v>
      </c>
      <c r="U2075" s="46" t="s">
        <v>1154</v>
      </c>
    </row>
    <row r="2076" spans="1:21">
      <c r="A2076" s="48" t="s">
        <v>1173</v>
      </c>
      <c r="B2076" s="48" t="s">
        <v>171</v>
      </c>
      <c r="C2076" s="48" t="s">
        <v>666</v>
      </c>
      <c r="D2076" s="48">
        <v>1</v>
      </c>
      <c r="E2076" s="48">
        <v>0</v>
      </c>
      <c r="F2076" t="s">
        <v>733</v>
      </c>
      <c r="G2076" s="48" t="s">
        <v>1305</v>
      </c>
      <c r="H2076" s="48" t="s">
        <v>5845</v>
      </c>
      <c r="I2076" s="48" t="s">
        <v>5845</v>
      </c>
      <c r="J2076" s="48" t="s">
        <v>5846</v>
      </c>
      <c r="K2076" s="48" t="s">
        <v>1307</v>
      </c>
      <c r="L2076" s="48" t="s">
        <v>5847</v>
      </c>
      <c r="M2076" s="48" t="s">
        <v>4432</v>
      </c>
      <c r="N2076" s="48" t="s">
        <v>1310</v>
      </c>
      <c r="O2076" s="48" t="s">
        <v>1311</v>
      </c>
      <c r="P2076" s="48" t="s">
        <v>1312</v>
      </c>
      <c r="Q2076" s="48" t="s">
        <v>31</v>
      </c>
      <c r="R2076" s="48" t="s">
        <v>31</v>
      </c>
      <c r="S2076" s="48" t="s">
        <v>31</v>
      </c>
      <c r="T2076" s="48" t="s">
        <v>31</v>
      </c>
      <c r="U2076" s="46" t="s">
        <v>1154</v>
      </c>
    </row>
    <row r="2077" spans="1:21">
      <c r="A2077" s="48" t="s">
        <v>1173</v>
      </c>
      <c r="B2077" s="48" t="s">
        <v>171</v>
      </c>
      <c r="C2077" s="48" t="s">
        <v>666</v>
      </c>
      <c r="D2077" s="48">
        <v>1</v>
      </c>
      <c r="E2077" s="48">
        <v>0</v>
      </c>
      <c r="F2077" t="s">
        <v>733</v>
      </c>
      <c r="G2077" s="48" t="s">
        <v>1305</v>
      </c>
      <c r="H2077" s="48" t="s">
        <v>5848</v>
      </c>
      <c r="I2077" s="48" t="s">
        <v>5848</v>
      </c>
      <c r="J2077" s="48" t="s">
        <v>5849</v>
      </c>
      <c r="K2077" s="48" t="s">
        <v>1323</v>
      </c>
      <c r="L2077" s="48" t="s">
        <v>5850</v>
      </c>
      <c r="M2077" s="48" t="s">
        <v>4432</v>
      </c>
      <c r="N2077" s="48" t="s">
        <v>1310</v>
      </c>
      <c r="O2077" s="48" t="s">
        <v>1311</v>
      </c>
      <c r="P2077" s="48" t="s">
        <v>1312</v>
      </c>
      <c r="Q2077" s="48" t="s">
        <v>31</v>
      </c>
      <c r="R2077" s="48" t="s">
        <v>31</v>
      </c>
      <c r="S2077" s="48" t="s">
        <v>31</v>
      </c>
      <c r="T2077" s="48" t="s">
        <v>31</v>
      </c>
      <c r="U2077" s="46" t="s">
        <v>1154</v>
      </c>
    </row>
    <row r="2078" spans="1:21">
      <c r="A2078" s="48" t="s">
        <v>1173</v>
      </c>
      <c r="B2078" s="48" t="s">
        <v>171</v>
      </c>
      <c r="C2078" s="48" t="s">
        <v>666</v>
      </c>
      <c r="D2078" s="48">
        <v>1</v>
      </c>
      <c r="E2078" s="48">
        <v>0</v>
      </c>
      <c r="F2078" t="s">
        <v>733</v>
      </c>
      <c r="G2078" s="48" t="s">
        <v>1305</v>
      </c>
      <c r="H2078" s="48" t="s">
        <v>5851</v>
      </c>
      <c r="I2078" s="48" t="s">
        <v>5851</v>
      </c>
      <c r="J2078" s="48" t="s">
        <v>5852</v>
      </c>
      <c r="K2078" s="48" t="s">
        <v>1320</v>
      </c>
      <c r="L2078" s="48" t="s">
        <v>5853</v>
      </c>
      <c r="M2078" s="48" t="s">
        <v>4432</v>
      </c>
      <c r="N2078" s="48" t="s">
        <v>1310</v>
      </c>
      <c r="O2078" s="48" t="s">
        <v>1311</v>
      </c>
      <c r="P2078" s="48" t="s">
        <v>1312</v>
      </c>
      <c r="Q2078" s="48" t="s">
        <v>31</v>
      </c>
      <c r="R2078" s="48" t="s">
        <v>31</v>
      </c>
      <c r="S2078" s="48" t="s">
        <v>31</v>
      </c>
      <c r="T2078" s="48" t="s">
        <v>31</v>
      </c>
      <c r="U2078" s="46" t="s">
        <v>1154</v>
      </c>
    </row>
    <row r="2079" spans="1:21">
      <c r="A2079" s="48" t="s">
        <v>1173</v>
      </c>
      <c r="B2079" s="48" t="s">
        <v>171</v>
      </c>
      <c r="C2079" s="48" t="s">
        <v>666</v>
      </c>
      <c r="D2079" s="48">
        <v>1</v>
      </c>
      <c r="E2079" s="48">
        <v>0</v>
      </c>
      <c r="F2079" t="s">
        <v>733</v>
      </c>
      <c r="G2079" s="48" t="s">
        <v>1305</v>
      </c>
      <c r="H2079" s="48" t="s">
        <v>5854</v>
      </c>
      <c r="I2079" s="48" t="s">
        <v>5854</v>
      </c>
      <c r="J2079" s="48" t="s">
        <v>5855</v>
      </c>
      <c r="K2079" s="48" t="s">
        <v>1317</v>
      </c>
      <c r="L2079" s="48" t="s">
        <v>5856</v>
      </c>
      <c r="M2079" s="48" t="s">
        <v>4432</v>
      </c>
      <c r="N2079" s="48" t="s">
        <v>1310</v>
      </c>
      <c r="O2079" s="48" t="s">
        <v>1311</v>
      </c>
      <c r="P2079" s="48" t="s">
        <v>1312</v>
      </c>
      <c r="Q2079" s="48" t="s">
        <v>31</v>
      </c>
      <c r="R2079" s="48" t="s">
        <v>31</v>
      </c>
      <c r="S2079" s="48" t="s">
        <v>31</v>
      </c>
      <c r="T2079" s="48" t="s">
        <v>31</v>
      </c>
      <c r="U2079" s="46" t="s">
        <v>1154</v>
      </c>
    </row>
    <row r="2080" spans="1:21">
      <c r="A2080" s="48" t="s">
        <v>1173</v>
      </c>
      <c r="B2080" s="48" t="s">
        <v>171</v>
      </c>
      <c r="C2080" s="48" t="s">
        <v>666</v>
      </c>
      <c r="D2080" s="48">
        <v>1</v>
      </c>
      <c r="E2080" s="48">
        <v>0</v>
      </c>
      <c r="F2080" t="s">
        <v>733</v>
      </c>
      <c r="G2080" s="48" t="s">
        <v>1305</v>
      </c>
      <c r="H2080" s="48" t="s">
        <v>5857</v>
      </c>
      <c r="I2080" s="48" t="s">
        <v>5857</v>
      </c>
      <c r="J2080" s="48" t="s">
        <v>5858</v>
      </c>
      <c r="K2080" s="48" t="s">
        <v>1326</v>
      </c>
      <c r="L2080" s="48" t="s">
        <v>5859</v>
      </c>
      <c r="M2080" s="48" t="s">
        <v>4432</v>
      </c>
      <c r="N2080" s="48" t="s">
        <v>1310</v>
      </c>
      <c r="O2080" s="48" t="s">
        <v>1311</v>
      </c>
      <c r="P2080" s="48" t="s">
        <v>1312</v>
      </c>
      <c r="Q2080" s="48" t="s">
        <v>31</v>
      </c>
      <c r="R2080" s="48" t="s">
        <v>31</v>
      </c>
      <c r="S2080" s="48" t="s">
        <v>31</v>
      </c>
      <c r="T2080" s="48" t="s">
        <v>31</v>
      </c>
      <c r="U2080" s="46" t="s">
        <v>1154</v>
      </c>
    </row>
    <row r="2081" spans="1:21">
      <c r="A2081" s="48" t="s">
        <v>1173</v>
      </c>
      <c r="B2081" s="48" t="s">
        <v>171</v>
      </c>
      <c r="C2081" s="48" t="s">
        <v>666</v>
      </c>
      <c r="D2081" s="48">
        <v>1</v>
      </c>
      <c r="E2081" s="48">
        <v>0</v>
      </c>
      <c r="F2081" t="s">
        <v>733</v>
      </c>
      <c r="G2081" s="48" t="s">
        <v>1305</v>
      </c>
      <c r="H2081" s="48" t="s">
        <v>5860</v>
      </c>
      <c r="I2081" s="48" t="s">
        <v>5860</v>
      </c>
      <c r="J2081" s="48" t="s">
        <v>5861</v>
      </c>
      <c r="K2081" s="48" t="s">
        <v>1329</v>
      </c>
      <c r="L2081" s="48" t="s">
        <v>5862</v>
      </c>
      <c r="M2081" s="48" t="s">
        <v>4432</v>
      </c>
      <c r="N2081" s="48" t="s">
        <v>1310</v>
      </c>
      <c r="O2081" s="48" t="s">
        <v>1311</v>
      </c>
      <c r="P2081" s="48" t="s">
        <v>1312</v>
      </c>
      <c r="Q2081" s="48" t="s">
        <v>31</v>
      </c>
      <c r="R2081" s="48" t="s">
        <v>31</v>
      </c>
      <c r="S2081" s="48" t="s">
        <v>31</v>
      </c>
      <c r="T2081" s="48" t="s">
        <v>31</v>
      </c>
      <c r="U2081" s="46" t="s">
        <v>1154</v>
      </c>
    </row>
    <row r="2082" spans="1:21">
      <c r="A2082" s="48" t="s">
        <v>1220</v>
      </c>
      <c r="B2082" s="48" t="s">
        <v>173</v>
      </c>
      <c r="C2082" s="48" t="s">
        <v>666</v>
      </c>
      <c r="D2082" s="48">
        <v>1</v>
      </c>
      <c r="E2082" s="48">
        <v>0</v>
      </c>
      <c r="F2082" t="s">
        <v>713</v>
      </c>
      <c r="G2082" s="48" t="s">
        <v>1305</v>
      </c>
      <c r="H2082" s="48" t="s">
        <v>5863</v>
      </c>
      <c r="I2082" s="48" t="s">
        <v>5863</v>
      </c>
      <c r="J2082" s="48" t="s">
        <v>5864</v>
      </c>
      <c r="K2082" s="48" t="s">
        <v>1307</v>
      </c>
      <c r="L2082" s="48" t="s">
        <v>5865</v>
      </c>
      <c r="M2082" s="48" t="s">
        <v>4432</v>
      </c>
      <c r="N2082" s="48" t="s">
        <v>1310</v>
      </c>
      <c r="O2082" s="48" t="s">
        <v>1311</v>
      </c>
      <c r="P2082" s="48" t="s">
        <v>1312</v>
      </c>
      <c r="Q2082" s="48" t="s">
        <v>31</v>
      </c>
      <c r="R2082" s="48" t="s">
        <v>31</v>
      </c>
      <c r="S2082" s="48" t="s">
        <v>31</v>
      </c>
      <c r="T2082" s="48" t="s">
        <v>31</v>
      </c>
      <c r="U2082" s="46" t="s">
        <v>1154</v>
      </c>
    </row>
    <row r="2083" spans="1:21">
      <c r="A2083" s="48" t="s">
        <v>1220</v>
      </c>
      <c r="B2083" s="48" t="s">
        <v>173</v>
      </c>
      <c r="C2083" s="48" t="s">
        <v>666</v>
      </c>
      <c r="D2083" s="48">
        <v>1</v>
      </c>
      <c r="E2083" s="48">
        <v>0</v>
      </c>
      <c r="F2083" t="s">
        <v>713</v>
      </c>
      <c r="G2083" s="48" t="s">
        <v>1305</v>
      </c>
      <c r="H2083" s="48" t="s">
        <v>5866</v>
      </c>
      <c r="I2083" s="48" t="s">
        <v>5866</v>
      </c>
      <c r="J2083" s="48" t="s">
        <v>5867</v>
      </c>
      <c r="K2083" s="48" t="s">
        <v>1329</v>
      </c>
      <c r="L2083" s="48" t="s">
        <v>5868</v>
      </c>
      <c r="M2083" s="48" t="s">
        <v>4432</v>
      </c>
      <c r="N2083" s="48" t="s">
        <v>1310</v>
      </c>
      <c r="O2083" s="48" t="s">
        <v>1311</v>
      </c>
      <c r="P2083" s="48" t="s">
        <v>1312</v>
      </c>
      <c r="Q2083" s="48" t="s">
        <v>31</v>
      </c>
      <c r="R2083" s="48" t="s">
        <v>31</v>
      </c>
      <c r="S2083" s="48" t="s">
        <v>31</v>
      </c>
      <c r="T2083" s="48" t="s">
        <v>31</v>
      </c>
      <c r="U2083" s="46" t="s">
        <v>1154</v>
      </c>
    </row>
    <row r="2084" spans="1:21">
      <c r="A2084" s="48" t="s">
        <v>1220</v>
      </c>
      <c r="B2084" s="48" t="s">
        <v>173</v>
      </c>
      <c r="C2084" s="48" t="s">
        <v>666</v>
      </c>
      <c r="D2084" s="48">
        <v>1</v>
      </c>
      <c r="E2084" s="48">
        <v>0</v>
      </c>
      <c r="F2084" t="s">
        <v>713</v>
      </c>
      <c r="G2084" s="48" t="s">
        <v>1305</v>
      </c>
      <c r="H2084" s="48" t="s">
        <v>5869</v>
      </c>
      <c r="I2084" s="48" t="s">
        <v>5869</v>
      </c>
      <c r="J2084" s="48" t="s">
        <v>5870</v>
      </c>
      <c r="K2084" s="48" t="s">
        <v>1332</v>
      </c>
      <c r="L2084" s="48" t="s">
        <v>5871</v>
      </c>
      <c r="M2084" s="48" t="s">
        <v>4432</v>
      </c>
      <c r="N2084" s="48" t="s">
        <v>1310</v>
      </c>
      <c r="O2084" s="48" t="s">
        <v>1311</v>
      </c>
      <c r="P2084" s="48" t="s">
        <v>1312</v>
      </c>
      <c r="Q2084" s="48" t="s">
        <v>31</v>
      </c>
      <c r="R2084" s="48" t="s">
        <v>31</v>
      </c>
      <c r="S2084" s="48" t="s">
        <v>31</v>
      </c>
      <c r="T2084" s="48" t="s">
        <v>31</v>
      </c>
      <c r="U2084" s="46" t="s">
        <v>1154</v>
      </c>
    </row>
    <row r="2085" spans="1:21">
      <c r="A2085" s="48" t="s">
        <v>1220</v>
      </c>
      <c r="B2085" s="48" t="s">
        <v>173</v>
      </c>
      <c r="C2085" s="48" t="s">
        <v>666</v>
      </c>
      <c r="D2085" s="48">
        <v>1</v>
      </c>
      <c r="E2085" s="48">
        <v>0</v>
      </c>
      <c r="F2085" t="s">
        <v>713</v>
      </c>
      <c r="G2085" s="48" t="s">
        <v>1305</v>
      </c>
      <c r="H2085" s="48" t="s">
        <v>5872</v>
      </c>
      <c r="I2085" s="48" t="s">
        <v>5872</v>
      </c>
      <c r="J2085" s="48" t="s">
        <v>5873</v>
      </c>
      <c r="K2085" s="48" t="s">
        <v>1326</v>
      </c>
      <c r="L2085" s="48" t="s">
        <v>5874</v>
      </c>
      <c r="M2085" s="48" t="s">
        <v>4432</v>
      </c>
      <c r="N2085" s="48" t="s">
        <v>1310</v>
      </c>
      <c r="O2085" s="48" t="s">
        <v>1311</v>
      </c>
      <c r="P2085" s="48" t="s">
        <v>1312</v>
      </c>
      <c r="Q2085" s="48" t="s">
        <v>31</v>
      </c>
      <c r="R2085" s="48" t="s">
        <v>31</v>
      </c>
      <c r="S2085" s="48" t="s">
        <v>31</v>
      </c>
      <c r="T2085" s="48" t="s">
        <v>31</v>
      </c>
      <c r="U2085" s="46" t="s">
        <v>1154</v>
      </c>
    </row>
    <row r="2086" spans="1:21">
      <c r="A2086" s="48" t="s">
        <v>1220</v>
      </c>
      <c r="B2086" s="48" t="s">
        <v>173</v>
      </c>
      <c r="C2086" s="48" t="s">
        <v>666</v>
      </c>
      <c r="D2086" s="48">
        <v>1</v>
      </c>
      <c r="E2086" s="48">
        <v>0</v>
      </c>
      <c r="F2086" t="s">
        <v>713</v>
      </c>
      <c r="G2086" s="48" t="s">
        <v>1305</v>
      </c>
      <c r="H2086" s="48" t="s">
        <v>5875</v>
      </c>
      <c r="I2086" s="48" t="s">
        <v>5875</v>
      </c>
      <c r="J2086" s="48" t="s">
        <v>5876</v>
      </c>
      <c r="K2086" s="48" t="s">
        <v>1323</v>
      </c>
      <c r="L2086" s="48" t="s">
        <v>5877</v>
      </c>
      <c r="M2086" s="48" t="s">
        <v>4432</v>
      </c>
      <c r="N2086" s="48" t="s">
        <v>1310</v>
      </c>
      <c r="O2086" s="48" t="s">
        <v>1311</v>
      </c>
      <c r="P2086" s="48" t="s">
        <v>1312</v>
      </c>
      <c r="Q2086" s="48" t="s">
        <v>31</v>
      </c>
      <c r="R2086" s="48" t="s">
        <v>31</v>
      </c>
      <c r="S2086" s="48" t="s">
        <v>31</v>
      </c>
      <c r="T2086" s="48" t="s">
        <v>31</v>
      </c>
      <c r="U2086" s="46" t="s">
        <v>1154</v>
      </c>
    </row>
    <row r="2087" spans="1:21">
      <c r="A2087" s="48" t="s">
        <v>1220</v>
      </c>
      <c r="B2087" s="48" t="s">
        <v>173</v>
      </c>
      <c r="C2087" s="48" t="s">
        <v>666</v>
      </c>
      <c r="D2087" s="48">
        <v>1</v>
      </c>
      <c r="E2087" s="48">
        <v>0</v>
      </c>
      <c r="F2087" t="s">
        <v>713</v>
      </c>
      <c r="G2087" s="48" t="s">
        <v>1305</v>
      </c>
      <c r="H2087" s="48" t="s">
        <v>5878</v>
      </c>
      <c r="I2087" s="48" t="s">
        <v>5878</v>
      </c>
      <c r="J2087" s="48" t="s">
        <v>5879</v>
      </c>
      <c r="K2087" s="48" t="s">
        <v>1317</v>
      </c>
      <c r="L2087" s="48" t="s">
        <v>5880</v>
      </c>
      <c r="M2087" s="48" t="s">
        <v>4432</v>
      </c>
      <c r="N2087" s="48" t="s">
        <v>1310</v>
      </c>
      <c r="O2087" s="48" t="s">
        <v>1311</v>
      </c>
      <c r="P2087" s="48" t="s">
        <v>1312</v>
      </c>
      <c r="Q2087" s="48" t="s">
        <v>31</v>
      </c>
      <c r="R2087" s="48" t="s">
        <v>31</v>
      </c>
      <c r="S2087" s="48" t="s">
        <v>31</v>
      </c>
      <c r="T2087" s="48" t="s">
        <v>31</v>
      </c>
      <c r="U2087" s="46" t="s">
        <v>1154</v>
      </c>
    </row>
    <row r="2088" spans="1:21">
      <c r="A2088" s="48" t="s">
        <v>1220</v>
      </c>
      <c r="B2088" s="48" t="s">
        <v>173</v>
      </c>
      <c r="C2088" s="48" t="s">
        <v>666</v>
      </c>
      <c r="D2088" s="48">
        <v>1</v>
      </c>
      <c r="E2088" s="48">
        <v>0</v>
      </c>
      <c r="F2088" t="s">
        <v>713</v>
      </c>
      <c r="G2088" s="48" t="s">
        <v>1305</v>
      </c>
      <c r="H2088" s="48" t="s">
        <v>5881</v>
      </c>
      <c r="I2088" s="48" t="s">
        <v>5881</v>
      </c>
      <c r="J2088" s="48" t="s">
        <v>5882</v>
      </c>
      <c r="K2088" s="48" t="s">
        <v>1314</v>
      </c>
      <c r="L2088" s="48" t="s">
        <v>5883</v>
      </c>
      <c r="M2088" s="48" t="s">
        <v>4432</v>
      </c>
      <c r="N2088" s="48" t="s">
        <v>1310</v>
      </c>
      <c r="O2088" s="48" t="s">
        <v>1311</v>
      </c>
      <c r="P2088" s="48" t="s">
        <v>1312</v>
      </c>
      <c r="Q2088" s="48" t="s">
        <v>31</v>
      </c>
      <c r="R2088" s="48" t="s">
        <v>31</v>
      </c>
      <c r="S2088" s="48" t="s">
        <v>31</v>
      </c>
      <c r="T2088" s="48" t="s">
        <v>31</v>
      </c>
      <c r="U2088" s="46" t="s">
        <v>1154</v>
      </c>
    </row>
    <row r="2089" spans="1:21">
      <c r="A2089" s="48" t="s">
        <v>1220</v>
      </c>
      <c r="B2089" s="48" t="s">
        <v>173</v>
      </c>
      <c r="C2089" s="48" t="s">
        <v>666</v>
      </c>
      <c r="D2089" s="48">
        <v>1</v>
      </c>
      <c r="E2089" s="48">
        <v>0</v>
      </c>
      <c r="F2089" t="s">
        <v>713</v>
      </c>
      <c r="G2089" s="48" t="s">
        <v>1305</v>
      </c>
      <c r="H2089" s="48" t="s">
        <v>5884</v>
      </c>
      <c r="I2089" s="48" t="s">
        <v>5884</v>
      </c>
      <c r="J2089" s="48" t="s">
        <v>5885</v>
      </c>
      <c r="K2089" s="48" t="s">
        <v>1320</v>
      </c>
      <c r="L2089" s="48" t="s">
        <v>5886</v>
      </c>
      <c r="M2089" s="48" t="s">
        <v>4432</v>
      </c>
      <c r="N2089" s="48" t="s">
        <v>1310</v>
      </c>
      <c r="O2089" s="48" t="s">
        <v>1311</v>
      </c>
      <c r="P2089" s="48" t="s">
        <v>1312</v>
      </c>
      <c r="Q2089" s="48" t="s">
        <v>31</v>
      </c>
      <c r="R2089" s="48" t="s">
        <v>31</v>
      </c>
      <c r="S2089" s="48" t="s">
        <v>31</v>
      </c>
      <c r="T2089" s="48" t="s">
        <v>31</v>
      </c>
      <c r="U2089" s="46" t="s">
        <v>1154</v>
      </c>
    </row>
    <row r="2090" spans="1:21">
      <c r="A2090" s="48" t="s">
        <v>1232</v>
      </c>
      <c r="B2090" s="48" t="s">
        <v>175</v>
      </c>
      <c r="C2090" s="48" t="s">
        <v>666</v>
      </c>
      <c r="D2090" s="48">
        <v>1</v>
      </c>
      <c r="E2090" s="48">
        <v>0</v>
      </c>
      <c r="F2090" t="s">
        <v>804</v>
      </c>
      <c r="G2090" s="48" t="s">
        <v>1305</v>
      </c>
      <c r="H2090" s="48" t="s">
        <v>4280</v>
      </c>
      <c r="I2090" s="48" t="s">
        <v>4280</v>
      </c>
      <c r="J2090" s="48" t="s">
        <v>5887</v>
      </c>
      <c r="K2090" s="48" t="s">
        <v>1326</v>
      </c>
      <c r="L2090" s="48" t="s">
        <v>5888</v>
      </c>
      <c r="M2090" s="48" t="s">
        <v>4432</v>
      </c>
      <c r="N2090" s="48" t="s">
        <v>1310</v>
      </c>
      <c r="O2090" s="48" t="s">
        <v>1311</v>
      </c>
      <c r="P2090" s="48" t="s">
        <v>1312</v>
      </c>
      <c r="Q2090" s="48" t="s">
        <v>31</v>
      </c>
      <c r="R2090" s="48" t="s">
        <v>31</v>
      </c>
      <c r="S2090" s="48" t="s">
        <v>31</v>
      </c>
      <c r="T2090" s="48" t="s">
        <v>31</v>
      </c>
      <c r="U2090" s="46" t="s">
        <v>1154</v>
      </c>
    </row>
    <row r="2091" spans="1:21">
      <c r="A2091" s="48" t="s">
        <v>1232</v>
      </c>
      <c r="B2091" s="48" t="s">
        <v>175</v>
      </c>
      <c r="C2091" s="48" t="s">
        <v>666</v>
      </c>
      <c r="D2091" s="48">
        <v>1</v>
      </c>
      <c r="E2091" s="48">
        <v>0</v>
      </c>
      <c r="F2091" t="s">
        <v>804</v>
      </c>
      <c r="G2091" s="48" t="s">
        <v>1305</v>
      </c>
      <c r="H2091" s="48" t="s">
        <v>4270</v>
      </c>
      <c r="I2091" s="48" t="s">
        <v>4270</v>
      </c>
      <c r="J2091" s="48" t="s">
        <v>5889</v>
      </c>
      <c r="K2091" s="48" t="s">
        <v>1307</v>
      </c>
      <c r="L2091" s="48" t="s">
        <v>5890</v>
      </c>
      <c r="M2091" s="48" t="s">
        <v>4432</v>
      </c>
      <c r="N2091" s="48" t="s">
        <v>1310</v>
      </c>
      <c r="O2091" s="48" t="s">
        <v>1311</v>
      </c>
      <c r="P2091" s="48" t="s">
        <v>1312</v>
      </c>
      <c r="Q2091" s="48" t="s">
        <v>31</v>
      </c>
      <c r="R2091" s="48" t="s">
        <v>31</v>
      </c>
      <c r="S2091" s="48" t="s">
        <v>31</v>
      </c>
      <c r="T2091" s="48" t="s">
        <v>31</v>
      </c>
      <c r="U2091" s="46" t="s">
        <v>1154</v>
      </c>
    </row>
    <row r="2092" spans="1:21">
      <c r="A2092" s="48" t="s">
        <v>1232</v>
      </c>
      <c r="B2092" s="48" t="s">
        <v>175</v>
      </c>
      <c r="C2092" s="48" t="s">
        <v>666</v>
      </c>
      <c r="D2092" s="48">
        <v>1</v>
      </c>
      <c r="E2092" s="48">
        <v>0</v>
      </c>
      <c r="F2092" t="s">
        <v>804</v>
      </c>
      <c r="G2092" s="48" t="s">
        <v>1305</v>
      </c>
      <c r="H2092" s="48" t="s">
        <v>4272</v>
      </c>
      <c r="I2092" s="48" t="s">
        <v>4272</v>
      </c>
      <c r="J2092" s="48" t="s">
        <v>5891</v>
      </c>
      <c r="K2092" s="48" t="s">
        <v>1314</v>
      </c>
      <c r="L2092" s="48" t="s">
        <v>5892</v>
      </c>
      <c r="M2092" s="48" t="s">
        <v>4432</v>
      </c>
      <c r="N2092" s="48" t="s">
        <v>1310</v>
      </c>
      <c r="O2092" s="48" t="s">
        <v>1311</v>
      </c>
      <c r="P2092" s="48" t="s">
        <v>1312</v>
      </c>
      <c r="Q2092" s="48" t="s">
        <v>31</v>
      </c>
      <c r="R2092" s="48" t="s">
        <v>31</v>
      </c>
      <c r="S2092" s="48" t="s">
        <v>31</v>
      </c>
      <c r="T2092" s="48" t="s">
        <v>31</v>
      </c>
      <c r="U2092" s="46" t="s">
        <v>1154</v>
      </c>
    </row>
    <row r="2093" spans="1:21">
      <c r="A2093" s="48" t="s">
        <v>1232</v>
      </c>
      <c r="B2093" s="48" t="s">
        <v>175</v>
      </c>
      <c r="C2093" s="48" t="s">
        <v>666</v>
      </c>
      <c r="D2093" s="48">
        <v>1</v>
      </c>
      <c r="E2093" s="48">
        <v>0</v>
      </c>
      <c r="F2093" t="s">
        <v>804</v>
      </c>
      <c r="G2093" s="48" t="s">
        <v>1305</v>
      </c>
      <c r="H2093" s="48" t="s">
        <v>4284</v>
      </c>
      <c r="I2093" s="48" t="s">
        <v>4284</v>
      </c>
      <c r="J2093" s="48" t="s">
        <v>5893</v>
      </c>
      <c r="K2093" s="48" t="s">
        <v>1332</v>
      </c>
      <c r="L2093" s="48" t="s">
        <v>5894</v>
      </c>
      <c r="M2093" s="48" t="s">
        <v>4432</v>
      </c>
      <c r="N2093" s="48" t="s">
        <v>1310</v>
      </c>
      <c r="O2093" s="48" t="s">
        <v>1311</v>
      </c>
      <c r="P2093" s="48" t="s">
        <v>1312</v>
      </c>
      <c r="Q2093" s="48" t="s">
        <v>31</v>
      </c>
      <c r="R2093" s="48" t="s">
        <v>31</v>
      </c>
      <c r="S2093" s="48" t="s">
        <v>31</v>
      </c>
      <c r="T2093" s="48" t="s">
        <v>31</v>
      </c>
      <c r="U2093" s="46" t="s">
        <v>1154</v>
      </c>
    </row>
    <row r="2094" spans="1:21">
      <c r="A2094" s="48" t="s">
        <v>1232</v>
      </c>
      <c r="B2094" s="48" t="s">
        <v>175</v>
      </c>
      <c r="C2094" s="48" t="s">
        <v>666</v>
      </c>
      <c r="D2094" s="48">
        <v>1</v>
      </c>
      <c r="E2094" s="48">
        <v>0</v>
      </c>
      <c r="F2094" t="s">
        <v>804</v>
      </c>
      <c r="G2094" s="48" t="s">
        <v>1305</v>
      </c>
      <c r="H2094" s="48" t="s">
        <v>4282</v>
      </c>
      <c r="I2094" s="48" t="s">
        <v>4282</v>
      </c>
      <c r="J2094" s="48" t="s">
        <v>5895</v>
      </c>
      <c r="K2094" s="48" t="s">
        <v>1329</v>
      </c>
      <c r="L2094" s="48" t="s">
        <v>5896</v>
      </c>
      <c r="M2094" s="48" t="s">
        <v>4432</v>
      </c>
      <c r="N2094" s="48" t="s">
        <v>1310</v>
      </c>
      <c r="O2094" s="48" t="s">
        <v>1311</v>
      </c>
      <c r="P2094" s="48" t="s">
        <v>1312</v>
      </c>
      <c r="Q2094" s="48" t="s">
        <v>31</v>
      </c>
      <c r="R2094" s="48" t="s">
        <v>31</v>
      </c>
      <c r="S2094" s="48" t="s">
        <v>31</v>
      </c>
      <c r="T2094" s="48" t="s">
        <v>31</v>
      </c>
      <c r="U2094" s="46" t="s">
        <v>1154</v>
      </c>
    </row>
    <row r="2095" spans="1:21">
      <c r="A2095" s="48" t="s">
        <v>1232</v>
      </c>
      <c r="B2095" s="48" t="s">
        <v>175</v>
      </c>
      <c r="C2095" s="48" t="s">
        <v>666</v>
      </c>
      <c r="D2095" s="48">
        <v>1</v>
      </c>
      <c r="E2095" s="48">
        <v>0</v>
      </c>
      <c r="F2095" t="s">
        <v>804</v>
      </c>
      <c r="G2095" s="48" t="s">
        <v>1305</v>
      </c>
      <c r="H2095" s="48" t="s">
        <v>4274</v>
      </c>
      <c r="I2095" s="48" t="s">
        <v>4274</v>
      </c>
      <c r="J2095" s="48" t="s">
        <v>5897</v>
      </c>
      <c r="K2095" s="48" t="s">
        <v>1317</v>
      </c>
      <c r="L2095" s="48" t="s">
        <v>5898</v>
      </c>
      <c r="M2095" s="48" t="s">
        <v>4432</v>
      </c>
      <c r="N2095" s="48" t="s">
        <v>1310</v>
      </c>
      <c r="O2095" s="48" t="s">
        <v>1311</v>
      </c>
      <c r="P2095" s="48" t="s">
        <v>1312</v>
      </c>
      <c r="Q2095" s="48" t="s">
        <v>31</v>
      </c>
      <c r="R2095" s="48" t="s">
        <v>31</v>
      </c>
      <c r="S2095" s="48" t="s">
        <v>31</v>
      </c>
      <c r="T2095" s="48" t="s">
        <v>31</v>
      </c>
      <c r="U2095" s="46" t="s">
        <v>1154</v>
      </c>
    </row>
    <row r="2096" spans="1:21">
      <c r="A2096" s="48" t="s">
        <v>1232</v>
      </c>
      <c r="B2096" s="48" t="s">
        <v>175</v>
      </c>
      <c r="C2096" s="48" t="s">
        <v>666</v>
      </c>
      <c r="D2096" s="48">
        <v>1</v>
      </c>
      <c r="E2096" s="48">
        <v>0</v>
      </c>
      <c r="F2096" t="s">
        <v>804</v>
      </c>
      <c r="G2096" s="48" t="s">
        <v>1305</v>
      </c>
      <c r="H2096" s="48" t="s">
        <v>4278</v>
      </c>
      <c r="I2096" s="48" t="s">
        <v>4278</v>
      </c>
      <c r="J2096" s="48" t="s">
        <v>5899</v>
      </c>
      <c r="K2096" s="48" t="s">
        <v>1323</v>
      </c>
      <c r="L2096" s="48" t="s">
        <v>5900</v>
      </c>
      <c r="M2096" s="48" t="s">
        <v>4432</v>
      </c>
      <c r="N2096" s="48" t="s">
        <v>1310</v>
      </c>
      <c r="O2096" s="48" t="s">
        <v>1311</v>
      </c>
      <c r="P2096" s="48" t="s">
        <v>1312</v>
      </c>
      <c r="Q2096" s="48" t="s">
        <v>31</v>
      </c>
      <c r="R2096" s="48" t="s">
        <v>31</v>
      </c>
      <c r="S2096" s="48" t="s">
        <v>31</v>
      </c>
      <c r="T2096" s="48" t="s">
        <v>31</v>
      </c>
      <c r="U2096" s="46" t="s">
        <v>1154</v>
      </c>
    </row>
    <row r="2097" spans="1:21">
      <c r="A2097" s="48" t="s">
        <v>1232</v>
      </c>
      <c r="B2097" s="48" t="s">
        <v>175</v>
      </c>
      <c r="C2097" s="48" t="s">
        <v>666</v>
      </c>
      <c r="D2097" s="48">
        <v>1</v>
      </c>
      <c r="E2097" s="48">
        <v>0</v>
      </c>
      <c r="F2097" t="s">
        <v>804</v>
      </c>
      <c r="G2097" s="48" t="s">
        <v>1305</v>
      </c>
      <c r="H2097" s="48" t="s">
        <v>4276</v>
      </c>
      <c r="I2097" s="48" t="s">
        <v>4276</v>
      </c>
      <c r="J2097" s="48" t="s">
        <v>5901</v>
      </c>
      <c r="K2097" s="48" t="s">
        <v>1320</v>
      </c>
      <c r="L2097" s="48" t="s">
        <v>5902</v>
      </c>
      <c r="M2097" s="48" t="s">
        <v>4432</v>
      </c>
      <c r="N2097" s="48" t="s">
        <v>1310</v>
      </c>
      <c r="O2097" s="48" t="s">
        <v>1311</v>
      </c>
      <c r="P2097" s="48" t="s">
        <v>1312</v>
      </c>
      <c r="Q2097" s="48" t="s">
        <v>31</v>
      </c>
      <c r="R2097" s="48" t="s">
        <v>31</v>
      </c>
      <c r="S2097" s="48" t="s">
        <v>31</v>
      </c>
      <c r="T2097" s="48" t="s">
        <v>31</v>
      </c>
      <c r="U2097" s="46" t="s">
        <v>1154</v>
      </c>
    </row>
    <row r="2098" spans="1:21">
      <c r="A2098" s="48" t="s">
        <v>1227</v>
      </c>
      <c r="B2098" s="48" t="s">
        <v>177</v>
      </c>
      <c r="C2098" s="48" t="s">
        <v>666</v>
      </c>
      <c r="D2098" s="48">
        <v>1</v>
      </c>
      <c r="E2098" s="48">
        <v>0</v>
      </c>
      <c r="F2098" t="s">
        <v>773</v>
      </c>
      <c r="G2098" s="48" t="s">
        <v>1305</v>
      </c>
      <c r="H2098" s="48" t="s">
        <v>2712</v>
      </c>
      <c r="I2098" s="48" t="s">
        <v>2712</v>
      </c>
      <c r="J2098" s="48" t="s">
        <v>5903</v>
      </c>
      <c r="K2098" s="48" t="s">
        <v>1326</v>
      </c>
      <c r="L2098" s="48" t="s">
        <v>5904</v>
      </c>
      <c r="M2098" s="48" t="s">
        <v>4432</v>
      </c>
      <c r="N2098" s="48" t="s">
        <v>1310</v>
      </c>
      <c r="O2098" s="48" t="s">
        <v>1311</v>
      </c>
      <c r="P2098" s="48" t="s">
        <v>1312</v>
      </c>
      <c r="Q2098" s="48" t="s">
        <v>31</v>
      </c>
      <c r="R2098" s="48" t="s">
        <v>31</v>
      </c>
      <c r="S2098" s="48" t="s">
        <v>31</v>
      </c>
      <c r="T2098" s="48" t="s">
        <v>31</v>
      </c>
      <c r="U2098" s="46" t="s">
        <v>1154</v>
      </c>
    </row>
    <row r="2099" spans="1:21">
      <c r="A2099" s="48" t="s">
        <v>1227</v>
      </c>
      <c r="B2099" s="48" t="s">
        <v>177</v>
      </c>
      <c r="C2099" s="48" t="s">
        <v>666</v>
      </c>
      <c r="D2099" s="48">
        <v>1</v>
      </c>
      <c r="E2099" s="48">
        <v>0</v>
      </c>
      <c r="F2099" t="s">
        <v>773</v>
      </c>
      <c r="G2099" s="48" t="s">
        <v>1305</v>
      </c>
      <c r="H2099" s="48" t="s">
        <v>2702</v>
      </c>
      <c r="I2099" s="48" t="s">
        <v>2702</v>
      </c>
      <c r="J2099" s="48" t="s">
        <v>5905</v>
      </c>
      <c r="K2099" s="48" t="s">
        <v>1307</v>
      </c>
      <c r="L2099" s="48" t="s">
        <v>5906</v>
      </c>
      <c r="M2099" s="48" t="s">
        <v>4432</v>
      </c>
      <c r="N2099" s="48" t="s">
        <v>1310</v>
      </c>
      <c r="O2099" s="48" t="s">
        <v>1311</v>
      </c>
      <c r="P2099" s="48" t="s">
        <v>1312</v>
      </c>
      <c r="Q2099" s="48" t="s">
        <v>31</v>
      </c>
      <c r="R2099" s="48" t="s">
        <v>31</v>
      </c>
      <c r="S2099" s="48" t="s">
        <v>31</v>
      </c>
      <c r="T2099" s="48" t="s">
        <v>31</v>
      </c>
      <c r="U2099" s="46" t="s">
        <v>1154</v>
      </c>
    </row>
    <row r="2100" spans="1:21">
      <c r="A2100" s="48" t="s">
        <v>1227</v>
      </c>
      <c r="B2100" s="48" t="s">
        <v>177</v>
      </c>
      <c r="C2100" s="48" t="s">
        <v>666</v>
      </c>
      <c r="D2100" s="48">
        <v>1</v>
      </c>
      <c r="E2100" s="48">
        <v>0</v>
      </c>
      <c r="F2100" t="s">
        <v>773</v>
      </c>
      <c r="G2100" s="48" t="s">
        <v>1305</v>
      </c>
      <c r="H2100" s="48" t="s">
        <v>2704</v>
      </c>
      <c r="I2100" s="48" t="s">
        <v>2704</v>
      </c>
      <c r="J2100" s="48" t="s">
        <v>5907</v>
      </c>
      <c r="K2100" s="48" t="s">
        <v>1314</v>
      </c>
      <c r="L2100" s="48" t="s">
        <v>5908</v>
      </c>
      <c r="M2100" s="48" t="s">
        <v>4432</v>
      </c>
      <c r="N2100" s="48" t="s">
        <v>1310</v>
      </c>
      <c r="O2100" s="48" t="s">
        <v>1311</v>
      </c>
      <c r="P2100" s="48" t="s">
        <v>1312</v>
      </c>
      <c r="Q2100" s="48" t="s">
        <v>31</v>
      </c>
      <c r="R2100" s="48" t="s">
        <v>31</v>
      </c>
      <c r="S2100" s="48" t="s">
        <v>31</v>
      </c>
      <c r="T2100" s="48" t="s">
        <v>31</v>
      </c>
      <c r="U2100" s="46" t="s">
        <v>1154</v>
      </c>
    </row>
    <row r="2101" spans="1:21">
      <c r="A2101" s="48" t="s">
        <v>1227</v>
      </c>
      <c r="B2101" s="48" t="s">
        <v>177</v>
      </c>
      <c r="C2101" s="48" t="s">
        <v>666</v>
      </c>
      <c r="D2101" s="48">
        <v>1</v>
      </c>
      <c r="E2101" s="48">
        <v>0</v>
      </c>
      <c r="F2101" t="s">
        <v>773</v>
      </c>
      <c r="G2101" s="48" t="s">
        <v>1305</v>
      </c>
      <c r="H2101" s="48" t="s">
        <v>2716</v>
      </c>
      <c r="I2101" s="48" t="s">
        <v>2716</v>
      </c>
      <c r="J2101" s="48" t="s">
        <v>5909</v>
      </c>
      <c r="K2101" s="48" t="s">
        <v>1332</v>
      </c>
      <c r="L2101" s="48" t="s">
        <v>5910</v>
      </c>
      <c r="M2101" s="48" t="s">
        <v>4432</v>
      </c>
      <c r="N2101" s="48" t="s">
        <v>1310</v>
      </c>
      <c r="O2101" s="48" t="s">
        <v>1311</v>
      </c>
      <c r="P2101" s="48" t="s">
        <v>1312</v>
      </c>
      <c r="Q2101" s="48" t="s">
        <v>31</v>
      </c>
      <c r="R2101" s="48" t="s">
        <v>31</v>
      </c>
      <c r="S2101" s="48" t="s">
        <v>31</v>
      </c>
      <c r="T2101" s="48" t="s">
        <v>31</v>
      </c>
      <c r="U2101" s="46" t="s">
        <v>1154</v>
      </c>
    </row>
    <row r="2102" spans="1:21">
      <c r="A2102" s="48" t="s">
        <v>1227</v>
      </c>
      <c r="B2102" s="48" t="s">
        <v>177</v>
      </c>
      <c r="C2102" s="48" t="s">
        <v>666</v>
      </c>
      <c r="D2102" s="48">
        <v>1</v>
      </c>
      <c r="E2102" s="48">
        <v>0</v>
      </c>
      <c r="F2102" t="s">
        <v>773</v>
      </c>
      <c r="G2102" s="48" t="s">
        <v>1305</v>
      </c>
      <c r="H2102" s="48" t="s">
        <v>2714</v>
      </c>
      <c r="I2102" s="48" t="s">
        <v>2714</v>
      </c>
      <c r="J2102" s="48" t="s">
        <v>5911</v>
      </c>
      <c r="K2102" s="48" t="s">
        <v>1329</v>
      </c>
      <c r="L2102" s="48" t="s">
        <v>5912</v>
      </c>
      <c r="M2102" s="48" t="s">
        <v>4432</v>
      </c>
      <c r="N2102" s="48" t="s">
        <v>1310</v>
      </c>
      <c r="O2102" s="48" t="s">
        <v>1311</v>
      </c>
      <c r="P2102" s="48" t="s">
        <v>1312</v>
      </c>
      <c r="Q2102" s="48" t="s">
        <v>31</v>
      </c>
      <c r="R2102" s="48" t="s">
        <v>31</v>
      </c>
      <c r="S2102" s="48" t="s">
        <v>31</v>
      </c>
      <c r="T2102" s="48" t="s">
        <v>31</v>
      </c>
      <c r="U2102" s="46" t="s">
        <v>1154</v>
      </c>
    </row>
    <row r="2103" spans="1:21">
      <c r="A2103" s="48" t="s">
        <v>1227</v>
      </c>
      <c r="B2103" s="48" t="s">
        <v>177</v>
      </c>
      <c r="C2103" s="48" t="s">
        <v>666</v>
      </c>
      <c r="D2103" s="48">
        <v>1</v>
      </c>
      <c r="E2103" s="48">
        <v>0</v>
      </c>
      <c r="F2103" t="s">
        <v>773</v>
      </c>
      <c r="G2103" s="48" t="s">
        <v>1305</v>
      </c>
      <c r="H2103" s="48" t="s">
        <v>2708</v>
      </c>
      <c r="I2103" s="48" t="s">
        <v>2708</v>
      </c>
      <c r="J2103" s="48" t="s">
        <v>5913</v>
      </c>
      <c r="K2103" s="48" t="s">
        <v>1320</v>
      </c>
      <c r="L2103" s="48" t="s">
        <v>5914</v>
      </c>
      <c r="M2103" s="48" t="s">
        <v>4432</v>
      </c>
      <c r="N2103" s="48" t="s">
        <v>1310</v>
      </c>
      <c r="O2103" s="48" t="s">
        <v>1311</v>
      </c>
      <c r="P2103" s="48" t="s">
        <v>1312</v>
      </c>
      <c r="Q2103" s="48" t="s">
        <v>31</v>
      </c>
      <c r="R2103" s="48" t="s">
        <v>31</v>
      </c>
      <c r="S2103" s="48" t="s">
        <v>31</v>
      </c>
      <c r="T2103" s="48" t="s">
        <v>31</v>
      </c>
      <c r="U2103" s="46" t="s">
        <v>1154</v>
      </c>
    </row>
    <row r="2104" spans="1:21">
      <c r="A2104" s="48" t="s">
        <v>1227</v>
      </c>
      <c r="B2104" s="48" t="s">
        <v>177</v>
      </c>
      <c r="C2104" s="48" t="s">
        <v>666</v>
      </c>
      <c r="D2104" s="48">
        <v>1</v>
      </c>
      <c r="E2104" s="48">
        <v>0</v>
      </c>
      <c r="F2104" t="s">
        <v>773</v>
      </c>
      <c r="G2104" s="48" t="s">
        <v>1305</v>
      </c>
      <c r="H2104" s="48" t="s">
        <v>2706</v>
      </c>
      <c r="I2104" s="48" t="s">
        <v>2706</v>
      </c>
      <c r="J2104" s="48" t="s">
        <v>5915</v>
      </c>
      <c r="K2104" s="48" t="s">
        <v>1317</v>
      </c>
      <c r="L2104" s="48" t="s">
        <v>5916</v>
      </c>
      <c r="M2104" s="48" t="s">
        <v>4432</v>
      </c>
      <c r="N2104" s="48" t="s">
        <v>1310</v>
      </c>
      <c r="O2104" s="48" t="s">
        <v>1311</v>
      </c>
      <c r="P2104" s="48" t="s">
        <v>1312</v>
      </c>
      <c r="Q2104" s="48" t="s">
        <v>31</v>
      </c>
      <c r="R2104" s="48" t="s">
        <v>31</v>
      </c>
      <c r="S2104" s="48" t="s">
        <v>31</v>
      </c>
      <c r="T2104" s="48" t="s">
        <v>31</v>
      </c>
      <c r="U2104" s="46" t="s">
        <v>1154</v>
      </c>
    </row>
    <row r="2105" spans="1:21">
      <c r="A2105" s="48" t="s">
        <v>1227</v>
      </c>
      <c r="B2105" s="48" t="s">
        <v>177</v>
      </c>
      <c r="C2105" s="48" t="s">
        <v>666</v>
      </c>
      <c r="D2105" s="48">
        <v>1</v>
      </c>
      <c r="E2105" s="48">
        <v>0</v>
      </c>
      <c r="F2105" t="s">
        <v>773</v>
      </c>
      <c r="G2105" s="48" t="s">
        <v>1305</v>
      </c>
      <c r="H2105" s="48" t="s">
        <v>2710</v>
      </c>
      <c r="I2105" s="48" t="s">
        <v>2710</v>
      </c>
      <c r="J2105" s="48" t="s">
        <v>5917</v>
      </c>
      <c r="K2105" s="48" t="s">
        <v>1323</v>
      </c>
      <c r="L2105" s="48" t="s">
        <v>5918</v>
      </c>
      <c r="M2105" s="48" t="s">
        <v>4432</v>
      </c>
      <c r="N2105" s="48" t="s">
        <v>1310</v>
      </c>
      <c r="O2105" s="48" t="s">
        <v>1311</v>
      </c>
      <c r="P2105" s="48" t="s">
        <v>1312</v>
      </c>
      <c r="Q2105" s="48" t="s">
        <v>31</v>
      </c>
      <c r="R2105" s="48" t="s">
        <v>31</v>
      </c>
      <c r="S2105" s="48" t="s">
        <v>31</v>
      </c>
      <c r="T2105" s="48" t="s">
        <v>31</v>
      </c>
      <c r="U2105" s="46" t="s">
        <v>1154</v>
      </c>
    </row>
    <row r="2106" spans="1:21">
      <c r="A2106" s="48" t="s">
        <v>1167</v>
      </c>
      <c r="B2106" s="48" t="s">
        <v>179</v>
      </c>
      <c r="C2106" s="48" t="s">
        <v>666</v>
      </c>
      <c r="D2106" s="48">
        <v>1</v>
      </c>
      <c r="E2106" s="48">
        <v>0</v>
      </c>
      <c r="F2106" t="s">
        <v>733</v>
      </c>
      <c r="G2106" s="48" t="s">
        <v>1305</v>
      </c>
      <c r="H2106" s="48" t="s">
        <v>5919</v>
      </c>
      <c r="I2106" s="48" t="s">
        <v>5919</v>
      </c>
      <c r="J2106" s="48" t="s">
        <v>5920</v>
      </c>
      <c r="K2106" s="48" t="s">
        <v>1307</v>
      </c>
      <c r="L2106" s="48" t="s">
        <v>5921</v>
      </c>
      <c r="M2106" s="48" t="s">
        <v>4432</v>
      </c>
      <c r="N2106" s="48" t="s">
        <v>1310</v>
      </c>
      <c r="O2106" s="48" t="s">
        <v>1311</v>
      </c>
      <c r="P2106" s="48" t="s">
        <v>1312</v>
      </c>
      <c r="Q2106" s="48" t="s">
        <v>31</v>
      </c>
      <c r="R2106" s="48" t="s">
        <v>31</v>
      </c>
      <c r="S2106" s="48" t="s">
        <v>31</v>
      </c>
      <c r="T2106" s="48" t="s">
        <v>31</v>
      </c>
      <c r="U2106" s="46" t="s">
        <v>1154</v>
      </c>
    </row>
    <row r="2107" spans="1:21">
      <c r="A2107" s="48" t="s">
        <v>1167</v>
      </c>
      <c r="B2107" s="48" t="s">
        <v>179</v>
      </c>
      <c r="C2107" s="48" t="s">
        <v>666</v>
      </c>
      <c r="D2107" s="48">
        <v>1</v>
      </c>
      <c r="E2107" s="48">
        <v>0</v>
      </c>
      <c r="F2107" t="s">
        <v>733</v>
      </c>
      <c r="G2107" s="48" t="s">
        <v>1305</v>
      </c>
      <c r="H2107" s="48" t="s">
        <v>5922</v>
      </c>
      <c r="I2107" s="48" t="s">
        <v>5922</v>
      </c>
      <c r="J2107" s="48" t="s">
        <v>5923</v>
      </c>
      <c r="K2107" s="48" t="s">
        <v>1326</v>
      </c>
      <c r="L2107" s="48" t="s">
        <v>5924</v>
      </c>
      <c r="M2107" s="48" t="s">
        <v>4432</v>
      </c>
      <c r="N2107" s="48" t="s">
        <v>1310</v>
      </c>
      <c r="O2107" s="48" t="s">
        <v>1311</v>
      </c>
      <c r="P2107" s="48" t="s">
        <v>1312</v>
      </c>
      <c r="Q2107" s="48" t="s">
        <v>31</v>
      </c>
      <c r="R2107" s="48" t="s">
        <v>31</v>
      </c>
      <c r="S2107" s="48" t="s">
        <v>31</v>
      </c>
      <c r="T2107" s="48" t="s">
        <v>31</v>
      </c>
      <c r="U2107" s="46" t="s">
        <v>1154</v>
      </c>
    </row>
    <row r="2108" spans="1:21">
      <c r="A2108" s="48" t="s">
        <v>1167</v>
      </c>
      <c r="B2108" s="48" t="s">
        <v>179</v>
      </c>
      <c r="C2108" s="48" t="s">
        <v>666</v>
      </c>
      <c r="D2108" s="48">
        <v>1</v>
      </c>
      <c r="E2108" s="48">
        <v>0</v>
      </c>
      <c r="F2108" t="s">
        <v>733</v>
      </c>
      <c r="G2108" s="48" t="s">
        <v>1305</v>
      </c>
      <c r="H2108" s="48" t="s">
        <v>5925</v>
      </c>
      <c r="I2108" s="48" t="s">
        <v>5925</v>
      </c>
      <c r="J2108" s="48" t="s">
        <v>5926</v>
      </c>
      <c r="K2108" s="48" t="s">
        <v>1332</v>
      </c>
      <c r="L2108" s="48" t="s">
        <v>5927</v>
      </c>
      <c r="M2108" s="48" t="s">
        <v>4432</v>
      </c>
      <c r="N2108" s="48" t="s">
        <v>1310</v>
      </c>
      <c r="O2108" s="48" t="s">
        <v>1311</v>
      </c>
      <c r="P2108" s="48" t="s">
        <v>1312</v>
      </c>
      <c r="Q2108" s="48" t="s">
        <v>31</v>
      </c>
      <c r="R2108" s="48" t="s">
        <v>31</v>
      </c>
      <c r="S2108" s="48" t="s">
        <v>31</v>
      </c>
      <c r="T2108" s="48" t="s">
        <v>31</v>
      </c>
      <c r="U2108" s="46" t="s">
        <v>1154</v>
      </c>
    </row>
    <row r="2109" spans="1:21">
      <c r="A2109" s="48" t="s">
        <v>1167</v>
      </c>
      <c r="B2109" s="48" t="s">
        <v>179</v>
      </c>
      <c r="C2109" s="48" t="s">
        <v>666</v>
      </c>
      <c r="D2109" s="48">
        <v>1</v>
      </c>
      <c r="E2109" s="48">
        <v>0</v>
      </c>
      <c r="F2109" t="s">
        <v>733</v>
      </c>
      <c r="G2109" s="48" t="s">
        <v>1305</v>
      </c>
      <c r="H2109" s="48" t="s">
        <v>5928</v>
      </c>
      <c r="I2109" s="48" t="s">
        <v>5928</v>
      </c>
      <c r="J2109" s="48" t="s">
        <v>5929</v>
      </c>
      <c r="K2109" s="48" t="s">
        <v>1320</v>
      </c>
      <c r="L2109" s="48" t="s">
        <v>5930</v>
      </c>
      <c r="M2109" s="48" t="s">
        <v>4432</v>
      </c>
      <c r="N2109" s="48" t="s">
        <v>1310</v>
      </c>
      <c r="O2109" s="48" t="s">
        <v>1311</v>
      </c>
      <c r="P2109" s="48" t="s">
        <v>1312</v>
      </c>
      <c r="Q2109" s="48" t="s">
        <v>31</v>
      </c>
      <c r="R2109" s="48" t="s">
        <v>31</v>
      </c>
      <c r="S2109" s="48" t="s">
        <v>31</v>
      </c>
      <c r="T2109" s="48" t="s">
        <v>31</v>
      </c>
      <c r="U2109" s="46" t="s">
        <v>1154</v>
      </c>
    </row>
    <row r="2110" spans="1:21">
      <c r="A2110" s="48" t="s">
        <v>1167</v>
      </c>
      <c r="B2110" s="48" t="s">
        <v>179</v>
      </c>
      <c r="C2110" s="48" t="s">
        <v>666</v>
      </c>
      <c r="D2110" s="48">
        <v>1</v>
      </c>
      <c r="E2110" s="48">
        <v>0</v>
      </c>
      <c r="F2110" t="s">
        <v>733</v>
      </c>
      <c r="G2110" s="48" t="s">
        <v>1305</v>
      </c>
      <c r="H2110" s="48" t="s">
        <v>5931</v>
      </c>
      <c r="I2110" s="48" t="s">
        <v>5931</v>
      </c>
      <c r="J2110" s="48" t="s">
        <v>5932</v>
      </c>
      <c r="K2110" s="48" t="s">
        <v>1329</v>
      </c>
      <c r="L2110" s="48" t="s">
        <v>5933</v>
      </c>
      <c r="M2110" s="48" t="s">
        <v>4432</v>
      </c>
      <c r="N2110" s="48" t="s">
        <v>1310</v>
      </c>
      <c r="O2110" s="48" t="s">
        <v>1311</v>
      </c>
      <c r="P2110" s="48" t="s">
        <v>1312</v>
      </c>
      <c r="Q2110" s="48" t="s">
        <v>31</v>
      </c>
      <c r="R2110" s="48" t="s">
        <v>31</v>
      </c>
      <c r="S2110" s="48" t="s">
        <v>31</v>
      </c>
      <c r="T2110" s="48" t="s">
        <v>31</v>
      </c>
      <c r="U2110" s="46" t="s">
        <v>1154</v>
      </c>
    </row>
    <row r="2111" spans="1:21">
      <c r="A2111" s="48" t="s">
        <v>1167</v>
      </c>
      <c r="B2111" s="48" t="s">
        <v>179</v>
      </c>
      <c r="C2111" s="48" t="s">
        <v>666</v>
      </c>
      <c r="D2111" s="48">
        <v>1</v>
      </c>
      <c r="E2111" s="48">
        <v>0</v>
      </c>
      <c r="F2111" t="s">
        <v>733</v>
      </c>
      <c r="G2111" s="48" t="s">
        <v>1305</v>
      </c>
      <c r="H2111" s="48" t="s">
        <v>5934</v>
      </c>
      <c r="I2111" s="48" t="s">
        <v>5934</v>
      </c>
      <c r="J2111" s="48" t="s">
        <v>5935</v>
      </c>
      <c r="K2111" s="48" t="s">
        <v>1317</v>
      </c>
      <c r="L2111" s="48" t="s">
        <v>5936</v>
      </c>
      <c r="M2111" s="48" t="s">
        <v>4432</v>
      </c>
      <c r="N2111" s="48" t="s">
        <v>1310</v>
      </c>
      <c r="O2111" s="48" t="s">
        <v>1311</v>
      </c>
      <c r="P2111" s="48" t="s">
        <v>1312</v>
      </c>
      <c r="Q2111" s="48" t="s">
        <v>31</v>
      </c>
      <c r="R2111" s="48" t="s">
        <v>31</v>
      </c>
      <c r="S2111" s="48" t="s">
        <v>31</v>
      </c>
      <c r="T2111" s="48" t="s">
        <v>31</v>
      </c>
      <c r="U2111" s="46" t="s">
        <v>1154</v>
      </c>
    </row>
    <row r="2112" spans="1:21">
      <c r="A2112" s="48" t="s">
        <v>1167</v>
      </c>
      <c r="B2112" s="48" t="s">
        <v>179</v>
      </c>
      <c r="C2112" s="48" t="s">
        <v>666</v>
      </c>
      <c r="D2112" s="48">
        <v>1</v>
      </c>
      <c r="E2112" s="48">
        <v>0</v>
      </c>
      <c r="F2112" t="s">
        <v>733</v>
      </c>
      <c r="G2112" s="48" t="s">
        <v>1305</v>
      </c>
      <c r="H2112" s="48" t="s">
        <v>5937</v>
      </c>
      <c r="I2112" s="48" t="s">
        <v>5937</v>
      </c>
      <c r="J2112" s="48" t="s">
        <v>5938</v>
      </c>
      <c r="K2112" s="48" t="s">
        <v>1323</v>
      </c>
      <c r="L2112" s="48" t="s">
        <v>5939</v>
      </c>
      <c r="M2112" s="48" t="s">
        <v>4432</v>
      </c>
      <c r="N2112" s="48" t="s">
        <v>1310</v>
      </c>
      <c r="O2112" s="48" t="s">
        <v>1311</v>
      </c>
      <c r="P2112" s="48" t="s">
        <v>1312</v>
      </c>
      <c r="Q2112" s="48" t="s">
        <v>31</v>
      </c>
      <c r="R2112" s="48" t="s">
        <v>31</v>
      </c>
      <c r="S2112" s="48" t="s">
        <v>31</v>
      </c>
      <c r="T2112" s="48" t="s">
        <v>31</v>
      </c>
      <c r="U2112" s="46" t="s">
        <v>1154</v>
      </c>
    </row>
    <row r="2113" spans="1:21">
      <c r="A2113" s="48" t="s">
        <v>1167</v>
      </c>
      <c r="B2113" s="48" t="s">
        <v>179</v>
      </c>
      <c r="C2113" s="48" t="s">
        <v>666</v>
      </c>
      <c r="D2113" s="48">
        <v>1</v>
      </c>
      <c r="E2113" s="48">
        <v>0</v>
      </c>
      <c r="F2113" t="s">
        <v>733</v>
      </c>
      <c r="G2113" s="48" t="s">
        <v>1305</v>
      </c>
      <c r="H2113" s="48" t="s">
        <v>5940</v>
      </c>
      <c r="I2113" s="48" t="s">
        <v>5940</v>
      </c>
      <c r="J2113" s="48" t="s">
        <v>5941</v>
      </c>
      <c r="K2113" s="48" t="s">
        <v>1314</v>
      </c>
      <c r="L2113" s="48" t="s">
        <v>5942</v>
      </c>
      <c r="M2113" s="48" t="s">
        <v>4432</v>
      </c>
      <c r="N2113" s="48" t="s">
        <v>1310</v>
      </c>
      <c r="O2113" s="48" t="s">
        <v>1311</v>
      </c>
      <c r="P2113" s="48" t="s">
        <v>1312</v>
      </c>
      <c r="Q2113" s="48" t="s">
        <v>31</v>
      </c>
      <c r="R2113" s="48" t="s">
        <v>31</v>
      </c>
      <c r="S2113" s="48" t="s">
        <v>31</v>
      </c>
      <c r="T2113" s="48" t="s">
        <v>31</v>
      </c>
      <c r="U2113" s="46" t="s">
        <v>1154</v>
      </c>
    </row>
    <row r="2114" spans="1:21">
      <c r="A2114" s="48" t="s">
        <v>1238</v>
      </c>
      <c r="B2114" s="48" t="s">
        <v>181</v>
      </c>
      <c r="C2114" s="48" t="s">
        <v>666</v>
      </c>
      <c r="D2114" s="48">
        <v>1</v>
      </c>
      <c r="E2114" s="48">
        <v>0</v>
      </c>
      <c r="F2114" t="s">
        <v>773</v>
      </c>
      <c r="G2114" s="48" t="s">
        <v>1305</v>
      </c>
      <c r="H2114" s="48" t="s">
        <v>5943</v>
      </c>
      <c r="I2114" s="48" t="s">
        <v>5943</v>
      </c>
      <c r="J2114" s="48" t="s">
        <v>5944</v>
      </c>
      <c r="K2114" s="48" t="s">
        <v>1323</v>
      </c>
      <c r="L2114" s="48" t="s">
        <v>5945</v>
      </c>
      <c r="M2114" s="48" t="s">
        <v>4432</v>
      </c>
      <c r="N2114" s="48" t="s">
        <v>1310</v>
      </c>
      <c r="O2114" s="48" t="s">
        <v>1311</v>
      </c>
      <c r="P2114" s="48" t="s">
        <v>1312</v>
      </c>
      <c r="Q2114" s="48" t="s">
        <v>31</v>
      </c>
      <c r="R2114" s="48" t="s">
        <v>31</v>
      </c>
      <c r="S2114" s="48" t="s">
        <v>31</v>
      </c>
      <c r="T2114" s="48" t="s">
        <v>31</v>
      </c>
      <c r="U2114" s="46" t="s">
        <v>1154</v>
      </c>
    </row>
    <row r="2115" spans="1:21">
      <c r="A2115" s="48" t="s">
        <v>1238</v>
      </c>
      <c r="B2115" s="48" t="s">
        <v>181</v>
      </c>
      <c r="C2115" s="48" t="s">
        <v>666</v>
      </c>
      <c r="D2115" s="48">
        <v>1</v>
      </c>
      <c r="E2115" s="48">
        <v>0</v>
      </c>
      <c r="F2115" t="s">
        <v>773</v>
      </c>
      <c r="G2115" s="48" t="s">
        <v>1305</v>
      </c>
      <c r="H2115" s="48" t="s">
        <v>5946</v>
      </c>
      <c r="I2115" s="48" t="s">
        <v>5946</v>
      </c>
      <c r="J2115" s="48" t="s">
        <v>5947</v>
      </c>
      <c r="K2115" s="48" t="s">
        <v>1317</v>
      </c>
      <c r="L2115" s="48" t="s">
        <v>5948</v>
      </c>
      <c r="M2115" s="48" t="s">
        <v>4432</v>
      </c>
      <c r="N2115" s="48" t="s">
        <v>1310</v>
      </c>
      <c r="O2115" s="48" t="s">
        <v>1311</v>
      </c>
      <c r="P2115" s="48" t="s">
        <v>1312</v>
      </c>
      <c r="Q2115" s="48" t="s">
        <v>31</v>
      </c>
      <c r="R2115" s="48" t="s">
        <v>31</v>
      </c>
      <c r="S2115" s="48" t="s">
        <v>31</v>
      </c>
      <c r="T2115" s="48" t="s">
        <v>31</v>
      </c>
      <c r="U2115" s="46" t="s">
        <v>1154</v>
      </c>
    </row>
    <row r="2116" spans="1:21">
      <c r="A2116" s="48" t="s">
        <v>1238</v>
      </c>
      <c r="B2116" s="48" t="s">
        <v>181</v>
      </c>
      <c r="C2116" s="48" t="s">
        <v>666</v>
      </c>
      <c r="D2116" s="48">
        <v>1</v>
      </c>
      <c r="E2116" s="48">
        <v>0</v>
      </c>
      <c r="F2116" t="s">
        <v>773</v>
      </c>
      <c r="G2116" s="48" t="s">
        <v>1305</v>
      </c>
      <c r="H2116" s="48" t="s">
        <v>5949</v>
      </c>
      <c r="I2116" s="48" t="s">
        <v>5949</v>
      </c>
      <c r="J2116" s="48" t="s">
        <v>5950</v>
      </c>
      <c r="K2116" s="48" t="s">
        <v>1320</v>
      </c>
      <c r="L2116" s="48" t="s">
        <v>5951</v>
      </c>
      <c r="M2116" s="48" t="s">
        <v>4432</v>
      </c>
      <c r="N2116" s="48" t="s">
        <v>1310</v>
      </c>
      <c r="O2116" s="48" t="s">
        <v>1311</v>
      </c>
      <c r="P2116" s="48" t="s">
        <v>1312</v>
      </c>
      <c r="Q2116" s="48" t="s">
        <v>31</v>
      </c>
      <c r="R2116" s="48" t="s">
        <v>31</v>
      </c>
      <c r="S2116" s="48" t="s">
        <v>31</v>
      </c>
      <c r="T2116" s="48" t="s">
        <v>31</v>
      </c>
      <c r="U2116" s="46" t="s">
        <v>1154</v>
      </c>
    </row>
    <row r="2117" spans="1:21">
      <c r="A2117" s="48" t="s">
        <v>1238</v>
      </c>
      <c r="B2117" s="48" t="s">
        <v>181</v>
      </c>
      <c r="C2117" s="48" t="s">
        <v>666</v>
      </c>
      <c r="D2117" s="48">
        <v>1</v>
      </c>
      <c r="E2117" s="48">
        <v>0</v>
      </c>
      <c r="F2117" t="s">
        <v>773</v>
      </c>
      <c r="G2117" s="48" t="s">
        <v>1305</v>
      </c>
      <c r="H2117" s="48" t="s">
        <v>5952</v>
      </c>
      <c r="I2117" s="48" t="s">
        <v>5952</v>
      </c>
      <c r="J2117" s="48" t="s">
        <v>5953</v>
      </c>
      <c r="K2117" s="48" t="s">
        <v>1314</v>
      </c>
      <c r="L2117" s="48" t="s">
        <v>5954</v>
      </c>
      <c r="M2117" s="48" t="s">
        <v>4432</v>
      </c>
      <c r="N2117" s="48" t="s">
        <v>1310</v>
      </c>
      <c r="O2117" s="48" t="s">
        <v>1311</v>
      </c>
      <c r="P2117" s="48" t="s">
        <v>1312</v>
      </c>
      <c r="Q2117" s="48" t="s">
        <v>31</v>
      </c>
      <c r="R2117" s="48" t="s">
        <v>31</v>
      </c>
      <c r="S2117" s="48" t="s">
        <v>31</v>
      </c>
      <c r="T2117" s="48" t="s">
        <v>31</v>
      </c>
      <c r="U2117" s="46" t="s">
        <v>1154</v>
      </c>
    </row>
    <row r="2118" spans="1:21">
      <c r="A2118" s="48" t="s">
        <v>1238</v>
      </c>
      <c r="B2118" s="48" t="s">
        <v>181</v>
      </c>
      <c r="C2118" s="48" t="s">
        <v>666</v>
      </c>
      <c r="D2118" s="48">
        <v>1</v>
      </c>
      <c r="E2118" s="48">
        <v>0</v>
      </c>
      <c r="F2118" t="s">
        <v>773</v>
      </c>
      <c r="G2118" s="48" t="s">
        <v>1305</v>
      </c>
      <c r="H2118" s="48" t="s">
        <v>5955</v>
      </c>
      <c r="I2118" s="48" t="s">
        <v>5955</v>
      </c>
      <c r="J2118" s="48" t="s">
        <v>5956</v>
      </c>
      <c r="K2118" s="48" t="s">
        <v>1332</v>
      </c>
      <c r="L2118" s="48" t="s">
        <v>5957</v>
      </c>
      <c r="M2118" s="48" t="s">
        <v>4432</v>
      </c>
      <c r="N2118" s="48" t="s">
        <v>1310</v>
      </c>
      <c r="O2118" s="48" t="s">
        <v>1311</v>
      </c>
      <c r="P2118" s="48" t="s">
        <v>1312</v>
      </c>
      <c r="Q2118" s="48" t="s">
        <v>31</v>
      </c>
      <c r="R2118" s="48" t="s">
        <v>31</v>
      </c>
      <c r="S2118" s="48" t="s">
        <v>31</v>
      </c>
      <c r="T2118" s="48" t="s">
        <v>31</v>
      </c>
      <c r="U2118" s="46" t="s">
        <v>1154</v>
      </c>
    </row>
    <row r="2119" spans="1:21">
      <c r="A2119" s="48" t="s">
        <v>1238</v>
      </c>
      <c r="B2119" s="48" t="s">
        <v>181</v>
      </c>
      <c r="C2119" s="48" t="s">
        <v>666</v>
      </c>
      <c r="D2119" s="48">
        <v>1</v>
      </c>
      <c r="E2119" s="48">
        <v>0</v>
      </c>
      <c r="F2119" t="s">
        <v>773</v>
      </c>
      <c r="G2119" s="48" t="s">
        <v>1305</v>
      </c>
      <c r="H2119" s="48" t="s">
        <v>5958</v>
      </c>
      <c r="I2119" s="48" t="s">
        <v>5958</v>
      </c>
      <c r="J2119" s="48" t="s">
        <v>5959</v>
      </c>
      <c r="K2119" s="48" t="s">
        <v>1326</v>
      </c>
      <c r="L2119" s="48" t="s">
        <v>5960</v>
      </c>
      <c r="M2119" s="48" t="s">
        <v>4432</v>
      </c>
      <c r="N2119" s="48" t="s">
        <v>1310</v>
      </c>
      <c r="O2119" s="48" t="s">
        <v>1311</v>
      </c>
      <c r="P2119" s="48" t="s">
        <v>1312</v>
      </c>
      <c r="Q2119" s="48" t="s">
        <v>31</v>
      </c>
      <c r="R2119" s="48" t="s">
        <v>31</v>
      </c>
      <c r="S2119" s="48" t="s">
        <v>31</v>
      </c>
      <c r="T2119" s="48" t="s">
        <v>31</v>
      </c>
      <c r="U2119" s="46" t="s">
        <v>1154</v>
      </c>
    </row>
    <row r="2120" spans="1:21">
      <c r="A2120" s="48" t="s">
        <v>1238</v>
      </c>
      <c r="B2120" s="48" t="s">
        <v>181</v>
      </c>
      <c r="C2120" s="48" t="s">
        <v>666</v>
      </c>
      <c r="D2120" s="48">
        <v>1</v>
      </c>
      <c r="E2120" s="48">
        <v>0</v>
      </c>
      <c r="F2120" t="s">
        <v>773</v>
      </c>
      <c r="G2120" s="48" t="s">
        <v>1305</v>
      </c>
      <c r="H2120" s="48" t="s">
        <v>5961</v>
      </c>
      <c r="I2120" s="48" t="s">
        <v>5961</v>
      </c>
      <c r="J2120" s="48" t="s">
        <v>5962</v>
      </c>
      <c r="K2120" s="48" t="s">
        <v>1307</v>
      </c>
      <c r="L2120" s="48" t="s">
        <v>5963</v>
      </c>
      <c r="M2120" s="48" t="s">
        <v>4432</v>
      </c>
      <c r="N2120" s="48" t="s">
        <v>1310</v>
      </c>
      <c r="O2120" s="48" t="s">
        <v>1311</v>
      </c>
      <c r="P2120" s="48" t="s">
        <v>1312</v>
      </c>
      <c r="Q2120" s="48" t="s">
        <v>31</v>
      </c>
      <c r="R2120" s="48" t="s">
        <v>31</v>
      </c>
      <c r="S2120" s="48" t="s">
        <v>31</v>
      </c>
      <c r="T2120" s="48" t="s">
        <v>31</v>
      </c>
      <c r="U2120" s="46" t="s">
        <v>1154</v>
      </c>
    </row>
    <row r="2121" spans="1:21">
      <c r="A2121" s="48" t="s">
        <v>1238</v>
      </c>
      <c r="B2121" s="48" t="s">
        <v>181</v>
      </c>
      <c r="C2121" s="48" t="s">
        <v>666</v>
      </c>
      <c r="D2121" s="48">
        <v>1</v>
      </c>
      <c r="E2121" s="48">
        <v>0</v>
      </c>
      <c r="F2121" t="s">
        <v>773</v>
      </c>
      <c r="G2121" s="48" t="s">
        <v>1305</v>
      </c>
      <c r="H2121" s="48" t="s">
        <v>5964</v>
      </c>
      <c r="I2121" s="48" t="s">
        <v>5964</v>
      </c>
      <c r="J2121" s="48" t="s">
        <v>5965</v>
      </c>
      <c r="K2121" s="48" t="s">
        <v>1329</v>
      </c>
      <c r="L2121" s="48" t="s">
        <v>5966</v>
      </c>
      <c r="M2121" s="48" t="s">
        <v>4432</v>
      </c>
      <c r="N2121" s="48" t="s">
        <v>1310</v>
      </c>
      <c r="O2121" s="48" t="s">
        <v>1311</v>
      </c>
      <c r="P2121" s="48" t="s">
        <v>1312</v>
      </c>
      <c r="Q2121" s="48" t="s">
        <v>31</v>
      </c>
      <c r="R2121" s="48" t="s">
        <v>31</v>
      </c>
      <c r="S2121" s="48" t="s">
        <v>31</v>
      </c>
      <c r="T2121" s="48" t="s">
        <v>31</v>
      </c>
      <c r="U2121" s="46" t="s">
        <v>1154</v>
      </c>
    </row>
    <row r="2122" spans="1:21">
      <c r="A2122" s="48" t="s">
        <v>1213</v>
      </c>
      <c r="B2122" s="48" t="s">
        <v>183</v>
      </c>
      <c r="C2122" s="48" t="s">
        <v>666</v>
      </c>
      <c r="D2122" s="48">
        <v>2</v>
      </c>
      <c r="E2122" s="48">
        <v>1</v>
      </c>
      <c r="F2122" t="s">
        <v>718</v>
      </c>
      <c r="G2122" s="48" t="s">
        <v>1305</v>
      </c>
      <c r="H2122" s="48" t="s">
        <v>3186</v>
      </c>
      <c r="I2122" s="48" t="s">
        <v>3186</v>
      </c>
      <c r="J2122" s="48" t="s">
        <v>5967</v>
      </c>
      <c r="K2122" s="48" t="s">
        <v>1317</v>
      </c>
      <c r="L2122" s="48" t="s">
        <v>5968</v>
      </c>
      <c r="M2122" s="48" t="s">
        <v>4432</v>
      </c>
      <c r="N2122" s="48" t="s">
        <v>1310</v>
      </c>
      <c r="O2122" s="48" t="s">
        <v>1311</v>
      </c>
      <c r="P2122" s="48" t="s">
        <v>1312</v>
      </c>
      <c r="Q2122" s="48" t="s">
        <v>31</v>
      </c>
      <c r="R2122" s="48" t="s">
        <v>31</v>
      </c>
      <c r="S2122" s="48" t="s">
        <v>31</v>
      </c>
      <c r="T2122" s="48" t="s">
        <v>31</v>
      </c>
      <c r="U2122" s="46" t="s">
        <v>1154</v>
      </c>
    </row>
    <row r="2123" spans="1:21">
      <c r="A2123" s="48" t="s">
        <v>1213</v>
      </c>
      <c r="B2123" s="48" t="s">
        <v>183</v>
      </c>
      <c r="C2123" s="48" t="s">
        <v>666</v>
      </c>
      <c r="D2123" s="48">
        <v>2</v>
      </c>
      <c r="E2123" s="48">
        <v>1</v>
      </c>
      <c r="F2123" t="s">
        <v>718</v>
      </c>
      <c r="G2123" s="48" t="s">
        <v>1305</v>
      </c>
      <c r="H2123" s="48" t="s">
        <v>3184</v>
      </c>
      <c r="I2123" s="48" t="s">
        <v>3184</v>
      </c>
      <c r="J2123" s="48" t="s">
        <v>5969</v>
      </c>
      <c r="K2123" s="48" t="s">
        <v>1314</v>
      </c>
      <c r="L2123" s="49" t="s">
        <v>5970</v>
      </c>
      <c r="M2123" s="48" t="s">
        <v>4432</v>
      </c>
      <c r="N2123" s="48" t="s">
        <v>1310</v>
      </c>
      <c r="O2123" s="48" t="s">
        <v>1311</v>
      </c>
      <c r="P2123" s="48" t="s">
        <v>1312</v>
      </c>
      <c r="Q2123" s="48" t="s">
        <v>31</v>
      </c>
      <c r="R2123" s="48" t="s">
        <v>31</v>
      </c>
      <c r="S2123" s="48" t="s">
        <v>31</v>
      </c>
      <c r="T2123" s="48" t="s">
        <v>31</v>
      </c>
      <c r="U2123" s="46" t="s">
        <v>1154</v>
      </c>
    </row>
    <row r="2124" spans="1:21">
      <c r="A2124" s="48" t="s">
        <v>1213</v>
      </c>
      <c r="B2124" s="48" t="s">
        <v>183</v>
      </c>
      <c r="C2124" s="48" t="s">
        <v>666</v>
      </c>
      <c r="D2124" s="48">
        <v>2</v>
      </c>
      <c r="E2124" s="48">
        <v>1</v>
      </c>
      <c r="F2124" t="s">
        <v>718</v>
      </c>
      <c r="G2124" s="48" t="s">
        <v>1305</v>
      </c>
      <c r="H2124" s="48" t="s">
        <v>3190</v>
      </c>
      <c r="I2124" s="48" t="s">
        <v>3190</v>
      </c>
      <c r="J2124" s="48" t="s">
        <v>5971</v>
      </c>
      <c r="K2124" s="48" t="s">
        <v>1323</v>
      </c>
      <c r="L2124" s="48" t="s">
        <v>5972</v>
      </c>
      <c r="M2124" s="48" t="s">
        <v>4432</v>
      </c>
      <c r="N2124" s="48" t="s">
        <v>1310</v>
      </c>
      <c r="O2124" s="48" t="s">
        <v>1311</v>
      </c>
      <c r="P2124" s="48" t="s">
        <v>1312</v>
      </c>
      <c r="Q2124" s="48" t="s">
        <v>31</v>
      </c>
      <c r="R2124" s="48" t="s">
        <v>31</v>
      </c>
      <c r="S2124" s="48" t="s">
        <v>31</v>
      </c>
      <c r="T2124" s="48" t="s">
        <v>31</v>
      </c>
      <c r="U2124" s="46" t="s">
        <v>1154</v>
      </c>
    </row>
    <row r="2125" spans="1:21">
      <c r="A2125" s="48" t="s">
        <v>1213</v>
      </c>
      <c r="B2125" s="48" t="s">
        <v>183</v>
      </c>
      <c r="C2125" s="48" t="s">
        <v>666</v>
      </c>
      <c r="D2125" s="48">
        <v>2</v>
      </c>
      <c r="E2125" s="48">
        <v>1</v>
      </c>
      <c r="F2125" t="s">
        <v>718</v>
      </c>
      <c r="G2125" s="48" t="s">
        <v>1305</v>
      </c>
      <c r="H2125" s="48" t="s">
        <v>3196</v>
      </c>
      <c r="I2125" s="48" t="s">
        <v>3196</v>
      </c>
      <c r="J2125" s="48" t="s">
        <v>5973</v>
      </c>
      <c r="K2125" s="48" t="s">
        <v>1332</v>
      </c>
      <c r="L2125" s="48" t="s">
        <v>5974</v>
      </c>
      <c r="M2125" s="48" t="s">
        <v>4432</v>
      </c>
      <c r="N2125" s="48" t="s">
        <v>1310</v>
      </c>
      <c r="O2125" s="48" t="s">
        <v>1311</v>
      </c>
      <c r="P2125" s="48" t="s">
        <v>1312</v>
      </c>
      <c r="Q2125" s="48" t="s">
        <v>31</v>
      </c>
      <c r="R2125" s="48" t="s">
        <v>31</v>
      </c>
      <c r="S2125" s="48" t="s">
        <v>31</v>
      </c>
      <c r="T2125" s="48" t="s">
        <v>31</v>
      </c>
      <c r="U2125" s="46" t="s">
        <v>1154</v>
      </c>
    </row>
    <row r="2126" spans="1:21">
      <c r="A2126" s="48" t="s">
        <v>1213</v>
      </c>
      <c r="B2126" s="48" t="s">
        <v>183</v>
      </c>
      <c r="C2126" s="48" t="s">
        <v>666</v>
      </c>
      <c r="D2126" s="48">
        <v>2</v>
      </c>
      <c r="E2126" s="48">
        <v>1</v>
      </c>
      <c r="F2126" t="s">
        <v>718</v>
      </c>
      <c r="G2126" s="48" t="s">
        <v>1305</v>
      </c>
      <c r="H2126" s="48" t="s">
        <v>3188</v>
      </c>
      <c r="I2126" s="48" t="s">
        <v>3188</v>
      </c>
      <c r="J2126" s="48" t="s">
        <v>5975</v>
      </c>
      <c r="K2126" s="48" t="s">
        <v>1320</v>
      </c>
      <c r="L2126" s="48" t="s">
        <v>5976</v>
      </c>
      <c r="M2126" s="48" t="s">
        <v>4432</v>
      </c>
      <c r="N2126" s="48" t="s">
        <v>1310</v>
      </c>
      <c r="O2126" s="48" t="s">
        <v>1311</v>
      </c>
      <c r="P2126" s="48" t="s">
        <v>1312</v>
      </c>
      <c r="Q2126" s="48" t="s">
        <v>31</v>
      </c>
      <c r="R2126" s="48" t="s">
        <v>31</v>
      </c>
      <c r="S2126" s="48" t="s">
        <v>31</v>
      </c>
      <c r="T2126" s="48" t="s">
        <v>31</v>
      </c>
      <c r="U2126" s="46" t="s">
        <v>1154</v>
      </c>
    </row>
    <row r="2127" spans="1:21">
      <c r="A2127" s="48" t="s">
        <v>1213</v>
      </c>
      <c r="B2127" s="48" t="s">
        <v>183</v>
      </c>
      <c r="C2127" s="48" t="s">
        <v>666</v>
      </c>
      <c r="D2127" s="48">
        <v>2</v>
      </c>
      <c r="E2127" s="48">
        <v>1</v>
      </c>
      <c r="F2127" t="s">
        <v>718</v>
      </c>
      <c r="G2127" s="48" t="s">
        <v>1305</v>
      </c>
      <c r="H2127" s="48" t="s">
        <v>3182</v>
      </c>
      <c r="I2127" s="48" t="s">
        <v>3182</v>
      </c>
      <c r="J2127" s="48" t="s">
        <v>5977</v>
      </c>
      <c r="K2127" s="48" t="s">
        <v>1307</v>
      </c>
      <c r="L2127" s="48" t="s">
        <v>5978</v>
      </c>
      <c r="M2127" s="48" t="s">
        <v>4432</v>
      </c>
      <c r="N2127" s="48" t="s">
        <v>1310</v>
      </c>
      <c r="O2127" s="48" t="s">
        <v>1311</v>
      </c>
      <c r="P2127" s="48" t="s">
        <v>1312</v>
      </c>
      <c r="Q2127" s="48" t="s">
        <v>31</v>
      </c>
      <c r="R2127" s="48" t="s">
        <v>31</v>
      </c>
      <c r="S2127" s="48" t="s">
        <v>31</v>
      </c>
      <c r="T2127" s="48" t="s">
        <v>31</v>
      </c>
      <c r="U2127" s="46" t="s">
        <v>1154</v>
      </c>
    </row>
    <row r="2128" spans="1:21">
      <c r="A2128" s="48" t="s">
        <v>1213</v>
      </c>
      <c r="B2128" s="48" t="s">
        <v>183</v>
      </c>
      <c r="C2128" s="48" t="s">
        <v>666</v>
      </c>
      <c r="D2128" s="48">
        <v>2</v>
      </c>
      <c r="E2128" s="48">
        <v>1</v>
      </c>
      <c r="F2128" t="s">
        <v>718</v>
      </c>
      <c r="G2128" s="48" t="s">
        <v>1305</v>
      </c>
      <c r="H2128" s="48" t="s">
        <v>3194</v>
      </c>
      <c r="I2128" s="48" t="s">
        <v>3194</v>
      </c>
      <c r="J2128" s="48" t="s">
        <v>5979</v>
      </c>
      <c r="K2128" s="48" t="s">
        <v>1329</v>
      </c>
      <c r="L2128" s="48" t="s">
        <v>5980</v>
      </c>
      <c r="M2128" s="48" t="s">
        <v>4432</v>
      </c>
      <c r="N2128" s="48" t="s">
        <v>1310</v>
      </c>
      <c r="O2128" s="48" t="s">
        <v>1311</v>
      </c>
      <c r="P2128" s="48" t="s">
        <v>1312</v>
      </c>
      <c r="Q2128" s="48" t="s">
        <v>31</v>
      </c>
      <c r="R2128" s="48" t="s">
        <v>31</v>
      </c>
      <c r="S2128" s="48" t="s">
        <v>31</v>
      </c>
      <c r="T2128" s="48" t="s">
        <v>31</v>
      </c>
      <c r="U2128" s="46" t="s">
        <v>1154</v>
      </c>
    </row>
    <row r="2129" spans="1:21">
      <c r="A2129" s="48" t="s">
        <v>1213</v>
      </c>
      <c r="B2129" s="48" t="s">
        <v>183</v>
      </c>
      <c r="C2129" s="48" t="s">
        <v>666</v>
      </c>
      <c r="D2129" s="48">
        <v>2</v>
      </c>
      <c r="E2129" s="48">
        <v>1</v>
      </c>
      <c r="F2129" t="s">
        <v>718</v>
      </c>
      <c r="G2129" s="48" t="s">
        <v>1305</v>
      </c>
      <c r="H2129" s="48" t="s">
        <v>3192</v>
      </c>
      <c r="I2129" s="48" t="s">
        <v>3192</v>
      </c>
      <c r="J2129" s="48" t="s">
        <v>5981</v>
      </c>
      <c r="K2129" s="48" t="s">
        <v>1326</v>
      </c>
      <c r="L2129" s="48" t="s">
        <v>5982</v>
      </c>
      <c r="M2129" s="48" t="s">
        <v>4432</v>
      </c>
      <c r="N2129" s="48" t="s">
        <v>1310</v>
      </c>
      <c r="O2129" s="48" t="s">
        <v>1311</v>
      </c>
      <c r="P2129" s="48" t="s">
        <v>1312</v>
      </c>
      <c r="Q2129" s="48" t="s">
        <v>31</v>
      </c>
      <c r="R2129" s="48" t="s">
        <v>31</v>
      </c>
      <c r="S2129" s="48" t="s">
        <v>31</v>
      </c>
      <c r="T2129" s="48" t="s">
        <v>31</v>
      </c>
      <c r="U2129" s="46" t="s">
        <v>1154</v>
      </c>
    </row>
    <row r="2130" spans="1:21">
      <c r="A2130" s="48" t="s">
        <v>1195</v>
      </c>
      <c r="B2130" s="48" t="s">
        <v>183</v>
      </c>
      <c r="C2130" s="48" t="s">
        <v>689</v>
      </c>
      <c r="D2130" s="48">
        <v>2</v>
      </c>
      <c r="E2130" s="48">
        <v>1</v>
      </c>
      <c r="F2130" t="s">
        <v>708</v>
      </c>
      <c r="G2130" s="48" t="s">
        <v>1305</v>
      </c>
      <c r="H2130" s="48" t="s">
        <v>5983</v>
      </c>
      <c r="I2130" s="48" t="s">
        <v>5983</v>
      </c>
      <c r="J2130" s="48" t="s">
        <v>5984</v>
      </c>
      <c r="K2130" s="48" t="s">
        <v>1317</v>
      </c>
      <c r="L2130" s="48" t="s">
        <v>5985</v>
      </c>
      <c r="M2130" s="48" t="s">
        <v>4432</v>
      </c>
      <c r="N2130" s="48" t="s">
        <v>1310</v>
      </c>
      <c r="O2130" s="48" t="s">
        <v>1311</v>
      </c>
      <c r="P2130" s="48" t="s">
        <v>1312</v>
      </c>
      <c r="Q2130" s="48" t="s">
        <v>31</v>
      </c>
      <c r="R2130" s="48" t="s">
        <v>31</v>
      </c>
      <c r="S2130" s="48" t="s">
        <v>31</v>
      </c>
      <c r="T2130" s="48" t="s">
        <v>31</v>
      </c>
      <c r="U2130" s="46" t="s">
        <v>1154</v>
      </c>
    </row>
    <row r="2131" spans="1:21">
      <c r="A2131" s="48" t="s">
        <v>1195</v>
      </c>
      <c r="B2131" s="48" t="s">
        <v>183</v>
      </c>
      <c r="C2131" s="48" t="s">
        <v>689</v>
      </c>
      <c r="D2131" s="48">
        <v>2</v>
      </c>
      <c r="E2131" s="48">
        <v>1</v>
      </c>
      <c r="F2131" t="s">
        <v>708</v>
      </c>
      <c r="G2131" s="48" t="s">
        <v>1305</v>
      </c>
      <c r="H2131" s="48" t="s">
        <v>5986</v>
      </c>
      <c r="I2131" s="48" t="s">
        <v>5986</v>
      </c>
      <c r="J2131" s="48" t="s">
        <v>5987</v>
      </c>
      <c r="K2131" s="48" t="s">
        <v>1332</v>
      </c>
      <c r="L2131" s="48" t="s">
        <v>5988</v>
      </c>
      <c r="M2131" s="48" t="s">
        <v>4432</v>
      </c>
      <c r="N2131" s="48" t="s">
        <v>1310</v>
      </c>
      <c r="O2131" s="48" t="s">
        <v>1311</v>
      </c>
      <c r="P2131" s="48" t="s">
        <v>1312</v>
      </c>
      <c r="Q2131" s="48" t="s">
        <v>31</v>
      </c>
      <c r="R2131" s="48" t="s">
        <v>31</v>
      </c>
      <c r="S2131" s="48" t="s">
        <v>31</v>
      </c>
      <c r="T2131" s="48" t="s">
        <v>31</v>
      </c>
      <c r="U2131" s="46" t="s">
        <v>1154</v>
      </c>
    </row>
    <row r="2132" spans="1:21">
      <c r="A2132" s="48" t="s">
        <v>1195</v>
      </c>
      <c r="B2132" s="48" t="s">
        <v>183</v>
      </c>
      <c r="C2132" s="48" t="s">
        <v>689</v>
      </c>
      <c r="D2132" s="48">
        <v>2</v>
      </c>
      <c r="E2132" s="48">
        <v>1</v>
      </c>
      <c r="F2132" t="s">
        <v>708</v>
      </c>
      <c r="G2132" s="48" t="s">
        <v>1305</v>
      </c>
      <c r="H2132" s="48" t="s">
        <v>5989</v>
      </c>
      <c r="I2132" s="48" t="s">
        <v>5989</v>
      </c>
      <c r="J2132" s="48" t="s">
        <v>5990</v>
      </c>
      <c r="K2132" s="48" t="s">
        <v>1320</v>
      </c>
      <c r="L2132" s="48" t="s">
        <v>5991</v>
      </c>
      <c r="M2132" s="48" t="s">
        <v>4432</v>
      </c>
      <c r="N2132" s="48" t="s">
        <v>1310</v>
      </c>
      <c r="O2132" s="48" t="s">
        <v>1311</v>
      </c>
      <c r="P2132" s="48" t="s">
        <v>1312</v>
      </c>
      <c r="Q2132" s="48" t="s">
        <v>31</v>
      </c>
      <c r="R2132" s="48" t="s">
        <v>31</v>
      </c>
      <c r="S2132" s="48" t="s">
        <v>31</v>
      </c>
      <c r="T2132" s="48" t="s">
        <v>31</v>
      </c>
      <c r="U2132" s="46" t="s">
        <v>1154</v>
      </c>
    </row>
    <row r="2133" spans="1:21">
      <c r="A2133" s="48" t="s">
        <v>1195</v>
      </c>
      <c r="B2133" s="48" t="s">
        <v>183</v>
      </c>
      <c r="C2133" s="48" t="s">
        <v>689</v>
      </c>
      <c r="D2133" s="48">
        <v>2</v>
      </c>
      <c r="E2133" s="48">
        <v>1</v>
      </c>
      <c r="F2133" t="s">
        <v>708</v>
      </c>
      <c r="G2133" s="48" t="s">
        <v>1305</v>
      </c>
      <c r="H2133" s="48" t="s">
        <v>5992</v>
      </c>
      <c r="I2133" s="48" t="s">
        <v>5992</v>
      </c>
      <c r="J2133" s="48" t="s">
        <v>5993</v>
      </c>
      <c r="K2133" s="48" t="s">
        <v>1323</v>
      </c>
      <c r="L2133" s="48" t="s">
        <v>5994</v>
      </c>
      <c r="M2133" s="48" t="s">
        <v>4432</v>
      </c>
      <c r="N2133" s="48" t="s">
        <v>1310</v>
      </c>
      <c r="O2133" s="48" t="s">
        <v>1311</v>
      </c>
      <c r="P2133" s="48" t="s">
        <v>1312</v>
      </c>
      <c r="Q2133" s="48" t="s">
        <v>31</v>
      </c>
      <c r="R2133" s="48" t="s">
        <v>31</v>
      </c>
      <c r="S2133" s="48" t="s">
        <v>31</v>
      </c>
      <c r="T2133" s="48" t="s">
        <v>31</v>
      </c>
      <c r="U2133" s="46" t="s">
        <v>1154</v>
      </c>
    </row>
    <row r="2134" spans="1:21">
      <c r="A2134" s="48" t="s">
        <v>1195</v>
      </c>
      <c r="B2134" s="48" t="s">
        <v>183</v>
      </c>
      <c r="C2134" s="48" t="s">
        <v>689</v>
      </c>
      <c r="D2134" s="48">
        <v>2</v>
      </c>
      <c r="E2134" s="48">
        <v>1</v>
      </c>
      <c r="F2134" t="s">
        <v>708</v>
      </c>
      <c r="G2134" s="48" t="s">
        <v>1305</v>
      </c>
      <c r="H2134" s="48" t="s">
        <v>5995</v>
      </c>
      <c r="I2134" s="48" t="s">
        <v>5995</v>
      </c>
      <c r="J2134" s="48" t="s">
        <v>5996</v>
      </c>
      <c r="K2134" s="48" t="s">
        <v>1326</v>
      </c>
      <c r="L2134" s="48" t="s">
        <v>5997</v>
      </c>
      <c r="M2134" s="48" t="s">
        <v>4432</v>
      </c>
      <c r="N2134" s="48" t="s">
        <v>1310</v>
      </c>
      <c r="O2134" s="48" t="s">
        <v>1311</v>
      </c>
      <c r="P2134" s="48" t="s">
        <v>1312</v>
      </c>
      <c r="Q2134" s="48" t="s">
        <v>31</v>
      </c>
      <c r="R2134" s="48" t="s">
        <v>31</v>
      </c>
      <c r="S2134" s="48" t="s">
        <v>31</v>
      </c>
      <c r="T2134" s="48" t="s">
        <v>31</v>
      </c>
      <c r="U2134" s="46" t="s">
        <v>1154</v>
      </c>
    </row>
    <row r="2135" spans="1:21">
      <c r="A2135" s="48" t="s">
        <v>1195</v>
      </c>
      <c r="B2135" s="48" t="s">
        <v>183</v>
      </c>
      <c r="C2135" s="48" t="s">
        <v>689</v>
      </c>
      <c r="D2135" s="48">
        <v>2</v>
      </c>
      <c r="E2135" s="48">
        <v>1</v>
      </c>
      <c r="F2135" t="s">
        <v>708</v>
      </c>
      <c r="G2135" s="48" t="s">
        <v>1305</v>
      </c>
      <c r="H2135" s="48" t="s">
        <v>5998</v>
      </c>
      <c r="I2135" s="48" t="s">
        <v>5998</v>
      </c>
      <c r="J2135" s="48" t="s">
        <v>5999</v>
      </c>
      <c r="K2135" s="48" t="s">
        <v>1307</v>
      </c>
      <c r="L2135" s="48" t="s">
        <v>6000</v>
      </c>
      <c r="M2135" s="48" t="s">
        <v>4432</v>
      </c>
      <c r="N2135" s="48" t="s">
        <v>1310</v>
      </c>
      <c r="O2135" s="48" t="s">
        <v>1311</v>
      </c>
      <c r="P2135" s="48" t="s">
        <v>1312</v>
      </c>
      <c r="Q2135" s="48" t="s">
        <v>31</v>
      </c>
      <c r="R2135" s="48" t="s">
        <v>31</v>
      </c>
      <c r="S2135" s="48" t="s">
        <v>31</v>
      </c>
      <c r="T2135" s="48" t="s">
        <v>31</v>
      </c>
      <c r="U2135" s="46" t="s">
        <v>1154</v>
      </c>
    </row>
    <row r="2136" spans="1:21">
      <c r="A2136" s="48" t="s">
        <v>1195</v>
      </c>
      <c r="B2136" s="48" t="s">
        <v>183</v>
      </c>
      <c r="C2136" s="48" t="s">
        <v>689</v>
      </c>
      <c r="D2136" s="48">
        <v>2</v>
      </c>
      <c r="E2136" s="48">
        <v>1</v>
      </c>
      <c r="F2136" t="s">
        <v>708</v>
      </c>
      <c r="G2136" s="48" t="s">
        <v>1305</v>
      </c>
      <c r="H2136" s="48" t="s">
        <v>6001</v>
      </c>
      <c r="I2136" s="48" t="s">
        <v>6001</v>
      </c>
      <c r="J2136" s="48" t="s">
        <v>6002</v>
      </c>
      <c r="K2136" s="48" t="s">
        <v>1329</v>
      </c>
      <c r="L2136" s="48" t="s">
        <v>6003</v>
      </c>
      <c r="M2136" s="48" t="s">
        <v>4432</v>
      </c>
      <c r="N2136" s="48" t="s">
        <v>1310</v>
      </c>
      <c r="O2136" s="48" t="s">
        <v>1311</v>
      </c>
      <c r="P2136" s="48" t="s">
        <v>1312</v>
      </c>
      <c r="Q2136" s="48" t="s">
        <v>31</v>
      </c>
      <c r="R2136" s="48" t="s">
        <v>31</v>
      </c>
      <c r="S2136" s="48" t="s">
        <v>31</v>
      </c>
      <c r="T2136" s="48" t="s">
        <v>31</v>
      </c>
      <c r="U2136" s="46" t="s">
        <v>1154</v>
      </c>
    </row>
    <row r="2137" spans="1:21">
      <c r="A2137" s="48" t="s">
        <v>1195</v>
      </c>
      <c r="B2137" s="48" t="s">
        <v>183</v>
      </c>
      <c r="C2137" s="48" t="s">
        <v>689</v>
      </c>
      <c r="D2137" s="48">
        <v>2</v>
      </c>
      <c r="E2137" s="48">
        <v>1</v>
      </c>
      <c r="F2137" t="s">
        <v>708</v>
      </c>
      <c r="G2137" s="48" t="s">
        <v>1305</v>
      </c>
      <c r="H2137" s="48" t="s">
        <v>6004</v>
      </c>
      <c r="I2137" s="48" t="s">
        <v>6004</v>
      </c>
      <c r="J2137" s="48" t="s">
        <v>6005</v>
      </c>
      <c r="K2137" s="48" t="s">
        <v>1314</v>
      </c>
      <c r="L2137" s="48" t="s">
        <v>6006</v>
      </c>
      <c r="M2137" s="48" t="s">
        <v>4432</v>
      </c>
      <c r="N2137" s="48" t="s">
        <v>1310</v>
      </c>
      <c r="O2137" s="48" t="s">
        <v>1311</v>
      </c>
      <c r="P2137" s="48" t="s">
        <v>1312</v>
      </c>
      <c r="Q2137" s="48" t="s">
        <v>31</v>
      </c>
      <c r="R2137" s="48" t="s">
        <v>31</v>
      </c>
      <c r="S2137" s="48" t="s">
        <v>31</v>
      </c>
      <c r="T2137" s="48" t="s">
        <v>31</v>
      </c>
      <c r="U2137" s="46" t="s">
        <v>1154</v>
      </c>
    </row>
    <row r="2138" spans="1:21">
      <c r="A2138" s="48" t="s">
        <v>1181</v>
      </c>
      <c r="B2138" s="48" t="s">
        <v>185</v>
      </c>
      <c r="C2138" s="48" t="s">
        <v>666</v>
      </c>
      <c r="D2138" s="48">
        <v>1</v>
      </c>
      <c r="E2138" s="48">
        <v>0</v>
      </c>
      <c r="F2138" t="s">
        <v>725</v>
      </c>
      <c r="G2138" s="48" t="s">
        <v>1305</v>
      </c>
      <c r="H2138" s="48" t="s">
        <v>3408</v>
      </c>
      <c r="I2138" s="48" t="s">
        <v>3408</v>
      </c>
      <c r="J2138" s="48" t="s">
        <v>6007</v>
      </c>
      <c r="K2138" s="48" t="s">
        <v>1314</v>
      </c>
      <c r="L2138" s="48" t="s">
        <v>6008</v>
      </c>
      <c r="M2138" s="48" t="s">
        <v>4432</v>
      </c>
      <c r="N2138" s="48" t="s">
        <v>1310</v>
      </c>
      <c r="O2138" s="48" t="s">
        <v>1311</v>
      </c>
      <c r="P2138" s="48" t="s">
        <v>1312</v>
      </c>
      <c r="Q2138" s="48" t="s">
        <v>31</v>
      </c>
      <c r="R2138" s="48" t="s">
        <v>31</v>
      </c>
      <c r="S2138" s="48" t="s">
        <v>31</v>
      </c>
      <c r="T2138" s="48" t="s">
        <v>31</v>
      </c>
      <c r="U2138" s="46" t="s">
        <v>1154</v>
      </c>
    </row>
    <row r="2139" spans="1:21">
      <c r="A2139" s="48" t="s">
        <v>1181</v>
      </c>
      <c r="B2139" s="48" t="s">
        <v>185</v>
      </c>
      <c r="C2139" s="48" t="s">
        <v>666</v>
      </c>
      <c r="D2139" s="48">
        <v>1</v>
      </c>
      <c r="E2139" s="48">
        <v>0</v>
      </c>
      <c r="F2139" t="s">
        <v>725</v>
      </c>
      <c r="G2139" s="48" t="s">
        <v>1305</v>
      </c>
      <c r="H2139" s="48" t="s">
        <v>3414</v>
      </c>
      <c r="I2139" s="48" t="s">
        <v>3414</v>
      </c>
      <c r="J2139" s="48" t="s">
        <v>6009</v>
      </c>
      <c r="K2139" s="48" t="s">
        <v>1323</v>
      </c>
      <c r="L2139" s="48" t="s">
        <v>6010</v>
      </c>
      <c r="M2139" s="48" t="s">
        <v>4432</v>
      </c>
      <c r="N2139" s="48" t="s">
        <v>1310</v>
      </c>
      <c r="O2139" s="48" t="s">
        <v>1311</v>
      </c>
      <c r="P2139" s="48" t="s">
        <v>1312</v>
      </c>
      <c r="Q2139" s="48" t="s">
        <v>31</v>
      </c>
      <c r="R2139" s="48" t="s">
        <v>31</v>
      </c>
      <c r="S2139" s="48" t="s">
        <v>31</v>
      </c>
      <c r="T2139" s="48" t="s">
        <v>31</v>
      </c>
      <c r="U2139" s="46" t="s">
        <v>1154</v>
      </c>
    </row>
    <row r="2140" spans="1:21">
      <c r="A2140" s="48" t="s">
        <v>1181</v>
      </c>
      <c r="B2140" s="48" t="s">
        <v>185</v>
      </c>
      <c r="C2140" s="48" t="s">
        <v>666</v>
      </c>
      <c r="D2140" s="48">
        <v>1</v>
      </c>
      <c r="E2140" s="48">
        <v>0</v>
      </c>
      <c r="F2140" t="s">
        <v>725</v>
      </c>
      <c r="G2140" s="48" t="s">
        <v>1305</v>
      </c>
      <c r="H2140" s="48" t="s">
        <v>3416</v>
      </c>
      <c r="I2140" s="48" t="s">
        <v>3416</v>
      </c>
      <c r="J2140" s="48" t="s">
        <v>6011</v>
      </c>
      <c r="K2140" s="48" t="s">
        <v>1326</v>
      </c>
      <c r="L2140" s="48" t="s">
        <v>6012</v>
      </c>
      <c r="M2140" s="48" t="s">
        <v>4432</v>
      </c>
      <c r="N2140" s="48" t="s">
        <v>1310</v>
      </c>
      <c r="O2140" s="48" t="s">
        <v>1311</v>
      </c>
      <c r="P2140" s="48" t="s">
        <v>1312</v>
      </c>
      <c r="Q2140" s="48" t="s">
        <v>31</v>
      </c>
      <c r="R2140" s="48" t="s">
        <v>31</v>
      </c>
      <c r="S2140" s="48" t="s">
        <v>31</v>
      </c>
      <c r="T2140" s="48" t="s">
        <v>31</v>
      </c>
      <c r="U2140" s="46" t="s">
        <v>1154</v>
      </c>
    </row>
    <row r="2141" spans="1:21">
      <c r="A2141" s="48" t="s">
        <v>1181</v>
      </c>
      <c r="B2141" s="48" t="s">
        <v>185</v>
      </c>
      <c r="C2141" s="48" t="s">
        <v>666</v>
      </c>
      <c r="D2141" s="48">
        <v>1</v>
      </c>
      <c r="E2141" s="48">
        <v>0</v>
      </c>
      <c r="F2141" t="s">
        <v>725</v>
      </c>
      <c r="G2141" s="48" t="s">
        <v>1305</v>
      </c>
      <c r="H2141" s="48" t="s">
        <v>3410</v>
      </c>
      <c r="I2141" s="48" t="s">
        <v>3410</v>
      </c>
      <c r="J2141" s="48" t="s">
        <v>6013</v>
      </c>
      <c r="K2141" s="48" t="s">
        <v>1317</v>
      </c>
      <c r="L2141" s="48" t="s">
        <v>6014</v>
      </c>
      <c r="M2141" s="48" t="s">
        <v>4432</v>
      </c>
      <c r="N2141" s="48" t="s">
        <v>1310</v>
      </c>
      <c r="O2141" s="48" t="s">
        <v>1311</v>
      </c>
      <c r="P2141" s="48" t="s">
        <v>1312</v>
      </c>
      <c r="Q2141" s="48" t="s">
        <v>31</v>
      </c>
      <c r="R2141" s="48" t="s">
        <v>31</v>
      </c>
      <c r="S2141" s="48" t="s">
        <v>31</v>
      </c>
      <c r="T2141" s="48" t="s">
        <v>31</v>
      </c>
      <c r="U2141" s="46" t="s">
        <v>1154</v>
      </c>
    </row>
    <row r="2142" spans="1:21">
      <c r="A2142" s="48" t="s">
        <v>1181</v>
      </c>
      <c r="B2142" s="48" t="s">
        <v>185</v>
      </c>
      <c r="C2142" s="48" t="s">
        <v>666</v>
      </c>
      <c r="D2142" s="48">
        <v>1</v>
      </c>
      <c r="E2142" s="48">
        <v>0</v>
      </c>
      <c r="F2142" t="s">
        <v>725</v>
      </c>
      <c r="G2142" s="48" t="s">
        <v>1305</v>
      </c>
      <c r="H2142" s="48" t="s">
        <v>3418</v>
      </c>
      <c r="I2142" s="48" t="s">
        <v>3418</v>
      </c>
      <c r="J2142" s="48" t="s">
        <v>6015</v>
      </c>
      <c r="K2142" s="48" t="s">
        <v>1329</v>
      </c>
      <c r="L2142" s="48" t="s">
        <v>6016</v>
      </c>
      <c r="M2142" s="48" t="s">
        <v>4432</v>
      </c>
      <c r="N2142" s="48" t="s">
        <v>1310</v>
      </c>
      <c r="O2142" s="48" t="s">
        <v>1311</v>
      </c>
      <c r="P2142" s="48" t="s">
        <v>1312</v>
      </c>
      <c r="Q2142" s="48" t="s">
        <v>31</v>
      </c>
      <c r="R2142" s="48" t="s">
        <v>31</v>
      </c>
      <c r="S2142" s="48" t="s">
        <v>31</v>
      </c>
      <c r="T2142" s="48" t="s">
        <v>31</v>
      </c>
      <c r="U2142" s="46" t="s">
        <v>1154</v>
      </c>
    </row>
    <row r="2143" spans="1:21">
      <c r="A2143" s="48" t="s">
        <v>1181</v>
      </c>
      <c r="B2143" s="48" t="s">
        <v>185</v>
      </c>
      <c r="C2143" s="48" t="s">
        <v>666</v>
      </c>
      <c r="D2143" s="48">
        <v>1</v>
      </c>
      <c r="E2143" s="48">
        <v>0</v>
      </c>
      <c r="F2143" t="s">
        <v>725</v>
      </c>
      <c r="G2143" s="48" t="s">
        <v>1305</v>
      </c>
      <c r="H2143" s="48" t="s">
        <v>3420</v>
      </c>
      <c r="I2143" s="48" t="s">
        <v>3420</v>
      </c>
      <c r="J2143" s="48" t="s">
        <v>6017</v>
      </c>
      <c r="K2143" s="48" t="s">
        <v>1332</v>
      </c>
      <c r="L2143" s="48" t="s">
        <v>6018</v>
      </c>
      <c r="M2143" s="48" t="s">
        <v>4432</v>
      </c>
      <c r="N2143" s="48" t="s">
        <v>1310</v>
      </c>
      <c r="O2143" s="48" t="s">
        <v>1311</v>
      </c>
      <c r="P2143" s="48" t="s">
        <v>1312</v>
      </c>
      <c r="Q2143" s="48" t="s">
        <v>31</v>
      </c>
      <c r="R2143" s="48" t="s">
        <v>31</v>
      </c>
      <c r="S2143" s="48" t="s">
        <v>31</v>
      </c>
      <c r="T2143" s="48" t="s">
        <v>31</v>
      </c>
      <c r="U2143" s="46" t="s">
        <v>1154</v>
      </c>
    </row>
    <row r="2144" spans="1:21">
      <c r="A2144" s="48" t="s">
        <v>1181</v>
      </c>
      <c r="B2144" s="48" t="s">
        <v>185</v>
      </c>
      <c r="C2144" s="48" t="s">
        <v>666</v>
      </c>
      <c r="D2144" s="48">
        <v>1</v>
      </c>
      <c r="E2144" s="48">
        <v>0</v>
      </c>
      <c r="F2144" t="s">
        <v>725</v>
      </c>
      <c r="G2144" s="48" t="s">
        <v>1305</v>
      </c>
      <c r="H2144" s="48" t="s">
        <v>3412</v>
      </c>
      <c r="I2144" s="48" t="s">
        <v>3412</v>
      </c>
      <c r="J2144" s="48" t="s">
        <v>6019</v>
      </c>
      <c r="K2144" s="48" t="s">
        <v>1320</v>
      </c>
      <c r="L2144" s="48" t="s">
        <v>6020</v>
      </c>
      <c r="M2144" s="48" t="s">
        <v>4432</v>
      </c>
      <c r="N2144" s="48" t="s">
        <v>1310</v>
      </c>
      <c r="O2144" s="48" t="s">
        <v>1311</v>
      </c>
      <c r="P2144" s="48" t="s">
        <v>1312</v>
      </c>
      <c r="Q2144" s="48" t="s">
        <v>31</v>
      </c>
      <c r="R2144" s="48" t="s">
        <v>31</v>
      </c>
      <c r="S2144" s="48" t="s">
        <v>31</v>
      </c>
      <c r="T2144" s="48" t="s">
        <v>31</v>
      </c>
      <c r="U2144" s="46" t="s">
        <v>1154</v>
      </c>
    </row>
    <row r="2145" spans="1:21">
      <c r="A2145" s="48" t="s">
        <v>1181</v>
      </c>
      <c r="B2145" s="48" t="s">
        <v>185</v>
      </c>
      <c r="C2145" s="48" t="s">
        <v>666</v>
      </c>
      <c r="D2145" s="48">
        <v>1</v>
      </c>
      <c r="E2145" s="48">
        <v>0</v>
      </c>
      <c r="F2145" t="s">
        <v>725</v>
      </c>
      <c r="G2145" s="48" t="s">
        <v>1305</v>
      </c>
      <c r="H2145" s="48" t="s">
        <v>3406</v>
      </c>
      <c r="I2145" s="48" t="s">
        <v>3406</v>
      </c>
      <c r="J2145" s="48" t="s">
        <v>6021</v>
      </c>
      <c r="K2145" s="48" t="s">
        <v>1307</v>
      </c>
      <c r="L2145" s="48" t="s">
        <v>6022</v>
      </c>
      <c r="M2145" s="48" t="s">
        <v>4432</v>
      </c>
      <c r="N2145" s="48" t="s">
        <v>1310</v>
      </c>
      <c r="O2145" s="48" t="s">
        <v>1311</v>
      </c>
      <c r="P2145" s="48" t="s">
        <v>1312</v>
      </c>
      <c r="Q2145" s="48" t="s">
        <v>31</v>
      </c>
      <c r="R2145" s="48" t="s">
        <v>31</v>
      </c>
      <c r="S2145" s="48" t="s">
        <v>31</v>
      </c>
      <c r="T2145" s="48" t="s">
        <v>31</v>
      </c>
      <c r="U2145" s="46" t="s">
        <v>1154</v>
      </c>
    </row>
    <row r="2146" spans="1:21">
      <c r="A2146" s="48" t="s">
        <v>1237</v>
      </c>
      <c r="B2146" s="48" t="s">
        <v>187</v>
      </c>
      <c r="C2146" s="48" t="s">
        <v>666</v>
      </c>
      <c r="D2146" s="48">
        <v>1</v>
      </c>
      <c r="E2146" s="48">
        <v>0</v>
      </c>
      <c r="F2146" t="s">
        <v>713</v>
      </c>
      <c r="G2146" s="48" t="s">
        <v>1305</v>
      </c>
      <c r="H2146" s="48" t="s">
        <v>6023</v>
      </c>
      <c r="I2146" s="48" t="s">
        <v>6023</v>
      </c>
      <c r="J2146" s="48" t="s">
        <v>6024</v>
      </c>
      <c r="K2146" s="48" t="s">
        <v>1320</v>
      </c>
      <c r="L2146" s="48" t="s">
        <v>6025</v>
      </c>
      <c r="M2146" s="48" t="s">
        <v>4432</v>
      </c>
      <c r="N2146" s="48" t="s">
        <v>1310</v>
      </c>
      <c r="O2146" s="48" t="s">
        <v>1311</v>
      </c>
      <c r="P2146" s="48" t="s">
        <v>1312</v>
      </c>
      <c r="Q2146" s="48" t="s">
        <v>31</v>
      </c>
      <c r="R2146" s="48" t="s">
        <v>31</v>
      </c>
      <c r="S2146" s="48" t="s">
        <v>31</v>
      </c>
      <c r="T2146" s="48" t="s">
        <v>31</v>
      </c>
      <c r="U2146" s="46" t="s">
        <v>1154</v>
      </c>
    </row>
    <row r="2147" spans="1:21">
      <c r="A2147" s="48" t="s">
        <v>1237</v>
      </c>
      <c r="B2147" s="48" t="s">
        <v>187</v>
      </c>
      <c r="C2147" s="48" t="s">
        <v>666</v>
      </c>
      <c r="D2147" s="48">
        <v>1</v>
      </c>
      <c r="E2147" s="48">
        <v>0</v>
      </c>
      <c r="F2147" t="s">
        <v>713</v>
      </c>
      <c r="G2147" s="48" t="s">
        <v>1305</v>
      </c>
      <c r="H2147" s="48" t="s">
        <v>6026</v>
      </c>
      <c r="I2147" s="48" t="s">
        <v>6026</v>
      </c>
      <c r="J2147" s="48" t="s">
        <v>6027</v>
      </c>
      <c r="K2147" s="48" t="s">
        <v>1307</v>
      </c>
      <c r="L2147" s="49" t="s">
        <v>6028</v>
      </c>
      <c r="M2147" s="48" t="s">
        <v>4432</v>
      </c>
      <c r="N2147" s="48" t="s">
        <v>1310</v>
      </c>
      <c r="O2147" s="48" t="s">
        <v>1311</v>
      </c>
      <c r="P2147" s="48" t="s">
        <v>1312</v>
      </c>
      <c r="Q2147" s="48" t="s">
        <v>31</v>
      </c>
      <c r="R2147" s="48" t="s">
        <v>31</v>
      </c>
      <c r="S2147" s="48" t="s">
        <v>31</v>
      </c>
      <c r="T2147" s="48" t="s">
        <v>31</v>
      </c>
      <c r="U2147" s="46" t="s">
        <v>1154</v>
      </c>
    </row>
    <row r="2148" spans="1:21">
      <c r="A2148" s="48" t="s">
        <v>1237</v>
      </c>
      <c r="B2148" s="48" t="s">
        <v>187</v>
      </c>
      <c r="C2148" s="48" t="s">
        <v>666</v>
      </c>
      <c r="D2148" s="48">
        <v>1</v>
      </c>
      <c r="E2148" s="48">
        <v>0</v>
      </c>
      <c r="F2148" t="s">
        <v>713</v>
      </c>
      <c r="G2148" s="48" t="s">
        <v>1305</v>
      </c>
      <c r="H2148" s="48" t="s">
        <v>6029</v>
      </c>
      <c r="I2148" s="48" t="s">
        <v>6029</v>
      </c>
      <c r="J2148" s="48" t="s">
        <v>6030</v>
      </c>
      <c r="K2148" s="48" t="s">
        <v>1323</v>
      </c>
      <c r="L2148" s="48" t="s">
        <v>6031</v>
      </c>
      <c r="M2148" s="48" t="s">
        <v>4432</v>
      </c>
      <c r="N2148" s="48" t="s">
        <v>1310</v>
      </c>
      <c r="O2148" s="48" t="s">
        <v>1311</v>
      </c>
      <c r="P2148" s="48" t="s">
        <v>1312</v>
      </c>
      <c r="Q2148" s="48" t="s">
        <v>31</v>
      </c>
      <c r="R2148" s="48" t="s">
        <v>31</v>
      </c>
      <c r="S2148" s="48" t="s">
        <v>31</v>
      </c>
      <c r="T2148" s="48" t="s">
        <v>31</v>
      </c>
      <c r="U2148" s="46" t="s">
        <v>1154</v>
      </c>
    </row>
    <row r="2149" spans="1:21">
      <c r="A2149" s="48" t="s">
        <v>1237</v>
      </c>
      <c r="B2149" s="48" t="s">
        <v>187</v>
      </c>
      <c r="C2149" s="48" t="s">
        <v>666</v>
      </c>
      <c r="D2149" s="48">
        <v>1</v>
      </c>
      <c r="E2149" s="48">
        <v>0</v>
      </c>
      <c r="F2149" t="s">
        <v>713</v>
      </c>
      <c r="G2149" s="48" t="s">
        <v>1305</v>
      </c>
      <c r="H2149" s="48" t="s">
        <v>6032</v>
      </c>
      <c r="I2149" s="48" t="s">
        <v>6032</v>
      </c>
      <c r="J2149" s="48" t="s">
        <v>6033</v>
      </c>
      <c r="K2149" s="48" t="s">
        <v>1314</v>
      </c>
      <c r="L2149" s="48" t="s">
        <v>6034</v>
      </c>
      <c r="M2149" s="48" t="s">
        <v>4432</v>
      </c>
      <c r="N2149" s="48" t="s">
        <v>1310</v>
      </c>
      <c r="O2149" s="48" t="s">
        <v>1311</v>
      </c>
      <c r="P2149" s="48" t="s">
        <v>1312</v>
      </c>
      <c r="Q2149" s="48" t="s">
        <v>31</v>
      </c>
      <c r="R2149" s="48" t="s">
        <v>31</v>
      </c>
      <c r="S2149" s="48" t="s">
        <v>31</v>
      </c>
      <c r="T2149" s="48" t="s">
        <v>31</v>
      </c>
      <c r="U2149" s="46" t="s">
        <v>1154</v>
      </c>
    </row>
    <row r="2150" spans="1:21">
      <c r="A2150" s="48" t="s">
        <v>1237</v>
      </c>
      <c r="B2150" s="48" t="s">
        <v>187</v>
      </c>
      <c r="C2150" s="48" t="s">
        <v>666</v>
      </c>
      <c r="D2150" s="48">
        <v>1</v>
      </c>
      <c r="E2150" s="48">
        <v>0</v>
      </c>
      <c r="F2150" t="s">
        <v>713</v>
      </c>
      <c r="G2150" s="48" t="s">
        <v>1305</v>
      </c>
      <c r="H2150" s="48" t="s">
        <v>6035</v>
      </c>
      <c r="I2150" s="48" t="s">
        <v>6035</v>
      </c>
      <c r="J2150" s="48" t="s">
        <v>6036</v>
      </c>
      <c r="K2150" s="48" t="s">
        <v>1317</v>
      </c>
      <c r="L2150" s="48" t="s">
        <v>6037</v>
      </c>
      <c r="M2150" s="48" t="s">
        <v>4432</v>
      </c>
      <c r="N2150" s="48" t="s">
        <v>1310</v>
      </c>
      <c r="O2150" s="48" t="s">
        <v>1311</v>
      </c>
      <c r="P2150" s="48" t="s">
        <v>1312</v>
      </c>
      <c r="Q2150" s="48" t="s">
        <v>31</v>
      </c>
      <c r="R2150" s="48" t="s">
        <v>31</v>
      </c>
      <c r="S2150" s="48" t="s">
        <v>31</v>
      </c>
      <c r="T2150" s="48" t="s">
        <v>31</v>
      </c>
      <c r="U2150" s="46" t="s">
        <v>1154</v>
      </c>
    </row>
    <row r="2151" spans="1:21">
      <c r="A2151" s="48" t="s">
        <v>1237</v>
      </c>
      <c r="B2151" s="48" t="s">
        <v>187</v>
      </c>
      <c r="C2151" s="48" t="s">
        <v>666</v>
      </c>
      <c r="D2151" s="48">
        <v>1</v>
      </c>
      <c r="E2151" s="48">
        <v>0</v>
      </c>
      <c r="F2151" t="s">
        <v>713</v>
      </c>
      <c r="G2151" s="48" t="s">
        <v>1305</v>
      </c>
      <c r="H2151" s="48" t="s">
        <v>6038</v>
      </c>
      <c r="I2151" s="48" t="s">
        <v>6038</v>
      </c>
      <c r="J2151" s="48" t="s">
        <v>6039</v>
      </c>
      <c r="K2151" s="48" t="s">
        <v>1326</v>
      </c>
      <c r="L2151" s="48" t="s">
        <v>6040</v>
      </c>
      <c r="M2151" s="48" t="s">
        <v>4432</v>
      </c>
      <c r="N2151" s="48" t="s">
        <v>1310</v>
      </c>
      <c r="O2151" s="48" t="s">
        <v>1311</v>
      </c>
      <c r="P2151" s="48" t="s">
        <v>1312</v>
      </c>
      <c r="Q2151" s="48" t="s">
        <v>31</v>
      </c>
      <c r="R2151" s="48" t="s">
        <v>31</v>
      </c>
      <c r="S2151" s="48" t="s">
        <v>31</v>
      </c>
      <c r="T2151" s="48" t="s">
        <v>31</v>
      </c>
      <c r="U2151" s="46" t="s">
        <v>1154</v>
      </c>
    </row>
    <row r="2152" spans="1:21">
      <c r="A2152" s="48" t="s">
        <v>1237</v>
      </c>
      <c r="B2152" s="48" t="s">
        <v>187</v>
      </c>
      <c r="C2152" s="48" t="s">
        <v>666</v>
      </c>
      <c r="D2152" s="48">
        <v>1</v>
      </c>
      <c r="E2152" s="48">
        <v>0</v>
      </c>
      <c r="F2152" t="s">
        <v>713</v>
      </c>
      <c r="G2152" s="48" t="s">
        <v>1305</v>
      </c>
      <c r="H2152" s="48" t="s">
        <v>6041</v>
      </c>
      <c r="I2152" s="48" t="s">
        <v>6041</v>
      </c>
      <c r="J2152" s="48" t="s">
        <v>6042</v>
      </c>
      <c r="K2152" s="48" t="s">
        <v>1329</v>
      </c>
      <c r="L2152" s="48" t="s">
        <v>6043</v>
      </c>
      <c r="M2152" s="48" t="s">
        <v>4432</v>
      </c>
      <c r="N2152" s="48" t="s">
        <v>1310</v>
      </c>
      <c r="O2152" s="48" t="s">
        <v>1311</v>
      </c>
      <c r="P2152" s="48" t="s">
        <v>1312</v>
      </c>
      <c r="Q2152" s="48" t="s">
        <v>31</v>
      </c>
      <c r="R2152" s="48" t="s">
        <v>31</v>
      </c>
      <c r="S2152" s="48" t="s">
        <v>31</v>
      </c>
      <c r="T2152" s="48" t="s">
        <v>31</v>
      </c>
      <c r="U2152" s="46" t="s">
        <v>1154</v>
      </c>
    </row>
    <row r="2153" spans="1:21">
      <c r="A2153" s="48" t="s">
        <v>1237</v>
      </c>
      <c r="B2153" s="48" t="s">
        <v>187</v>
      </c>
      <c r="C2153" s="48" t="s">
        <v>666</v>
      </c>
      <c r="D2153" s="48">
        <v>1</v>
      </c>
      <c r="E2153" s="48">
        <v>0</v>
      </c>
      <c r="F2153" t="s">
        <v>713</v>
      </c>
      <c r="G2153" s="48" t="s">
        <v>1305</v>
      </c>
      <c r="H2153" s="48" t="s">
        <v>6044</v>
      </c>
      <c r="I2153" s="48" t="s">
        <v>6044</v>
      </c>
      <c r="J2153" s="48" t="s">
        <v>6045</v>
      </c>
      <c r="K2153" s="48" t="s">
        <v>1332</v>
      </c>
      <c r="L2153" s="48" t="s">
        <v>6046</v>
      </c>
      <c r="M2153" s="48" t="s">
        <v>4432</v>
      </c>
      <c r="N2153" s="48" t="s">
        <v>1310</v>
      </c>
      <c r="O2153" s="48" t="s">
        <v>1311</v>
      </c>
      <c r="P2153" s="48" t="s">
        <v>1312</v>
      </c>
      <c r="Q2153" s="48" t="s">
        <v>31</v>
      </c>
      <c r="R2153" s="48" t="s">
        <v>31</v>
      </c>
      <c r="S2153" s="48" t="s">
        <v>31</v>
      </c>
      <c r="T2153" s="48" t="s">
        <v>31</v>
      </c>
      <c r="U2153" s="46" t="s">
        <v>1154</v>
      </c>
    </row>
    <row r="2154" spans="1:21">
      <c r="A2154" s="48" t="s">
        <v>1171</v>
      </c>
      <c r="B2154" s="48" t="s">
        <v>189</v>
      </c>
      <c r="C2154" s="48" t="s">
        <v>666</v>
      </c>
      <c r="D2154" s="48">
        <v>1</v>
      </c>
      <c r="E2154" s="48">
        <v>0</v>
      </c>
      <c r="F2154" t="s">
        <v>804</v>
      </c>
      <c r="G2154" s="48" t="s">
        <v>1305</v>
      </c>
      <c r="H2154" s="48" t="s">
        <v>6047</v>
      </c>
      <c r="I2154" s="48" t="s">
        <v>6047</v>
      </c>
      <c r="J2154" s="48" t="s">
        <v>6048</v>
      </c>
      <c r="K2154" s="48" t="s">
        <v>1307</v>
      </c>
      <c r="L2154" s="48" t="s">
        <v>6049</v>
      </c>
      <c r="M2154" s="48" t="s">
        <v>4432</v>
      </c>
      <c r="N2154" s="48" t="s">
        <v>1310</v>
      </c>
      <c r="O2154" s="48" t="s">
        <v>1311</v>
      </c>
      <c r="P2154" s="48" t="s">
        <v>1312</v>
      </c>
      <c r="Q2154" s="48" t="s">
        <v>31</v>
      </c>
      <c r="R2154" s="48" t="s">
        <v>31</v>
      </c>
      <c r="S2154" s="48" t="s">
        <v>31</v>
      </c>
      <c r="T2154" s="48" t="s">
        <v>31</v>
      </c>
      <c r="U2154" s="46" t="s">
        <v>1154</v>
      </c>
    </row>
    <row r="2155" spans="1:21">
      <c r="A2155" s="48" t="s">
        <v>1171</v>
      </c>
      <c r="B2155" s="48" t="s">
        <v>189</v>
      </c>
      <c r="C2155" s="48" t="s">
        <v>666</v>
      </c>
      <c r="D2155" s="48">
        <v>1</v>
      </c>
      <c r="E2155" s="48">
        <v>0</v>
      </c>
      <c r="F2155" t="s">
        <v>804</v>
      </c>
      <c r="G2155" s="48" t="s">
        <v>1305</v>
      </c>
      <c r="H2155" s="48" t="s">
        <v>6050</v>
      </c>
      <c r="I2155" s="48" t="s">
        <v>6050</v>
      </c>
      <c r="J2155" s="48" t="s">
        <v>6051</v>
      </c>
      <c r="K2155" s="48" t="s">
        <v>1320</v>
      </c>
      <c r="L2155" s="48" t="s">
        <v>6052</v>
      </c>
      <c r="M2155" s="48" t="s">
        <v>4432</v>
      </c>
      <c r="N2155" s="48" t="s">
        <v>1310</v>
      </c>
      <c r="O2155" s="48" t="s">
        <v>1311</v>
      </c>
      <c r="P2155" s="48" t="s">
        <v>1312</v>
      </c>
      <c r="Q2155" s="48" t="s">
        <v>31</v>
      </c>
      <c r="R2155" s="48" t="s">
        <v>31</v>
      </c>
      <c r="S2155" s="48" t="s">
        <v>31</v>
      </c>
      <c r="T2155" s="48" t="s">
        <v>31</v>
      </c>
      <c r="U2155" s="46" t="s">
        <v>1154</v>
      </c>
    </row>
    <row r="2156" spans="1:21">
      <c r="A2156" s="48" t="s">
        <v>1171</v>
      </c>
      <c r="B2156" s="48" t="s">
        <v>189</v>
      </c>
      <c r="C2156" s="48" t="s">
        <v>666</v>
      </c>
      <c r="D2156" s="48">
        <v>1</v>
      </c>
      <c r="E2156" s="48">
        <v>0</v>
      </c>
      <c r="F2156" t="s">
        <v>804</v>
      </c>
      <c r="G2156" s="48" t="s">
        <v>1305</v>
      </c>
      <c r="H2156" s="48" t="s">
        <v>6053</v>
      </c>
      <c r="I2156" s="48" t="s">
        <v>6053</v>
      </c>
      <c r="J2156" s="48" t="s">
        <v>6054</v>
      </c>
      <c r="K2156" s="48" t="s">
        <v>1329</v>
      </c>
      <c r="L2156" s="48" t="s">
        <v>6055</v>
      </c>
      <c r="M2156" s="48" t="s">
        <v>4432</v>
      </c>
      <c r="N2156" s="48" t="s">
        <v>1310</v>
      </c>
      <c r="O2156" s="48" t="s">
        <v>1311</v>
      </c>
      <c r="P2156" s="48" t="s">
        <v>1312</v>
      </c>
      <c r="Q2156" s="48" t="s">
        <v>31</v>
      </c>
      <c r="R2156" s="48" t="s">
        <v>31</v>
      </c>
      <c r="S2156" s="48" t="s">
        <v>31</v>
      </c>
      <c r="T2156" s="48" t="s">
        <v>31</v>
      </c>
      <c r="U2156" s="46" t="s">
        <v>1154</v>
      </c>
    </row>
    <row r="2157" spans="1:21">
      <c r="A2157" s="48" t="s">
        <v>1171</v>
      </c>
      <c r="B2157" s="48" t="s">
        <v>189</v>
      </c>
      <c r="C2157" s="48" t="s">
        <v>666</v>
      </c>
      <c r="D2157" s="48">
        <v>1</v>
      </c>
      <c r="E2157" s="48">
        <v>0</v>
      </c>
      <c r="F2157" t="s">
        <v>804</v>
      </c>
      <c r="G2157" s="48" t="s">
        <v>1305</v>
      </c>
      <c r="H2157" s="48" t="s">
        <v>6056</v>
      </c>
      <c r="I2157" s="48" t="s">
        <v>6056</v>
      </c>
      <c r="J2157" s="48" t="s">
        <v>6057</v>
      </c>
      <c r="K2157" s="48" t="s">
        <v>1323</v>
      </c>
      <c r="L2157" s="48" t="s">
        <v>6058</v>
      </c>
      <c r="M2157" s="48" t="s">
        <v>4432</v>
      </c>
      <c r="N2157" s="48" t="s">
        <v>1310</v>
      </c>
      <c r="O2157" s="48" t="s">
        <v>1311</v>
      </c>
      <c r="P2157" s="48" t="s">
        <v>1312</v>
      </c>
      <c r="Q2157" s="48" t="s">
        <v>31</v>
      </c>
      <c r="R2157" s="48" t="s">
        <v>31</v>
      </c>
      <c r="S2157" s="48" t="s">
        <v>31</v>
      </c>
      <c r="T2157" s="48" t="s">
        <v>31</v>
      </c>
      <c r="U2157" s="46" t="s">
        <v>1154</v>
      </c>
    </row>
    <row r="2158" spans="1:21">
      <c r="A2158" s="48" t="s">
        <v>1171</v>
      </c>
      <c r="B2158" s="48" t="s">
        <v>189</v>
      </c>
      <c r="C2158" s="48" t="s">
        <v>666</v>
      </c>
      <c r="D2158" s="48">
        <v>1</v>
      </c>
      <c r="E2158" s="48">
        <v>0</v>
      </c>
      <c r="F2158" t="s">
        <v>804</v>
      </c>
      <c r="G2158" s="48" t="s">
        <v>1305</v>
      </c>
      <c r="H2158" s="48" t="s">
        <v>6059</v>
      </c>
      <c r="I2158" s="48" t="s">
        <v>6059</v>
      </c>
      <c r="J2158" s="48" t="s">
        <v>6060</v>
      </c>
      <c r="K2158" s="48" t="s">
        <v>1314</v>
      </c>
      <c r="L2158" s="48" t="s">
        <v>6061</v>
      </c>
      <c r="M2158" s="48" t="s">
        <v>4432</v>
      </c>
      <c r="N2158" s="48" t="s">
        <v>1310</v>
      </c>
      <c r="O2158" s="48" t="s">
        <v>1311</v>
      </c>
      <c r="P2158" s="48" t="s">
        <v>1312</v>
      </c>
      <c r="Q2158" s="48" t="s">
        <v>31</v>
      </c>
      <c r="R2158" s="48" t="s">
        <v>31</v>
      </c>
      <c r="S2158" s="48" t="s">
        <v>31</v>
      </c>
      <c r="T2158" s="48" t="s">
        <v>31</v>
      </c>
      <c r="U2158" s="46" t="s">
        <v>1154</v>
      </c>
    </row>
    <row r="2159" spans="1:21">
      <c r="A2159" s="48" t="s">
        <v>1171</v>
      </c>
      <c r="B2159" s="48" t="s">
        <v>189</v>
      </c>
      <c r="C2159" s="48" t="s">
        <v>666</v>
      </c>
      <c r="D2159" s="48">
        <v>1</v>
      </c>
      <c r="E2159" s="48">
        <v>0</v>
      </c>
      <c r="F2159" t="s">
        <v>804</v>
      </c>
      <c r="G2159" s="48" t="s">
        <v>1305</v>
      </c>
      <c r="H2159" s="48" t="s">
        <v>6062</v>
      </c>
      <c r="I2159" s="48" t="s">
        <v>6062</v>
      </c>
      <c r="J2159" s="48" t="s">
        <v>6063</v>
      </c>
      <c r="K2159" s="48" t="s">
        <v>1326</v>
      </c>
      <c r="L2159" s="48" t="s">
        <v>6064</v>
      </c>
      <c r="M2159" s="48" t="s">
        <v>4432</v>
      </c>
      <c r="N2159" s="48" t="s">
        <v>1310</v>
      </c>
      <c r="O2159" s="48" t="s">
        <v>1311</v>
      </c>
      <c r="P2159" s="48" t="s">
        <v>1312</v>
      </c>
      <c r="Q2159" s="48" t="s">
        <v>31</v>
      </c>
      <c r="R2159" s="48" t="s">
        <v>31</v>
      </c>
      <c r="S2159" s="48" t="s">
        <v>31</v>
      </c>
      <c r="T2159" s="48" t="s">
        <v>31</v>
      </c>
      <c r="U2159" s="46" t="s">
        <v>1154</v>
      </c>
    </row>
    <row r="2160" spans="1:21">
      <c r="A2160" s="48" t="s">
        <v>1171</v>
      </c>
      <c r="B2160" s="48" t="s">
        <v>189</v>
      </c>
      <c r="C2160" s="48" t="s">
        <v>666</v>
      </c>
      <c r="D2160" s="48">
        <v>1</v>
      </c>
      <c r="E2160" s="48">
        <v>0</v>
      </c>
      <c r="F2160" t="s">
        <v>804</v>
      </c>
      <c r="G2160" s="48" t="s">
        <v>1305</v>
      </c>
      <c r="H2160" s="48" t="s">
        <v>6065</v>
      </c>
      <c r="I2160" s="48" t="s">
        <v>6065</v>
      </c>
      <c r="J2160" s="48" t="s">
        <v>6066</v>
      </c>
      <c r="K2160" s="48" t="s">
        <v>1317</v>
      </c>
      <c r="L2160" s="48" t="s">
        <v>6067</v>
      </c>
      <c r="M2160" s="48" t="s">
        <v>4432</v>
      </c>
      <c r="N2160" s="48" t="s">
        <v>1310</v>
      </c>
      <c r="O2160" s="48" t="s">
        <v>1311</v>
      </c>
      <c r="P2160" s="48" t="s">
        <v>1312</v>
      </c>
      <c r="Q2160" s="48" t="s">
        <v>31</v>
      </c>
      <c r="R2160" s="48" t="s">
        <v>31</v>
      </c>
      <c r="S2160" s="48" t="s">
        <v>31</v>
      </c>
      <c r="T2160" s="48" t="s">
        <v>31</v>
      </c>
      <c r="U2160" s="46" t="s">
        <v>1154</v>
      </c>
    </row>
    <row r="2161" spans="1:21">
      <c r="A2161" s="48" t="s">
        <v>1171</v>
      </c>
      <c r="B2161" s="48" t="s">
        <v>189</v>
      </c>
      <c r="C2161" s="48" t="s">
        <v>666</v>
      </c>
      <c r="D2161" s="48">
        <v>1</v>
      </c>
      <c r="E2161" s="48">
        <v>0</v>
      </c>
      <c r="F2161" t="s">
        <v>804</v>
      </c>
      <c r="G2161" s="48" t="s">
        <v>1305</v>
      </c>
      <c r="H2161" s="48" t="s">
        <v>6068</v>
      </c>
      <c r="I2161" s="48" t="s">
        <v>6068</v>
      </c>
      <c r="J2161" s="48" t="s">
        <v>6069</v>
      </c>
      <c r="K2161" s="48" t="s">
        <v>1332</v>
      </c>
      <c r="L2161" s="48" t="s">
        <v>6070</v>
      </c>
      <c r="M2161" s="48" t="s">
        <v>4432</v>
      </c>
      <c r="N2161" s="48" t="s">
        <v>1310</v>
      </c>
      <c r="O2161" s="48" t="s">
        <v>1311</v>
      </c>
      <c r="P2161" s="48" t="s">
        <v>1312</v>
      </c>
      <c r="Q2161" s="48" t="s">
        <v>31</v>
      </c>
      <c r="R2161" s="48" t="s">
        <v>31</v>
      </c>
      <c r="S2161" s="48" t="s">
        <v>31</v>
      </c>
      <c r="T2161" s="48" t="s">
        <v>31</v>
      </c>
      <c r="U2161" s="46" t="s">
        <v>1154</v>
      </c>
    </row>
    <row r="2162" spans="1:21">
      <c r="A2162" s="48" t="s">
        <v>1242</v>
      </c>
      <c r="B2162" s="48" t="s">
        <v>197</v>
      </c>
      <c r="C2162" s="48" t="s">
        <v>666</v>
      </c>
      <c r="D2162" s="48">
        <v>1</v>
      </c>
      <c r="E2162" s="48">
        <v>0</v>
      </c>
      <c r="F2162" t="s">
        <v>773</v>
      </c>
      <c r="G2162" s="48" t="s">
        <v>1305</v>
      </c>
      <c r="H2162" s="48" t="s">
        <v>6071</v>
      </c>
      <c r="I2162" s="48" t="s">
        <v>6071</v>
      </c>
      <c r="J2162" s="48" t="s">
        <v>6072</v>
      </c>
      <c r="K2162" s="48" t="s">
        <v>1320</v>
      </c>
      <c r="L2162" s="48" t="s">
        <v>6073</v>
      </c>
      <c r="M2162" s="48" t="s">
        <v>4432</v>
      </c>
      <c r="N2162" s="48" t="s">
        <v>1310</v>
      </c>
      <c r="O2162" s="48" t="s">
        <v>1311</v>
      </c>
      <c r="P2162" s="48" t="s">
        <v>1312</v>
      </c>
      <c r="Q2162" s="48" t="s">
        <v>31</v>
      </c>
      <c r="R2162" s="48" t="s">
        <v>31</v>
      </c>
      <c r="S2162" s="48" t="s">
        <v>31</v>
      </c>
      <c r="T2162" s="48" t="s">
        <v>31</v>
      </c>
      <c r="U2162" s="46" t="s">
        <v>1154</v>
      </c>
    </row>
    <row r="2163" spans="1:21">
      <c r="A2163" s="48" t="s">
        <v>1242</v>
      </c>
      <c r="B2163" s="48" t="s">
        <v>197</v>
      </c>
      <c r="C2163" s="48" t="s">
        <v>666</v>
      </c>
      <c r="D2163" s="48">
        <v>1</v>
      </c>
      <c r="E2163" s="48">
        <v>0</v>
      </c>
      <c r="F2163" t="s">
        <v>773</v>
      </c>
      <c r="G2163" s="48" t="s">
        <v>1305</v>
      </c>
      <c r="H2163" s="48" t="s">
        <v>6074</v>
      </c>
      <c r="I2163" s="48" t="s">
        <v>6074</v>
      </c>
      <c r="J2163" s="48" t="s">
        <v>6075</v>
      </c>
      <c r="K2163" s="48" t="s">
        <v>1329</v>
      </c>
      <c r="L2163" s="48" t="s">
        <v>6076</v>
      </c>
      <c r="M2163" s="48" t="s">
        <v>4432</v>
      </c>
      <c r="N2163" s="48" t="s">
        <v>1310</v>
      </c>
      <c r="O2163" s="48" t="s">
        <v>1311</v>
      </c>
      <c r="P2163" s="48" t="s">
        <v>1312</v>
      </c>
      <c r="Q2163" s="48" t="s">
        <v>31</v>
      </c>
      <c r="R2163" s="48" t="s">
        <v>31</v>
      </c>
      <c r="S2163" s="48" t="s">
        <v>31</v>
      </c>
      <c r="T2163" s="48" t="s">
        <v>31</v>
      </c>
      <c r="U2163" s="46" t="s">
        <v>1154</v>
      </c>
    </row>
    <row r="2164" spans="1:21">
      <c r="A2164" s="48" t="s">
        <v>1242</v>
      </c>
      <c r="B2164" s="48" t="s">
        <v>197</v>
      </c>
      <c r="C2164" s="48" t="s">
        <v>666</v>
      </c>
      <c r="D2164" s="48">
        <v>1</v>
      </c>
      <c r="E2164" s="48">
        <v>0</v>
      </c>
      <c r="F2164" t="s">
        <v>773</v>
      </c>
      <c r="G2164" s="48" t="s">
        <v>1305</v>
      </c>
      <c r="H2164" s="48" t="s">
        <v>6077</v>
      </c>
      <c r="I2164" s="48" t="s">
        <v>6077</v>
      </c>
      <c r="J2164" s="48" t="s">
        <v>6078</v>
      </c>
      <c r="K2164" s="48" t="s">
        <v>1332</v>
      </c>
      <c r="L2164" s="48" t="s">
        <v>6079</v>
      </c>
      <c r="M2164" s="48" t="s">
        <v>4432</v>
      </c>
      <c r="N2164" s="48" t="s">
        <v>1310</v>
      </c>
      <c r="O2164" s="48" t="s">
        <v>1311</v>
      </c>
      <c r="P2164" s="48" t="s">
        <v>1312</v>
      </c>
      <c r="Q2164" s="48" t="s">
        <v>31</v>
      </c>
      <c r="R2164" s="48" t="s">
        <v>31</v>
      </c>
      <c r="S2164" s="48" t="s">
        <v>31</v>
      </c>
      <c r="T2164" s="48" t="s">
        <v>31</v>
      </c>
      <c r="U2164" s="46" t="s">
        <v>1154</v>
      </c>
    </row>
    <row r="2165" spans="1:21">
      <c r="A2165" s="48" t="s">
        <v>1242</v>
      </c>
      <c r="B2165" s="48" t="s">
        <v>197</v>
      </c>
      <c r="C2165" s="48" t="s">
        <v>666</v>
      </c>
      <c r="D2165" s="48">
        <v>1</v>
      </c>
      <c r="E2165" s="48">
        <v>0</v>
      </c>
      <c r="F2165" t="s">
        <v>773</v>
      </c>
      <c r="G2165" s="48" t="s">
        <v>1305</v>
      </c>
      <c r="H2165" s="48" t="s">
        <v>6080</v>
      </c>
      <c r="I2165" s="48" t="s">
        <v>6080</v>
      </c>
      <c r="J2165" s="48" t="s">
        <v>6081</v>
      </c>
      <c r="K2165" s="48" t="s">
        <v>1307</v>
      </c>
      <c r="L2165" s="48" t="s">
        <v>6082</v>
      </c>
      <c r="M2165" s="48" t="s">
        <v>4432</v>
      </c>
      <c r="N2165" s="48" t="s">
        <v>1310</v>
      </c>
      <c r="O2165" s="48" t="s">
        <v>1311</v>
      </c>
      <c r="P2165" s="48" t="s">
        <v>1312</v>
      </c>
      <c r="Q2165" s="48" t="s">
        <v>31</v>
      </c>
      <c r="R2165" s="48" t="s">
        <v>31</v>
      </c>
      <c r="S2165" s="48" t="s">
        <v>31</v>
      </c>
      <c r="T2165" s="48" t="s">
        <v>31</v>
      </c>
      <c r="U2165" s="46" t="s">
        <v>1154</v>
      </c>
    </row>
    <row r="2166" spans="1:21">
      <c r="A2166" s="48" t="s">
        <v>1242</v>
      </c>
      <c r="B2166" s="48" t="s">
        <v>197</v>
      </c>
      <c r="C2166" s="48" t="s">
        <v>666</v>
      </c>
      <c r="D2166" s="48">
        <v>1</v>
      </c>
      <c r="E2166" s="48">
        <v>0</v>
      </c>
      <c r="F2166" t="s">
        <v>773</v>
      </c>
      <c r="G2166" s="48" t="s">
        <v>1305</v>
      </c>
      <c r="H2166" s="48" t="s">
        <v>6083</v>
      </c>
      <c r="I2166" s="48" t="s">
        <v>6083</v>
      </c>
      <c r="J2166" s="48" t="s">
        <v>6084</v>
      </c>
      <c r="K2166" s="48" t="s">
        <v>1323</v>
      </c>
      <c r="L2166" s="48" t="s">
        <v>6085</v>
      </c>
      <c r="M2166" s="48" t="s">
        <v>4432</v>
      </c>
      <c r="N2166" s="48" t="s">
        <v>1310</v>
      </c>
      <c r="O2166" s="48" t="s">
        <v>1311</v>
      </c>
      <c r="P2166" s="48" t="s">
        <v>1312</v>
      </c>
      <c r="Q2166" s="48" t="s">
        <v>31</v>
      </c>
      <c r="R2166" s="48" t="s">
        <v>31</v>
      </c>
      <c r="S2166" s="48" t="s">
        <v>31</v>
      </c>
      <c r="T2166" s="48" t="s">
        <v>31</v>
      </c>
      <c r="U2166" s="46" t="s">
        <v>1154</v>
      </c>
    </row>
    <row r="2167" spans="1:21">
      <c r="A2167" s="48" t="s">
        <v>1242</v>
      </c>
      <c r="B2167" s="48" t="s">
        <v>197</v>
      </c>
      <c r="C2167" s="48" t="s">
        <v>666</v>
      </c>
      <c r="D2167" s="48">
        <v>1</v>
      </c>
      <c r="E2167" s="48">
        <v>0</v>
      </c>
      <c r="F2167" t="s">
        <v>773</v>
      </c>
      <c r="G2167" s="48" t="s">
        <v>1305</v>
      </c>
      <c r="H2167" s="48" t="s">
        <v>6086</v>
      </c>
      <c r="I2167" s="48" t="s">
        <v>6086</v>
      </c>
      <c r="J2167" s="48" t="s">
        <v>6087</v>
      </c>
      <c r="K2167" s="48" t="s">
        <v>1314</v>
      </c>
      <c r="L2167" s="48" t="s">
        <v>6088</v>
      </c>
      <c r="M2167" s="48" t="s">
        <v>4432</v>
      </c>
      <c r="N2167" s="48" t="s">
        <v>1310</v>
      </c>
      <c r="O2167" s="48" t="s">
        <v>1311</v>
      </c>
      <c r="P2167" s="48" t="s">
        <v>1312</v>
      </c>
      <c r="Q2167" s="48" t="s">
        <v>31</v>
      </c>
      <c r="R2167" s="48" t="s">
        <v>31</v>
      </c>
      <c r="S2167" s="48" t="s">
        <v>31</v>
      </c>
      <c r="T2167" s="48" t="s">
        <v>31</v>
      </c>
      <c r="U2167" s="46" t="s">
        <v>1154</v>
      </c>
    </row>
    <row r="2168" spans="1:21">
      <c r="A2168" s="48" t="s">
        <v>1242</v>
      </c>
      <c r="B2168" s="48" t="s">
        <v>197</v>
      </c>
      <c r="C2168" s="48" t="s">
        <v>666</v>
      </c>
      <c r="D2168" s="48">
        <v>1</v>
      </c>
      <c r="E2168" s="48">
        <v>0</v>
      </c>
      <c r="F2168" t="s">
        <v>773</v>
      </c>
      <c r="G2168" s="48" t="s">
        <v>1305</v>
      </c>
      <c r="H2168" s="48" t="s">
        <v>6089</v>
      </c>
      <c r="I2168" s="48" t="s">
        <v>6089</v>
      </c>
      <c r="J2168" s="48" t="s">
        <v>6090</v>
      </c>
      <c r="K2168" s="48" t="s">
        <v>1326</v>
      </c>
      <c r="L2168" s="48" t="s">
        <v>6091</v>
      </c>
      <c r="M2168" s="48" t="s">
        <v>4432</v>
      </c>
      <c r="N2168" s="48" t="s">
        <v>1310</v>
      </c>
      <c r="O2168" s="48" t="s">
        <v>1311</v>
      </c>
      <c r="P2168" s="48" t="s">
        <v>1312</v>
      </c>
      <c r="Q2168" s="48" t="s">
        <v>31</v>
      </c>
      <c r="R2168" s="48" t="s">
        <v>31</v>
      </c>
      <c r="S2168" s="48" t="s">
        <v>31</v>
      </c>
      <c r="T2168" s="48" t="s">
        <v>31</v>
      </c>
      <c r="U2168" s="46" t="s">
        <v>1154</v>
      </c>
    </row>
    <row r="2169" spans="1:21">
      <c r="A2169" s="48" t="s">
        <v>1242</v>
      </c>
      <c r="B2169" s="48" t="s">
        <v>197</v>
      </c>
      <c r="C2169" s="48" t="s">
        <v>666</v>
      </c>
      <c r="D2169" s="48">
        <v>1</v>
      </c>
      <c r="E2169" s="48">
        <v>0</v>
      </c>
      <c r="F2169" t="s">
        <v>773</v>
      </c>
      <c r="G2169" s="48" t="s">
        <v>1305</v>
      </c>
      <c r="H2169" s="48" t="s">
        <v>6092</v>
      </c>
      <c r="I2169" s="48" t="s">
        <v>6092</v>
      </c>
      <c r="J2169" s="48" t="s">
        <v>6093</v>
      </c>
      <c r="K2169" s="48" t="s">
        <v>1317</v>
      </c>
      <c r="L2169" s="48" t="s">
        <v>6094</v>
      </c>
      <c r="M2169" s="48" t="s">
        <v>4432</v>
      </c>
      <c r="N2169" s="48" t="s">
        <v>1310</v>
      </c>
      <c r="O2169" s="48" t="s">
        <v>1311</v>
      </c>
      <c r="P2169" s="48" t="s">
        <v>1312</v>
      </c>
      <c r="Q2169" s="48" t="s">
        <v>31</v>
      </c>
      <c r="R2169" s="48" t="s">
        <v>31</v>
      </c>
      <c r="S2169" s="48" t="s">
        <v>31</v>
      </c>
      <c r="T2169" s="48" t="s">
        <v>31</v>
      </c>
      <c r="U2169" s="46" t="s">
        <v>1154</v>
      </c>
    </row>
    <row r="2170" spans="1:21">
      <c r="A2170" s="48" t="s">
        <v>1182</v>
      </c>
      <c r="B2170" s="48" t="s">
        <v>191</v>
      </c>
      <c r="C2170" s="48" t="s">
        <v>666</v>
      </c>
      <c r="D2170" s="48">
        <v>1</v>
      </c>
      <c r="E2170" s="48">
        <v>0</v>
      </c>
      <c r="F2170" t="s">
        <v>690</v>
      </c>
      <c r="G2170" s="48" t="s">
        <v>1305</v>
      </c>
      <c r="H2170" s="48" t="s">
        <v>6095</v>
      </c>
      <c r="I2170" s="48" t="s">
        <v>6095</v>
      </c>
      <c r="J2170" s="48" t="s">
        <v>6096</v>
      </c>
      <c r="K2170" s="48" t="s">
        <v>1332</v>
      </c>
      <c r="L2170" s="48" t="s">
        <v>6097</v>
      </c>
      <c r="M2170" s="48" t="s">
        <v>4432</v>
      </c>
      <c r="N2170" s="48" t="s">
        <v>1310</v>
      </c>
      <c r="O2170" s="48" t="s">
        <v>1311</v>
      </c>
      <c r="P2170" s="48" t="s">
        <v>1312</v>
      </c>
      <c r="Q2170" s="48" t="s">
        <v>31</v>
      </c>
      <c r="R2170" s="48" t="s">
        <v>31</v>
      </c>
      <c r="S2170" s="48" t="s">
        <v>31</v>
      </c>
      <c r="T2170" s="48" t="s">
        <v>31</v>
      </c>
      <c r="U2170" s="46" t="s">
        <v>1154</v>
      </c>
    </row>
    <row r="2171" spans="1:21">
      <c r="A2171" s="48" t="s">
        <v>1182</v>
      </c>
      <c r="B2171" s="48" t="s">
        <v>191</v>
      </c>
      <c r="C2171" s="48" t="s">
        <v>666</v>
      </c>
      <c r="D2171" s="48">
        <v>1</v>
      </c>
      <c r="E2171" s="48">
        <v>0</v>
      </c>
      <c r="F2171" t="s">
        <v>690</v>
      </c>
      <c r="G2171" s="48" t="s">
        <v>1305</v>
      </c>
      <c r="H2171" s="48" t="s">
        <v>6098</v>
      </c>
      <c r="I2171" s="48" t="s">
        <v>6098</v>
      </c>
      <c r="J2171" s="48" t="s">
        <v>6099</v>
      </c>
      <c r="K2171" s="48" t="s">
        <v>1317</v>
      </c>
      <c r="L2171" s="48" t="s">
        <v>6100</v>
      </c>
      <c r="M2171" s="48" t="s">
        <v>4432</v>
      </c>
      <c r="N2171" s="48" t="s">
        <v>1310</v>
      </c>
      <c r="O2171" s="48" t="s">
        <v>1311</v>
      </c>
      <c r="P2171" s="48" t="s">
        <v>1312</v>
      </c>
      <c r="Q2171" s="48" t="s">
        <v>31</v>
      </c>
      <c r="R2171" s="48" t="s">
        <v>31</v>
      </c>
      <c r="S2171" s="48" t="s">
        <v>31</v>
      </c>
      <c r="T2171" s="48" t="s">
        <v>31</v>
      </c>
      <c r="U2171" s="46" t="s">
        <v>1154</v>
      </c>
    </row>
    <row r="2172" spans="1:21">
      <c r="A2172" s="48" t="s">
        <v>1182</v>
      </c>
      <c r="B2172" s="48" t="s">
        <v>191</v>
      </c>
      <c r="C2172" s="48" t="s">
        <v>666</v>
      </c>
      <c r="D2172" s="48">
        <v>1</v>
      </c>
      <c r="E2172" s="48">
        <v>0</v>
      </c>
      <c r="F2172" t="s">
        <v>690</v>
      </c>
      <c r="G2172" s="48" t="s">
        <v>1305</v>
      </c>
      <c r="H2172" s="48" t="s">
        <v>6101</v>
      </c>
      <c r="I2172" s="48" t="s">
        <v>6101</v>
      </c>
      <c r="J2172" s="48" t="s">
        <v>6102</v>
      </c>
      <c r="K2172" s="48" t="s">
        <v>1323</v>
      </c>
      <c r="L2172" s="48" t="s">
        <v>6103</v>
      </c>
      <c r="M2172" s="48" t="s">
        <v>4432</v>
      </c>
      <c r="N2172" s="48" t="s">
        <v>1310</v>
      </c>
      <c r="O2172" s="48" t="s">
        <v>1311</v>
      </c>
      <c r="P2172" s="48" t="s">
        <v>1312</v>
      </c>
      <c r="Q2172" s="48" t="s">
        <v>31</v>
      </c>
      <c r="R2172" s="48" t="s">
        <v>31</v>
      </c>
      <c r="S2172" s="48" t="s">
        <v>31</v>
      </c>
      <c r="T2172" s="48" t="s">
        <v>31</v>
      </c>
      <c r="U2172" s="46" t="s">
        <v>1154</v>
      </c>
    </row>
    <row r="2173" spans="1:21">
      <c r="A2173" s="48" t="s">
        <v>1182</v>
      </c>
      <c r="B2173" s="48" t="s">
        <v>191</v>
      </c>
      <c r="C2173" s="48" t="s">
        <v>666</v>
      </c>
      <c r="D2173" s="48">
        <v>1</v>
      </c>
      <c r="E2173" s="48">
        <v>0</v>
      </c>
      <c r="F2173" t="s">
        <v>690</v>
      </c>
      <c r="G2173" s="48" t="s">
        <v>1305</v>
      </c>
      <c r="H2173" s="48" t="s">
        <v>6104</v>
      </c>
      <c r="I2173" s="48" t="s">
        <v>6104</v>
      </c>
      <c r="J2173" s="48" t="s">
        <v>6105</v>
      </c>
      <c r="K2173" s="48" t="s">
        <v>1326</v>
      </c>
      <c r="L2173" s="48" t="s">
        <v>6106</v>
      </c>
      <c r="M2173" s="48" t="s">
        <v>4432</v>
      </c>
      <c r="N2173" s="48" t="s">
        <v>1310</v>
      </c>
      <c r="O2173" s="48" t="s">
        <v>1311</v>
      </c>
      <c r="P2173" s="48" t="s">
        <v>1312</v>
      </c>
      <c r="Q2173" s="48" t="s">
        <v>31</v>
      </c>
      <c r="R2173" s="48" t="s">
        <v>31</v>
      </c>
      <c r="S2173" s="48" t="s">
        <v>31</v>
      </c>
      <c r="T2173" s="48" t="s">
        <v>31</v>
      </c>
      <c r="U2173" s="46" t="s">
        <v>1154</v>
      </c>
    </row>
    <row r="2174" spans="1:21">
      <c r="A2174" s="48" t="s">
        <v>1182</v>
      </c>
      <c r="B2174" s="48" t="s">
        <v>191</v>
      </c>
      <c r="C2174" s="48" t="s">
        <v>666</v>
      </c>
      <c r="D2174" s="48">
        <v>1</v>
      </c>
      <c r="E2174" s="48">
        <v>0</v>
      </c>
      <c r="F2174" t="s">
        <v>690</v>
      </c>
      <c r="G2174" s="48" t="s">
        <v>1305</v>
      </c>
      <c r="H2174" s="48" t="s">
        <v>6107</v>
      </c>
      <c r="I2174" s="48" t="s">
        <v>6107</v>
      </c>
      <c r="J2174" s="48" t="s">
        <v>6108</v>
      </c>
      <c r="K2174" s="48" t="s">
        <v>1320</v>
      </c>
      <c r="L2174" s="48" t="s">
        <v>6109</v>
      </c>
      <c r="M2174" s="48" t="s">
        <v>4432</v>
      </c>
      <c r="N2174" s="48" t="s">
        <v>1310</v>
      </c>
      <c r="O2174" s="48" t="s">
        <v>1311</v>
      </c>
      <c r="P2174" s="48" t="s">
        <v>1312</v>
      </c>
      <c r="Q2174" s="48" t="s">
        <v>31</v>
      </c>
      <c r="R2174" s="48" t="s">
        <v>31</v>
      </c>
      <c r="S2174" s="48" t="s">
        <v>31</v>
      </c>
      <c r="T2174" s="48" t="s">
        <v>31</v>
      </c>
      <c r="U2174" s="46" t="s">
        <v>1154</v>
      </c>
    </row>
    <row r="2175" spans="1:21">
      <c r="A2175" s="48" t="s">
        <v>1182</v>
      </c>
      <c r="B2175" s="48" t="s">
        <v>191</v>
      </c>
      <c r="C2175" s="48" t="s">
        <v>666</v>
      </c>
      <c r="D2175" s="48">
        <v>1</v>
      </c>
      <c r="E2175" s="48">
        <v>0</v>
      </c>
      <c r="F2175" t="s">
        <v>690</v>
      </c>
      <c r="G2175" s="48" t="s">
        <v>1305</v>
      </c>
      <c r="H2175" s="48" t="s">
        <v>6110</v>
      </c>
      <c r="I2175" s="48" t="s">
        <v>6110</v>
      </c>
      <c r="J2175" s="48" t="s">
        <v>6111</v>
      </c>
      <c r="K2175" s="48" t="s">
        <v>1314</v>
      </c>
      <c r="L2175" s="48" t="s">
        <v>6112</v>
      </c>
      <c r="M2175" s="48" t="s">
        <v>4432</v>
      </c>
      <c r="N2175" s="48" t="s">
        <v>1310</v>
      </c>
      <c r="O2175" s="48" t="s">
        <v>1311</v>
      </c>
      <c r="P2175" s="48" t="s">
        <v>1312</v>
      </c>
      <c r="Q2175" s="48" t="s">
        <v>31</v>
      </c>
      <c r="R2175" s="48" t="s">
        <v>31</v>
      </c>
      <c r="S2175" s="48" t="s">
        <v>31</v>
      </c>
      <c r="T2175" s="48" t="s">
        <v>31</v>
      </c>
      <c r="U2175" s="46" t="s">
        <v>1154</v>
      </c>
    </row>
    <row r="2176" spans="1:21">
      <c r="A2176" s="48" t="s">
        <v>1182</v>
      </c>
      <c r="B2176" s="48" t="s">
        <v>191</v>
      </c>
      <c r="C2176" s="48" t="s">
        <v>666</v>
      </c>
      <c r="D2176" s="48">
        <v>1</v>
      </c>
      <c r="E2176" s="48">
        <v>0</v>
      </c>
      <c r="F2176" t="s">
        <v>690</v>
      </c>
      <c r="G2176" s="48" t="s">
        <v>1305</v>
      </c>
      <c r="H2176" s="48" t="s">
        <v>6113</v>
      </c>
      <c r="I2176" s="48" t="s">
        <v>6113</v>
      </c>
      <c r="J2176" s="48" t="s">
        <v>6114</v>
      </c>
      <c r="K2176" s="48" t="s">
        <v>1307</v>
      </c>
      <c r="L2176" s="48" t="s">
        <v>6115</v>
      </c>
      <c r="M2176" s="48" t="s">
        <v>4432</v>
      </c>
      <c r="N2176" s="48" t="s">
        <v>1310</v>
      </c>
      <c r="O2176" s="48" t="s">
        <v>1311</v>
      </c>
      <c r="P2176" s="48" t="s">
        <v>1312</v>
      </c>
      <c r="Q2176" s="48" t="s">
        <v>31</v>
      </c>
      <c r="R2176" s="48" t="s">
        <v>31</v>
      </c>
      <c r="S2176" s="48" t="s">
        <v>31</v>
      </c>
      <c r="T2176" s="48" t="s">
        <v>31</v>
      </c>
      <c r="U2176" s="46" t="s">
        <v>1154</v>
      </c>
    </row>
    <row r="2177" spans="1:21">
      <c r="A2177" s="48" t="s">
        <v>1182</v>
      </c>
      <c r="B2177" s="48" t="s">
        <v>191</v>
      </c>
      <c r="C2177" s="48" t="s">
        <v>666</v>
      </c>
      <c r="D2177" s="48">
        <v>1</v>
      </c>
      <c r="E2177" s="48">
        <v>0</v>
      </c>
      <c r="F2177" t="s">
        <v>690</v>
      </c>
      <c r="G2177" s="48" t="s">
        <v>1305</v>
      </c>
      <c r="H2177" s="48" t="s">
        <v>6116</v>
      </c>
      <c r="I2177" s="48" t="s">
        <v>6116</v>
      </c>
      <c r="J2177" s="48" t="s">
        <v>6117</v>
      </c>
      <c r="K2177" s="48" t="s">
        <v>1329</v>
      </c>
      <c r="L2177" s="48" t="s">
        <v>6118</v>
      </c>
      <c r="M2177" s="48" t="s">
        <v>4432</v>
      </c>
      <c r="N2177" s="48" t="s">
        <v>1310</v>
      </c>
      <c r="O2177" s="48" t="s">
        <v>1311</v>
      </c>
      <c r="P2177" s="48" t="s">
        <v>1312</v>
      </c>
      <c r="Q2177" s="48" t="s">
        <v>31</v>
      </c>
      <c r="R2177" s="48" t="s">
        <v>31</v>
      </c>
      <c r="S2177" s="48" t="s">
        <v>31</v>
      </c>
      <c r="T2177" s="48" t="s">
        <v>31</v>
      </c>
      <c r="U2177" s="46" t="s">
        <v>1154</v>
      </c>
    </row>
    <row r="2178" spans="1:21">
      <c r="A2178" s="48" t="s">
        <v>1188</v>
      </c>
      <c r="B2178" s="48" t="s">
        <v>193</v>
      </c>
      <c r="C2178" s="48" t="s">
        <v>666</v>
      </c>
      <c r="D2178" s="48">
        <v>1</v>
      </c>
      <c r="E2178" s="48">
        <v>0</v>
      </c>
      <c r="F2178" t="s">
        <v>708</v>
      </c>
      <c r="G2178" s="48" t="s">
        <v>1305</v>
      </c>
      <c r="H2178" s="48" t="s">
        <v>3506</v>
      </c>
      <c r="I2178" s="48" t="s">
        <v>3506</v>
      </c>
      <c r="J2178" s="48" t="s">
        <v>6119</v>
      </c>
      <c r="K2178" s="48" t="s">
        <v>1317</v>
      </c>
      <c r="L2178" s="48" t="s">
        <v>6120</v>
      </c>
      <c r="M2178" s="48" t="s">
        <v>4432</v>
      </c>
      <c r="N2178" s="48" t="s">
        <v>1310</v>
      </c>
      <c r="O2178" s="48" t="s">
        <v>1311</v>
      </c>
      <c r="P2178" s="48" t="s">
        <v>1312</v>
      </c>
      <c r="Q2178" s="48" t="s">
        <v>31</v>
      </c>
      <c r="R2178" s="48" t="s">
        <v>31</v>
      </c>
      <c r="S2178" s="48" t="s">
        <v>31</v>
      </c>
      <c r="T2178" s="48" t="s">
        <v>31</v>
      </c>
      <c r="U2178" s="46" t="s">
        <v>1154</v>
      </c>
    </row>
    <row r="2179" spans="1:21">
      <c r="A2179" s="48" t="s">
        <v>1188</v>
      </c>
      <c r="B2179" s="48" t="s">
        <v>193</v>
      </c>
      <c r="C2179" s="48" t="s">
        <v>666</v>
      </c>
      <c r="D2179" s="48">
        <v>1</v>
      </c>
      <c r="E2179" s="48">
        <v>0</v>
      </c>
      <c r="F2179" t="s">
        <v>708</v>
      </c>
      <c r="G2179" s="48" t="s">
        <v>1305</v>
      </c>
      <c r="H2179" s="48" t="s">
        <v>3516</v>
      </c>
      <c r="I2179" s="48" t="s">
        <v>3516</v>
      </c>
      <c r="J2179" s="48" t="s">
        <v>6121</v>
      </c>
      <c r="K2179" s="48" t="s">
        <v>1332</v>
      </c>
      <c r="L2179" s="48" t="s">
        <v>6122</v>
      </c>
      <c r="M2179" s="48" t="s">
        <v>4432</v>
      </c>
      <c r="N2179" s="48" t="s">
        <v>1310</v>
      </c>
      <c r="O2179" s="48" t="s">
        <v>1311</v>
      </c>
      <c r="P2179" s="48" t="s">
        <v>1312</v>
      </c>
      <c r="Q2179" s="48" t="s">
        <v>31</v>
      </c>
      <c r="R2179" s="48" t="s">
        <v>31</v>
      </c>
      <c r="S2179" s="48" t="s">
        <v>31</v>
      </c>
      <c r="T2179" s="48" t="s">
        <v>31</v>
      </c>
      <c r="U2179" s="46" t="s">
        <v>1154</v>
      </c>
    </row>
    <row r="2180" spans="1:21">
      <c r="A2180" s="48" t="s">
        <v>1188</v>
      </c>
      <c r="B2180" s="48" t="s">
        <v>193</v>
      </c>
      <c r="C2180" s="48" t="s">
        <v>666</v>
      </c>
      <c r="D2180" s="48">
        <v>1</v>
      </c>
      <c r="E2180" s="48">
        <v>0</v>
      </c>
      <c r="F2180" t="s">
        <v>708</v>
      </c>
      <c r="G2180" s="48" t="s">
        <v>1305</v>
      </c>
      <c r="H2180" s="48" t="s">
        <v>3504</v>
      </c>
      <c r="I2180" s="48" t="s">
        <v>3504</v>
      </c>
      <c r="J2180" s="48" t="s">
        <v>6123</v>
      </c>
      <c r="K2180" s="48" t="s">
        <v>1314</v>
      </c>
      <c r="L2180" s="48" t="s">
        <v>6124</v>
      </c>
      <c r="M2180" s="48" t="s">
        <v>4432</v>
      </c>
      <c r="N2180" s="48" t="s">
        <v>1310</v>
      </c>
      <c r="O2180" s="48" t="s">
        <v>1311</v>
      </c>
      <c r="P2180" s="48" t="s">
        <v>1312</v>
      </c>
      <c r="Q2180" s="48" t="s">
        <v>31</v>
      </c>
      <c r="R2180" s="48" t="s">
        <v>31</v>
      </c>
      <c r="S2180" s="48" t="s">
        <v>31</v>
      </c>
      <c r="T2180" s="48" t="s">
        <v>31</v>
      </c>
      <c r="U2180" s="46" t="s">
        <v>1154</v>
      </c>
    </row>
    <row r="2181" spans="1:21">
      <c r="A2181" s="48" t="s">
        <v>1188</v>
      </c>
      <c r="B2181" s="48" t="s">
        <v>193</v>
      </c>
      <c r="C2181" s="48" t="s">
        <v>666</v>
      </c>
      <c r="D2181" s="48">
        <v>1</v>
      </c>
      <c r="E2181" s="48">
        <v>0</v>
      </c>
      <c r="F2181" t="s">
        <v>708</v>
      </c>
      <c r="G2181" s="48" t="s">
        <v>1305</v>
      </c>
      <c r="H2181" s="48" t="s">
        <v>3514</v>
      </c>
      <c r="I2181" s="48" t="s">
        <v>3514</v>
      </c>
      <c r="J2181" s="48" t="s">
        <v>6125</v>
      </c>
      <c r="K2181" s="48" t="s">
        <v>1329</v>
      </c>
      <c r="L2181" s="48" t="s">
        <v>6126</v>
      </c>
      <c r="M2181" s="48" t="s">
        <v>4432</v>
      </c>
      <c r="N2181" s="48" t="s">
        <v>1310</v>
      </c>
      <c r="O2181" s="48" t="s">
        <v>1311</v>
      </c>
      <c r="P2181" s="48" t="s">
        <v>1312</v>
      </c>
      <c r="Q2181" s="48" t="s">
        <v>31</v>
      </c>
      <c r="R2181" s="48" t="s">
        <v>31</v>
      </c>
      <c r="S2181" s="48" t="s">
        <v>31</v>
      </c>
      <c r="T2181" s="48" t="s">
        <v>31</v>
      </c>
      <c r="U2181" s="46" t="s">
        <v>1154</v>
      </c>
    </row>
    <row r="2182" spans="1:21">
      <c r="A2182" s="48" t="s">
        <v>1188</v>
      </c>
      <c r="B2182" s="48" t="s">
        <v>193</v>
      </c>
      <c r="C2182" s="48" t="s">
        <v>666</v>
      </c>
      <c r="D2182" s="48">
        <v>1</v>
      </c>
      <c r="E2182" s="48">
        <v>0</v>
      </c>
      <c r="F2182" t="s">
        <v>708</v>
      </c>
      <c r="G2182" s="48" t="s">
        <v>1305</v>
      </c>
      <c r="H2182" s="48" t="s">
        <v>3510</v>
      </c>
      <c r="I2182" s="48" t="s">
        <v>3510</v>
      </c>
      <c r="J2182" s="48" t="s">
        <v>6127</v>
      </c>
      <c r="K2182" s="48" t="s">
        <v>1323</v>
      </c>
      <c r="L2182" s="48" t="s">
        <v>6128</v>
      </c>
      <c r="M2182" s="48" t="s">
        <v>4432</v>
      </c>
      <c r="N2182" s="48" t="s">
        <v>1310</v>
      </c>
      <c r="O2182" s="48" t="s">
        <v>1311</v>
      </c>
      <c r="P2182" s="48" t="s">
        <v>1312</v>
      </c>
      <c r="Q2182" s="48" t="s">
        <v>31</v>
      </c>
      <c r="R2182" s="48" t="s">
        <v>31</v>
      </c>
      <c r="S2182" s="48" t="s">
        <v>31</v>
      </c>
      <c r="T2182" s="48" t="s">
        <v>31</v>
      </c>
      <c r="U2182" s="46" t="s">
        <v>1154</v>
      </c>
    </row>
    <row r="2183" spans="1:21">
      <c r="A2183" s="48" t="s">
        <v>1188</v>
      </c>
      <c r="B2183" s="48" t="s">
        <v>193</v>
      </c>
      <c r="C2183" s="48" t="s">
        <v>666</v>
      </c>
      <c r="D2183" s="48">
        <v>1</v>
      </c>
      <c r="E2183" s="48">
        <v>0</v>
      </c>
      <c r="F2183" t="s">
        <v>708</v>
      </c>
      <c r="G2183" s="48" t="s">
        <v>1305</v>
      </c>
      <c r="H2183" s="48" t="s">
        <v>3502</v>
      </c>
      <c r="I2183" s="48" t="s">
        <v>3502</v>
      </c>
      <c r="J2183" s="48" t="s">
        <v>6129</v>
      </c>
      <c r="K2183" s="48" t="s">
        <v>1307</v>
      </c>
      <c r="L2183" s="48" t="s">
        <v>6130</v>
      </c>
      <c r="M2183" s="48" t="s">
        <v>4432</v>
      </c>
      <c r="N2183" s="48" t="s">
        <v>1310</v>
      </c>
      <c r="O2183" s="48" t="s">
        <v>1311</v>
      </c>
      <c r="P2183" s="48" t="s">
        <v>1312</v>
      </c>
      <c r="Q2183" s="48" t="s">
        <v>31</v>
      </c>
      <c r="R2183" s="48" t="s">
        <v>31</v>
      </c>
      <c r="S2183" s="48" t="s">
        <v>31</v>
      </c>
      <c r="T2183" s="48" t="s">
        <v>31</v>
      </c>
      <c r="U2183" s="46" t="s">
        <v>1154</v>
      </c>
    </row>
    <row r="2184" spans="1:21">
      <c r="A2184" s="48" t="s">
        <v>1188</v>
      </c>
      <c r="B2184" s="48" t="s">
        <v>193</v>
      </c>
      <c r="C2184" s="48" t="s">
        <v>666</v>
      </c>
      <c r="D2184" s="48">
        <v>1</v>
      </c>
      <c r="E2184" s="48">
        <v>0</v>
      </c>
      <c r="F2184" t="s">
        <v>708</v>
      </c>
      <c r="G2184" s="48" t="s">
        <v>1305</v>
      </c>
      <c r="H2184" s="48" t="s">
        <v>3508</v>
      </c>
      <c r="I2184" s="48" t="s">
        <v>3508</v>
      </c>
      <c r="J2184" s="48" t="s">
        <v>6131</v>
      </c>
      <c r="K2184" s="48" t="s">
        <v>1320</v>
      </c>
      <c r="L2184" s="48" t="s">
        <v>6132</v>
      </c>
      <c r="M2184" s="48" t="s">
        <v>4432</v>
      </c>
      <c r="N2184" s="48" t="s">
        <v>1310</v>
      </c>
      <c r="O2184" s="48" t="s">
        <v>1311</v>
      </c>
      <c r="P2184" s="48" t="s">
        <v>1312</v>
      </c>
      <c r="Q2184" s="48" t="s">
        <v>31</v>
      </c>
      <c r="R2184" s="48" t="s">
        <v>31</v>
      </c>
      <c r="S2184" s="48" t="s">
        <v>31</v>
      </c>
      <c r="T2184" s="48" t="s">
        <v>31</v>
      </c>
      <c r="U2184" s="46" t="s">
        <v>1154</v>
      </c>
    </row>
    <row r="2185" spans="1:21">
      <c r="A2185" s="48" t="s">
        <v>1188</v>
      </c>
      <c r="B2185" s="48" t="s">
        <v>193</v>
      </c>
      <c r="C2185" s="48" t="s">
        <v>666</v>
      </c>
      <c r="D2185" s="48">
        <v>1</v>
      </c>
      <c r="E2185" s="48">
        <v>0</v>
      </c>
      <c r="F2185" t="s">
        <v>708</v>
      </c>
      <c r="G2185" s="48" t="s">
        <v>1305</v>
      </c>
      <c r="H2185" s="48" t="s">
        <v>3512</v>
      </c>
      <c r="I2185" s="48" t="s">
        <v>3512</v>
      </c>
      <c r="J2185" s="48" t="s">
        <v>6133</v>
      </c>
      <c r="K2185" s="48" t="s">
        <v>1326</v>
      </c>
      <c r="L2185" s="48" t="s">
        <v>6134</v>
      </c>
      <c r="M2185" s="48" t="s">
        <v>4432</v>
      </c>
      <c r="N2185" s="48" t="s">
        <v>1310</v>
      </c>
      <c r="O2185" s="48" t="s">
        <v>1311</v>
      </c>
      <c r="P2185" s="48" t="s">
        <v>1312</v>
      </c>
      <c r="Q2185" s="48" t="s">
        <v>31</v>
      </c>
      <c r="R2185" s="48" t="s">
        <v>31</v>
      </c>
      <c r="S2185" s="48" t="s">
        <v>31</v>
      </c>
      <c r="T2185" s="48" t="s">
        <v>31</v>
      </c>
      <c r="U2185" s="46" t="s">
        <v>1154</v>
      </c>
    </row>
    <row r="2186" spans="1:21">
      <c r="A2186" s="48" t="s">
        <v>1257</v>
      </c>
      <c r="B2186" s="48" t="s">
        <v>195</v>
      </c>
      <c r="C2186" s="48" t="s">
        <v>666</v>
      </c>
      <c r="D2186" s="48">
        <v>1</v>
      </c>
      <c r="E2186" s="48">
        <v>0</v>
      </c>
      <c r="F2186" t="s">
        <v>694</v>
      </c>
      <c r="G2186" s="48" t="s">
        <v>1305</v>
      </c>
      <c r="H2186" s="48" t="s">
        <v>6135</v>
      </c>
      <c r="I2186" s="48" t="s">
        <v>6135</v>
      </c>
      <c r="J2186" s="48" t="s">
        <v>6136</v>
      </c>
      <c r="K2186" s="48" t="s">
        <v>1320</v>
      </c>
      <c r="L2186" s="48" t="s">
        <v>6137</v>
      </c>
      <c r="M2186" s="48" t="s">
        <v>4432</v>
      </c>
      <c r="N2186" s="48" t="s">
        <v>1310</v>
      </c>
      <c r="O2186" s="48" t="s">
        <v>1311</v>
      </c>
      <c r="P2186" s="48" t="s">
        <v>1312</v>
      </c>
      <c r="Q2186" s="48" t="s">
        <v>31</v>
      </c>
      <c r="R2186" s="48" t="s">
        <v>31</v>
      </c>
      <c r="S2186" s="48" t="s">
        <v>31</v>
      </c>
      <c r="T2186" s="48" t="s">
        <v>31</v>
      </c>
      <c r="U2186" s="46" t="s">
        <v>1154</v>
      </c>
    </row>
    <row r="2187" spans="1:21">
      <c r="A2187" s="48" t="s">
        <v>1257</v>
      </c>
      <c r="B2187" s="48" t="s">
        <v>195</v>
      </c>
      <c r="C2187" s="48" t="s">
        <v>666</v>
      </c>
      <c r="D2187" s="48">
        <v>1</v>
      </c>
      <c r="E2187" s="48">
        <v>0</v>
      </c>
      <c r="F2187" t="s">
        <v>694</v>
      </c>
      <c r="G2187" s="48" t="s">
        <v>1305</v>
      </c>
      <c r="H2187" s="48" t="s">
        <v>6138</v>
      </c>
      <c r="I2187" s="48" t="s">
        <v>6138</v>
      </c>
      <c r="J2187" s="48" t="s">
        <v>6139</v>
      </c>
      <c r="K2187" s="48" t="s">
        <v>1326</v>
      </c>
      <c r="L2187" s="48" t="s">
        <v>6140</v>
      </c>
      <c r="M2187" s="48" t="s">
        <v>4432</v>
      </c>
      <c r="N2187" s="48" t="s">
        <v>1310</v>
      </c>
      <c r="O2187" s="48" t="s">
        <v>1311</v>
      </c>
      <c r="P2187" s="48" t="s">
        <v>1312</v>
      </c>
      <c r="Q2187" s="48" t="s">
        <v>31</v>
      </c>
      <c r="R2187" s="48" t="s">
        <v>31</v>
      </c>
      <c r="S2187" s="48" t="s">
        <v>31</v>
      </c>
      <c r="T2187" s="48" t="s">
        <v>31</v>
      </c>
      <c r="U2187" s="46" t="s">
        <v>1154</v>
      </c>
    </row>
    <row r="2188" spans="1:21">
      <c r="A2188" s="48" t="s">
        <v>1257</v>
      </c>
      <c r="B2188" s="48" t="s">
        <v>195</v>
      </c>
      <c r="C2188" s="48" t="s">
        <v>666</v>
      </c>
      <c r="D2188" s="48">
        <v>1</v>
      </c>
      <c r="E2188" s="48">
        <v>0</v>
      </c>
      <c r="F2188" t="s">
        <v>694</v>
      </c>
      <c r="G2188" s="48" t="s">
        <v>1305</v>
      </c>
      <c r="H2188" s="48" t="s">
        <v>6141</v>
      </c>
      <c r="I2188" s="48" t="s">
        <v>6141</v>
      </c>
      <c r="J2188" s="48" t="s">
        <v>6142</v>
      </c>
      <c r="K2188" s="48" t="s">
        <v>1314</v>
      </c>
      <c r="L2188" s="48" t="s">
        <v>6143</v>
      </c>
      <c r="M2188" s="48" t="s">
        <v>4432</v>
      </c>
      <c r="N2188" s="48" t="s">
        <v>1310</v>
      </c>
      <c r="O2188" s="48" t="s">
        <v>1311</v>
      </c>
      <c r="P2188" s="48" t="s">
        <v>1312</v>
      </c>
      <c r="Q2188" s="48" t="s">
        <v>31</v>
      </c>
      <c r="R2188" s="48" t="s">
        <v>31</v>
      </c>
      <c r="S2188" s="48" t="s">
        <v>31</v>
      </c>
      <c r="T2188" s="48" t="s">
        <v>31</v>
      </c>
      <c r="U2188" s="46" t="s">
        <v>1154</v>
      </c>
    </row>
    <row r="2189" spans="1:21">
      <c r="A2189" s="48" t="s">
        <v>1257</v>
      </c>
      <c r="B2189" s="48" t="s">
        <v>195</v>
      </c>
      <c r="C2189" s="48" t="s">
        <v>666</v>
      </c>
      <c r="D2189" s="48">
        <v>1</v>
      </c>
      <c r="E2189" s="48">
        <v>0</v>
      </c>
      <c r="F2189" t="s">
        <v>694</v>
      </c>
      <c r="G2189" s="48" t="s">
        <v>1305</v>
      </c>
      <c r="H2189" s="48" t="s">
        <v>6144</v>
      </c>
      <c r="I2189" s="48" t="s">
        <v>6144</v>
      </c>
      <c r="J2189" s="48" t="s">
        <v>6145</v>
      </c>
      <c r="K2189" s="48" t="s">
        <v>1317</v>
      </c>
      <c r="L2189" s="48" t="s">
        <v>6146</v>
      </c>
      <c r="M2189" s="48" t="s">
        <v>4432</v>
      </c>
      <c r="N2189" s="48" t="s">
        <v>1310</v>
      </c>
      <c r="O2189" s="48" t="s">
        <v>1311</v>
      </c>
      <c r="P2189" s="48" t="s">
        <v>1312</v>
      </c>
      <c r="Q2189" s="48" t="s">
        <v>31</v>
      </c>
      <c r="R2189" s="48" t="s">
        <v>31</v>
      </c>
      <c r="S2189" s="48" t="s">
        <v>31</v>
      </c>
      <c r="T2189" s="48" t="s">
        <v>31</v>
      </c>
      <c r="U2189" s="46" t="s">
        <v>1154</v>
      </c>
    </row>
    <row r="2190" spans="1:21">
      <c r="A2190" s="48" t="s">
        <v>1257</v>
      </c>
      <c r="B2190" s="48" t="s">
        <v>195</v>
      </c>
      <c r="C2190" s="48" t="s">
        <v>666</v>
      </c>
      <c r="D2190" s="48">
        <v>1</v>
      </c>
      <c r="E2190" s="48">
        <v>0</v>
      </c>
      <c r="F2190" t="s">
        <v>694</v>
      </c>
      <c r="G2190" s="48" t="s">
        <v>1305</v>
      </c>
      <c r="H2190" s="48" t="s">
        <v>6147</v>
      </c>
      <c r="I2190" s="48" t="s">
        <v>6147</v>
      </c>
      <c r="J2190" s="48" t="s">
        <v>6148</v>
      </c>
      <c r="K2190" s="48" t="s">
        <v>1329</v>
      </c>
      <c r="L2190" s="48" t="s">
        <v>6149</v>
      </c>
      <c r="M2190" s="48" t="s">
        <v>4432</v>
      </c>
      <c r="N2190" s="48" t="s">
        <v>1310</v>
      </c>
      <c r="O2190" s="48" t="s">
        <v>1311</v>
      </c>
      <c r="P2190" s="48" t="s">
        <v>1312</v>
      </c>
      <c r="Q2190" s="48" t="s">
        <v>31</v>
      </c>
      <c r="R2190" s="48" t="s">
        <v>31</v>
      </c>
      <c r="S2190" s="48" t="s">
        <v>31</v>
      </c>
      <c r="T2190" s="48" t="s">
        <v>31</v>
      </c>
      <c r="U2190" s="46" t="s">
        <v>1154</v>
      </c>
    </row>
    <row r="2191" spans="1:21">
      <c r="A2191" s="48" t="s">
        <v>1257</v>
      </c>
      <c r="B2191" s="48" t="s">
        <v>195</v>
      </c>
      <c r="C2191" s="48" t="s">
        <v>666</v>
      </c>
      <c r="D2191" s="48">
        <v>1</v>
      </c>
      <c r="E2191" s="48">
        <v>0</v>
      </c>
      <c r="F2191" t="s">
        <v>694</v>
      </c>
      <c r="G2191" s="48" t="s">
        <v>1305</v>
      </c>
      <c r="H2191" s="48" t="s">
        <v>6150</v>
      </c>
      <c r="I2191" s="48" t="s">
        <v>6150</v>
      </c>
      <c r="J2191" s="48" t="s">
        <v>6151</v>
      </c>
      <c r="K2191" s="48" t="s">
        <v>1332</v>
      </c>
      <c r="L2191" s="48" t="s">
        <v>6152</v>
      </c>
      <c r="M2191" s="48" t="s">
        <v>4432</v>
      </c>
      <c r="N2191" s="48" t="s">
        <v>1310</v>
      </c>
      <c r="O2191" s="48" t="s">
        <v>1311</v>
      </c>
      <c r="P2191" s="48" t="s">
        <v>1312</v>
      </c>
      <c r="Q2191" s="48" t="s">
        <v>31</v>
      </c>
      <c r="R2191" s="48" t="s">
        <v>31</v>
      </c>
      <c r="S2191" s="48" t="s">
        <v>31</v>
      </c>
      <c r="T2191" s="48" t="s">
        <v>31</v>
      </c>
      <c r="U2191" s="46" t="s">
        <v>1154</v>
      </c>
    </row>
    <row r="2192" spans="1:21">
      <c r="A2192" s="48" t="s">
        <v>1257</v>
      </c>
      <c r="B2192" s="48" t="s">
        <v>195</v>
      </c>
      <c r="C2192" s="48" t="s">
        <v>666</v>
      </c>
      <c r="D2192" s="48">
        <v>1</v>
      </c>
      <c r="E2192" s="48">
        <v>0</v>
      </c>
      <c r="F2192" t="s">
        <v>694</v>
      </c>
      <c r="G2192" s="48" t="s">
        <v>1305</v>
      </c>
      <c r="H2192" s="48" t="s">
        <v>6153</v>
      </c>
      <c r="I2192" s="48" t="s">
        <v>6153</v>
      </c>
      <c r="J2192" s="48" t="s">
        <v>6154</v>
      </c>
      <c r="K2192" s="48" t="s">
        <v>1323</v>
      </c>
      <c r="L2192" s="49" t="s">
        <v>6155</v>
      </c>
      <c r="M2192" s="48" t="s">
        <v>4432</v>
      </c>
      <c r="N2192" s="48" t="s">
        <v>1310</v>
      </c>
      <c r="O2192" s="48" t="s">
        <v>1311</v>
      </c>
      <c r="P2192" s="48" t="s">
        <v>1312</v>
      </c>
      <c r="Q2192" s="48" t="s">
        <v>31</v>
      </c>
      <c r="R2192" s="48" t="s">
        <v>31</v>
      </c>
      <c r="S2192" s="48" t="s">
        <v>31</v>
      </c>
      <c r="T2192" s="48" t="s">
        <v>31</v>
      </c>
      <c r="U2192" s="46" t="s">
        <v>1154</v>
      </c>
    </row>
    <row r="2193" spans="1:21">
      <c r="A2193" s="48" t="s">
        <v>1257</v>
      </c>
      <c r="B2193" s="48" t="s">
        <v>195</v>
      </c>
      <c r="C2193" s="48" t="s">
        <v>666</v>
      </c>
      <c r="D2193" s="48">
        <v>1</v>
      </c>
      <c r="E2193" s="48">
        <v>0</v>
      </c>
      <c r="F2193" t="s">
        <v>694</v>
      </c>
      <c r="G2193" s="48" t="s">
        <v>1305</v>
      </c>
      <c r="H2193" s="48" t="s">
        <v>6156</v>
      </c>
      <c r="I2193" s="48" t="s">
        <v>6156</v>
      </c>
      <c r="J2193" s="48" t="s">
        <v>6157</v>
      </c>
      <c r="K2193" s="48" t="s">
        <v>1307</v>
      </c>
      <c r="L2193" s="48" t="s">
        <v>6158</v>
      </c>
      <c r="M2193" s="48" t="s">
        <v>4432</v>
      </c>
      <c r="N2193" s="48" t="s">
        <v>1310</v>
      </c>
      <c r="O2193" s="48" t="s">
        <v>1311</v>
      </c>
      <c r="P2193" s="48" t="s">
        <v>1312</v>
      </c>
      <c r="Q2193" s="48" t="s">
        <v>31</v>
      </c>
      <c r="R2193" s="48" t="s">
        <v>31</v>
      </c>
      <c r="S2193" s="48" t="s">
        <v>31</v>
      </c>
      <c r="T2193" s="48" t="s">
        <v>31</v>
      </c>
      <c r="U2193" s="46" t="s">
        <v>1154</v>
      </c>
    </row>
    <row r="2194" spans="1:21">
      <c r="A2194" s="48" t="s">
        <v>1217</v>
      </c>
      <c r="B2194" s="48" t="s">
        <v>199</v>
      </c>
      <c r="C2194" s="48" t="s">
        <v>666</v>
      </c>
      <c r="D2194" s="48">
        <v>1</v>
      </c>
      <c r="E2194" s="48">
        <v>0</v>
      </c>
      <c r="F2194" t="s">
        <v>725</v>
      </c>
      <c r="G2194" s="48" t="s">
        <v>1305</v>
      </c>
      <c r="H2194" s="48" t="s">
        <v>6159</v>
      </c>
      <c r="I2194" s="48" t="s">
        <v>6159</v>
      </c>
      <c r="J2194" s="48" t="s">
        <v>6160</v>
      </c>
      <c r="K2194" s="48" t="s">
        <v>1317</v>
      </c>
      <c r="L2194" s="48" t="s">
        <v>6161</v>
      </c>
      <c r="M2194" s="48" t="s">
        <v>4432</v>
      </c>
      <c r="N2194" s="48" t="s">
        <v>1310</v>
      </c>
      <c r="O2194" s="48" t="s">
        <v>1311</v>
      </c>
      <c r="P2194" s="48" t="s">
        <v>1312</v>
      </c>
      <c r="Q2194" s="48" t="s">
        <v>31</v>
      </c>
      <c r="R2194" s="48" t="s">
        <v>31</v>
      </c>
      <c r="S2194" s="48" t="s">
        <v>31</v>
      </c>
      <c r="T2194" s="48" t="s">
        <v>31</v>
      </c>
      <c r="U2194" s="46" t="s">
        <v>1154</v>
      </c>
    </row>
    <row r="2195" spans="1:21">
      <c r="A2195" s="48" t="s">
        <v>1217</v>
      </c>
      <c r="B2195" s="48" t="s">
        <v>199</v>
      </c>
      <c r="C2195" s="48" t="s">
        <v>666</v>
      </c>
      <c r="D2195" s="48">
        <v>1</v>
      </c>
      <c r="E2195" s="48">
        <v>0</v>
      </c>
      <c r="F2195" t="s">
        <v>725</v>
      </c>
      <c r="G2195" s="48" t="s">
        <v>1305</v>
      </c>
      <c r="H2195" s="48" t="s">
        <v>6162</v>
      </c>
      <c r="I2195" s="48" t="s">
        <v>6162</v>
      </c>
      <c r="J2195" s="48" t="s">
        <v>6163</v>
      </c>
      <c r="K2195" s="48" t="s">
        <v>1320</v>
      </c>
      <c r="L2195" s="48" t="s">
        <v>6164</v>
      </c>
      <c r="M2195" s="48" t="s">
        <v>4432</v>
      </c>
      <c r="N2195" s="48" t="s">
        <v>1310</v>
      </c>
      <c r="O2195" s="48" t="s">
        <v>1311</v>
      </c>
      <c r="P2195" s="48" t="s">
        <v>1312</v>
      </c>
      <c r="Q2195" s="48" t="s">
        <v>31</v>
      </c>
      <c r="R2195" s="48" t="s">
        <v>31</v>
      </c>
      <c r="S2195" s="48" t="s">
        <v>31</v>
      </c>
      <c r="T2195" s="48" t="s">
        <v>31</v>
      </c>
      <c r="U2195" s="46" t="s">
        <v>1154</v>
      </c>
    </row>
    <row r="2196" spans="1:21">
      <c r="A2196" s="48" t="s">
        <v>1217</v>
      </c>
      <c r="B2196" s="48" t="s">
        <v>199</v>
      </c>
      <c r="C2196" s="48" t="s">
        <v>666</v>
      </c>
      <c r="D2196" s="48">
        <v>1</v>
      </c>
      <c r="E2196" s="48">
        <v>0</v>
      </c>
      <c r="F2196" t="s">
        <v>725</v>
      </c>
      <c r="G2196" s="48" t="s">
        <v>1305</v>
      </c>
      <c r="H2196" s="48" t="s">
        <v>6165</v>
      </c>
      <c r="I2196" s="48" t="s">
        <v>6165</v>
      </c>
      <c r="J2196" s="48" t="s">
        <v>6166</v>
      </c>
      <c r="K2196" s="48" t="s">
        <v>1307</v>
      </c>
      <c r="L2196" s="48" t="s">
        <v>6167</v>
      </c>
      <c r="M2196" s="48" t="s">
        <v>4432</v>
      </c>
      <c r="N2196" s="48" t="s">
        <v>1310</v>
      </c>
      <c r="O2196" s="48" t="s">
        <v>1311</v>
      </c>
      <c r="P2196" s="48" t="s">
        <v>1312</v>
      </c>
      <c r="Q2196" s="48" t="s">
        <v>31</v>
      </c>
      <c r="R2196" s="48" t="s">
        <v>31</v>
      </c>
      <c r="S2196" s="48" t="s">
        <v>31</v>
      </c>
      <c r="T2196" s="48" t="s">
        <v>31</v>
      </c>
      <c r="U2196" s="46" t="s">
        <v>1154</v>
      </c>
    </row>
    <row r="2197" spans="1:21">
      <c r="A2197" s="48" t="s">
        <v>1217</v>
      </c>
      <c r="B2197" s="48" t="s">
        <v>199</v>
      </c>
      <c r="C2197" s="48" t="s">
        <v>666</v>
      </c>
      <c r="D2197" s="48">
        <v>1</v>
      </c>
      <c r="E2197" s="48">
        <v>0</v>
      </c>
      <c r="F2197" t="s">
        <v>725</v>
      </c>
      <c r="G2197" s="48" t="s">
        <v>1305</v>
      </c>
      <c r="H2197" s="48" t="s">
        <v>6168</v>
      </c>
      <c r="I2197" s="48" t="s">
        <v>6168</v>
      </c>
      <c r="J2197" s="48" t="s">
        <v>6169</v>
      </c>
      <c r="K2197" s="48" t="s">
        <v>1326</v>
      </c>
      <c r="L2197" s="48" t="s">
        <v>6170</v>
      </c>
      <c r="M2197" s="48" t="s">
        <v>4432</v>
      </c>
      <c r="N2197" s="48" t="s">
        <v>1310</v>
      </c>
      <c r="O2197" s="48" t="s">
        <v>1311</v>
      </c>
      <c r="P2197" s="48" t="s">
        <v>1312</v>
      </c>
      <c r="Q2197" s="48" t="s">
        <v>31</v>
      </c>
      <c r="R2197" s="48" t="s">
        <v>31</v>
      </c>
      <c r="S2197" s="48" t="s">
        <v>31</v>
      </c>
      <c r="T2197" s="48" t="s">
        <v>31</v>
      </c>
      <c r="U2197" s="46" t="s">
        <v>1154</v>
      </c>
    </row>
    <row r="2198" spans="1:21">
      <c r="A2198" s="48" t="s">
        <v>1217</v>
      </c>
      <c r="B2198" s="48" t="s">
        <v>199</v>
      </c>
      <c r="C2198" s="48" t="s">
        <v>666</v>
      </c>
      <c r="D2198" s="48">
        <v>1</v>
      </c>
      <c r="E2198" s="48">
        <v>0</v>
      </c>
      <c r="F2198" t="s">
        <v>725</v>
      </c>
      <c r="G2198" s="48" t="s">
        <v>1305</v>
      </c>
      <c r="H2198" s="48" t="s">
        <v>6171</v>
      </c>
      <c r="I2198" s="48" t="s">
        <v>6171</v>
      </c>
      <c r="J2198" s="48" t="s">
        <v>6172</v>
      </c>
      <c r="K2198" s="48" t="s">
        <v>1323</v>
      </c>
      <c r="L2198" s="48" t="s">
        <v>6173</v>
      </c>
      <c r="M2198" s="48" t="s">
        <v>4432</v>
      </c>
      <c r="N2198" s="48" t="s">
        <v>1310</v>
      </c>
      <c r="O2198" s="48" t="s">
        <v>1311</v>
      </c>
      <c r="P2198" s="48" t="s">
        <v>1312</v>
      </c>
      <c r="Q2198" s="48" t="s">
        <v>31</v>
      </c>
      <c r="R2198" s="48" t="s">
        <v>31</v>
      </c>
      <c r="S2198" s="48" t="s">
        <v>31</v>
      </c>
      <c r="T2198" s="48" t="s">
        <v>31</v>
      </c>
      <c r="U2198" s="46" t="s">
        <v>1154</v>
      </c>
    </row>
    <row r="2199" spans="1:21">
      <c r="A2199" s="48" t="s">
        <v>1217</v>
      </c>
      <c r="B2199" s="48" t="s">
        <v>199</v>
      </c>
      <c r="C2199" s="48" t="s">
        <v>666</v>
      </c>
      <c r="D2199" s="48">
        <v>1</v>
      </c>
      <c r="E2199" s="48">
        <v>0</v>
      </c>
      <c r="F2199" t="s">
        <v>725</v>
      </c>
      <c r="G2199" s="48" t="s">
        <v>1305</v>
      </c>
      <c r="H2199" s="48" t="s">
        <v>6174</v>
      </c>
      <c r="I2199" s="48" t="s">
        <v>6174</v>
      </c>
      <c r="J2199" s="48" t="s">
        <v>6175</v>
      </c>
      <c r="K2199" s="48" t="s">
        <v>1329</v>
      </c>
      <c r="L2199" s="48" t="s">
        <v>6176</v>
      </c>
      <c r="M2199" s="48" t="s">
        <v>4432</v>
      </c>
      <c r="N2199" s="48" t="s">
        <v>1310</v>
      </c>
      <c r="O2199" s="48" t="s">
        <v>1311</v>
      </c>
      <c r="P2199" s="48" t="s">
        <v>1312</v>
      </c>
      <c r="Q2199" s="48" t="s">
        <v>31</v>
      </c>
      <c r="R2199" s="48" t="s">
        <v>31</v>
      </c>
      <c r="S2199" s="48" t="s">
        <v>31</v>
      </c>
      <c r="T2199" s="48" t="s">
        <v>31</v>
      </c>
      <c r="U2199" s="46" t="s">
        <v>1154</v>
      </c>
    </row>
    <row r="2200" spans="1:21">
      <c r="A2200" s="48" t="s">
        <v>1217</v>
      </c>
      <c r="B2200" s="48" t="s">
        <v>199</v>
      </c>
      <c r="C2200" s="48" t="s">
        <v>666</v>
      </c>
      <c r="D2200" s="48">
        <v>1</v>
      </c>
      <c r="E2200" s="48">
        <v>0</v>
      </c>
      <c r="F2200" t="s">
        <v>725</v>
      </c>
      <c r="G2200" s="48" t="s">
        <v>1305</v>
      </c>
      <c r="H2200" s="48" t="s">
        <v>6177</v>
      </c>
      <c r="I2200" s="48" t="s">
        <v>6177</v>
      </c>
      <c r="J2200" s="48" t="s">
        <v>6178</v>
      </c>
      <c r="K2200" s="48" t="s">
        <v>1314</v>
      </c>
      <c r="L2200" s="48" t="s">
        <v>6179</v>
      </c>
      <c r="M2200" s="48" t="s">
        <v>4432</v>
      </c>
      <c r="N2200" s="48" t="s">
        <v>1310</v>
      </c>
      <c r="O2200" s="48" t="s">
        <v>1311</v>
      </c>
      <c r="P2200" s="48" t="s">
        <v>1312</v>
      </c>
      <c r="Q2200" s="48" t="s">
        <v>31</v>
      </c>
      <c r="R2200" s="48" t="s">
        <v>31</v>
      </c>
      <c r="S2200" s="48" t="s">
        <v>31</v>
      </c>
      <c r="T2200" s="48" t="s">
        <v>31</v>
      </c>
      <c r="U2200" s="46" t="s">
        <v>1154</v>
      </c>
    </row>
    <row r="2201" spans="1:21">
      <c r="A2201" s="48" t="s">
        <v>1217</v>
      </c>
      <c r="B2201" s="48" t="s">
        <v>199</v>
      </c>
      <c r="C2201" s="48" t="s">
        <v>666</v>
      </c>
      <c r="D2201" s="48">
        <v>1</v>
      </c>
      <c r="E2201" s="48">
        <v>0</v>
      </c>
      <c r="F2201" t="s">
        <v>725</v>
      </c>
      <c r="G2201" s="48" t="s">
        <v>1305</v>
      </c>
      <c r="H2201" s="48" t="s">
        <v>6180</v>
      </c>
      <c r="I2201" s="48" t="s">
        <v>6180</v>
      </c>
      <c r="J2201" s="48" t="s">
        <v>6181</v>
      </c>
      <c r="K2201" s="48" t="s">
        <v>1332</v>
      </c>
      <c r="L2201" s="48" t="s">
        <v>6182</v>
      </c>
      <c r="M2201" s="48" t="s">
        <v>4432</v>
      </c>
      <c r="N2201" s="48" t="s">
        <v>1310</v>
      </c>
      <c r="O2201" s="48" t="s">
        <v>1311</v>
      </c>
      <c r="P2201" s="48" t="s">
        <v>1312</v>
      </c>
      <c r="Q2201" s="48" t="s">
        <v>31</v>
      </c>
      <c r="R2201" s="48" t="s">
        <v>31</v>
      </c>
      <c r="S2201" s="48" t="s">
        <v>31</v>
      </c>
      <c r="T2201" s="48" t="s">
        <v>31</v>
      </c>
      <c r="U2201" s="46" t="s">
        <v>1154</v>
      </c>
    </row>
    <row r="2202" spans="1:21">
      <c r="A2202" s="48" t="s">
        <v>1190</v>
      </c>
      <c r="B2202" s="48" t="s">
        <v>201</v>
      </c>
      <c r="C2202" s="48" t="s">
        <v>666</v>
      </c>
      <c r="D2202" s="48">
        <v>1</v>
      </c>
      <c r="E2202" s="48">
        <v>0</v>
      </c>
      <c r="F2202" t="s">
        <v>755</v>
      </c>
      <c r="G2202" s="48" t="s">
        <v>1305</v>
      </c>
      <c r="H2202" s="48" t="s">
        <v>3670</v>
      </c>
      <c r="I2202" s="48" t="s">
        <v>3670</v>
      </c>
      <c r="J2202" s="48" t="s">
        <v>6183</v>
      </c>
      <c r="K2202" s="48" t="s">
        <v>1323</v>
      </c>
      <c r="L2202" s="48" t="s">
        <v>6184</v>
      </c>
      <c r="M2202" s="48" t="s">
        <v>4432</v>
      </c>
      <c r="N2202" s="48" t="s">
        <v>1310</v>
      </c>
      <c r="O2202" s="48" t="s">
        <v>1311</v>
      </c>
      <c r="P2202" s="48" t="s">
        <v>1312</v>
      </c>
      <c r="Q2202" s="48" t="s">
        <v>31</v>
      </c>
      <c r="R2202" s="48" t="s">
        <v>31</v>
      </c>
      <c r="S2202" s="48" t="s">
        <v>31</v>
      </c>
      <c r="T2202" s="48" t="s">
        <v>31</v>
      </c>
      <c r="U2202" s="46" t="s">
        <v>1154</v>
      </c>
    </row>
    <row r="2203" spans="1:21">
      <c r="A2203" s="48" t="s">
        <v>1190</v>
      </c>
      <c r="B2203" s="48" t="s">
        <v>201</v>
      </c>
      <c r="C2203" s="48" t="s">
        <v>666</v>
      </c>
      <c r="D2203" s="48">
        <v>1</v>
      </c>
      <c r="E2203" s="48">
        <v>0</v>
      </c>
      <c r="F2203" t="s">
        <v>755</v>
      </c>
      <c r="G2203" s="48" t="s">
        <v>1305</v>
      </c>
      <c r="H2203" s="48" t="s">
        <v>3676</v>
      </c>
      <c r="I2203" s="48" t="s">
        <v>3676</v>
      </c>
      <c r="J2203" s="48" t="s">
        <v>6185</v>
      </c>
      <c r="K2203" s="48" t="s">
        <v>1332</v>
      </c>
      <c r="L2203" s="48" t="s">
        <v>6186</v>
      </c>
      <c r="M2203" s="48" t="s">
        <v>4432</v>
      </c>
      <c r="N2203" s="48" t="s">
        <v>1310</v>
      </c>
      <c r="O2203" s="48" t="s">
        <v>1311</v>
      </c>
      <c r="P2203" s="48" t="s">
        <v>1312</v>
      </c>
      <c r="Q2203" s="48" t="s">
        <v>31</v>
      </c>
      <c r="R2203" s="48" t="s">
        <v>31</v>
      </c>
      <c r="S2203" s="48" t="s">
        <v>31</v>
      </c>
      <c r="T2203" s="48" t="s">
        <v>31</v>
      </c>
      <c r="U2203" s="46" t="s">
        <v>1154</v>
      </c>
    </row>
    <row r="2204" spans="1:21">
      <c r="A2204" s="48" t="s">
        <v>1190</v>
      </c>
      <c r="B2204" s="48" t="s">
        <v>201</v>
      </c>
      <c r="C2204" s="48" t="s">
        <v>666</v>
      </c>
      <c r="D2204" s="48">
        <v>1</v>
      </c>
      <c r="E2204" s="48">
        <v>0</v>
      </c>
      <c r="F2204" t="s">
        <v>755</v>
      </c>
      <c r="G2204" s="48" t="s">
        <v>1305</v>
      </c>
      <c r="H2204" s="48" t="s">
        <v>3668</v>
      </c>
      <c r="I2204" s="48" t="s">
        <v>3668</v>
      </c>
      <c r="J2204" s="48" t="s">
        <v>6187</v>
      </c>
      <c r="K2204" s="48" t="s">
        <v>1320</v>
      </c>
      <c r="L2204" s="48" t="s">
        <v>6188</v>
      </c>
      <c r="M2204" s="48" t="s">
        <v>4432</v>
      </c>
      <c r="N2204" s="48" t="s">
        <v>1310</v>
      </c>
      <c r="O2204" s="48" t="s">
        <v>1311</v>
      </c>
      <c r="P2204" s="48" t="s">
        <v>1312</v>
      </c>
      <c r="Q2204" s="48" t="s">
        <v>31</v>
      </c>
      <c r="R2204" s="48" t="s">
        <v>31</v>
      </c>
      <c r="S2204" s="48" t="s">
        <v>31</v>
      </c>
      <c r="T2204" s="48" t="s">
        <v>31</v>
      </c>
      <c r="U2204" s="46" t="s">
        <v>1154</v>
      </c>
    </row>
    <row r="2205" spans="1:21">
      <c r="A2205" s="48" t="s">
        <v>1190</v>
      </c>
      <c r="B2205" s="48" t="s">
        <v>201</v>
      </c>
      <c r="C2205" s="48" t="s">
        <v>666</v>
      </c>
      <c r="D2205" s="48">
        <v>1</v>
      </c>
      <c r="E2205" s="48">
        <v>0</v>
      </c>
      <c r="F2205" t="s">
        <v>755</v>
      </c>
      <c r="G2205" s="48" t="s">
        <v>1305</v>
      </c>
      <c r="H2205" s="48" t="s">
        <v>3672</v>
      </c>
      <c r="I2205" s="48" t="s">
        <v>3672</v>
      </c>
      <c r="J2205" s="48" t="s">
        <v>6189</v>
      </c>
      <c r="K2205" s="48" t="s">
        <v>1326</v>
      </c>
      <c r="L2205" s="48" t="s">
        <v>6190</v>
      </c>
      <c r="M2205" s="48" t="s">
        <v>4432</v>
      </c>
      <c r="N2205" s="48" t="s">
        <v>1310</v>
      </c>
      <c r="O2205" s="48" t="s">
        <v>1311</v>
      </c>
      <c r="P2205" s="48" t="s">
        <v>1312</v>
      </c>
      <c r="Q2205" s="48" t="s">
        <v>31</v>
      </c>
      <c r="R2205" s="48" t="s">
        <v>31</v>
      </c>
      <c r="S2205" s="48" t="s">
        <v>31</v>
      </c>
      <c r="T2205" s="48" t="s">
        <v>31</v>
      </c>
      <c r="U2205" s="46" t="s">
        <v>1154</v>
      </c>
    </row>
    <row r="2206" spans="1:21">
      <c r="A2206" s="48" t="s">
        <v>1190</v>
      </c>
      <c r="B2206" s="48" t="s">
        <v>201</v>
      </c>
      <c r="C2206" s="48" t="s">
        <v>666</v>
      </c>
      <c r="D2206" s="48">
        <v>1</v>
      </c>
      <c r="E2206" s="48">
        <v>0</v>
      </c>
      <c r="F2206" t="s">
        <v>755</v>
      </c>
      <c r="G2206" s="48" t="s">
        <v>1305</v>
      </c>
      <c r="H2206" s="48" t="s">
        <v>3664</v>
      </c>
      <c r="I2206" s="48" t="s">
        <v>3664</v>
      </c>
      <c r="J2206" s="48" t="s">
        <v>6191</v>
      </c>
      <c r="K2206" s="48" t="s">
        <v>1314</v>
      </c>
      <c r="L2206" s="48" t="s">
        <v>6192</v>
      </c>
      <c r="M2206" s="48" t="s">
        <v>4432</v>
      </c>
      <c r="N2206" s="48" t="s">
        <v>1310</v>
      </c>
      <c r="O2206" s="48" t="s">
        <v>1311</v>
      </c>
      <c r="P2206" s="48" t="s">
        <v>1312</v>
      </c>
      <c r="Q2206" s="48" t="s">
        <v>31</v>
      </c>
      <c r="R2206" s="48" t="s">
        <v>31</v>
      </c>
      <c r="S2206" s="48" t="s">
        <v>31</v>
      </c>
      <c r="T2206" s="48" t="s">
        <v>31</v>
      </c>
      <c r="U2206" s="46" t="s">
        <v>1154</v>
      </c>
    </row>
    <row r="2207" spans="1:21">
      <c r="A2207" s="48" t="s">
        <v>1190</v>
      </c>
      <c r="B2207" s="48" t="s">
        <v>201</v>
      </c>
      <c r="C2207" s="48" t="s">
        <v>666</v>
      </c>
      <c r="D2207" s="48">
        <v>1</v>
      </c>
      <c r="E2207" s="48">
        <v>0</v>
      </c>
      <c r="F2207" t="s">
        <v>755</v>
      </c>
      <c r="G2207" s="48" t="s">
        <v>1305</v>
      </c>
      <c r="H2207" s="48" t="s">
        <v>3662</v>
      </c>
      <c r="I2207" s="48" t="s">
        <v>3662</v>
      </c>
      <c r="J2207" s="48" t="s">
        <v>6193</v>
      </c>
      <c r="K2207" s="48" t="s">
        <v>1307</v>
      </c>
      <c r="L2207" s="48" t="s">
        <v>6194</v>
      </c>
      <c r="M2207" s="48" t="s">
        <v>4432</v>
      </c>
      <c r="N2207" s="48" t="s">
        <v>1310</v>
      </c>
      <c r="O2207" s="48" t="s">
        <v>1311</v>
      </c>
      <c r="P2207" s="48" t="s">
        <v>1312</v>
      </c>
      <c r="Q2207" s="48" t="s">
        <v>31</v>
      </c>
      <c r="R2207" s="48" t="s">
        <v>31</v>
      </c>
      <c r="S2207" s="48" t="s">
        <v>31</v>
      </c>
      <c r="T2207" s="48" t="s">
        <v>31</v>
      </c>
      <c r="U2207" s="46" t="s">
        <v>1154</v>
      </c>
    </row>
    <row r="2208" spans="1:21">
      <c r="A2208" s="48" t="s">
        <v>1190</v>
      </c>
      <c r="B2208" s="48" t="s">
        <v>201</v>
      </c>
      <c r="C2208" s="48" t="s">
        <v>666</v>
      </c>
      <c r="D2208" s="48">
        <v>1</v>
      </c>
      <c r="E2208" s="48">
        <v>0</v>
      </c>
      <c r="F2208" t="s">
        <v>755</v>
      </c>
      <c r="G2208" s="48" t="s">
        <v>1305</v>
      </c>
      <c r="H2208" s="48" t="s">
        <v>3666</v>
      </c>
      <c r="I2208" s="48" t="s">
        <v>3666</v>
      </c>
      <c r="J2208" s="48" t="s">
        <v>6195</v>
      </c>
      <c r="K2208" s="48" t="s">
        <v>1317</v>
      </c>
      <c r="L2208" s="48" t="s">
        <v>6196</v>
      </c>
      <c r="M2208" s="48" t="s">
        <v>4432</v>
      </c>
      <c r="N2208" s="48" t="s">
        <v>1310</v>
      </c>
      <c r="O2208" s="48" t="s">
        <v>1311</v>
      </c>
      <c r="P2208" s="48" t="s">
        <v>1312</v>
      </c>
      <c r="Q2208" s="48" t="s">
        <v>31</v>
      </c>
      <c r="R2208" s="48" t="s">
        <v>31</v>
      </c>
      <c r="S2208" s="48" t="s">
        <v>31</v>
      </c>
      <c r="T2208" s="48" t="s">
        <v>31</v>
      </c>
      <c r="U2208" s="46" t="s">
        <v>1154</v>
      </c>
    </row>
    <row r="2209" spans="1:21">
      <c r="A2209" s="48" t="s">
        <v>1190</v>
      </c>
      <c r="B2209" s="48" t="s">
        <v>201</v>
      </c>
      <c r="C2209" s="48" t="s">
        <v>666</v>
      </c>
      <c r="D2209" s="48">
        <v>1</v>
      </c>
      <c r="E2209" s="48">
        <v>0</v>
      </c>
      <c r="F2209" t="s">
        <v>755</v>
      </c>
      <c r="G2209" s="48" t="s">
        <v>1305</v>
      </c>
      <c r="H2209" s="48" t="s">
        <v>3674</v>
      </c>
      <c r="I2209" s="48" t="s">
        <v>3674</v>
      </c>
      <c r="J2209" s="48" t="s">
        <v>6197</v>
      </c>
      <c r="K2209" s="48" t="s">
        <v>1329</v>
      </c>
      <c r="L2209" s="48" t="s">
        <v>6198</v>
      </c>
      <c r="M2209" s="48" t="s">
        <v>4432</v>
      </c>
      <c r="N2209" s="48" t="s">
        <v>1310</v>
      </c>
      <c r="O2209" s="48" t="s">
        <v>1311</v>
      </c>
      <c r="P2209" s="48" t="s">
        <v>1312</v>
      </c>
      <c r="Q2209" s="48" t="s">
        <v>31</v>
      </c>
      <c r="R2209" s="48" t="s">
        <v>31</v>
      </c>
      <c r="S2209" s="48" t="s">
        <v>31</v>
      </c>
      <c r="T2209" s="48" t="s">
        <v>31</v>
      </c>
      <c r="U2209" s="46" t="s">
        <v>1154</v>
      </c>
    </row>
    <row r="2210" spans="1:21">
      <c r="A2210" s="48" t="s">
        <v>1189</v>
      </c>
      <c r="B2210" s="48" t="s">
        <v>203</v>
      </c>
      <c r="C2210" s="48" t="s">
        <v>666</v>
      </c>
      <c r="D2210" s="48">
        <v>1</v>
      </c>
      <c r="E2210" s="48">
        <v>0</v>
      </c>
      <c r="F2210" t="s">
        <v>735</v>
      </c>
      <c r="G2210" s="48" t="s">
        <v>1305</v>
      </c>
      <c r="H2210" s="48" t="s">
        <v>2446</v>
      </c>
      <c r="I2210" s="48" t="s">
        <v>2446</v>
      </c>
      <c r="J2210" s="48" t="s">
        <v>6199</v>
      </c>
      <c r="K2210" s="48" t="s">
        <v>1307</v>
      </c>
      <c r="L2210" s="48" t="s">
        <v>6200</v>
      </c>
      <c r="M2210" s="48" t="s">
        <v>4432</v>
      </c>
      <c r="N2210" s="48" t="s">
        <v>1310</v>
      </c>
      <c r="O2210" s="48" t="s">
        <v>1311</v>
      </c>
      <c r="P2210" s="48" t="s">
        <v>1312</v>
      </c>
      <c r="Q2210" s="48" t="s">
        <v>31</v>
      </c>
      <c r="R2210" s="48" t="s">
        <v>31</v>
      </c>
      <c r="S2210" s="48" t="s">
        <v>31</v>
      </c>
      <c r="T2210" s="48" t="s">
        <v>31</v>
      </c>
      <c r="U2210" s="46" t="s">
        <v>1154</v>
      </c>
    </row>
    <row r="2211" spans="1:21">
      <c r="A2211" s="48" t="s">
        <v>1189</v>
      </c>
      <c r="B2211" s="48" t="s">
        <v>203</v>
      </c>
      <c r="C2211" s="48" t="s">
        <v>666</v>
      </c>
      <c r="D2211" s="48">
        <v>1</v>
      </c>
      <c r="E2211" s="48">
        <v>0</v>
      </c>
      <c r="F2211" t="s">
        <v>735</v>
      </c>
      <c r="G2211" s="48" t="s">
        <v>1305</v>
      </c>
      <c r="H2211" s="48" t="s">
        <v>2458</v>
      </c>
      <c r="I2211" s="48" t="s">
        <v>2458</v>
      </c>
      <c r="J2211" s="48" t="s">
        <v>6201</v>
      </c>
      <c r="K2211" s="48" t="s">
        <v>1329</v>
      </c>
      <c r="L2211" s="48" t="s">
        <v>6202</v>
      </c>
      <c r="M2211" s="48" t="s">
        <v>4432</v>
      </c>
      <c r="N2211" s="48" t="s">
        <v>1310</v>
      </c>
      <c r="O2211" s="48" t="s">
        <v>1311</v>
      </c>
      <c r="P2211" s="48" t="s">
        <v>1312</v>
      </c>
      <c r="Q2211" s="48" t="s">
        <v>31</v>
      </c>
      <c r="R2211" s="48" t="s">
        <v>31</v>
      </c>
      <c r="S2211" s="48" t="s">
        <v>31</v>
      </c>
      <c r="T2211" s="48" t="s">
        <v>31</v>
      </c>
      <c r="U2211" s="46" t="s">
        <v>1154</v>
      </c>
    </row>
    <row r="2212" spans="1:21">
      <c r="A2212" s="48" t="s">
        <v>1189</v>
      </c>
      <c r="B2212" s="48" t="s">
        <v>203</v>
      </c>
      <c r="C2212" s="48" t="s">
        <v>666</v>
      </c>
      <c r="D2212" s="48">
        <v>1</v>
      </c>
      <c r="E2212" s="48">
        <v>0</v>
      </c>
      <c r="F2212" t="s">
        <v>735</v>
      </c>
      <c r="G2212" s="48" t="s">
        <v>1305</v>
      </c>
      <c r="H2212" s="48" t="s">
        <v>2448</v>
      </c>
      <c r="I2212" s="48" t="s">
        <v>2448</v>
      </c>
      <c r="J2212" s="48" t="s">
        <v>6203</v>
      </c>
      <c r="K2212" s="48" t="s">
        <v>1314</v>
      </c>
      <c r="L2212" s="48" t="s">
        <v>6204</v>
      </c>
      <c r="M2212" s="48" t="s">
        <v>4432</v>
      </c>
      <c r="N2212" s="48" t="s">
        <v>1310</v>
      </c>
      <c r="O2212" s="48" t="s">
        <v>1311</v>
      </c>
      <c r="P2212" s="48" t="s">
        <v>1312</v>
      </c>
      <c r="Q2212" s="48" t="s">
        <v>31</v>
      </c>
      <c r="R2212" s="48" t="s">
        <v>31</v>
      </c>
      <c r="S2212" s="48" t="s">
        <v>31</v>
      </c>
      <c r="T2212" s="48" t="s">
        <v>31</v>
      </c>
      <c r="U2212" s="46" t="s">
        <v>1154</v>
      </c>
    </row>
    <row r="2213" spans="1:21">
      <c r="A2213" s="48" t="s">
        <v>1189</v>
      </c>
      <c r="B2213" s="48" t="s">
        <v>203</v>
      </c>
      <c r="C2213" s="48" t="s">
        <v>666</v>
      </c>
      <c r="D2213" s="48">
        <v>1</v>
      </c>
      <c r="E2213" s="48">
        <v>0</v>
      </c>
      <c r="F2213" t="s">
        <v>735</v>
      </c>
      <c r="G2213" s="48" t="s">
        <v>1305</v>
      </c>
      <c r="H2213" s="48" t="s">
        <v>2450</v>
      </c>
      <c r="I2213" s="48" t="s">
        <v>2450</v>
      </c>
      <c r="J2213" s="48" t="s">
        <v>6205</v>
      </c>
      <c r="K2213" s="48" t="s">
        <v>1317</v>
      </c>
      <c r="L2213" s="48" t="s">
        <v>6206</v>
      </c>
      <c r="M2213" s="48" t="s">
        <v>4432</v>
      </c>
      <c r="N2213" s="48" t="s">
        <v>1310</v>
      </c>
      <c r="O2213" s="48" t="s">
        <v>1311</v>
      </c>
      <c r="P2213" s="48" t="s">
        <v>1312</v>
      </c>
      <c r="Q2213" s="48" t="s">
        <v>31</v>
      </c>
      <c r="R2213" s="48" t="s">
        <v>31</v>
      </c>
      <c r="S2213" s="48" t="s">
        <v>31</v>
      </c>
      <c r="T2213" s="48" t="s">
        <v>31</v>
      </c>
      <c r="U2213" s="46" t="s">
        <v>1154</v>
      </c>
    </row>
    <row r="2214" spans="1:21">
      <c r="A2214" s="48" t="s">
        <v>1189</v>
      </c>
      <c r="B2214" s="48" t="s">
        <v>203</v>
      </c>
      <c r="C2214" s="48" t="s">
        <v>666</v>
      </c>
      <c r="D2214" s="48">
        <v>1</v>
      </c>
      <c r="E2214" s="48">
        <v>0</v>
      </c>
      <c r="F2214" t="s">
        <v>735</v>
      </c>
      <c r="G2214" s="48" t="s">
        <v>1305</v>
      </c>
      <c r="H2214" s="48" t="s">
        <v>2452</v>
      </c>
      <c r="I2214" s="48" t="s">
        <v>2452</v>
      </c>
      <c r="J2214" s="48" t="s">
        <v>6207</v>
      </c>
      <c r="K2214" s="48" t="s">
        <v>1320</v>
      </c>
      <c r="L2214" s="48" t="s">
        <v>6208</v>
      </c>
      <c r="M2214" s="48" t="s">
        <v>4432</v>
      </c>
      <c r="N2214" s="48" t="s">
        <v>1310</v>
      </c>
      <c r="O2214" s="48" t="s">
        <v>1311</v>
      </c>
      <c r="P2214" s="48" t="s">
        <v>1312</v>
      </c>
      <c r="Q2214" s="48" t="s">
        <v>31</v>
      </c>
      <c r="R2214" s="48" t="s">
        <v>31</v>
      </c>
      <c r="S2214" s="48" t="s">
        <v>31</v>
      </c>
      <c r="T2214" s="48" t="s">
        <v>31</v>
      </c>
      <c r="U2214" s="46" t="s">
        <v>1154</v>
      </c>
    </row>
    <row r="2215" spans="1:21">
      <c r="A2215" s="48" t="s">
        <v>1189</v>
      </c>
      <c r="B2215" s="48" t="s">
        <v>203</v>
      </c>
      <c r="C2215" s="48" t="s">
        <v>666</v>
      </c>
      <c r="D2215" s="48">
        <v>1</v>
      </c>
      <c r="E2215" s="48">
        <v>0</v>
      </c>
      <c r="F2215" t="s">
        <v>735</v>
      </c>
      <c r="G2215" s="48" t="s">
        <v>1305</v>
      </c>
      <c r="H2215" s="48" t="s">
        <v>2456</v>
      </c>
      <c r="I2215" s="48" t="s">
        <v>2456</v>
      </c>
      <c r="J2215" s="48" t="s">
        <v>6209</v>
      </c>
      <c r="K2215" s="48" t="s">
        <v>1326</v>
      </c>
      <c r="L2215" s="48" t="s">
        <v>6210</v>
      </c>
      <c r="M2215" s="48" t="s">
        <v>4432</v>
      </c>
      <c r="N2215" s="48" t="s">
        <v>1310</v>
      </c>
      <c r="O2215" s="48" t="s">
        <v>1311</v>
      </c>
      <c r="P2215" s="48" t="s">
        <v>1312</v>
      </c>
      <c r="Q2215" s="48" t="s">
        <v>31</v>
      </c>
      <c r="R2215" s="48" t="s">
        <v>31</v>
      </c>
      <c r="S2215" s="48" t="s">
        <v>31</v>
      </c>
      <c r="T2215" s="48" t="s">
        <v>31</v>
      </c>
      <c r="U2215" s="46" t="s">
        <v>1154</v>
      </c>
    </row>
    <row r="2216" spans="1:21">
      <c r="A2216" s="48" t="s">
        <v>1189</v>
      </c>
      <c r="B2216" s="48" t="s">
        <v>203</v>
      </c>
      <c r="C2216" s="48" t="s">
        <v>666</v>
      </c>
      <c r="D2216" s="48">
        <v>1</v>
      </c>
      <c r="E2216" s="48">
        <v>0</v>
      </c>
      <c r="F2216" t="s">
        <v>735</v>
      </c>
      <c r="G2216" s="48" t="s">
        <v>1305</v>
      </c>
      <c r="H2216" s="48" t="s">
        <v>2454</v>
      </c>
      <c r="I2216" s="48" t="s">
        <v>2454</v>
      </c>
      <c r="J2216" s="48" t="s">
        <v>6211</v>
      </c>
      <c r="K2216" s="48" t="s">
        <v>1323</v>
      </c>
      <c r="L2216" s="48" t="s">
        <v>6212</v>
      </c>
      <c r="M2216" s="48" t="s">
        <v>4432</v>
      </c>
      <c r="N2216" s="48" t="s">
        <v>1310</v>
      </c>
      <c r="O2216" s="48" t="s">
        <v>1311</v>
      </c>
      <c r="P2216" s="48" t="s">
        <v>1312</v>
      </c>
      <c r="Q2216" s="48" t="s">
        <v>31</v>
      </c>
      <c r="R2216" s="48" t="s">
        <v>31</v>
      </c>
      <c r="S2216" s="48" t="s">
        <v>31</v>
      </c>
      <c r="T2216" s="48" t="s">
        <v>31</v>
      </c>
      <c r="U2216" s="46" t="s">
        <v>1154</v>
      </c>
    </row>
    <row r="2217" spans="1:21">
      <c r="A2217" s="48" t="s">
        <v>1189</v>
      </c>
      <c r="B2217" s="48" t="s">
        <v>203</v>
      </c>
      <c r="C2217" s="48" t="s">
        <v>666</v>
      </c>
      <c r="D2217" s="48">
        <v>1</v>
      </c>
      <c r="E2217" s="48">
        <v>0</v>
      </c>
      <c r="F2217" t="s">
        <v>735</v>
      </c>
      <c r="G2217" s="48" t="s">
        <v>1305</v>
      </c>
      <c r="H2217" s="48" t="s">
        <v>2460</v>
      </c>
      <c r="I2217" s="48" t="s">
        <v>2460</v>
      </c>
      <c r="J2217" s="48" t="s">
        <v>6213</v>
      </c>
      <c r="K2217" s="48" t="s">
        <v>1332</v>
      </c>
      <c r="L2217" s="48" t="s">
        <v>6214</v>
      </c>
      <c r="M2217" s="48" t="s">
        <v>4432</v>
      </c>
      <c r="N2217" s="48" t="s">
        <v>1310</v>
      </c>
      <c r="O2217" s="48" t="s">
        <v>1311</v>
      </c>
      <c r="P2217" s="48" t="s">
        <v>1312</v>
      </c>
      <c r="Q2217" s="48" t="s">
        <v>31</v>
      </c>
      <c r="R2217" s="48" t="s">
        <v>31</v>
      </c>
      <c r="S2217" s="48" t="s">
        <v>31</v>
      </c>
      <c r="T2217" s="48" t="s">
        <v>31</v>
      </c>
      <c r="U2217" s="46" t="s">
        <v>1154</v>
      </c>
    </row>
    <row r="2218" spans="1:21">
      <c r="A2218" s="48" t="s">
        <v>1199</v>
      </c>
      <c r="B2218" s="48" t="s">
        <v>205</v>
      </c>
      <c r="C2218" s="48" t="s">
        <v>666</v>
      </c>
      <c r="D2218" s="48">
        <v>1</v>
      </c>
      <c r="E2218" s="48">
        <v>0</v>
      </c>
      <c r="F2218" t="s">
        <v>718</v>
      </c>
      <c r="G2218" s="48" t="s">
        <v>1305</v>
      </c>
      <c r="H2218" s="48" t="s">
        <v>6215</v>
      </c>
      <c r="I2218" s="48" t="s">
        <v>6215</v>
      </c>
      <c r="J2218" s="48" t="s">
        <v>6216</v>
      </c>
      <c r="K2218" s="48" t="s">
        <v>1314</v>
      </c>
      <c r="L2218" s="48" t="s">
        <v>6217</v>
      </c>
      <c r="M2218" s="48" t="s">
        <v>4432</v>
      </c>
      <c r="N2218" s="48" t="s">
        <v>1310</v>
      </c>
      <c r="O2218" s="48" t="s">
        <v>1311</v>
      </c>
      <c r="P2218" s="48" t="s">
        <v>1312</v>
      </c>
      <c r="Q2218" s="48" t="s">
        <v>31</v>
      </c>
      <c r="R2218" s="48" t="s">
        <v>31</v>
      </c>
      <c r="S2218" s="48" t="s">
        <v>31</v>
      </c>
      <c r="T2218" s="48" t="s">
        <v>31</v>
      </c>
      <c r="U2218" s="46" t="s">
        <v>1154</v>
      </c>
    </row>
    <row r="2219" spans="1:21">
      <c r="A2219" s="48" t="s">
        <v>1199</v>
      </c>
      <c r="B2219" s="48" t="s">
        <v>205</v>
      </c>
      <c r="C2219" s="48" t="s">
        <v>666</v>
      </c>
      <c r="D2219" s="48">
        <v>1</v>
      </c>
      <c r="E2219" s="48">
        <v>0</v>
      </c>
      <c r="F2219" t="s">
        <v>718</v>
      </c>
      <c r="G2219" s="48" t="s">
        <v>1305</v>
      </c>
      <c r="H2219" s="48" t="s">
        <v>6218</v>
      </c>
      <c r="I2219" s="48" t="s">
        <v>6218</v>
      </c>
      <c r="J2219" s="48" t="s">
        <v>6219</v>
      </c>
      <c r="K2219" s="48" t="s">
        <v>1332</v>
      </c>
      <c r="L2219" s="48" t="s">
        <v>6220</v>
      </c>
      <c r="M2219" s="48" t="s">
        <v>4432</v>
      </c>
      <c r="N2219" s="48" t="s">
        <v>1310</v>
      </c>
      <c r="O2219" s="48" t="s">
        <v>1311</v>
      </c>
      <c r="P2219" s="48" t="s">
        <v>1312</v>
      </c>
      <c r="Q2219" s="48" t="s">
        <v>31</v>
      </c>
      <c r="R2219" s="48" t="s">
        <v>31</v>
      </c>
      <c r="S2219" s="48" t="s">
        <v>31</v>
      </c>
      <c r="T2219" s="48" t="s">
        <v>31</v>
      </c>
      <c r="U2219" s="46" t="s">
        <v>1154</v>
      </c>
    </row>
    <row r="2220" spans="1:21">
      <c r="A2220" s="48" t="s">
        <v>1199</v>
      </c>
      <c r="B2220" s="48" t="s">
        <v>205</v>
      </c>
      <c r="C2220" s="48" t="s">
        <v>666</v>
      </c>
      <c r="D2220" s="48">
        <v>1</v>
      </c>
      <c r="E2220" s="48">
        <v>0</v>
      </c>
      <c r="F2220" t="s">
        <v>718</v>
      </c>
      <c r="G2220" s="48" t="s">
        <v>1305</v>
      </c>
      <c r="H2220" s="48" t="s">
        <v>6221</v>
      </c>
      <c r="I2220" s="48" t="s">
        <v>6221</v>
      </c>
      <c r="J2220" s="48" t="s">
        <v>6222</v>
      </c>
      <c r="K2220" s="48" t="s">
        <v>1307</v>
      </c>
      <c r="L2220" s="48" t="s">
        <v>6223</v>
      </c>
      <c r="M2220" s="48" t="s">
        <v>4432</v>
      </c>
      <c r="N2220" s="48" t="s">
        <v>1310</v>
      </c>
      <c r="O2220" s="48" t="s">
        <v>1311</v>
      </c>
      <c r="P2220" s="48" t="s">
        <v>1312</v>
      </c>
      <c r="Q2220" s="48" t="s">
        <v>31</v>
      </c>
      <c r="R2220" s="48" t="s">
        <v>31</v>
      </c>
      <c r="S2220" s="48" t="s">
        <v>31</v>
      </c>
      <c r="T2220" s="48" t="s">
        <v>31</v>
      </c>
      <c r="U2220" s="46" t="s">
        <v>1154</v>
      </c>
    </row>
    <row r="2221" spans="1:21">
      <c r="A2221" s="48" t="s">
        <v>1199</v>
      </c>
      <c r="B2221" s="48" t="s">
        <v>205</v>
      </c>
      <c r="C2221" s="48" t="s">
        <v>666</v>
      </c>
      <c r="D2221" s="48">
        <v>1</v>
      </c>
      <c r="E2221" s="48">
        <v>0</v>
      </c>
      <c r="F2221" t="s">
        <v>718</v>
      </c>
      <c r="G2221" s="48" t="s">
        <v>1305</v>
      </c>
      <c r="H2221" s="48" t="s">
        <v>6224</v>
      </c>
      <c r="I2221" s="48" t="s">
        <v>6224</v>
      </c>
      <c r="J2221" s="48" t="s">
        <v>6225</v>
      </c>
      <c r="K2221" s="48" t="s">
        <v>1323</v>
      </c>
      <c r="L2221" s="48" t="s">
        <v>6226</v>
      </c>
      <c r="M2221" s="48" t="s">
        <v>4432</v>
      </c>
      <c r="N2221" s="48" t="s">
        <v>1310</v>
      </c>
      <c r="O2221" s="48" t="s">
        <v>1311</v>
      </c>
      <c r="P2221" s="48" t="s">
        <v>1312</v>
      </c>
      <c r="Q2221" s="48" t="s">
        <v>31</v>
      </c>
      <c r="R2221" s="48" t="s">
        <v>31</v>
      </c>
      <c r="S2221" s="48" t="s">
        <v>31</v>
      </c>
      <c r="T2221" s="48" t="s">
        <v>31</v>
      </c>
      <c r="U2221" s="46" t="s">
        <v>1154</v>
      </c>
    </row>
    <row r="2222" spans="1:21">
      <c r="A2222" s="48" t="s">
        <v>1199</v>
      </c>
      <c r="B2222" s="48" t="s">
        <v>205</v>
      </c>
      <c r="C2222" s="48" t="s">
        <v>666</v>
      </c>
      <c r="D2222" s="48">
        <v>1</v>
      </c>
      <c r="E2222" s="48">
        <v>0</v>
      </c>
      <c r="F2222" t="s">
        <v>718</v>
      </c>
      <c r="G2222" s="48" t="s">
        <v>1305</v>
      </c>
      <c r="H2222" s="48" t="s">
        <v>6227</v>
      </c>
      <c r="I2222" s="48" t="s">
        <v>6227</v>
      </c>
      <c r="J2222" s="48" t="s">
        <v>6228</v>
      </c>
      <c r="K2222" s="48" t="s">
        <v>1320</v>
      </c>
      <c r="L2222" s="48" t="s">
        <v>6229</v>
      </c>
      <c r="M2222" s="48" t="s">
        <v>4432</v>
      </c>
      <c r="N2222" s="48" t="s">
        <v>1310</v>
      </c>
      <c r="O2222" s="48" t="s">
        <v>1311</v>
      </c>
      <c r="P2222" s="48" t="s">
        <v>1312</v>
      </c>
      <c r="Q2222" s="48" t="s">
        <v>31</v>
      </c>
      <c r="R2222" s="48" t="s">
        <v>31</v>
      </c>
      <c r="S2222" s="48" t="s">
        <v>31</v>
      </c>
      <c r="T2222" s="48" t="s">
        <v>31</v>
      </c>
      <c r="U2222" s="46" t="s">
        <v>1154</v>
      </c>
    </row>
    <row r="2223" spans="1:21">
      <c r="A2223" s="48" t="s">
        <v>1199</v>
      </c>
      <c r="B2223" s="48" t="s">
        <v>205</v>
      </c>
      <c r="C2223" s="48" t="s">
        <v>666</v>
      </c>
      <c r="D2223" s="48">
        <v>1</v>
      </c>
      <c r="E2223" s="48">
        <v>0</v>
      </c>
      <c r="F2223" t="s">
        <v>718</v>
      </c>
      <c r="G2223" s="48" t="s">
        <v>1305</v>
      </c>
      <c r="H2223" s="48" t="s">
        <v>6230</v>
      </c>
      <c r="I2223" s="48" t="s">
        <v>6230</v>
      </c>
      <c r="J2223" s="48" t="s">
        <v>6231</v>
      </c>
      <c r="K2223" s="48" t="s">
        <v>1326</v>
      </c>
      <c r="L2223" s="49" t="s">
        <v>6232</v>
      </c>
      <c r="M2223" s="48" t="s">
        <v>4432</v>
      </c>
      <c r="N2223" s="48" t="s">
        <v>1310</v>
      </c>
      <c r="O2223" s="48" t="s">
        <v>1311</v>
      </c>
      <c r="P2223" s="48" t="s">
        <v>1312</v>
      </c>
      <c r="Q2223" s="48" t="s">
        <v>31</v>
      </c>
      <c r="R2223" s="48" t="s">
        <v>31</v>
      </c>
      <c r="S2223" s="48" t="s">
        <v>31</v>
      </c>
      <c r="T2223" s="48" t="s">
        <v>31</v>
      </c>
      <c r="U2223" s="46" t="s">
        <v>1154</v>
      </c>
    </row>
    <row r="2224" spans="1:21">
      <c r="A2224" s="48" t="s">
        <v>1199</v>
      </c>
      <c r="B2224" s="48" t="s">
        <v>205</v>
      </c>
      <c r="C2224" s="48" t="s">
        <v>666</v>
      </c>
      <c r="D2224" s="48">
        <v>1</v>
      </c>
      <c r="E2224" s="48">
        <v>0</v>
      </c>
      <c r="F2224" t="s">
        <v>718</v>
      </c>
      <c r="G2224" s="48" t="s">
        <v>1305</v>
      </c>
      <c r="H2224" s="48" t="s">
        <v>6233</v>
      </c>
      <c r="I2224" s="48" t="s">
        <v>6233</v>
      </c>
      <c r="J2224" s="48" t="s">
        <v>6234</v>
      </c>
      <c r="K2224" s="48" t="s">
        <v>1329</v>
      </c>
      <c r="L2224" s="48" t="s">
        <v>6235</v>
      </c>
      <c r="M2224" s="48" t="s">
        <v>4432</v>
      </c>
      <c r="N2224" s="48" t="s">
        <v>1310</v>
      </c>
      <c r="O2224" s="48" t="s">
        <v>1311</v>
      </c>
      <c r="P2224" s="48" t="s">
        <v>1312</v>
      </c>
      <c r="Q2224" s="48" t="s">
        <v>31</v>
      </c>
      <c r="R2224" s="48" t="s">
        <v>31</v>
      </c>
      <c r="S2224" s="48" t="s">
        <v>31</v>
      </c>
      <c r="T2224" s="48" t="s">
        <v>31</v>
      </c>
      <c r="U2224" s="46" t="s">
        <v>1154</v>
      </c>
    </row>
    <row r="2225" spans="1:21">
      <c r="A2225" s="48" t="s">
        <v>1199</v>
      </c>
      <c r="B2225" s="48" t="s">
        <v>205</v>
      </c>
      <c r="C2225" s="48" t="s">
        <v>666</v>
      </c>
      <c r="D2225" s="48">
        <v>1</v>
      </c>
      <c r="E2225" s="48">
        <v>0</v>
      </c>
      <c r="F2225" t="s">
        <v>718</v>
      </c>
      <c r="G2225" s="48" t="s">
        <v>1305</v>
      </c>
      <c r="H2225" s="48" t="s">
        <v>6236</v>
      </c>
      <c r="I2225" s="48" t="s">
        <v>6236</v>
      </c>
      <c r="J2225" s="48" t="s">
        <v>6237</v>
      </c>
      <c r="K2225" s="48" t="s">
        <v>1317</v>
      </c>
      <c r="L2225" s="48" t="s">
        <v>6238</v>
      </c>
      <c r="M2225" s="48" t="s">
        <v>4432</v>
      </c>
      <c r="N2225" s="48" t="s">
        <v>1310</v>
      </c>
      <c r="O2225" s="48" t="s">
        <v>1311</v>
      </c>
      <c r="P2225" s="48" t="s">
        <v>1312</v>
      </c>
      <c r="Q2225" s="48" t="s">
        <v>31</v>
      </c>
      <c r="R2225" s="48" t="s">
        <v>31</v>
      </c>
      <c r="S2225" s="48" t="s">
        <v>31</v>
      </c>
      <c r="T2225" s="48" t="s">
        <v>31</v>
      </c>
      <c r="U2225" s="46" t="s">
        <v>1154</v>
      </c>
    </row>
    <row r="2226" spans="1:21">
      <c r="A2226" s="48" t="s">
        <v>1219</v>
      </c>
      <c r="B2226" s="48" t="s">
        <v>207</v>
      </c>
      <c r="C2226" s="48" t="s">
        <v>666</v>
      </c>
      <c r="D2226" s="48">
        <v>1</v>
      </c>
      <c r="E2226" s="48">
        <v>0</v>
      </c>
      <c r="F2226" t="s">
        <v>735</v>
      </c>
      <c r="G2226" s="48" t="s">
        <v>1305</v>
      </c>
      <c r="H2226" s="48" t="s">
        <v>2484</v>
      </c>
      <c r="I2226" s="48" t="s">
        <v>2484</v>
      </c>
      <c r="J2226" s="48" t="s">
        <v>6239</v>
      </c>
      <c r="K2226" s="48" t="s">
        <v>1320</v>
      </c>
      <c r="L2226" s="48" t="s">
        <v>6240</v>
      </c>
      <c r="M2226" s="48" t="s">
        <v>4432</v>
      </c>
      <c r="N2226" s="48" t="s">
        <v>1310</v>
      </c>
      <c r="O2226" s="48" t="s">
        <v>1311</v>
      </c>
      <c r="P2226" s="48" t="s">
        <v>1312</v>
      </c>
      <c r="Q2226" s="48" t="s">
        <v>31</v>
      </c>
      <c r="R2226" s="48" t="s">
        <v>31</v>
      </c>
      <c r="S2226" s="48" t="s">
        <v>31</v>
      </c>
      <c r="T2226" s="48" t="s">
        <v>31</v>
      </c>
      <c r="U2226" s="46" t="s">
        <v>1154</v>
      </c>
    </row>
    <row r="2227" spans="1:21">
      <c r="A2227" s="48" t="s">
        <v>1219</v>
      </c>
      <c r="B2227" s="48" t="s">
        <v>207</v>
      </c>
      <c r="C2227" s="48" t="s">
        <v>666</v>
      </c>
      <c r="D2227" s="48">
        <v>1</v>
      </c>
      <c r="E2227" s="48">
        <v>0</v>
      </c>
      <c r="F2227" t="s">
        <v>735</v>
      </c>
      <c r="G2227" s="48" t="s">
        <v>1305</v>
      </c>
      <c r="H2227" s="48" t="s">
        <v>2482</v>
      </c>
      <c r="I2227" s="48" t="s">
        <v>2482</v>
      </c>
      <c r="J2227" s="48" t="s">
        <v>6241</v>
      </c>
      <c r="K2227" s="48" t="s">
        <v>1317</v>
      </c>
      <c r="L2227" s="48" t="s">
        <v>6242</v>
      </c>
      <c r="M2227" s="48" t="s">
        <v>4432</v>
      </c>
      <c r="N2227" s="48" t="s">
        <v>1310</v>
      </c>
      <c r="O2227" s="48" t="s">
        <v>1311</v>
      </c>
      <c r="P2227" s="48" t="s">
        <v>1312</v>
      </c>
      <c r="Q2227" s="48" t="s">
        <v>31</v>
      </c>
      <c r="R2227" s="48" t="s">
        <v>31</v>
      </c>
      <c r="S2227" s="48" t="s">
        <v>31</v>
      </c>
      <c r="T2227" s="48" t="s">
        <v>31</v>
      </c>
      <c r="U2227" s="46" t="s">
        <v>1154</v>
      </c>
    </row>
    <row r="2228" spans="1:21">
      <c r="A2228" s="48" t="s">
        <v>1219</v>
      </c>
      <c r="B2228" s="48" t="s">
        <v>207</v>
      </c>
      <c r="C2228" s="48" t="s">
        <v>666</v>
      </c>
      <c r="D2228" s="48">
        <v>1</v>
      </c>
      <c r="E2228" s="48">
        <v>0</v>
      </c>
      <c r="F2228" t="s">
        <v>735</v>
      </c>
      <c r="G2228" s="48" t="s">
        <v>1305</v>
      </c>
      <c r="H2228" s="48" t="s">
        <v>2480</v>
      </c>
      <c r="I2228" s="48" t="s">
        <v>2480</v>
      </c>
      <c r="J2228" s="48" t="s">
        <v>6243</v>
      </c>
      <c r="K2228" s="48" t="s">
        <v>1314</v>
      </c>
      <c r="L2228" s="48" t="s">
        <v>6244</v>
      </c>
      <c r="M2228" s="48" t="s">
        <v>4432</v>
      </c>
      <c r="N2228" s="48" t="s">
        <v>1310</v>
      </c>
      <c r="O2228" s="48" t="s">
        <v>1311</v>
      </c>
      <c r="P2228" s="48" t="s">
        <v>1312</v>
      </c>
      <c r="Q2228" s="48" t="s">
        <v>31</v>
      </c>
      <c r="R2228" s="48" t="s">
        <v>31</v>
      </c>
      <c r="S2228" s="48" t="s">
        <v>31</v>
      </c>
      <c r="T2228" s="48" t="s">
        <v>31</v>
      </c>
      <c r="U2228" s="46" t="s">
        <v>1154</v>
      </c>
    </row>
    <row r="2229" spans="1:21">
      <c r="A2229" s="48" t="s">
        <v>1219</v>
      </c>
      <c r="B2229" s="48" t="s">
        <v>207</v>
      </c>
      <c r="C2229" s="48" t="s">
        <v>666</v>
      </c>
      <c r="D2229" s="48">
        <v>1</v>
      </c>
      <c r="E2229" s="48">
        <v>0</v>
      </c>
      <c r="F2229" t="s">
        <v>735</v>
      </c>
      <c r="G2229" s="48" t="s">
        <v>1305</v>
      </c>
      <c r="H2229" s="48" t="s">
        <v>2490</v>
      </c>
      <c r="I2229" s="48" t="s">
        <v>2490</v>
      </c>
      <c r="J2229" s="48" t="s">
        <v>6245</v>
      </c>
      <c r="K2229" s="48" t="s">
        <v>1329</v>
      </c>
      <c r="L2229" s="48" t="s">
        <v>6246</v>
      </c>
      <c r="M2229" s="48" t="s">
        <v>4432</v>
      </c>
      <c r="N2229" s="48" t="s">
        <v>1310</v>
      </c>
      <c r="O2229" s="48" t="s">
        <v>1311</v>
      </c>
      <c r="P2229" s="48" t="s">
        <v>1312</v>
      </c>
      <c r="Q2229" s="48" t="s">
        <v>31</v>
      </c>
      <c r="R2229" s="48" t="s">
        <v>31</v>
      </c>
      <c r="S2229" s="48" t="s">
        <v>31</v>
      </c>
      <c r="T2229" s="48" t="s">
        <v>31</v>
      </c>
      <c r="U2229" s="46" t="s">
        <v>1154</v>
      </c>
    </row>
    <row r="2230" spans="1:21">
      <c r="A2230" s="48" t="s">
        <v>1219</v>
      </c>
      <c r="B2230" s="48" t="s">
        <v>207</v>
      </c>
      <c r="C2230" s="48" t="s">
        <v>666</v>
      </c>
      <c r="D2230" s="48">
        <v>1</v>
      </c>
      <c r="E2230" s="48">
        <v>0</v>
      </c>
      <c r="F2230" t="s">
        <v>735</v>
      </c>
      <c r="G2230" s="48" t="s">
        <v>1305</v>
      </c>
      <c r="H2230" s="48" t="s">
        <v>2488</v>
      </c>
      <c r="I2230" s="48" t="s">
        <v>2488</v>
      </c>
      <c r="J2230" s="48" t="s">
        <v>6247</v>
      </c>
      <c r="K2230" s="48" t="s">
        <v>1326</v>
      </c>
      <c r="L2230" s="48" t="s">
        <v>6248</v>
      </c>
      <c r="M2230" s="48" t="s">
        <v>4432</v>
      </c>
      <c r="N2230" s="48" t="s">
        <v>1310</v>
      </c>
      <c r="O2230" s="48" t="s">
        <v>1311</v>
      </c>
      <c r="P2230" s="48" t="s">
        <v>1312</v>
      </c>
      <c r="Q2230" s="48" t="s">
        <v>31</v>
      </c>
      <c r="R2230" s="48" t="s">
        <v>31</v>
      </c>
      <c r="S2230" s="48" t="s">
        <v>31</v>
      </c>
      <c r="T2230" s="48" t="s">
        <v>31</v>
      </c>
      <c r="U2230" s="46" t="s">
        <v>1154</v>
      </c>
    </row>
    <row r="2231" spans="1:21">
      <c r="A2231" s="48" t="s">
        <v>1219</v>
      </c>
      <c r="B2231" s="48" t="s">
        <v>207</v>
      </c>
      <c r="C2231" s="48" t="s">
        <v>666</v>
      </c>
      <c r="D2231" s="48">
        <v>1</v>
      </c>
      <c r="E2231" s="48">
        <v>0</v>
      </c>
      <c r="F2231" t="s">
        <v>735</v>
      </c>
      <c r="G2231" s="48" t="s">
        <v>1305</v>
      </c>
      <c r="H2231" s="48" t="s">
        <v>2478</v>
      </c>
      <c r="I2231" s="48" t="s">
        <v>2478</v>
      </c>
      <c r="J2231" s="48" t="s">
        <v>6249</v>
      </c>
      <c r="K2231" s="48" t="s">
        <v>1307</v>
      </c>
      <c r="L2231" s="48" t="s">
        <v>6250</v>
      </c>
      <c r="M2231" s="48" t="s">
        <v>4432</v>
      </c>
      <c r="N2231" s="48" t="s">
        <v>1310</v>
      </c>
      <c r="O2231" s="48" t="s">
        <v>1311</v>
      </c>
      <c r="P2231" s="48" t="s">
        <v>1312</v>
      </c>
      <c r="Q2231" s="48" t="s">
        <v>31</v>
      </c>
      <c r="R2231" s="48" t="s">
        <v>31</v>
      </c>
      <c r="S2231" s="48" t="s">
        <v>31</v>
      </c>
      <c r="T2231" s="48" t="s">
        <v>31</v>
      </c>
      <c r="U2231" s="46" t="s">
        <v>1154</v>
      </c>
    </row>
    <row r="2232" spans="1:21">
      <c r="A2232" s="48" t="s">
        <v>1219</v>
      </c>
      <c r="B2232" s="48" t="s">
        <v>207</v>
      </c>
      <c r="C2232" s="48" t="s">
        <v>666</v>
      </c>
      <c r="D2232" s="48">
        <v>1</v>
      </c>
      <c r="E2232" s="48">
        <v>0</v>
      </c>
      <c r="F2232" t="s">
        <v>735</v>
      </c>
      <c r="G2232" s="48" t="s">
        <v>1305</v>
      </c>
      <c r="H2232" s="48" t="s">
        <v>2492</v>
      </c>
      <c r="I2232" s="48" t="s">
        <v>2492</v>
      </c>
      <c r="J2232" s="48" t="s">
        <v>6251</v>
      </c>
      <c r="K2232" s="48" t="s">
        <v>1332</v>
      </c>
      <c r="L2232" s="48" t="s">
        <v>6252</v>
      </c>
      <c r="M2232" s="48" t="s">
        <v>4432</v>
      </c>
      <c r="N2232" s="48" t="s">
        <v>1310</v>
      </c>
      <c r="O2232" s="48" t="s">
        <v>1311</v>
      </c>
      <c r="P2232" s="48" t="s">
        <v>1312</v>
      </c>
      <c r="Q2232" s="48" t="s">
        <v>31</v>
      </c>
      <c r="R2232" s="48" t="s">
        <v>31</v>
      </c>
      <c r="S2232" s="48" t="s">
        <v>31</v>
      </c>
      <c r="T2232" s="48" t="s">
        <v>31</v>
      </c>
      <c r="U2232" s="46" t="s">
        <v>1154</v>
      </c>
    </row>
    <row r="2233" spans="1:21">
      <c r="A2233" s="48" t="s">
        <v>1219</v>
      </c>
      <c r="B2233" s="48" t="s">
        <v>207</v>
      </c>
      <c r="C2233" s="48" t="s">
        <v>666</v>
      </c>
      <c r="D2233" s="48">
        <v>1</v>
      </c>
      <c r="E2233" s="48">
        <v>0</v>
      </c>
      <c r="F2233" t="s">
        <v>735</v>
      </c>
      <c r="G2233" s="48" t="s">
        <v>1305</v>
      </c>
      <c r="H2233" s="48" t="s">
        <v>2486</v>
      </c>
      <c r="I2233" s="48" t="s">
        <v>2486</v>
      </c>
      <c r="J2233" s="48" t="s">
        <v>6253</v>
      </c>
      <c r="K2233" s="48" t="s">
        <v>1323</v>
      </c>
      <c r="L2233" s="48" t="s">
        <v>6254</v>
      </c>
      <c r="M2233" s="48" t="s">
        <v>4432</v>
      </c>
      <c r="N2233" s="48" t="s">
        <v>1310</v>
      </c>
      <c r="O2233" s="48" t="s">
        <v>1311</v>
      </c>
      <c r="P2233" s="48" t="s">
        <v>1312</v>
      </c>
      <c r="Q2233" s="48" t="s">
        <v>31</v>
      </c>
      <c r="R2233" s="48" t="s">
        <v>31</v>
      </c>
      <c r="S2233" s="48" t="s">
        <v>31</v>
      </c>
      <c r="T2233" s="48" t="s">
        <v>31</v>
      </c>
      <c r="U2233" s="46" t="s">
        <v>1154</v>
      </c>
    </row>
    <row r="2234" spans="1:21">
      <c r="A2234" s="48" t="s">
        <v>1231</v>
      </c>
      <c r="B2234" s="48" t="s">
        <v>209</v>
      </c>
      <c r="C2234" s="48" t="s">
        <v>666</v>
      </c>
      <c r="D2234" s="48">
        <v>1</v>
      </c>
      <c r="E2234" s="48">
        <v>0</v>
      </c>
      <c r="F2234" t="s">
        <v>781</v>
      </c>
      <c r="G2234" s="48" t="s">
        <v>1305</v>
      </c>
      <c r="H2234" s="48" t="s">
        <v>6255</v>
      </c>
      <c r="I2234" s="48" t="s">
        <v>6255</v>
      </c>
      <c r="J2234" s="48" t="s">
        <v>6256</v>
      </c>
      <c r="K2234" s="48" t="s">
        <v>1320</v>
      </c>
      <c r="L2234" s="48" t="s">
        <v>6257</v>
      </c>
      <c r="M2234" s="48" t="s">
        <v>4432</v>
      </c>
      <c r="N2234" s="48" t="s">
        <v>1310</v>
      </c>
      <c r="O2234" s="48" t="s">
        <v>1311</v>
      </c>
      <c r="P2234" s="48" t="s">
        <v>1312</v>
      </c>
      <c r="Q2234" s="48" t="s">
        <v>31</v>
      </c>
      <c r="R2234" s="48" t="s">
        <v>31</v>
      </c>
      <c r="S2234" s="48" t="s">
        <v>31</v>
      </c>
      <c r="T2234" s="48" t="s">
        <v>31</v>
      </c>
      <c r="U2234" s="46" t="s">
        <v>1154</v>
      </c>
    </row>
    <row r="2235" spans="1:21">
      <c r="A2235" s="48" t="s">
        <v>1231</v>
      </c>
      <c r="B2235" s="48" t="s">
        <v>209</v>
      </c>
      <c r="C2235" s="48" t="s">
        <v>666</v>
      </c>
      <c r="D2235" s="48">
        <v>1</v>
      </c>
      <c r="E2235" s="48">
        <v>0</v>
      </c>
      <c r="F2235" t="s">
        <v>781</v>
      </c>
      <c r="G2235" s="48" t="s">
        <v>1305</v>
      </c>
      <c r="H2235" s="48" t="s">
        <v>6258</v>
      </c>
      <c r="I2235" s="48" t="s">
        <v>6258</v>
      </c>
      <c r="J2235" s="48" t="s">
        <v>6259</v>
      </c>
      <c r="K2235" s="48" t="s">
        <v>1326</v>
      </c>
      <c r="L2235" s="48" t="s">
        <v>6260</v>
      </c>
      <c r="M2235" s="48" t="s">
        <v>4432</v>
      </c>
      <c r="N2235" s="48" t="s">
        <v>1310</v>
      </c>
      <c r="O2235" s="48" t="s">
        <v>1311</v>
      </c>
      <c r="P2235" s="48" t="s">
        <v>1312</v>
      </c>
      <c r="Q2235" s="48" t="s">
        <v>31</v>
      </c>
      <c r="R2235" s="48" t="s">
        <v>31</v>
      </c>
      <c r="S2235" s="48" t="s">
        <v>31</v>
      </c>
      <c r="T2235" s="48" t="s">
        <v>31</v>
      </c>
      <c r="U2235" s="46" t="s">
        <v>1154</v>
      </c>
    </row>
    <row r="2236" spans="1:21">
      <c r="A2236" s="48" t="s">
        <v>1231</v>
      </c>
      <c r="B2236" s="48" t="s">
        <v>209</v>
      </c>
      <c r="C2236" s="48" t="s">
        <v>666</v>
      </c>
      <c r="D2236" s="48">
        <v>1</v>
      </c>
      <c r="E2236" s="48">
        <v>0</v>
      </c>
      <c r="F2236" t="s">
        <v>781</v>
      </c>
      <c r="G2236" s="48" t="s">
        <v>1305</v>
      </c>
      <c r="H2236" s="48" t="s">
        <v>6261</v>
      </c>
      <c r="I2236" s="48" t="s">
        <v>6261</v>
      </c>
      <c r="J2236" s="48" t="s">
        <v>6262</v>
      </c>
      <c r="K2236" s="48" t="s">
        <v>1332</v>
      </c>
      <c r="L2236" s="48" t="s">
        <v>6263</v>
      </c>
      <c r="M2236" s="48" t="s">
        <v>4432</v>
      </c>
      <c r="N2236" s="48" t="s">
        <v>1310</v>
      </c>
      <c r="O2236" s="48" t="s">
        <v>1311</v>
      </c>
      <c r="P2236" s="48" t="s">
        <v>1312</v>
      </c>
      <c r="Q2236" s="48" t="s">
        <v>31</v>
      </c>
      <c r="R2236" s="48" t="s">
        <v>31</v>
      </c>
      <c r="S2236" s="48" t="s">
        <v>31</v>
      </c>
      <c r="T2236" s="48" t="s">
        <v>31</v>
      </c>
      <c r="U2236" s="46" t="s">
        <v>1154</v>
      </c>
    </row>
    <row r="2237" spans="1:21">
      <c r="A2237" s="48" t="s">
        <v>1231</v>
      </c>
      <c r="B2237" s="48" t="s">
        <v>209</v>
      </c>
      <c r="C2237" s="48" t="s">
        <v>666</v>
      </c>
      <c r="D2237" s="48">
        <v>1</v>
      </c>
      <c r="E2237" s="48">
        <v>0</v>
      </c>
      <c r="F2237" t="s">
        <v>781</v>
      </c>
      <c r="G2237" s="48" t="s">
        <v>1305</v>
      </c>
      <c r="H2237" s="48" t="s">
        <v>6264</v>
      </c>
      <c r="I2237" s="48" t="s">
        <v>6264</v>
      </c>
      <c r="J2237" s="48" t="s">
        <v>6265</v>
      </c>
      <c r="K2237" s="48" t="s">
        <v>1317</v>
      </c>
      <c r="L2237" s="48" t="s">
        <v>6266</v>
      </c>
      <c r="M2237" s="48" t="s">
        <v>4432</v>
      </c>
      <c r="N2237" s="48" t="s">
        <v>1310</v>
      </c>
      <c r="O2237" s="48" t="s">
        <v>1311</v>
      </c>
      <c r="P2237" s="48" t="s">
        <v>1312</v>
      </c>
      <c r="Q2237" s="48" t="s">
        <v>31</v>
      </c>
      <c r="R2237" s="48" t="s">
        <v>31</v>
      </c>
      <c r="S2237" s="48" t="s">
        <v>31</v>
      </c>
      <c r="T2237" s="48" t="s">
        <v>31</v>
      </c>
      <c r="U2237" s="46" t="s">
        <v>1154</v>
      </c>
    </row>
    <row r="2238" spans="1:21">
      <c r="A2238" s="48" t="s">
        <v>1231</v>
      </c>
      <c r="B2238" s="48" t="s">
        <v>209</v>
      </c>
      <c r="C2238" s="48" t="s">
        <v>666</v>
      </c>
      <c r="D2238" s="48">
        <v>1</v>
      </c>
      <c r="E2238" s="48">
        <v>0</v>
      </c>
      <c r="F2238" t="s">
        <v>781</v>
      </c>
      <c r="G2238" s="48" t="s">
        <v>1305</v>
      </c>
      <c r="H2238" s="48" t="s">
        <v>6267</v>
      </c>
      <c r="I2238" s="48" t="s">
        <v>6267</v>
      </c>
      <c r="J2238" s="48" t="s">
        <v>6268</v>
      </c>
      <c r="K2238" s="48" t="s">
        <v>1323</v>
      </c>
      <c r="L2238" s="48" t="s">
        <v>6269</v>
      </c>
      <c r="M2238" s="48" t="s">
        <v>4432</v>
      </c>
      <c r="N2238" s="48" t="s">
        <v>1310</v>
      </c>
      <c r="O2238" s="48" t="s">
        <v>1311</v>
      </c>
      <c r="P2238" s="48" t="s">
        <v>1312</v>
      </c>
      <c r="Q2238" s="48" t="s">
        <v>31</v>
      </c>
      <c r="R2238" s="48" t="s">
        <v>31</v>
      </c>
      <c r="S2238" s="48" t="s">
        <v>31</v>
      </c>
      <c r="T2238" s="48" t="s">
        <v>31</v>
      </c>
      <c r="U2238" s="46" t="s">
        <v>1154</v>
      </c>
    </row>
    <row r="2239" spans="1:21">
      <c r="A2239" s="48" t="s">
        <v>1231</v>
      </c>
      <c r="B2239" s="48" t="s">
        <v>209</v>
      </c>
      <c r="C2239" s="48" t="s">
        <v>666</v>
      </c>
      <c r="D2239" s="48">
        <v>1</v>
      </c>
      <c r="E2239" s="48">
        <v>0</v>
      </c>
      <c r="F2239" t="s">
        <v>781</v>
      </c>
      <c r="G2239" s="48" t="s">
        <v>1305</v>
      </c>
      <c r="H2239" s="48" t="s">
        <v>6270</v>
      </c>
      <c r="I2239" s="48" t="s">
        <v>6270</v>
      </c>
      <c r="J2239" s="48" t="s">
        <v>6271</v>
      </c>
      <c r="K2239" s="48" t="s">
        <v>1307</v>
      </c>
      <c r="L2239" s="48" t="s">
        <v>6272</v>
      </c>
      <c r="M2239" s="48" t="s">
        <v>4432</v>
      </c>
      <c r="N2239" s="48" t="s">
        <v>1310</v>
      </c>
      <c r="O2239" s="48" t="s">
        <v>1311</v>
      </c>
      <c r="P2239" s="48" t="s">
        <v>1312</v>
      </c>
      <c r="Q2239" s="48" t="s">
        <v>31</v>
      </c>
      <c r="R2239" s="48" t="s">
        <v>31</v>
      </c>
      <c r="S2239" s="48" t="s">
        <v>31</v>
      </c>
      <c r="T2239" s="48" t="s">
        <v>31</v>
      </c>
      <c r="U2239" s="46" t="s">
        <v>1154</v>
      </c>
    </row>
    <row r="2240" spans="1:21">
      <c r="A2240" s="48" t="s">
        <v>1231</v>
      </c>
      <c r="B2240" s="48" t="s">
        <v>209</v>
      </c>
      <c r="C2240" s="48" t="s">
        <v>666</v>
      </c>
      <c r="D2240" s="48">
        <v>1</v>
      </c>
      <c r="E2240" s="48">
        <v>0</v>
      </c>
      <c r="F2240" t="s">
        <v>781</v>
      </c>
      <c r="G2240" s="48" t="s">
        <v>1305</v>
      </c>
      <c r="H2240" s="48" t="s">
        <v>6273</v>
      </c>
      <c r="I2240" s="48" t="s">
        <v>6273</v>
      </c>
      <c r="J2240" s="48" t="s">
        <v>6274</v>
      </c>
      <c r="K2240" s="48" t="s">
        <v>1314</v>
      </c>
      <c r="L2240" s="48" t="s">
        <v>6275</v>
      </c>
      <c r="M2240" s="48" t="s">
        <v>4432</v>
      </c>
      <c r="N2240" s="48" t="s">
        <v>1310</v>
      </c>
      <c r="O2240" s="48" t="s">
        <v>1311</v>
      </c>
      <c r="P2240" s="48" t="s">
        <v>1312</v>
      </c>
      <c r="Q2240" s="48" t="s">
        <v>31</v>
      </c>
      <c r="R2240" s="48" t="s">
        <v>31</v>
      </c>
      <c r="S2240" s="48" t="s">
        <v>31</v>
      </c>
      <c r="T2240" s="48" t="s">
        <v>31</v>
      </c>
      <c r="U2240" s="46" t="s">
        <v>1154</v>
      </c>
    </row>
    <row r="2241" spans="1:21">
      <c r="A2241" s="48" t="s">
        <v>1231</v>
      </c>
      <c r="B2241" s="48" t="s">
        <v>209</v>
      </c>
      <c r="C2241" s="48" t="s">
        <v>666</v>
      </c>
      <c r="D2241" s="48">
        <v>1</v>
      </c>
      <c r="E2241" s="48">
        <v>0</v>
      </c>
      <c r="F2241" t="s">
        <v>781</v>
      </c>
      <c r="G2241" s="48" t="s">
        <v>1305</v>
      </c>
      <c r="H2241" s="48" t="s">
        <v>6276</v>
      </c>
      <c r="I2241" s="48" t="s">
        <v>6276</v>
      </c>
      <c r="J2241" s="48" t="s">
        <v>6277</v>
      </c>
      <c r="K2241" s="48" t="s">
        <v>1329</v>
      </c>
      <c r="L2241" s="48" t="s">
        <v>6278</v>
      </c>
      <c r="M2241" s="48" t="s">
        <v>4432</v>
      </c>
      <c r="N2241" s="48" t="s">
        <v>1310</v>
      </c>
      <c r="O2241" s="48" t="s">
        <v>1311</v>
      </c>
      <c r="P2241" s="48" t="s">
        <v>1312</v>
      </c>
      <c r="Q2241" s="48" t="s">
        <v>31</v>
      </c>
      <c r="R2241" s="48" t="s">
        <v>31</v>
      </c>
      <c r="S2241" s="48" t="s">
        <v>31</v>
      </c>
      <c r="T2241" s="48" t="s">
        <v>31</v>
      </c>
      <c r="U2241" s="46" t="s">
        <v>1154</v>
      </c>
    </row>
    <row r="2242" spans="1:21">
      <c r="A2242" s="48" t="s">
        <v>1234</v>
      </c>
      <c r="B2242" s="48" t="s">
        <v>211</v>
      </c>
      <c r="C2242" s="48" t="s">
        <v>666</v>
      </c>
      <c r="D2242" s="48">
        <v>1</v>
      </c>
      <c r="E2242" s="48">
        <v>0</v>
      </c>
      <c r="F2242" t="s">
        <v>735</v>
      </c>
      <c r="G2242" s="48" t="s">
        <v>1305</v>
      </c>
      <c r="H2242" s="48" t="s">
        <v>6279</v>
      </c>
      <c r="I2242" s="48" t="s">
        <v>6279</v>
      </c>
      <c r="J2242" s="48" t="s">
        <v>6280</v>
      </c>
      <c r="K2242" s="48" t="s">
        <v>1323</v>
      </c>
      <c r="L2242" s="48" t="s">
        <v>6281</v>
      </c>
      <c r="M2242" s="48" t="s">
        <v>4432</v>
      </c>
      <c r="N2242" s="48" t="s">
        <v>1310</v>
      </c>
      <c r="O2242" s="48" t="s">
        <v>1311</v>
      </c>
      <c r="P2242" s="48" t="s">
        <v>1312</v>
      </c>
      <c r="Q2242" s="48" t="s">
        <v>31</v>
      </c>
      <c r="R2242" s="48" t="s">
        <v>31</v>
      </c>
      <c r="S2242" s="48" t="s">
        <v>31</v>
      </c>
      <c r="T2242" s="48" t="s">
        <v>31</v>
      </c>
      <c r="U2242" s="46" t="s">
        <v>1154</v>
      </c>
    </row>
    <row r="2243" spans="1:21">
      <c r="A2243" s="48" t="s">
        <v>1234</v>
      </c>
      <c r="B2243" s="48" t="s">
        <v>211</v>
      </c>
      <c r="C2243" s="48" t="s">
        <v>666</v>
      </c>
      <c r="D2243" s="48">
        <v>1</v>
      </c>
      <c r="E2243" s="48">
        <v>0</v>
      </c>
      <c r="F2243" t="s">
        <v>735</v>
      </c>
      <c r="G2243" s="48" t="s">
        <v>1305</v>
      </c>
      <c r="H2243" s="48" t="s">
        <v>6282</v>
      </c>
      <c r="I2243" s="48" t="s">
        <v>6282</v>
      </c>
      <c r="J2243" s="48" t="s">
        <v>6283</v>
      </c>
      <c r="K2243" s="48" t="s">
        <v>1326</v>
      </c>
      <c r="L2243" s="48" t="s">
        <v>6284</v>
      </c>
      <c r="M2243" s="48" t="s">
        <v>4432</v>
      </c>
      <c r="N2243" s="48" t="s">
        <v>1310</v>
      </c>
      <c r="O2243" s="48" t="s">
        <v>1311</v>
      </c>
      <c r="P2243" s="48" t="s">
        <v>1312</v>
      </c>
      <c r="Q2243" s="48" t="s">
        <v>31</v>
      </c>
      <c r="R2243" s="48" t="s">
        <v>31</v>
      </c>
      <c r="S2243" s="48" t="s">
        <v>31</v>
      </c>
      <c r="T2243" s="48" t="s">
        <v>31</v>
      </c>
      <c r="U2243" s="46" t="s">
        <v>1154</v>
      </c>
    </row>
    <row r="2244" spans="1:21">
      <c r="A2244" s="48" t="s">
        <v>1234</v>
      </c>
      <c r="B2244" s="48" t="s">
        <v>211</v>
      </c>
      <c r="C2244" s="48" t="s">
        <v>666</v>
      </c>
      <c r="D2244" s="48">
        <v>1</v>
      </c>
      <c r="E2244" s="48">
        <v>0</v>
      </c>
      <c r="F2244" t="s">
        <v>735</v>
      </c>
      <c r="G2244" s="48" t="s">
        <v>1305</v>
      </c>
      <c r="H2244" s="48" t="s">
        <v>6285</v>
      </c>
      <c r="I2244" s="48" t="s">
        <v>6285</v>
      </c>
      <c r="J2244" s="48" t="s">
        <v>6286</v>
      </c>
      <c r="K2244" s="48" t="s">
        <v>1307</v>
      </c>
      <c r="L2244" s="48" t="s">
        <v>6287</v>
      </c>
      <c r="M2244" s="48" t="s">
        <v>4432</v>
      </c>
      <c r="N2244" s="48" t="s">
        <v>1310</v>
      </c>
      <c r="O2244" s="48" t="s">
        <v>1311</v>
      </c>
      <c r="P2244" s="48" t="s">
        <v>1312</v>
      </c>
      <c r="Q2244" s="48" t="s">
        <v>31</v>
      </c>
      <c r="R2244" s="48" t="s">
        <v>31</v>
      </c>
      <c r="S2244" s="48" t="s">
        <v>31</v>
      </c>
      <c r="T2244" s="48" t="s">
        <v>31</v>
      </c>
      <c r="U2244" s="46" t="s">
        <v>1154</v>
      </c>
    </row>
    <row r="2245" spans="1:21">
      <c r="A2245" s="48" t="s">
        <v>1234</v>
      </c>
      <c r="B2245" s="48" t="s">
        <v>211</v>
      </c>
      <c r="C2245" s="48" t="s">
        <v>666</v>
      </c>
      <c r="D2245" s="48">
        <v>1</v>
      </c>
      <c r="E2245" s="48">
        <v>0</v>
      </c>
      <c r="F2245" t="s">
        <v>735</v>
      </c>
      <c r="G2245" s="48" t="s">
        <v>1305</v>
      </c>
      <c r="H2245" s="48" t="s">
        <v>6288</v>
      </c>
      <c r="I2245" s="48" t="s">
        <v>6288</v>
      </c>
      <c r="J2245" s="48" t="s">
        <v>6289</v>
      </c>
      <c r="K2245" s="48" t="s">
        <v>1329</v>
      </c>
      <c r="L2245" s="48" t="s">
        <v>6290</v>
      </c>
      <c r="M2245" s="48" t="s">
        <v>4432</v>
      </c>
      <c r="N2245" s="48" t="s">
        <v>1310</v>
      </c>
      <c r="O2245" s="48" t="s">
        <v>1311</v>
      </c>
      <c r="P2245" s="48" t="s">
        <v>1312</v>
      </c>
      <c r="Q2245" s="48" t="s">
        <v>31</v>
      </c>
      <c r="R2245" s="48" t="s">
        <v>31</v>
      </c>
      <c r="S2245" s="48" t="s">
        <v>31</v>
      </c>
      <c r="T2245" s="48" t="s">
        <v>31</v>
      </c>
      <c r="U2245" s="46" t="s">
        <v>1154</v>
      </c>
    </row>
    <row r="2246" spans="1:21">
      <c r="A2246" s="48" t="s">
        <v>1234</v>
      </c>
      <c r="B2246" s="48" t="s">
        <v>211</v>
      </c>
      <c r="C2246" s="48" t="s">
        <v>666</v>
      </c>
      <c r="D2246" s="48">
        <v>1</v>
      </c>
      <c r="E2246" s="48">
        <v>0</v>
      </c>
      <c r="F2246" t="s">
        <v>735</v>
      </c>
      <c r="G2246" s="48" t="s">
        <v>1305</v>
      </c>
      <c r="H2246" s="48" t="s">
        <v>6291</v>
      </c>
      <c r="I2246" s="48" t="s">
        <v>6291</v>
      </c>
      <c r="J2246" s="48" t="s">
        <v>6292</v>
      </c>
      <c r="K2246" s="48" t="s">
        <v>1320</v>
      </c>
      <c r="L2246" s="48" t="s">
        <v>6293</v>
      </c>
      <c r="M2246" s="48" t="s">
        <v>4432</v>
      </c>
      <c r="N2246" s="48" t="s">
        <v>1310</v>
      </c>
      <c r="O2246" s="48" t="s">
        <v>1311</v>
      </c>
      <c r="P2246" s="48" t="s">
        <v>1312</v>
      </c>
      <c r="Q2246" s="48" t="s">
        <v>31</v>
      </c>
      <c r="R2246" s="48" t="s">
        <v>31</v>
      </c>
      <c r="S2246" s="48" t="s">
        <v>31</v>
      </c>
      <c r="T2246" s="48" t="s">
        <v>31</v>
      </c>
      <c r="U2246" s="46" t="s">
        <v>1154</v>
      </c>
    </row>
    <row r="2247" spans="1:21">
      <c r="A2247" s="48" t="s">
        <v>1234</v>
      </c>
      <c r="B2247" s="48" t="s">
        <v>211</v>
      </c>
      <c r="C2247" s="48" t="s">
        <v>666</v>
      </c>
      <c r="D2247" s="48">
        <v>1</v>
      </c>
      <c r="E2247" s="48">
        <v>0</v>
      </c>
      <c r="F2247" t="s">
        <v>735</v>
      </c>
      <c r="G2247" s="48" t="s">
        <v>1305</v>
      </c>
      <c r="H2247" s="48" t="s">
        <v>6294</v>
      </c>
      <c r="I2247" s="48" t="s">
        <v>6294</v>
      </c>
      <c r="J2247" s="48" t="s">
        <v>6295</v>
      </c>
      <c r="K2247" s="48" t="s">
        <v>1314</v>
      </c>
      <c r="L2247" s="48" t="s">
        <v>6296</v>
      </c>
      <c r="M2247" s="48" t="s">
        <v>4432</v>
      </c>
      <c r="N2247" s="48" t="s">
        <v>1310</v>
      </c>
      <c r="O2247" s="48" t="s">
        <v>1311</v>
      </c>
      <c r="P2247" s="48" t="s">
        <v>1312</v>
      </c>
      <c r="Q2247" s="48" t="s">
        <v>31</v>
      </c>
      <c r="R2247" s="48" t="s">
        <v>31</v>
      </c>
      <c r="S2247" s="48" t="s">
        <v>31</v>
      </c>
      <c r="T2247" s="48" t="s">
        <v>31</v>
      </c>
      <c r="U2247" s="46" t="s">
        <v>1154</v>
      </c>
    </row>
    <row r="2248" spans="1:21">
      <c r="A2248" s="48" t="s">
        <v>1234</v>
      </c>
      <c r="B2248" s="48" t="s">
        <v>211</v>
      </c>
      <c r="C2248" s="48" t="s">
        <v>666</v>
      </c>
      <c r="D2248" s="48">
        <v>1</v>
      </c>
      <c r="E2248" s="48">
        <v>0</v>
      </c>
      <c r="F2248" t="s">
        <v>735</v>
      </c>
      <c r="G2248" s="48" t="s">
        <v>1305</v>
      </c>
      <c r="H2248" s="48" t="s">
        <v>6297</v>
      </c>
      <c r="I2248" s="48" t="s">
        <v>6297</v>
      </c>
      <c r="J2248" s="48" t="s">
        <v>6298</v>
      </c>
      <c r="K2248" s="48" t="s">
        <v>1332</v>
      </c>
      <c r="L2248" s="48" t="s">
        <v>6299</v>
      </c>
      <c r="M2248" s="48" t="s">
        <v>4432</v>
      </c>
      <c r="N2248" s="48" t="s">
        <v>1310</v>
      </c>
      <c r="O2248" s="48" t="s">
        <v>1311</v>
      </c>
      <c r="P2248" s="48" t="s">
        <v>1312</v>
      </c>
      <c r="Q2248" s="48" t="s">
        <v>31</v>
      </c>
      <c r="R2248" s="48" t="s">
        <v>31</v>
      </c>
      <c r="S2248" s="48" t="s">
        <v>31</v>
      </c>
      <c r="T2248" s="48" t="s">
        <v>31</v>
      </c>
      <c r="U2248" s="46" t="s">
        <v>1154</v>
      </c>
    </row>
    <row r="2249" spans="1:21">
      <c r="A2249" s="48" t="s">
        <v>1234</v>
      </c>
      <c r="B2249" s="48" t="s">
        <v>211</v>
      </c>
      <c r="C2249" s="48" t="s">
        <v>666</v>
      </c>
      <c r="D2249" s="48">
        <v>1</v>
      </c>
      <c r="E2249" s="48">
        <v>0</v>
      </c>
      <c r="F2249" t="s">
        <v>735</v>
      </c>
      <c r="G2249" s="48" t="s">
        <v>1305</v>
      </c>
      <c r="H2249" s="48" t="s">
        <v>6300</v>
      </c>
      <c r="I2249" s="48" t="s">
        <v>6300</v>
      </c>
      <c r="J2249" s="48" t="s">
        <v>6301</v>
      </c>
      <c r="K2249" s="48" t="s">
        <v>1317</v>
      </c>
      <c r="L2249" s="48" t="s">
        <v>6302</v>
      </c>
      <c r="M2249" s="48" t="s">
        <v>4432</v>
      </c>
      <c r="N2249" s="48" t="s">
        <v>1310</v>
      </c>
      <c r="O2249" s="48" t="s">
        <v>1311</v>
      </c>
      <c r="P2249" s="48" t="s">
        <v>1312</v>
      </c>
      <c r="Q2249" s="48" t="s">
        <v>31</v>
      </c>
      <c r="R2249" s="48" t="s">
        <v>31</v>
      </c>
      <c r="S2249" s="48" t="s">
        <v>31</v>
      </c>
      <c r="T2249" s="48" t="s">
        <v>31</v>
      </c>
      <c r="U2249" s="46" t="s">
        <v>1154</v>
      </c>
    </row>
    <row r="2250" spans="1:21">
      <c r="A2250" s="48" t="s">
        <v>1221</v>
      </c>
      <c r="B2250" s="48" t="s">
        <v>213</v>
      </c>
      <c r="C2250" s="48" t="s">
        <v>666</v>
      </c>
      <c r="D2250" s="48">
        <v>1</v>
      </c>
      <c r="E2250" s="48">
        <v>0</v>
      </c>
      <c r="F2250" t="s">
        <v>723</v>
      </c>
      <c r="G2250" s="48" t="s">
        <v>1305</v>
      </c>
      <c r="H2250" s="48" t="s">
        <v>6303</v>
      </c>
      <c r="I2250" s="48" t="s">
        <v>6303</v>
      </c>
      <c r="J2250" s="48" t="s">
        <v>6304</v>
      </c>
      <c r="K2250" s="48" t="s">
        <v>1320</v>
      </c>
      <c r="L2250" s="48" t="s">
        <v>6305</v>
      </c>
      <c r="M2250" s="48" t="s">
        <v>4432</v>
      </c>
      <c r="N2250" s="48" t="s">
        <v>1310</v>
      </c>
      <c r="O2250" s="48" t="s">
        <v>1311</v>
      </c>
      <c r="P2250" s="48" t="s">
        <v>1312</v>
      </c>
      <c r="Q2250" s="48" t="s">
        <v>31</v>
      </c>
      <c r="R2250" s="48" t="s">
        <v>31</v>
      </c>
      <c r="S2250" s="48" t="s">
        <v>31</v>
      </c>
      <c r="T2250" s="48" t="s">
        <v>31</v>
      </c>
      <c r="U2250" s="46" t="s">
        <v>1154</v>
      </c>
    </row>
    <row r="2251" spans="1:21">
      <c r="A2251" s="48" t="s">
        <v>1221</v>
      </c>
      <c r="B2251" s="48" t="s">
        <v>213</v>
      </c>
      <c r="C2251" s="48" t="s">
        <v>666</v>
      </c>
      <c r="D2251" s="48">
        <v>1</v>
      </c>
      <c r="E2251" s="48">
        <v>0</v>
      </c>
      <c r="F2251" t="s">
        <v>723</v>
      </c>
      <c r="G2251" s="48" t="s">
        <v>1305</v>
      </c>
      <c r="H2251" s="48" t="s">
        <v>6306</v>
      </c>
      <c r="I2251" s="48" t="s">
        <v>6306</v>
      </c>
      <c r="J2251" s="48" t="s">
        <v>6307</v>
      </c>
      <c r="K2251" s="48" t="s">
        <v>1317</v>
      </c>
      <c r="L2251" s="48" t="s">
        <v>6308</v>
      </c>
      <c r="M2251" s="48" t="s">
        <v>4432</v>
      </c>
      <c r="N2251" s="48" t="s">
        <v>1310</v>
      </c>
      <c r="O2251" s="48" t="s">
        <v>1311</v>
      </c>
      <c r="P2251" s="48" t="s">
        <v>1312</v>
      </c>
      <c r="Q2251" s="48" t="s">
        <v>31</v>
      </c>
      <c r="R2251" s="48" t="s">
        <v>31</v>
      </c>
      <c r="S2251" s="48" t="s">
        <v>31</v>
      </c>
      <c r="T2251" s="48" t="s">
        <v>31</v>
      </c>
      <c r="U2251" s="46" t="s">
        <v>1154</v>
      </c>
    </row>
    <row r="2252" spans="1:21">
      <c r="A2252" s="48" t="s">
        <v>1221</v>
      </c>
      <c r="B2252" s="48" t="s">
        <v>213</v>
      </c>
      <c r="C2252" s="48" t="s">
        <v>666</v>
      </c>
      <c r="D2252" s="48">
        <v>1</v>
      </c>
      <c r="E2252" s="48">
        <v>0</v>
      </c>
      <c r="F2252" t="s">
        <v>723</v>
      </c>
      <c r="G2252" s="48" t="s">
        <v>1305</v>
      </c>
      <c r="H2252" s="48" t="s">
        <v>6309</v>
      </c>
      <c r="I2252" s="48" t="s">
        <v>6309</v>
      </c>
      <c r="J2252" s="48" t="s">
        <v>6310</v>
      </c>
      <c r="K2252" s="48" t="s">
        <v>1307</v>
      </c>
      <c r="L2252" s="48" t="s">
        <v>6311</v>
      </c>
      <c r="M2252" s="48" t="s">
        <v>4432</v>
      </c>
      <c r="N2252" s="48" t="s">
        <v>1310</v>
      </c>
      <c r="O2252" s="48" t="s">
        <v>1311</v>
      </c>
      <c r="P2252" s="48" t="s">
        <v>1312</v>
      </c>
      <c r="Q2252" s="48" t="s">
        <v>31</v>
      </c>
      <c r="R2252" s="48" t="s">
        <v>31</v>
      </c>
      <c r="S2252" s="48" t="s">
        <v>31</v>
      </c>
      <c r="T2252" s="48" t="s">
        <v>31</v>
      </c>
      <c r="U2252" s="46" t="s">
        <v>1154</v>
      </c>
    </row>
    <row r="2253" spans="1:21">
      <c r="A2253" s="48" t="s">
        <v>1221</v>
      </c>
      <c r="B2253" s="48" t="s">
        <v>213</v>
      </c>
      <c r="C2253" s="48" t="s">
        <v>666</v>
      </c>
      <c r="D2253" s="48">
        <v>1</v>
      </c>
      <c r="E2253" s="48">
        <v>0</v>
      </c>
      <c r="F2253" t="s">
        <v>723</v>
      </c>
      <c r="G2253" s="48" t="s">
        <v>1305</v>
      </c>
      <c r="H2253" s="48" t="s">
        <v>6312</v>
      </c>
      <c r="I2253" s="48" t="s">
        <v>6312</v>
      </c>
      <c r="J2253" s="48" t="s">
        <v>6313</v>
      </c>
      <c r="K2253" s="48" t="s">
        <v>1314</v>
      </c>
      <c r="L2253" s="48" t="s">
        <v>6314</v>
      </c>
      <c r="M2253" s="48" t="s">
        <v>4432</v>
      </c>
      <c r="N2253" s="48" t="s">
        <v>1310</v>
      </c>
      <c r="O2253" s="48" t="s">
        <v>1311</v>
      </c>
      <c r="P2253" s="48" t="s">
        <v>1312</v>
      </c>
      <c r="Q2253" s="48" t="s">
        <v>31</v>
      </c>
      <c r="R2253" s="48" t="s">
        <v>31</v>
      </c>
      <c r="S2253" s="48" t="s">
        <v>31</v>
      </c>
      <c r="T2253" s="48" t="s">
        <v>31</v>
      </c>
      <c r="U2253" s="46" t="s">
        <v>1154</v>
      </c>
    </row>
    <row r="2254" spans="1:21">
      <c r="A2254" s="48" t="s">
        <v>1221</v>
      </c>
      <c r="B2254" s="48" t="s">
        <v>213</v>
      </c>
      <c r="C2254" s="48" t="s">
        <v>666</v>
      </c>
      <c r="D2254" s="48">
        <v>1</v>
      </c>
      <c r="E2254" s="48">
        <v>0</v>
      </c>
      <c r="F2254" t="s">
        <v>723</v>
      </c>
      <c r="G2254" s="48" t="s">
        <v>1305</v>
      </c>
      <c r="H2254" s="48" t="s">
        <v>6315</v>
      </c>
      <c r="I2254" s="48" t="s">
        <v>6315</v>
      </c>
      <c r="J2254" s="48" t="s">
        <v>6316</v>
      </c>
      <c r="K2254" s="48" t="s">
        <v>1329</v>
      </c>
      <c r="L2254" s="48" t="s">
        <v>6317</v>
      </c>
      <c r="M2254" s="48" t="s">
        <v>4432</v>
      </c>
      <c r="N2254" s="48" t="s">
        <v>1310</v>
      </c>
      <c r="O2254" s="48" t="s">
        <v>1311</v>
      </c>
      <c r="P2254" s="48" t="s">
        <v>1312</v>
      </c>
      <c r="Q2254" s="48" t="s">
        <v>31</v>
      </c>
      <c r="R2254" s="48" t="s">
        <v>31</v>
      </c>
      <c r="S2254" s="48" t="s">
        <v>31</v>
      </c>
      <c r="T2254" s="48" t="s">
        <v>31</v>
      </c>
      <c r="U2254" s="46" t="s">
        <v>1154</v>
      </c>
    </row>
    <row r="2255" spans="1:21">
      <c r="A2255" s="48" t="s">
        <v>1221</v>
      </c>
      <c r="B2255" s="48" t="s">
        <v>213</v>
      </c>
      <c r="C2255" s="48" t="s">
        <v>666</v>
      </c>
      <c r="D2255" s="48">
        <v>1</v>
      </c>
      <c r="E2255" s="48">
        <v>0</v>
      </c>
      <c r="F2255" t="s">
        <v>723</v>
      </c>
      <c r="G2255" s="48" t="s">
        <v>1305</v>
      </c>
      <c r="H2255" s="48" t="s">
        <v>6318</v>
      </c>
      <c r="I2255" s="48" t="s">
        <v>6318</v>
      </c>
      <c r="J2255" s="48" t="s">
        <v>6319</v>
      </c>
      <c r="K2255" s="48" t="s">
        <v>1323</v>
      </c>
      <c r="L2255" s="48" t="s">
        <v>6320</v>
      </c>
      <c r="M2255" s="48" t="s">
        <v>4432</v>
      </c>
      <c r="N2255" s="48" t="s">
        <v>1310</v>
      </c>
      <c r="O2255" s="48" t="s">
        <v>1311</v>
      </c>
      <c r="P2255" s="48" t="s">
        <v>1312</v>
      </c>
      <c r="Q2255" s="48" t="s">
        <v>31</v>
      </c>
      <c r="R2255" s="48" t="s">
        <v>31</v>
      </c>
      <c r="S2255" s="48" t="s">
        <v>31</v>
      </c>
      <c r="T2255" s="48" t="s">
        <v>31</v>
      </c>
      <c r="U2255" s="46" t="s">
        <v>1154</v>
      </c>
    </row>
    <row r="2256" spans="1:21">
      <c r="A2256" s="48" t="s">
        <v>1221</v>
      </c>
      <c r="B2256" s="48" t="s">
        <v>213</v>
      </c>
      <c r="C2256" s="48" t="s">
        <v>666</v>
      </c>
      <c r="D2256" s="48">
        <v>1</v>
      </c>
      <c r="E2256" s="48">
        <v>0</v>
      </c>
      <c r="F2256" t="s">
        <v>723</v>
      </c>
      <c r="G2256" s="48" t="s">
        <v>1305</v>
      </c>
      <c r="H2256" s="48" t="s">
        <v>6321</v>
      </c>
      <c r="I2256" s="48" t="s">
        <v>6321</v>
      </c>
      <c r="J2256" s="48" t="s">
        <v>6322</v>
      </c>
      <c r="K2256" s="48" t="s">
        <v>1326</v>
      </c>
      <c r="L2256" s="48" t="s">
        <v>6323</v>
      </c>
      <c r="M2256" s="48" t="s">
        <v>4432</v>
      </c>
      <c r="N2256" s="48" t="s">
        <v>1310</v>
      </c>
      <c r="O2256" s="48" t="s">
        <v>1311</v>
      </c>
      <c r="P2256" s="48" t="s">
        <v>1312</v>
      </c>
      <c r="Q2256" s="48" t="s">
        <v>31</v>
      </c>
      <c r="R2256" s="48" t="s">
        <v>31</v>
      </c>
      <c r="S2256" s="48" t="s">
        <v>31</v>
      </c>
      <c r="T2256" s="48" t="s">
        <v>31</v>
      </c>
      <c r="U2256" s="46" t="s">
        <v>1154</v>
      </c>
    </row>
    <row r="2257" spans="1:21">
      <c r="A2257" s="48" t="s">
        <v>1221</v>
      </c>
      <c r="B2257" s="48" t="s">
        <v>213</v>
      </c>
      <c r="C2257" s="48" t="s">
        <v>666</v>
      </c>
      <c r="D2257" s="48">
        <v>1</v>
      </c>
      <c r="E2257" s="48">
        <v>0</v>
      </c>
      <c r="F2257" t="s">
        <v>723</v>
      </c>
      <c r="G2257" s="48" t="s">
        <v>1305</v>
      </c>
      <c r="H2257" s="48" t="s">
        <v>6324</v>
      </c>
      <c r="I2257" s="48" t="s">
        <v>6324</v>
      </c>
      <c r="J2257" s="48" t="s">
        <v>6325</v>
      </c>
      <c r="K2257" s="48" t="s">
        <v>1332</v>
      </c>
      <c r="L2257" s="48" t="s">
        <v>6326</v>
      </c>
      <c r="M2257" s="48" t="s">
        <v>4432</v>
      </c>
      <c r="N2257" s="48" t="s">
        <v>1310</v>
      </c>
      <c r="O2257" s="48" t="s">
        <v>1311</v>
      </c>
      <c r="P2257" s="48" t="s">
        <v>1312</v>
      </c>
      <c r="Q2257" s="48" t="s">
        <v>31</v>
      </c>
      <c r="R2257" s="48" t="s">
        <v>31</v>
      </c>
      <c r="S2257" s="48" t="s">
        <v>31</v>
      </c>
      <c r="T2257" s="48" t="s">
        <v>31</v>
      </c>
      <c r="U2257" s="46" t="s">
        <v>1154</v>
      </c>
    </row>
    <row r="2258" spans="1:21">
      <c r="A2258" s="48" t="s">
        <v>1253</v>
      </c>
      <c r="B2258" s="48" t="s">
        <v>215</v>
      </c>
      <c r="C2258" s="48" t="s">
        <v>666</v>
      </c>
      <c r="D2258" s="48">
        <v>1</v>
      </c>
      <c r="E2258" s="48">
        <v>0</v>
      </c>
      <c r="F2258" t="s">
        <v>679</v>
      </c>
      <c r="G2258" s="48" t="s">
        <v>1305</v>
      </c>
      <c r="H2258" s="48" t="s">
        <v>6327</v>
      </c>
      <c r="I2258" s="48" t="s">
        <v>6327</v>
      </c>
      <c r="J2258" s="48" t="s">
        <v>6328</v>
      </c>
      <c r="K2258" s="48" t="s">
        <v>1323</v>
      </c>
      <c r="L2258" s="48" t="s">
        <v>6329</v>
      </c>
      <c r="M2258" s="48" t="s">
        <v>4432</v>
      </c>
      <c r="N2258" s="48" t="s">
        <v>1310</v>
      </c>
      <c r="O2258" s="48" t="s">
        <v>1311</v>
      </c>
      <c r="P2258" s="48" t="s">
        <v>1312</v>
      </c>
      <c r="Q2258" s="48" t="s">
        <v>31</v>
      </c>
      <c r="R2258" s="48" t="s">
        <v>31</v>
      </c>
      <c r="S2258" s="48" t="s">
        <v>31</v>
      </c>
      <c r="T2258" s="48" t="s">
        <v>31</v>
      </c>
      <c r="U2258" s="46" t="s">
        <v>1154</v>
      </c>
    </row>
    <row r="2259" spans="1:21">
      <c r="A2259" s="48" t="s">
        <v>1253</v>
      </c>
      <c r="B2259" s="48" t="s">
        <v>215</v>
      </c>
      <c r="C2259" s="48" t="s">
        <v>666</v>
      </c>
      <c r="D2259" s="48">
        <v>1</v>
      </c>
      <c r="E2259" s="48">
        <v>0</v>
      </c>
      <c r="F2259" t="s">
        <v>679</v>
      </c>
      <c r="G2259" s="48" t="s">
        <v>1305</v>
      </c>
      <c r="H2259" s="48" t="s">
        <v>6330</v>
      </c>
      <c r="I2259" s="48" t="s">
        <v>6330</v>
      </c>
      <c r="J2259" s="48" t="s">
        <v>6331</v>
      </c>
      <c r="K2259" s="48" t="s">
        <v>1307</v>
      </c>
      <c r="L2259" s="48" t="s">
        <v>6332</v>
      </c>
      <c r="M2259" s="48" t="s">
        <v>4432</v>
      </c>
      <c r="N2259" s="48" t="s">
        <v>1310</v>
      </c>
      <c r="O2259" s="48" t="s">
        <v>1311</v>
      </c>
      <c r="P2259" s="48" t="s">
        <v>1312</v>
      </c>
      <c r="Q2259" s="48" t="s">
        <v>31</v>
      </c>
      <c r="R2259" s="48" t="s">
        <v>31</v>
      </c>
      <c r="S2259" s="48" t="s">
        <v>31</v>
      </c>
      <c r="T2259" s="48" t="s">
        <v>31</v>
      </c>
      <c r="U2259" s="46" t="s">
        <v>1154</v>
      </c>
    </row>
    <row r="2260" spans="1:21">
      <c r="A2260" s="48" t="s">
        <v>1253</v>
      </c>
      <c r="B2260" s="48" t="s">
        <v>215</v>
      </c>
      <c r="C2260" s="48" t="s">
        <v>666</v>
      </c>
      <c r="D2260" s="48">
        <v>1</v>
      </c>
      <c r="E2260" s="48">
        <v>0</v>
      </c>
      <c r="F2260" t="s">
        <v>679</v>
      </c>
      <c r="G2260" s="48" t="s">
        <v>1305</v>
      </c>
      <c r="H2260" s="48" t="s">
        <v>6333</v>
      </c>
      <c r="I2260" s="48" t="s">
        <v>6333</v>
      </c>
      <c r="J2260" s="48" t="s">
        <v>6334</v>
      </c>
      <c r="K2260" s="48" t="s">
        <v>1317</v>
      </c>
      <c r="L2260" s="48" t="s">
        <v>6335</v>
      </c>
      <c r="M2260" s="48" t="s">
        <v>4432</v>
      </c>
      <c r="N2260" s="48" t="s">
        <v>1310</v>
      </c>
      <c r="O2260" s="48" t="s">
        <v>1311</v>
      </c>
      <c r="P2260" s="48" t="s">
        <v>1312</v>
      </c>
      <c r="Q2260" s="48" t="s">
        <v>31</v>
      </c>
      <c r="R2260" s="48" t="s">
        <v>31</v>
      </c>
      <c r="S2260" s="48" t="s">
        <v>31</v>
      </c>
      <c r="T2260" s="48" t="s">
        <v>31</v>
      </c>
      <c r="U2260" s="46" t="s">
        <v>1154</v>
      </c>
    </row>
    <row r="2261" spans="1:21">
      <c r="A2261" s="48" t="s">
        <v>1253</v>
      </c>
      <c r="B2261" s="48" t="s">
        <v>215</v>
      </c>
      <c r="C2261" s="48" t="s">
        <v>666</v>
      </c>
      <c r="D2261" s="48">
        <v>1</v>
      </c>
      <c r="E2261" s="48">
        <v>0</v>
      </c>
      <c r="F2261" t="s">
        <v>679</v>
      </c>
      <c r="G2261" s="48" t="s">
        <v>1305</v>
      </c>
      <c r="H2261" s="48" t="s">
        <v>6336</v>
      </c>
      <c r="I2261" s="48" t="s">
        <v>6336</v>
      </c>
      <c r="J2261" s="48" t="s">
        <v>6337</v>
      </c>
      <c r="K2261" s="48" t="s">
        <v>1332</v>
      </c>
      <c r="L2261" s="48" t="s">
        <v>6338</v>
      </c>
      <c r="M2261" s="48" t="s">
        <v>4432</v>
      </c>
      <c r="N2261" s="48" t="s">
        <v>1310</v>
      </c>
      <c r="O2261" s="48" t="s">
        <v>1311</v>
      </c>
      <c r="P2261" s="48" t="s">
        <v>1312</v>
      </c>
      <c r="Q2261" s="48" t="s">
        <v>31</v>
      </c>
      <c r="R2261" s="48" t="s">
        <v>31</v>
      </c>
      <c r="S2261" s="48" t="s">
        <v>31</v>
      </c>
      <c r="T2261" s="48" t="s">
        <v>31</v>
      </c>
      <c r="U2261" s="46" t="s">
        <v>1154</v>
      </c>
    </row>
    <row r="2262" spans="1:21">
      <c r="A2262" s="48" t="s">
        <v>1253</v>
      </c>
      <c r="B2262" s="48" t="s">
        <v>215</v>
      </c>
      <c r="C2262" s="48" t="s">
        <v>666</v>
      </c>
      <c r="D2262" s="48">
        <v>1</v>
      </c>
      <c r="E2262" s="48">
        <v>0</v>
      </c>
      <c r="F2262" t="s">
        <v>679</v>
      </c>
      <c r="G2262" s="48" t="s">
        <v>1305</v>
      </c>
      <c r="H2262" s="48" t="s">
        <v>6339</v>
      </c>
      <c r="I2262" s="48" t="s">
        <v>6339</v>
      </c>
      <c r="J2262" s="48" t="s">
        <v>6340</v>
      </c>
      <c r="K2262" s="48" t="s">
        <v>1329</v>
      </c>
      <c r="L2262" s="48" t="s">
        <v>6341</v>
      </c>
      <c r="M2262" s="48" t="s">
        <v>4432</v>
      </c>
      <c r="N2262" s="48" t="s">
        <v>1310</v>
      </c>
      <c r="O2262" s="48" t="s">
        <v>1311</v>
      </c>
      <c r="P2262" s="48" t="s">
        <v>1312</v>
      </c>
      <c r="Q2262" s="48" t="s">
        <v>31</v>
      </c>
      <c r="R2262" s="48" t="s">
        <v>31</v>
      </c>
      <c r="S2262" s="48" t="s">
        <v>31</v>
      </c>
      <c r="T2262" s="48" t="s">
        <v>31</v>
      </c>
      <c r="U2262" s="46" t="s">
        <v>1154</v>
      </c>
    </row>
    <row r="2263" spans="1:21">
      <c r="A2263" s="48" t="s">
        <v>1253</v>
      </c>
      <c r="B2263" s="48" t="s">
        <v>215</v>
      </c>
      <c r="C2263" s="48" t="s">
        <v>666</v>
      </c>
      <c r="D2263" s="48">
        <v>1</v>
      </c>
      <c r="E2263" s="48">
        <v>0</v>
      </c>
      <c r="F2263" t="s">
        <v>679</v>
      </c>
      <c r="G2263" s="48" t="s">
        <v>1305</v>
      </c>
      <c r="H2263" s="48" t="s">
        <v>6342</v>
      </c>
      <c r="I2263" s="48" t="s">
        <v>6342</v>
      </c>
      <c r="J2263" s="48" t="s">
        <v>6343</v>
      </c>
      <c r="K2263" s="48" t="s">
        <v>1320</v>
      </c>
      <c r="L2263" s="48" t="s">
        <v>6344</v>
      </c>
      <c r="M2263" s="48" t="s">
        <v>4432</v>
      </c>
      <c r="N2263" s="48" t="s">
        <v>1310</v>
      </c>
      <c r="O2263" s="48" t="s">
        <v>1311</v>
      </c>
      <c r="P2263" s="48" t="s">
        <v>1312</v>
      </c>
      <c r="Q2263" s="48" t="s">
        <v>31</v>
      </c>
      <c r="R2263" s="48" t="s">
        <v>31</v>
      </c>
      <c r="S2263" s="48" t="s">
        <v>31</v>
      </c>
      <c r="T2263" s="48" t="s">
        <v>31</v>
      </c>
      <c r="U2263" s="46" t="s">
        <v>1154</v>
      </c>
    </row>
    <row r="2264" spans="1:21">
      <c r="A2264" s="48" t="s">
        <v>1253</v>
      </c>
      <c r="B2264" s="48" t="s">
        <v>215</v>
      </c>
      <c r="C2264" s="48" t="s">
        <v>666</v>
      </c>
      <c r="D2264" s="48">
        <v>1</v>
      </c>
      <c r="E2264" s="48">
        <v>0</v>
      </c>
      <c r="F2264" t="s">
        <v>679</v>
      </c>
      <c r="G2264" s="48" t="s">
        <v>1305</v>
      </c>
      <c r="H2264" s="48" t="s">
        <v>6345</v>
      </c>
      <c r="I2264" s="48" t="s">
        <v>6345</v>
      </c>
      <c r="J2264" s="48" t="s">
        <v>6346</v>
      </c>
      <c r="K2264" s="48" t="s">
        <v>1314</v>
      </c>
      <c r="L2264" s="48" t="s">
        <v>6347</v>
      </c>
      <c r="M2264" s="48" t="s">
        <v>4432</v>
      </c>
      <c r="N2264" s="48" t="s">
        <v>1310</v>
      </c>
      <c r="O2264" s="48" t="s">
        <v>1311</v>
      </c>
      <c r="P2264" s="48" t="s">
        <v>1312</v>
      </c>
      <c r="Q2264" s="48" t="s">
        <v>31</v>
      </c>
      <c r="R2264" s="48" t="s">
        <v>31</v>
      </c>
      <c r="S2264" s="48" t="s">
        <v>31</v>
      </c>
      <c r="T2264" s="48" t="s">
        <v>31</v>
      </c>
      <c r="U2264" s="46" t="s">
        <v>1154</v>
      </c>
    </row>
    <row r="2265" spans="1:21">
      <c r="A2265" s="48" t="s">
        <v>1253</v>
      </c>
      <c r="B2265" s="48" t="s">
        <v>215</v>
      </c>
      <c r="C2265" s="48" t="s">
        <v>666</v>
      </c>
      <c r="D2265" s="48">
        <v>1</v>
      </c>
      <c r="E2265" s="48">
        <v>0</v>
      </c>
      <c r="F2265" t="s">
        <v>679</v>
      </c>
      <c r="G2265" s="48" t="s">
        <v>1305</v>
      </c>
      <c r="H2265" s="48" t="s">
        <v>6348</v>
      </c>
      <c r="I2265" s="48" t="s">
        <v>6348</v>
      </c>
      <c r="J2265" s="48" t="s">
        <v>6349</v>
      </c>
      <c r="K2265" s="48" t="s">
        <v>1326</v>
      </c>
      <c r="L2265" s="48" t="s">
        <v>6350</v>
      </c>
      <c r="M2265" s="48" t="s">
        <v>4432</v>
      </c>
      <c r="N2265" s="48" t="s">
        <v>1310</v>
      </c>
      <c r="O2265" s="48" t="s">
        <v>1311</v>
      </c>
      <c r="P2265" s="48" t="s">
        <v>1312</v>
      </c>
      <c r="Q2265" s="48" t="s">
        <v>31</v>
      </c>
      <c r="R2265" s="48" t="s">
        <v>31</v>
      </c>
      <c r="S2265" s="48" t="s">
        <v>31</v>
      </c>
      <c r="T2265" s="48" t="s">
        <v>31</v>
      </c>
      <c r="U2265" s="46" t="s">
        <v>1154</v>
      </c>
    </row>
    <row r="2266" spans="1:21">
      <c r="A2266" s="48" t="s">
        <v>1252</v>
      </c>
      <c r="B2266" s="48" t="s">
        <v>217</v>
      </c>
      <c r="C2266" s="48" t="s">
        <v>666</v>
      </c>
      <c r="D2266" s="48">
        <v>1</v>
      </c>
      <c r="E2266" s="48">
        <v>0</v>
      </c>
      <c r="F2266" t="s">
        <v>694</v>
      </c>
      <c r="G2266" s="48" t="s">
        <v>1305</v>
      </c>
      <c r="H2266" s="48" t="s">
        <v>6351</v>
      </c>
      <c r="I2266" s="48" t="s">
        <v>6351</v>
      </c>
      <c r="J2266" s="48" t="s">
        <v>6352</v>
      </c>
      <c r="K2266" s="48" t="s">
        <v>1314</v>
      </c>
      <c r="L2266" s="48" t="s">
        <v>6353</v>
      </c>
      <c r="M2266" s="48" t="s">
        <v>4432</v>
      </c>
      <c r="N2266" s="48" t="s">
        <v>1310</v>
      </c>
      <c r="O2266" s="48" t="s">
        <v>1311</v>
      </c>
      <c r="P2266" s="48" t="s">
        <v>1312</v>
      </c>
      <c r="Q2266" s="48" t="s">
        <v>31</v>
      </c>
      <c r="R2266" s="48" t="s">
        <v>31</v>
      </c>
      <c r="S2266" s="48" t="s">
        <v>31</v>
      </c>
      <c r="T2266" s="48" t="s">
        <v>31</v>
      </c>
      <c r="U2266" s="46" t="s">
        <v>1154</v>
      </c>
    </row>
    <row r="2267" spans="1:21">
      <c r="A2267" s="48" t="s">
        <v>1252</v>
      </c>
      <c r="B2267" s="48" t="s">
        <v>217</v>
      </c>
      <c r="C2267" s="48" t="s">
        <v>666</v>
      </c>
      <c r="D2267" s="48">
        <v>1</v>
      </c>
      <c r="E2267" s="48">
        <v>0</v>
      </c>
      <c r="F2267" t="s">
        <v>694</v>
      </c>
      <c r="G2267" s="48" t="s">
        <v>1305</v>
      </c>
      <c r="H2267" s="48" t="s">
        <v>6354</v>
      </c>
      <c r="I2267" s="48" t="s">
        <v>6354</v>
      </c>
      <c r="J2267" s="48" t="s">
        <v>6355</v>
      </c>
      <c r="K2267" s="48" t="s">
        <v>1323</v>
      </c>
      <c r="L2267" s="48" t="s">
        <v>6356</v>
      </c>
      <c r="M2267" s="48" t="s">
        <v>4432</v>
      </c>
      <c r="N2267" s="48" t="s">
        <v>1310</v>
      </c>
      <c r="O2267" s="48" t="s">
        <v>1311</v>
      </c>
      <c r="P2267" s="48" t="s">
        <v>1312</v>
      </c>
      <c r="Q2267" s="48" t="s">
        <v>31</v>
      </c>
      <c r="R2267" s="48" t="s">
        <v>31</v>
      </c>
      <c r="S2267" s="48" t="s">
        <v>31</v>
      </c>
      <c r="T2267" s="48" t="s">
        <v>31</v>
      </c>
      <c r="U2267" s="46" t="s">
        <v>1154</v>
      </c>
    </row>
    <row r="2268" spans="1:21">
      <c r="A2268" s="48" t="s">
        <v>1252</v>
      </c>
      <c r="B2268" s="48" t="s">
        <v>217</v>
      </c>
      <c r="C2268" s="48" t="s">
        <v>666</v>
      </c>
      <c r="D2268" s="48">
        <v>1</v>
      </c>
      <c r="E2268" s="48">
        <v>0</v>
      </c>
      <c r="F2268" t="s">
        <v>694</v>
      </c>
      <c r="G2268" s="48" t="s">
        <v>1305</v>
      </c>
      <c r="H2268" s="48" t="s">
        <v>6357</v>
      </c>
      <c r="I2268" s="48" t="s">
        <v>6357</v>
      </c>
      <c r="J2268" s="48" t="s">
        <v>6358</v>
      </c>
      <c r="K2268" s="48" t="s">
        <v>1326</v>
      </c>
      <c r="L2268" s="48" t="s">
        <v>6359</v>
      </c>
      <c r="M2268" s="48" t="s">
        <v>4432</v>
      </c>
      <c r="N2268" s="48" t="s">
        <v>1310</v>
      </c>
      <c r="O2268" s="48" t="s">
        <v>1311</v>
      </c>
      <c r="P2268" s="48" t="s">
        <v>1312</v>
      </c>
      <c r="Q2268" s="48" t="s">
        <v>31</v>
      </c>
      <c r="R2268" s="48" t="s">
        <v>31</v>
      </c>
      <c r="S2268" s="48" t="s">
        <v>31</v>
      </c>
      <c r="T2268" s="48" t="s">
        <v>31</v>
      </c>
      <c r="U2268" s="46" t="s">
        <v>1154</v>
      </c>
    </row>
    <row r="2269" spans="1:21">
      <c r="A2269" s="48" t="s">
        <v>1252</v>
      </c>
      <c r="B2269" s="48" t="s">
        <v>217</v>
      </c>
      <c r="C2269" s="48" t="s">
        <v>666</v>
      </c>
      <c r="D2269" s="48">
        <v>1</v>
      </c>
      <c r="E2269" s="48">
        <v>0</v>
      </c>
      <c r="F2269" t="s">
        <v>694</v>
      </c>
      <c r="G2269" s="48" t="s">
        <v>1305</v>
      </c>
      <c r="H2269" s="48" t="s">
        <v>6360</v>
      </c>
      <c r="I2269" s="48" t="s">
        <v>6360</v>
      </c>
      <c r="J2269" s="48" t="s">
        <v>6361</v>
      </c>
      <c r="K2269" s="48" t="s">
        <v>1332</v>
      </c>
      <c r="L2269" s="48" t="s">
        <v>6362</v>
      </c>
      <c r="M2269" s="48" t="s">
        <v>4432</v>
      </c>
      <c r="N2269" s="48" t="s">
        <v>1310</v>
      </c>
      <c r="O2269" s="48" t="s">
        <v>1311</v>
      </c>
      <c r="P2269" s="48" t="s">
        <v>1312</v>
      </c>
      <c r="Q2269" s="48" t="s">
        <v>31</v>
      </c>
      <c r="R2269" s="48" t="s">
        <v>31</v>
      </c>
      <c r="S2269" s="48" t="s">
        <v>31</v>
      </c>
      <c r="T2269" s="48" t="s">
        <v>31</v>
      </c>
      <c r="U2269" s="46" t="s">
        <v>1154</v>
      </c>
    </row>
    <row r="2270" spans="1:21">
      <c r="A2270" s="48" t="s">
        <v>1252</v>
      </c>
      <c r="B2270" s="48" t="s">
        <v>217</v>
      </c>
      <c r="C2270" s="48" t="s">
        <v>666</v>
      </c>
      <c r="D2270" s="48">
        <v>1</v>
      </c>
      <c r="E2270" s="48">
        <v>0</v>
      </c>
      <c r="F2270" t="s">
        <v>694</v>
      </c>
      <c r="G2270" s="48" t="s">
        <v>1305</v>
      </c>
      <c r="H2270" s="48" t="s">
        <v>6363</v>
      </c>
      <c r="I2270" s="48" t="s">
        <v>6363</v>
      </c>
      <c r="J2270" s="48" t="s">
        <v>6364</v>
      </c>
      <c r="K2270" s="48" t="s">
        <v>1329</v>
      </c>
      <c r="L2270" s="48" t="s">
        <v>6365</v>
      </c>
      <c r="M2270" s="48" t="s">
        <v>4432</v>
      </c>
      <c r="N2270" s="48" t="s">
        <v>1310</v>
      </c>
      <c r="O2270" s="48" t="s">
        <v>1311</v>
      </c>
      <c r="P2270" s="48" t="s">
        <v>1312</v>
      </c>
      <c r="Q2270" s="48" t="s">
        <v>31</v>
      </c>
      <c r="R2270" s="48" t="s">
        <v>31</v>
      </c>
      <c r="S2270" s="48" t="s">
        <v>31</v>
      </c>
      <c r="T2270" s="48" t="s">
        <v>31</v>
      </c>
      <c r="U2270" s="46" t="s">
        <v>1154</v>
      </c>
    </row>
    <row r="2271" spans="1:21">
      <c r="A2271" s="48" t="s">
        <v>1252</v>
      </c>
      <c r="B2271" s="48" t="s">
        <v>217</v>
      </c>
      <c r="C2271" s="48" t="s">
        <v>666</v>
      </c>
      <c r="D2271" s="48">
        <v>1</v>
      </c>
      <c r="E2271" s="48">
        <v>0</v>
      </c>
      <c r="F2271" t="s">
        <v>694</v>
      </c>
      <c r="G2271" s="48" t="s">
        <v>1305</v>
      </c>
      <c r="H2271" s="48" t="s">
        <v>6366</v>
      </c>
      <c r="I2271" s="48" t="s">
        <v>6366</v>
      </c>
      <c r="J2271" s="48" t="s">
        <v>6367</v>
      </c>
      <c r="K2271" s="48" t="s">
        <v>1307</v>
      </c>
      <c r="L2271" s="48" t="s">
        <v>6368</v>
      </c>
      <c r="M2271" s="48" t="s">
        <v>4432</v>
      </c>
      <c r="N2271" s="48" t="s">
        <v>1310</v>
      </c>
      <c r="O2271" s="48" t="s">
        <v>1311</v>
      </c>
      <c r="P2271" s="48" t="s">
        <v>1312</v>
      </c>
      <c r="Q2271" s="48" t="s">
        <v>31</v>
      </c>
      <c r="R2271" s="48" t="s">
        <v>31</v>
      </c>
      <c r="S2271" s="48" t="s">
        <v>31</v>
      </c>
      <c r="T2271" s="48" t="s">
        <v>31</v>
      </c>
      <c r="U2271" s="46" t="s">
        <v>1154</v>
      </c>
    </row>
    <row r="2272" spans="1:21">
      <c r="A2272" s="48" t="s">
        <v>1252</v>
      </c>
      <c r="B2272" s="48" t="s">
        <v>217</v>
      </c>
      <c r="C2272" s="48" t="s">
        <v>666</v>
      </c>
      <c r="D2272" s="48">
        <v>1</v>
      </c>
      <c r="E2272" s="48">
        <v>0</v>
      </c>
      <c r="F2272" t="s">
        <v>694</v>
      </c>
      <c r="G2272" s="48" t="s">
        <v>1305</v>
      </c>
      <c r="H2272" s="48" t="s">
        <v>6369</v>
      </c>
      <c r="I2272" s="48" t="s">
        <v>6369</v>
      </c>
      <c r="J2272" s="48" t="s">
        <v>6370</v>
      </c>
      <c r="K2272" s="48" t="s">
        <v>1320</v>
      </c>
      <c r="L2272" s="48" t="s">
        <v>6371</v>
      </c>
      <c r="M2272" s="48" t="s">
        <v>4432</v>
      </c>
      <c r="N2272" s="48" t="s">
        <v>1310</v>
      </c>
      <c r="O2272" s="48" t="s">
        <v>1311</v>
      </c>
      <c r="P2272" s="48" t="s">
        <v>1312</v>
      </c>
      <c r="Q2272" s="48" t="s">
        <v>31</v>
      </c>
      <c r="R2272" s="48" t="s">
        <v>31</v>
      </c>
      <c r="S2272" s="48" t="s">
        <v>31</v>
      </c>
      <c r="T2272" s="48" t="s">
        <v>31</v>
      </c>
      <c r="U2272" s="46" t="s">
        <v>1154</v>
      </c>
    </row>
    <row r="2273" spans="1:21">
      <c r="A2273" s="48" t="s">
        <v>1252</v>
      </c>
      <c r="B2273" s="48" t="s">
        <v>217</v>
      </c>
      <c r="C2273" s="48" t="s">
        <v>666</v>
      </c>
      <c r="D2273" s="48">
        <v>1</v>
      </c>
      <c r="E2273" s="48">
        <v>0</v>
      </c>
      <c r="F2273" t="s">
        <v>694</v>
      </c>
      <c r="G2273" s="48" t="s">
        <v>1305</v>
      </c>
      <c r="H2273" s="48" t="s">
        <v>6372</v>
      </c>
      <c r="I2273" s="48" t="s">
        <v>6372</v>
      </c>
      <c r="J2273" s="48" t="s">
        <v>6373</v>
      </c>
      <c r="K2273" s="48" t="s">
        <v>1317</v>
      </c>
      <c r="L2273" s="48" t="s">
        <v>6374</v>
      </c>
      <c r="M2273" s="48" t="s">
        <v>4432</v>
      </c>
      <c r="N2273" s="48" t="s">
        <v>1310</v>
      </c>
      <c r="O2273" s="48" t="s">
        <v>1311</v>
      </c>
      <c r="P2273" s="48" t="s">
        <v>1312</v>
      </c>
      <c r="Q2273" s="48" t="s">
        <v>31</v>
      </c>
      <c r="R2273" s="48" t="s">
        <v>31</v>
      </c>
      <c r="S2273" s="48" t="s">
        <v>31</v>
      </c>
      <c r="T2273" s="48" t="s">
        <v>31</v>
      </c>
      <c r="U2273" s="46" t="s">
        <v>1154</v>
      </c>
    </row>
    <row r="2274" spans="1:21">
      <c r="A2274" s="48" t="s">
        <v>1176</v>
      </c>
      <c r="B2274" s="48" t="s">
        <v>219</v>
      </c>
      <c r="C2274" s="48" t="s">
        <v>666</v>
      </c>
      <c r="D2274" s="48">
        <v>1</v>
      </c>
      <c r="E2274" s="48">
        <v>0</v>
      </c>
      <c r="F2274" t="s">
        <v>725</v>
      </c>
      <c r="G2274" s="48" t="s">
        <v>1305</v>
      </c>
      <c r="H2274" s="48" t="s">
        <v>2356</v>
      </c>
      <c r="I2274" s="48" t="s">
        <v>2356</v>
      </c>
      <c r="J2274" s="48" t="s">
        <v>6375</v>
      </c>
      <c r="K2274" s="48" t="s">
        <v>1320</v>
      </c>
      <c r="L2274" s="48" t="s">
        <v>6376</v>
      </c>
      <c r="M2274" s="48" t="s">
        <v>4432</v>
      </c>
      <c r="N2274" s="48" t="s">
        <v>1310</v>
      </c>
      <c r="O2274" s="48" t="s">
        <v>1311</v>
      </c>
      <c r="P2274" s="48" t="s">
        <v>1312</v>
      </c>
      <c r="Q2274" s="48" t="s">
        <v>31</v>
      </c>
      <c r="R2274" s="48" t="s">
        <v>31</v>
      </c>
      <c r="S2274" s="48" t="s">
        <v>31</v>
      </c>
      <c r="T2274" s="48" t="s">
        <v>31</v>
      </c>
      <c r="U2274" s="46" t="s">
        <v>1154</v>
      </c>
    </row>
    <row r="2275" spans="1:21">
      <c r="A2275" s="48" t="s">
        <v>1176</v>
      </c>
      <c r="B2275" s="48" t="s">
        <v>219</v>
      </c>
      <c r="C2275" s="48" t="s">
        <v>666</v>
      </c>
      <c r="D2275" s="48">
        <v>1</v>
      </c>
      <c r="E2275" s="48">
        <v>0</v>
      </c>
      <c r="F2275" t="s">
        <v>725</v>
      </c>
      <c r="G2275" s="48" t="s">
        <v>1305</v>
      </c>
      <c r="H2275" s="48" t="s">
        <v>2350</v>
      </c>
      <c r="I2275" s="48" t="s">
        <v>2350</v>
      </c>
      <c r="J2275" s="48" t="s">
        <v>6377</v>
      </c>
      <c r="K2275" s="48" t="s">
        <v>1307</v>
      </c>
      <c r="L2275" s="48" t="s">
        <v>6378</v>
      </c>
      <c r="M2275" s="48" t="s">
        <v>4432</v>
      </c>
      <c r="N2275" s="48" t="s">
        <v>1310</v>
      </c>
      <c r="O2275" s="48" t="s">
        <v>1311</v>
      </c>
      <c r="P2275" s="48" t="s">
        <v>1312</v>
      </c>
      <c r="Q2275" s="48" t="s">
        <v>31</v>
      </c>
      <c r="R2275" s="48" t="s">
        <v>31</v>
      </c>
      <c r="S2275" s="48" t="s">
        <v>31</v>
      </c>
      <c r="T2275" s="48" t="s">
        <v>31</v>
      </c>
      <c r="U2275" s="46" t="s">
        <v>1154</v>
      </c>
    </row>
    <row r="2276" spans="1:21">
      <c r="A2276" s="48" t="s">
        <v>1176</v>
      </c>
      <c r="B2276" s="48" t="s">
        <v>219</v>
      </c>
      <c r="C2276" s="48" t="s">
        <v>666</v>
      </c>
      <c r="D2276" s="48">
        <v>1</v>
      </c>
      <c r="E2276" s="48">
        <v>0</v>
      </c>
      <c r="F2276" t="s">
        <v>725</v>
      </c>
      <c r="G2276" s="48" t="s">
        <v>1305</v>
      </c>
      <c r="H2276" s="48" t="s">
        <v>2360</v>
      </c>
      <c r="I2276" s="48" t="s">
        <v>2360</v>
      </c>
      <c r="J2276" s="48" t="s">
        <v>6379</v>
      </c>
      <c r="K2276" s="48" t="s">
        <v>1326</v>
      </c>
      <c r="L2276" s="48" t="s">
        <v>6380</v>
      </c>
      <c r="M2276" s="48" t="s">
        <v>4432</v>
      </c>
      <c r="N2276" s="48" t="s">
        <v>1310</v>
      </c>
      <c r="O2276" s="48" t="s">
        <v>1311</v>
      </c>
      <c r="P2276" s="48" t="s">
        <v>1312</v>
      </c>
      <c r="Q2276" s="48" t="s">
        <v>31</v>
      </c>
      <c r="R2276" s="48" t="s">
        <v>31</v>
      </c>
      <c r="S2276" s="48" t="s">
        <v>31</v>
      </c>
      <c r="T2276" s="48" t="s">
        <v>31</v>
      </c>
      <c r="U2276" s="46" t="s">
        <v>1154</v>
      </c>
    </row>
    <row r="2277" spans="1:21">
      <c r="A2277" s="48" t="s">
        <v>1176</v>
      </c>
      <c r="B2277" s="48" t="s">
        <v>219</v>
      </c>
      <c r="C2277" s="48" t="s">
        <v>666</v>
      </c>
      <c r="D2277" s="48">
        <v>1</v>
      </c>
      <c r="E2277" s="48">
        <v>0</v>
      </c>
      <c r="F2277" t="s">
        <v>725</v>
      </c>
      <c r="G2277" s="48" t="s">
        <v>1305</v>
      </c>
      <c r="H2277" s="48" t="s">
        <v>2352</v>
      </c>
      <c r="I2277" s="48" t="s">
        <v>2352</v>
      </c>
      <c r="J2277" s="48" t="s">
        <v>6381</v>
      </c>
      <c r="K2277" s="48" t="s">
        <v>1314</v>
      </c>
      <c r="L2277" s="48" t="s">
        <v>6382</v>
      </c>
      <c r="M2277" s="48" t="s">
        <v>4432</v>
      </c>
      <c r="N2277" s="48" t="s">
        <v>1310</v>
      </c>
      <c r="O2277" s="48" t="s">
        <v>1311</v>
      </c>
      <c r="P2277" s="48" t="s">
        <v>1312</v>
      </c>
      <c r="Q2277" s="48" t="s">
        <v>31</v>
      </c>
      <c r="R2277" s="48" t="s">
        <v>31</v>
      </c>
      <c r="S2277" s="48" t="s">
        <v>31</v>
      </c>
      <c r="T2277" s="48" t="s">
        <v>31</v>
      </c>
      <c r="U2277" s="46" t="s">
        <v>1154</v>
      </c>
    </row>
    <row r="2278" spans="1:21">
      <c r="A2278" s="48" t="s">
        <v>1176</v>
      </c>
      <c r="B2278" s="48" t="s">
        <v>219</v>
      </c>
      <c r="C2278" s="48" t="s">
        <v>666</v>
      </c>
      <c r="D2278" s="48">
        <v>1</v>
      </c>
      <c r="E2278" s="48">
        <v>0</v>
      </c>
      <c r="F2278" t="s">
        <v>725</v>
      </c>
      <c r="G2278" s="48" t="s">
        <v>1305</v>
      </c>
      <c r="H2278" s="48" t="s">
        <v>2354</v>
      </c>
      <c r="I2278" s="48" t="s">
        <v>2354</v>
      </c>
      <c r="J2278" s="48" t="s">
        <v>6383</v>
      </c>
      <c r="K2278" s="48" t="s">
        <v>1317</v>
      </c>
      <c r="L2278" s="48" t="s">
        <v>6384</v>
      </c>
      <c r="M2278" s="48" t="s">
        <v>4432</v>
      </c>
      <c r="N2278" s="48" t="s">
        <v>1310</v>
      </c>
      <c r="O2278" s="48" t="s">
        <v>1311</v>
      </c>
      <c r="P2278" s="48" t="s">
        <v>1312</v>
      </c>
      <c r="Q2278" s="48" t="s">
        <v>31</v>
      </c>
      <c r="R2278" s="48" t="s">
        <v>31</v>
      </c>
      <c r="S2278" s="48" t="s">
        <v>31</v>
      </c>
      <c r="T2278" s="48" t="s">
        <v>31</v>
      </c>
      <c r="U2278" s="46" t="s">
        <v>1154</v>
      </c>
    </row>
    <row r="2279" spans="1:21">
      <c r="A2279" s="48" t="s">
        <v>1176</v>
      </c>
      <c r="B2279" s="48" t="s">
        <v>219</v>
      </c>
      <c r="C2279" s="48" t="s">
        <v>666</v>
      </c>
      <c r="D2279" s="48">
        <v>1</v>
      </c>
      <c r="E2279" s="48">
        <v>0</v>
      </c>
      <c r="F2279" t="s">
        <v>725</v>
      </c>
      <c r="G2279" s="48" t="s">
        <v>1305</v>
      </c>
      <c r="H2279" s="48" t="s">
        <v>2362</v>
      </c>
      <c r="I2279" s="48" t="s">
        <v>2362</v>
      </c>
      <c r="J2279" s="48" t="s">
        <v>6385</v>
      </c>
      <c r="K2279" s="48" t="s">
        <v>1329</v>
      </c>
      <c r="L2279" s="48" t="s">
        <v>6386</v>
      </c>
      <c r="M2279" s="48" t="s">
        <v>4432</v>
      </c>
      <c r="N2279" s="48" t="s">
        <v>1310</v>
      </c>
      <c r="O2279" s="48" t="s">
        <v>1311</v>
      </c>
      <c r="P2279" s="48" t="s">
        <v>1312</v>
      </c>
      <c r="Q2279" s="48" t="s">
        <v>31</v>
      </c>
      <c r="R2279" s="48" t="s">
        <v>31</v>
      </c>
      <c r="S2279" s="48" t="s">
        <v>31</v>
      </c>
      <c r="T2279" s="48" t="s">
        <v>31</v>
      </c>
      <c r="U2279" s="46" t="s">
        <v>1154</v>
      </c>
    </row>
    <row r="2280" spans="1:21">
      <c r="A2280" s="48" t="s">
        <v>1176</v>
      </c>
      <c r="B2280" s="48" t="s">
        <v>219</v>
      </c>
      <c r="C2280" s="48" t="s">
        <v>666</v>
      </c>
      <c r="D2280" s="48">
        <v>1</v>
      </c>
      <c r="E2280" s="48">
        <v>0</v>
      </c>
      <c r="F2280" t="s">
        <v>725</v>
      </c>
      <c r="G2280" s="48" t="s">
        <v>1305</v>
      </c>
      <c r="H2280" s="48" t="s">
        <v>2364</v>
      </c>
      <c r="I2280" s="48" t="s">
        <v>2364</v>
      </c>
      <c r="J2280" s="48" t="s">
        <v>6387</v>
      </c>
      <c r="K2280" s="48" t="s">
        <v>1332</v>
      </c>
      <c r="L2280" s="48" t="s">
        <v>6388</v>
      </c>
      <c r="M2280" s="48" t="s">
        <v>4432</v>
      </c>
      <c r="N2280" s="48" t="s">
        <v>1310</v>
      </c>
      <c r="O2280" s="48" t="s">
        <v>1311</v>
      </c>
      <c r="P2280" s="48" t="s">
        <v>1312</v>
      </c>
      <c r="Q2280" s="48" t="s">
        <v>31</v>
      </c>
      <c r="R2280" s="48" t="s">
        <v>31</v>
      </c>
      <c r="S2280" s="48" t="s">
        <v>31</v>
      </c>
      <c r="T2280" s="48" t="s">
        <v>31</v>
      </c>
      <c r="U2280" s="46" t="s">
        <v>1154</v>
      </c>
    </row>
    <row r="2281" spans="1:21">
      <c r="A2281" s="48" t="s">
        <v>1176</v>
      </c>
      <c r="B2281" s="48" t="s">
        <v>219</v>
      </c>
      <c r="C2281" s="48" t="s">
        <v>666</v>
      </c>
      <c r="D2281" s="48">
        <v>1</v>
      </c>
      <c r="E2281" s="48">
        <v>0</v>
      </c>
      <c r="F2281" t="s">
        <v>725</v>
      </c>
      <c r="G2281" s="48" t="s">
        <v>1305</v>
      </c>
      <c r="H2281" s="48" t="s">
        <v>2358</v>
      </c>
      <c r="I2281" s="48" t="s">
        <v>2358</v>
      </c>
      <c r="J2281" s="48" t="s">
        <v>6389</v>
      </c>
      <c r="K2281" s="48" t="s">
        <v>1323</v>
      </c>
      <c r="L2281" s="48" t="s">
        <v>6390</v>
      </c>
      <c r="M2281" s="48" t="s">
        <v>4432</v>
      </c>
      <c r="N2281" s="48" t="s">
        <v>1310</v>
      </c>
      <c r="O2281" s="48" t="s">
        <v>1311</v>
      </c>
      <c r="P2281" s="48" t="s">
        <v>1312</v>
      </c>
      <c r="Q2281" s="48" t="s">
        <v>31</v>
      </c>
      <c r="R2281" s="48" t="s">
        <v>31</v>
      </c>
      <c r="S2281" s="48" t="s">
        <v>31</v>
      </c>
      <c r="T2281" s="48" t="s">
        <v>31</v>
      </c>
      <c r="U2281" s="46" t="s">
        <v>1154</v>
      </c>
    </row>
    <row r="2282" spans="1:21">
      <c r="A2282" s="48" t="s">
        <v>1191</v>
      </c>
      <c r="B2282" s="48" t="s">
        <v>223</v>
      </c>
      <c r="C2282" s="48" t="s">
        <v>666</v>
      </c>
      <c r="D2282" s="48">
        <v>1</v>
      </c>
      <c r="E2282" s="48">
        <v>0</v>
      </c>
      <c r="F2282" t="s">
        <v>771</v>
      </c>
      <c r="G2282" s="48" t="s">
        <v>1305</v>
      </c>
      <c r="H2282" s="48" t="s">
        <v>6391</v>
      </c>
      <c r="I2282" s="48" t="s">
        <v>6391</v>
      </c>
      <c r="J2282" s="48" t="s">
        <v>6392</v>
      </c>
      <c r="K2282" s="48" t="s">
        <v>1323</v>
      </c>
      <c r="L2282" s="49" t="s">
        <v>6393</v>
      </c>
      <c r="M2282" s="48" t="s">
        <v>4432</v>
      </c>
      <c r="N2282" s="48" t="s">
        <v>1310</v>
      </c>
      <c r="O2282" s="48" t="s">
        <v>1311</v>
      </c>
      <c r="P2282" s="48" t="s">
        <v>1312</v>
      </c>
      <c r="Q2282" s="48" t="s">
        <v>31</v>
      </c>
      <c r="R2282" s="48" t="s">
        <v>31</v>
      </c>
      <c r="S2282" s="48" t="s">
        <v>31</v>
      </c>
      <c r="T2282" s="48" t="s">
        <v>31</v>
      </c>
      <c r="U2282" s="46" t="s">
        <v>1154</v>
      </c>
    </row>
    <row r="2283" spans="1:21">
      <c r="A2283" s="48" t="s">
        <v>1191</v>
      </c>
      <c r="B2283" s="48" t="s">
        <v>223</v>
      </c>
      <c r="C2283" s="48" t="s">
        <v>666</v>
      </c>
      <c r="D2283" s="48">
        <v>1</v>
      </c>
      <c r="E2283" s="48">
        <v>0</v>
      </c>
      <c r="F2283" t="s">
        <v>771</v>
      </c>
      <c r="G2283" s="48" t="s">
        <v>1305</v>
      </c>
      <c r="H2283" s="48" t="s">
        <v>6394</v>
      </c>
      <c r="I2283" s="48" t="s">
        <v>6394</v>
      </c>
      <c r="J2283" s="48" t="s">
        <v>6395</v>
      </c>
      <c r="K2283" s="48" t="s">
        <v>1307</v>
      </c>
      <c r="L2283" s="48" t="s">
        <v>6396</v>
      </c>
      <c r="M2283" s="48" t="s">
        <v>4432</v>
      </c>
      <c r="N2283" s="48" t="s">
        <v>1310</v>
      </c>
      <c r="O2283" s="48" t="s">
        <v>1311</v>
      </c>
      <c r="P2283" s="48" t="s">
        <v>1312</v>
      </c>
      <c r="Q2283" s="48" t="s">
        <v>31</v>
      </c>
      <c r="R2283" s="48" t="s">
        <v>31</v>
      </c>
      <c r="S2283" s="48" t="s">
        <v>31</v>
      </c>
      <c r="T2283" s="48" t="s">
        <v>31</v>
      </c>
      <c r="U2283" s="46" t="s">
        <v>1154</v>
      </c>
    </row>
    <row r="2284" spans="1:21">
      <c r="A2284" s="48" t="s">
        <v>1191</v>
      </c>
      <c r="B2284" s="48" t="s">
        <v>223</v>
      </c>
      <c r="C2284" s="48" t="s">
        <v>666</v>
      </c>
      <c r="D2284" s="48">
        <v>1</v>
      </c>
      <c r="E2284" s="48">
        <v>0</v>
      </c>
      <c r="F2284" t="s">
        <v>771</v>
      </c>
      <c r="G2284" s="48" t="s">
        <v>1305</v>
      </c>
      <c r="H2284" s="48" t="s">
        <v>6397</v>
      </c>
      <c r="I2284" s="48" t="s">
        <v>6397</v>
      </c>
      <c r="J2284" s="48" t="s">
        <v>6398</v>
      </c>
      <c r="K2284" s="48" t="s">
        <v>1332</v>
      </c>
      <c r="L2284" s="48" t="s">
        <v>6399</v>
      </c>
      <c r="M2284" s="48" t="s">
        <v>4432</v>
      </c>
      <c r="N2284" s="48" t="s">
        <v>1310</v>
      </c>
      <c r="O2284" s="48" t="s">
        <v>1311</v>
      </c>
      <c r="P2284" s="48" t="s">
        <v>1312</v>
      </c>
      <c r="Q2284" s="48" t="s">
        <v>31</v>
      </c>
      <c r="R2284" s="48" t="s">
        <v>31</v>
      </c>
      <c r="S2284" s="48" t="s">
        <v>31</v>
      </c>
      <c r="T2284" s="48" t="s">
        <v>31</v>
      </c>
      <c r="U2284" s="46" t="s">
        <v>1154</v>
      </c>
    </row>
    <row r="2285" spans="1:21">
      <c r="A2285" s="48" t="s">
        <v>1191</v>
      </c>
      <c r="B2285" s="48" t="s">
        <v>223</v>
      </c>
      <c r="C2285" s="48" t="s">
        <v>666</v>
      </c>
      <c r="D2285" s="48">
        <v>1</v>
      </c>
      <c r="E2285" s="48">
        <v>0</v>
      </c>
      <c r="F2285" t="s">
        <v>771</v>
      </c>
      <c r="G2285" s="48" t="s">
        <v>1305</v>
      </c>
      <c r="H2285" s="48" t="s">
        <v>6400</v>
      </c>
      <c r="I2285" s="48" t="s">
        <v>6400</v>
      </c>
      <c r="J2285" s="48" t="s">
        <v>6401</v>
      </c>
      <c r="K2285" s="48" t="s">
        <v>1314</v>
      </c>
      <c r="L2285" s="48" t="s">
        <v>6402</v>
      </c>
      <c r="M2285" s="48" t="s">
        <v>4432</v>
      </c>
      <c r="N2285" s="48" t="s">
        <v>1310</v>
      </c>
      <c r="O2285" s="48" t="s">
        <v>1311</v>
      </c>
      <c r="P2285" s="48" t="s">
        <v>1312</v>
      </c>
      <c r="Q2285" s="48" t="s">
        <v>31</v>
      </c>
      <c r="R2285" s="48" t="s">
        <v>31</v>
      </c>
      <c r="S2285" s="48" t="s">
        <v>31</v>
      </c>
      <c r="T2285" s="48" t="s">
        <v>31</v>
      </c>
      <c r="U2285" s="46" t="s">
        <v>1154</v>
      </c>
    </row>
    <row r="2286" spans="1:21">
      <c r="A2286" s="48" t="s">
        <v>1191</v>
      </c>
      <c r="B2286" s="48" t="s">
        <v>223</v>
      </c>
      <c r="C2286" s="48" t="s">
        <v>666</v>
      </c>
      <c r="D2286" s="48">
        <v>1</v>
      </c>
      <c r="E2286" s="48">
        <v>0</v>
      </c>
      <c r="F2286" t="s">
        <v>771</v>
      </c>
      <c r="G2286" s="48" t="s">
        <v>1305</v>
      </c>
      <c r="H2286" s="48" t="s">
        <v>6403</v>
      </c>
      <c r="I2286" s="48" t="s">
        <v>6403</v>
      </c>
      <c r="J2286" s="48" t="s">
        <v>6404</v>
      </c>
      <c r="K2286" s="48" t="s">
        <v>1326</v>
      </c>
      <c r="L2286" s="48" t="s">
        <v>6405</v>
      </c>
      <c r="M2286" s="48" t="s">
        <v>4432</v>
      </c>
      <c r="N2286" s="48" t="s">
        <v>1310</v>
      </c>
      <c r="O2286" s="48" t="s">
        <v>1311</v>
      </c>
      <c r="P2286" s="48" t="s">
        <v>1312</v>
      </c>
      <c r="Q2286" s="48" t="s">
        <v>31</v>
      </c>
      <c r="R2286" s="48" t="s">
        <v>31</v>
      </c>
      <c r="S2286" s="48" t="s">
        <v>31</v>
      </c>
      <c r="T2286" s="48" t="s">
        <v>31</v>
      </c>
      <c r="U2286" s="46" t="s">
        <v>1154</v>
      </c>
    </row>
    <row r="2287" spans="1:21">
      <c r="A2287" s="48" t="s">
        <v>1191</v>
      </c>
      <c r="B2287" s="48" t="s">
        <v>223</v>
      </c>
      <c r="C2287" s="48" t="s">
        <v>666</v>
      </c>
      <c r="D2287" s="48">
        <v>1</v>
      </c>
      <c r="E2287" s="48">
        <v>0</v>
      </c>
      <c r="F2287" t="s">
        <v>771</v>
      </c>
      <c r="G2287" s="48" t="s">
        <v>1305</v>
      </c>
      <c r="H2287" s="48" t="s">
        <v>6406</v>
      </c>
      <c r="I2287" s="48" t="s">
        <v>6406</v>
      </c>
      <c r="J2287" s="48" t="s">
        <v>6407</v>
      </c>
      <c r="K2287" s="48" t="s">
        <v>1317</v>
      </c>
      <c r="L2287" s="48" t="s">
        <v>6408</v>
      </c>
      <c r="M2287" s="48" t="s">
        <v>4432</v>
      </c>
      <c r="N2287" s="48" t="s">
        <v>1310</v>
      </c>
      <c r="O2287" s="48" t="s">
        <v>1311</v>
      </c>
      <c r="P2287" s="48" t="s">
        <v>1312</v>
      </c>
      <c r="Q2287" s="48" t="s">
        <v>31</v>
      </c>
      <c r="R2287" s="48" t="s">
        <v>31</v>
      </c>
      <c r="S2287" s="48" t="s">
        <v>31</v>
      </c>
      <c r="T2287" s="48" t="s">
        <v>31</v>
      </c>
      <c r="U2287" s="46" t="s">
        <v>1154</v>
      </c>
    </row>
    <row r="2288" spans="1:21">
      <c r="A2288" s="48" t="s">
        <v>1191</v>
      </c>
      <c r="B2288" s="48" t="s">
        <v>223</v>
      </c>
      <c r="C2288" s="48" t="s">
        <v>666</v>
      </c>
      <c r="D2288" s="48">
        <v>1</v>
      </c>
      <c r="E2288" s="48">
        <v>0</v>
      </c>
      <c r="F2288" t="s">
        <v>771</v>
      </c>
      <c r="G2288" s="48" t="s">
        <v>1305</v>
      </c>
      <c r="H2288" s="48" t="s">
        <v>6409</v>
      </c>
      <c r="I2288" s="48" t="s">
        <v>6409</v>
      </c>
      <c r="J2288" s="48" t="s">
        <v>6410</v>
      </c>
      <c r="K2288" s="48" t="s">
        <v>1320</v>
      </c>
      <c r="L2288" s="48" t="s">
        <v>6411</v>
      </c>
      <c r="M2288" s="48" t="s">
        <v>4432</v>
      </c>
      <c r="N2288" s="48" t="s">
        <v>1310</v>
      </c>
      <c r="O2288" s="48" t="s">
        <v>1311</v>
      </c>
      <c r="P2288" s="48" t="s">
        <v>1312</v>
      </c>
      <c r="Q2288" s="48" t="s">
        <v>31</v>
      </c>
      <c r="R2288" s="48" t="s">
        <v>31</v>
      </c>
      <c r="S2288" s="48" t="s">
        <v>31</v>
      </c>
      <c r="T2288" s="48" t="s">
        <v>31</v>
      </c>
      <c r="U2288" s="46" t="s">
        <v>1154</v>
      </c>
    </row>
    <row r="2289" spans="1:21">
      <c r="A2289" s="48" t="s">
        <v>1191</v>
      </c>
      <c r="B2289" s="48" t="s">
        <v>223</v>
      </c>
      <c r="C2289" s="48" t="s">
        <v>666</v>
      </c>
      <c r="D2289" s="48">
        <v>1</v>
      </c>
      <c r="E2289" s="48">
        <v>0</v>
      </c>
      <c r="F2289" t="s">
        <v>771</v>
      </c>
      <c r="G2289" s="48" t="s">
        <v>1305</v>
      </c>
      <c r="H2289" s="48" t="s">
        <v>6412</v>
      </c>
      <c r="I2289" s="48" t="s">
        <v>6412</v>
      </c>
      <c r="J2289" s="48" t="s">
        <v>6413</v>
      </c>
      <c r="K2289" s="48" t="s">
        <v>1329</v>
      </c>
      <c r="L2289" s="48" t="s">
        <v>6414</v>
      </c>
      <c r="M2289" s="48" t="s">
        <v>4432</v>
      </c>
      <c r="N2289" s="48" t="s">
        <v>1310</v>
      </c>
      <c r="O2289" s="48" t="s">
        <v>1311</v>
      </c>
      <c r="P2289" s="48" t="s">
        <v>1312</v>
      </c>
      <c r="Q2289" s="48" t="s">
        <v>31</v>
      </c>
      <c r="R2289" s="48" t="s">
        <v>31</v>
      </c>
      <c r="S2289" s="48" t="s">
        <v>31</v>
      </c>
      <c r="T2289" s="48" t="s">
        <v>31</v>
      </c>
      <c r="U2289" s="46" t="s">
        <v>1154</v>
      </c>
    </row>
    <row r="2290" spans="1:21">
      <c r="A2290" s="48" t="s">
        <v>1174</v>
      </c>
      <c r="B2290" s="48" t="s">
        <v>225</v>
      </c>
      <c r="C2290" s="48" t="s">
        <v>666</v>
      </c>
      <c r="D2290" s="48">
        <v>1</v>
      </c>
      <c r="E2290" s="48">
        <v>0</v>
      </c>
      <c r="F2290" t="s">
        <v>746</v>
      </c>
      <c r="G2290" s="48" t="s">
        <v>1305</v>
      </c>
      <c r="H2290" s="48" t="s">
        <v>6415</v>
      </c>
      <c r="I2290" s="48" t="s">
        <v>6415</v>
      </c>
      <c r="J2290" s="48" t="s">
        <v>6416</v>
      </c>
      <c r="K2290" s="48" t="s">
        <v>1320</v>
      </c>
      <c r="L2290" s="48" t="s">
        <v>6417</v>
      </c>
      <c r="M2290" s="48" t="s">
        <v>4432</v>
      </c>
      <c r="N2290" s="48" t="s">
        <v>1310</v>
      </c>
      <c r="O2290" s="48" t="s">
        <v>1311</v>
      </c>
      <c r="P2290" s="48" t="s">
        <v>1312</v>
      </c>
      <c r="Q2290" s="48" t="s">
        <v>31</v>
      </c>
      <c r="R2290" s="48" t="s">
        <v>31</v>
      </c>
      <c r="S2290" s="48" t="s">
        <v>31</v>
      </c>
      <c r="T2290" s="48" t="s">
        <v>31</v>
      </c>
      <c r="U2290" s="46" t="s">
        <v>1154</v>
      </c>
    </row>
    <row r="2291" spans="1:21">
      <c r="A2291" s="48" t="s">
        <v>1174</v>
      </c>
      <c r="B2291" s="48" t="s">
        <v>225</v>
      </c>
      <c r="C2291" s="48" t="s">
        <v>666</v>
      </c>
      <c r="D2291" s="48">
        <v>1</v>
      </c>
      <c r="E2291" s="48">
        <v>0</v>
      </c>
      <c r="F2291" t="s">
        <v>746</v>
      </c>
      <c r="G2291" s="48" t="s">
        <v>1305</v>
      </c>
      <c r="H2291" s="48" t="s">
        <v>6418</v>
      </c>
      <c r="I2291" s="48" t="s">
        <v>6418</v>
      </c>
      <c r="J2291" s="48" t="s">
        <v>6419</v>
      </c>
      <c r="K2291" s="48" t="s">
        <v>1317</v>
      </c>
      <c r="L2291" s="48" t="s">
        <v>6420</v>
      </c>
      <c r="M2291" s="48" t="s">
        <v>4432</v>
      </c>
      <c r="N2291" s="48" t="s">
        <v>1310</v>
      </c>
      <c r="O2291" s="48" t="s">
        <v>1311</v>
      </c>
      <c r="P2291" s="48" t="s">
        <v>1312</v>
      </c>
      <c r="Q2291" s="48" t="s">
        <v>31</v>
      </c>
      <c r="R2291" s="48" t="s">
        <v>31</v>
      </c>
      <c r="S2291" s="48" t="s">
        <v>31</v>
      </c>
      <c r="T2291" s="48" t="s">
        <v>31</v>
      </c>
      <c r="U2291" s="46" t="s">
        <v>1154</v>
      </c>
    </row>
    <row r="2292" spans="1:21">
      <c r="A2292" s="48" t="s">
        <v>1174</v>
      </c>
      <c r="B2292" s="48" t="s">
        <v>225</v>
      </c>
      <c r="C2292" s="48" t="s">
        <v>666</v>
      </c>
      <c r="D2292" s="48">
        <v>1</v>
      </c>
      <c r="E2292" s="48">
        <v>0</v>
      </c>
      <c r="F2292" t="s">
        <v>746</v>
      </c>
      <c r="G2292" s="48" t="s">
        <v>1305</v>
      </c>
      <c r="H2292" s="48" t="s">
        <v>6421</v>
      </c>
      <c r="I2292" s="48" t="s">
        <v>6421</v>
      </c>
      <c r="J2292" s="48" t="s">
        <v>6422</v>
      </c>
      <c r="K2292" s="48" t="s">
        <v>1307</v>
      </c>
      <c r="L2292" s="48" t="s">
        <v>6423</v>
      </c>
      <c r="M2292" s="48" t="s">
        <v>4432</v>
      </c>
      <c r="N2292" s="48" t="s">
        <v>1310</v>
      </c>
      <c r="O2292" s="48" t="s">
        <v>1311</v>
      </c>
      <c r="P2292" s="48" t="s">
        <v>1312</v>
      </c>
      <c r="Q2292" s="48" t="s">
        <v>31</v>
      </c>
      <c r="R2292" s="48" t="s">
        <v>31</v>
      </c>
      <c r="S2292" s="48" t="s">
        <v>31</v>
      </c>
      <c r="T2292" s="48" t="s">
        <v>31</v>
      </c>
      <c r="U2292" s="46" t="s">
        <v>1154</v>
      </c>
    </row>
    <row r="2293" spans="1:21">
      <c r="A2293" s="48" t="s">
        <v>1174</v>
      </c>
      <c r="B2293" s="48" t="s">
        <v>225</v>
      </c>
      <c r="C2293" s="48" t="s">
        <v>666</v>
      </c>
      <c r="D2293" s="48">
        <v>1</v>
      </c>
      <c r="E2293" s="48">
        <v>0</v>
      </c>
      <c r="F2293" t="s">
        <v>746</v>
      </c>
      <c r="G2293" s="48" t="s">
        <v>1305</v>
      </c>
      <c r="H2293" s="48" t="s">
        <v>6424</v>
      </c>
      <c r="I2293" s="48" t="s">
        <v>6424</v>
      </c>
      <c r="J2293" s="48" t="s">
        <v>6425</v>
      </c>
      <c r="K2293" s="48" t="s">
        <v>1314</v>
      </c>
      <c r="L2293" s="48" t="s">
        <v>6426</v>
      </c>
      <c r="M2293" s="48" t="s">
        <v>4432</v>
      </c>
      <c r="N2293" s="48" t="s">
        <v>1310</v>
      </c>
      <c r="O2293" s="48" t="s">
        <v>1311</v>
      </c>
      <c r="P2293" s="48" t="s">
        <v>1312</v>
      </c>
      <c r="Q2293" s="48" t="s">
        <v>31</v>
      </c>
      <c r="R2293" s="48" t="s">
        <v>31</v>
      </c>
      <c r="S2293" s="48" t="s">
        <v>31</v>
      </c>
      <c r="T2293" s="48" t="s">
        <v>31</v>
      </c>
      <c r="U2293" s="46" t="s">
        <v>1154</v>
      </c>
    </row>
    <row r="2294" spans="1:21">
      <c r="A2294" s="48" t="s">
        <v>1174</v>
      </c>
      <c r="B2294" s="48" t="s">
        <v>225</v>
      </c>
      <c r="C2294" s="48" t="s">
        <v>666</v>
      </c>
      <c r="D2294" s="48">
        <v>1</v>
      </c>
      <c r="E2294" s="48">
        <v>0</v>
      </c>
      <c r="F2294" t="s">
        <v>746</v>
      </c>
      <c r="G2294" s="48" t="s">
        <v>1305</v>
      </c>
      <c r="H2294" s="48" t="s">
        <v>6427</v>
      </c>
      <c r="I2294" s="48" t="s">
        <v>6427</v>
      </c>
      <c r="J2294" s="48" t="s">
        <v>6428</v>
      </c>
      <c r="K2294" s="48" t="s">
        <v>1326</v>
      </c>
      <c r="L2294" s="48" t="s">
        <v>6429</v>
      </c>
      <c r="M2294" s="48" t="s">
        <v>4432</v>
      </c>
      <c r="N2294" s="48" t="s">
        <v>1310</v>
      </c>
      <c r="O2294" s="48" t="s">
        <v>1311</v>
      </c>
      <c r="P2294" s="48" t="s">
        <v>1312</v>
      </c>
      <c r="Q2294" s="48" t="s">
        <v>31</v>
      </c>
      <c r="R2294" s="48" t="s">
        <v>31</v>
      </c>
      <c r="S2294" s="48" t="s">
        <v>31</v>
      </c>
      <c r="T2294" s="48" t="s">
        <v>31</v>
      </c>
      <c r="U2294" s="46" t="s">
        <v>1154</v>
      </c>
    </row>
    <row r="2295" spans="1:21">
      <c r="A2295" s="48" t="s">
        <v>1174</v>
      </c>
      <c r="B2295" s="48" t="s">
        <v>225</v>
      </c>
      <c r="C2295" s="48" t="s">
        <v>666</v>
      </c>
      <c r="D2295" s="48">
        <v>1</v>
      </c>
      <c r="E2295" s="48">
        <v>0</v>
      </c>
      <c r="F2295" t="s">
        <v>746</v>
      </c>
      <c r="G2295" s="48" t="s">
        <v>1305</v>
      </c>
      <c r="H2295" s="48" t="s">
        <v>6430</v>
      </c>
      <c r="I2295" s="48" t="s">
        <v>6430</v>
      </c>
      <c r="J2295" s="48" t="s">
        <v>6431</v>
      </c>
      <c r="K2295" s="48" t="s">
        <v>1329</v>
      </c>
      <c r="L2295" s="48" t="s">
        <v>6432</v>
      </c>
      <c r="M2295" s="48" t="s">
        <v>4432</v>
      </c>
      <c r="N2295" s="48" t="s">
        <v>1310</v>
      </c>
      <c r="O2295" s="48" t="s">
        <v>1311</v>
      </c>
      <c r="P2295" s="48" t="s">
        <v>1312</v>
      </c>
      <c r="Q2295" s="48" t="s">
        <v>31</v>
      </c>
      <c r="R2295" s="48" t="s">
        <v>31</v>
      </c>
      <c r="S2295" s="48" t="s">
        <v>31</v>
      </c>
      <c r="T2295" s="48" t="s">
        <v>31</v>
      </c>
      <c r="U2295" s="46" t="s">
        <v>1154</v>
      </c>
    </row>
    <row r="2296" spans="1:21">
      <c r="A2296" s="48" t="s">
        <v>1174</v>
      </c>
      <c r="B2296" s="48" t="s">
        <v>225</v>
      </c>
      <c r="C2296" s="48" t="s">
        <v>666</v>
      </c>
      <c r="D2296" s="48">
        <v>1</v>
      </c>
      <c r="E2296" s="48">
        <v>0</v>
      </c>
      <c r="F2296" t="s">
        <v>746</v>
      </c>
      <c r="G2296" s="48" t="s">
        <v>1305</v>
      </c>
      <c r="H2296" s="48" t="s">
        <v>6433</v>
      </c>
      <c r="I2296" s="48" t="s">
        <v>6433</v>
      </c>
      <c r="J2296" s="48" t="s">
        <v>6434</v>
      </c>
      <c r="K2296" s="48" t="s">
        <v>1332</v>
      </c>
      <c r="L2296" s="48" t="s">
        <v>6435</v>
      </c>
      <c r="M2296" s="48" t="s">
        <v>4432</v>
      </c>
      <c r="N2296" s="48" t="s">
        <v>1310</v>
      </c>
      <c r="O2296" s="48" t="s">
        <v>1311</v>
      </c>
      <c r="P2296" s="48" t="s">
        <v>1312</v>
      </c>
      <c r="Q2296" s="48" t="s">
        <v>31</v>
      </c>
      <c r="R2296" s="48" t="s">
        <v>31</v>
      </c>
      <c r="S2296" s="48" t="s">
        <v>31</v>
      </c>
      <c r="T2296" s="48" t="s">
        <v>31</v>
      </c>
      <c r="U2296" s="46" t="s">
        <v>1154</v>
      </c>
    </row>
    <row r="2297" spans="1:21">
      <c r="A2297" s="48" t="s">
        <v>1174</v>
      </c>
      <c r="B2297" s="48" t="s">
        <v>225</v>
      </c>
      <c r="C2297" s="48" t="s">
        <v>666</v>
      </c>
      <c r="D2297" s="48">
        <v>1</v>
      </c>
      <c r="E2297" s="48">
        <v>0</v>
      </c>
      <c r="F2297" t="s">
        <v>746</v>
      </c>
      <c r="G2297" s="48" t="s">
        <v>1305</v>
      </c>
      <c r="H2297" s="48" t="s">
        <v>6436</v>
      </c>
      <c r="I2297" s="48" t="s">
        <v>6436</v>
      </c>
      <c r="J2297" s="48" t="s">
        <v>6437</v>
      </c>
      <c r="K2297" s="48" t="s">
        <v>1323</v>
      </c>
      <c r="L2297" s="48" t="s">
        <v>6438</v>
      </c>
      <c r="M2297" s="48" t="s">
        <v>4432</v>
      </c>
      <c r="N2297" s="48" t="s">
        <v>1310</v>
      </c>
      <c r="O2297" s="48" t="s">
        <v>1311</v>
      </c>
      <c r="P2297" s="48" t="s">
        <v>1312</v>
      </c>
      <c r="Q2297" s="48" t="s">
        <v>31</v>
      </c>
      <c r="R2297" s="48" t="s">
        <v>31</v>
      </c>
      <c r="S2297" s="48" t="s">
        <v>31</v>
      </c>
      <c r="T2297" s="48" t="s">
        <v>31</v>
      </c>
      <c r="U2297" s="46" t="s">
        <v>1154</v>
      </c>
    </row>
    <row r="2298" spans="1:21">
      <c r="A2298" s="48" t="s">
        <v>1184</v>
      </c>
      <c r="B2298" s="48" t="s">
        <v>227</v>
      </c>
      <c r="C2298" s="48" t="s">
        <v>666</v>
      </c>
      <c r="D2298" s="48">
        <v>1</v>
      </c>
      <c r="E2298" s="48">
        <v>0</v>
      </c>
      <c r="F2298" t="s">
        <v>725</v>
      </c>
      <c r="G2298" s="48" t="s">
        <v>1305</v>
      </c>
      <c r="H2298" s="48" t="s">
        <v>2392</v>
      </c>
      <c r="I2298" s="48" t="s">
        <v>2392</v>
      </c>
      <c r="J2298" s="48" t="s">
        <v>6439</v>
      </c>
      <c r="K2298" s="48" t="s">
        <v>1326</v>
      </c>
      <c r="L2298" s="48" t="s">
        <v>6440</v>
      </c>
      <c r="M2298" s="48" t="s">
        <v>4432</v>
      </c>
      <c r="N2298" s="48" t="s">
        <v>1310</v>
      </c>
      <c r="O2298" s="48" t="s">
        <v>1311</v>
      </c>
      <c r="P2298" s="48" t="s">
        <v>1312</v>
      </c>
      <c r="Q2298" s="48" t="s">
        <v>31</v>
      </c>
      <c r="R2298" s="48" t="s">
        <v>31</v>
      </c>
      <c r="S2298" s="48" t="s">
        <v>31</v>
      </c>
      <c r="T2298" s="48" t="s">
        <v>31</v>
      </c>
      <c r="U2298" s="46" t="s">
        <v>1154</v>
      </c>
    </row>
    <row r="2299" spans="1:21">
      <c r="A2299" s="48" t="s">
        <v>1184</v>
      </c>
      <c r="B2299" s="48" t="s">
        <v>227</v>
      </c>
      <c r="C2299" s="48" t="s">
        <v>666</v>
      </c>
      <c r="D2299" s="48">
        <v>1</v>
      </c>
      <c r="E2299" s="48">
        <v>0</v>
      </c>
      <c r="F2299" t="s">
        <v>725</v>
      </c>
      <c r="G2299" s="48" t="s">
        <v>1305</v>
      </c>
      <c r="H2299" s="48" t="s">
        <v>2390</v>
      </c>
      <c r="I2299" s="48" t="s">
        <v>2390</v>
      </c>
      <c r="J2299" s="48" t="s">
        <v>6441</v>
      </c>
      <c r="K2299" s="48" t="s">
        <v>1323</v>
      </c>
      <c r="L2299" s="48" t="s">
        <v>6442</v>
      </c>
      <c r="M2299" s="48" t="s">
        <v>4432</v>
      </c>
      <c r="N2299" s="48" t="s">
        <v>1310</v>
      </c>
      <c r="O2299" s="48" t="s">
        <v>1311</v>
      </c>
      <c r="P2299" s="48" t="s">
        <v>1312</v>
      </c>
      <c r="Q2299" s="48" t="s">
        <v>31</v>
      </c>
      <c r="R2299" s="48" t="s">
        <v>31</v>
      </c>
      <c r="S2299" s="48" t="s">
        <v>31</v>
      </c>
      <c r="T2299" s="48" t="s">
        <v>31</v>
      </c>
      <c r="U2299" s="46" t="s">
        <v>1154</v>
      </c>
    </row>
    <row r="2300" spans="1:21">
      <c r="A2300" s="48" t="s">
        <v>1184</v>
      </c>
      <c r="B2300" s="48" t="s">
        <v>227</v>
      </c>
      <c r="C2300" s="48" t="s">
        <v>666</v>
      </c>
      <c r="D2300" s="48">
        <v>1</v>
      </c>
      <c r="E2300" s="48">
        <v>0</v>
      </c>
      <c r="F2300" t="s">
        <v>725</v>
      </c>
      <c r="G2300" s="48" t="s">
        <v>1305</v>
      </c>
      <c r="H2300" s="48" t="s">
        <v>2382</v>
      </c>
      <c r="I2300" s="48" t="s">
        <v>2382</v>
      </c>
      <c r="J2300" s="48" t="s">
        <v>6443</v>
      </c>
      <c r="K2300" s="48" t="s">
        <v>1307</v>
      </c>
      <c r="L2300" s="48" t="s">
        <v>6444</v>
      </c>
      <c r="M2300" s="48" t="s">
        <v>4432</v>
      </c>
      <c r="N2300" s="48" t="s">
        <v>1310</v>
      </c>
      <c r="O2300" s="48" t="s">
        <v>1311</v>
      </c>
      <c r="P2300" s="48" t="s">
        <v>1312</v>
      </c>
      <c r="Q2300" s="48" t="s">
        <v>31</v>
      </c>
      <c r="R2300" s="48" t="s">
        <v>31</v>
      </c>
      <c r="S2300" s="48" t="s">
        <v>31</v>
      </c>
      <c r="T2300" s="48" t="s">
        <v>31</v>
      </c>
      <c r="U2300" s="46" t="s">
        <v>1154</v>
      </c>
    </row>
    <row r="2301" spans="1:21">
      <c r="A2301" s="48" t="s">
        <v>1184</v>
      </c>
      <c r="B2301" s="48" t="s">
        <v>227</v>
      </c>
      <c r="C2301" s="48" t="s">
        <v>666</v>
      </c>
      <c r="D2301" s="48">
        <v>1</v>
      </c>
      <c r="E2301" s="48">
        <v>0</v>
      </c>
      <c r="F2301" t="s">
        <v>725</v>
      </c>
      <c r="G2301" s="48" t="s">
        <v>1305</v>
      </c>
      <c r="H2301" s="48" t="s">
        <v>2388</v>
      </c>
      <c r="I2301" s="48" t="s">
        <v>2388</v>
      </c>
      <c r="J2301" s="48" t="s">
        <v>6445</v>
      </c>
      <c r="K2301" s="48" t="s">
        <v>1320</v>
      </c>
      <c r="L2301" s="48" t="s">
        <v>6446</v>
      </c>
      <c r="M2301" s="48" t="s">
        <v>4432</v>
      </c>
      <c r="N2301" s="48" t="s">
        <v>1310</v>
      </c>
      <c r="O2301" s="48" t="s">
        <v>1311</v>
      </c>
      <c r="P2301" s="48" t="s">
        <v>1312</v>
      </c>
      <c r="Q2301" s="48" t="s">
        <v>31</v>
      </c>
      <c r="R2301" s="48" t="s">
        <v>31</v>
      </c>
      <c r="S2301" s="48" t="s">
        <v>31</v>
      </c>
      <c r="T2301" s="48" t="s">
        <v>31</v>
      </c>
      <c r="U2301" s="46" t="s">
        <v>1154</v>
      </c>
    </row>
    <row r="2302" spans="1:21">
      <c r="A2302" s="48" t="s">
        <v>1184</v>
      </c>
      <c r="B2302" s="48" t="s">
        <v>227</v>
      </c>
      <c r="C2302" s="48" t="s">
        <v>666</v>
      </c>
      <c r="D2302" s="48">
        <v>1</v>
      </c>
      <c r="E2302" s="48">
        <v>0</v>
      </c>
      <c r="F2302" t="s">
        <v>725</v>
      </c>
      <c r="G2302" s="48" t="s">
        <v>1305</v>
      </c>
      <c r="H2302" s="48" t="s">
        <v>2386</v>
      </c>
      <c r="I2302" s="48" t="s">
        <v>2386</v>
      </c>
      <c r="J2302" s="48" t="s">
        <v>6447</v>
      </c>
      <c r="K2302" s="48" t="s">
        <v>1317</v>
      </c>
      <c r="L2302" s="48" t="s">
        <v>6448</v>
      </c>
      <c r="M2302" s="48" t="s">
        <v>4432</v>
      </c>
      <c r="N2302" s="48" t="s">
        <v>1310</v>
      </c>
      <c r="O2302" s="48" t="s">
        <v>1311</v>
      </c>
      <c r="P2302" s="48" t="s">
        <v>1312</v>
      </c>
      <c r="Q2302" s="48" t="s">
        <v>31</v>
      </c>
      <c r="R2302" s="48" t="s">
        <v>31</v>
      </c>
      <c r="S2302" s="48" t="s">
        <v>31</v>
      </c>
      <c r="T2302" s="48" t="s">
        <v>31</v>
      </c>
      <c r="U2302" s="46" t="s">
        <v>1154</v>
      </c>
    </row>
    <row r="2303" spans="1:21">
      <c r="A2303" s="48" t="s">
        <v>1184</v>
      </c>
      <c r="B2303" s="48" t="s">
        <v>227</v>
      </c>
      <c r="C2303" s="48" t="s">
        <v>666</v>
      </c>
      <c r="D2303" s="48">
        <v>1</v>
      </c>
      <c r="E2303" s="48">
        <v>0</v>
      </c>
      <c r="F2303" t="s">
        <v>725</v>
      </c>
      <c r="G2303" s="48" t="s">
        <v>1305</v>
      </c>
      <c r="H2303" s="48" t="s">
        <v>2394</v>
      </c>
      <c r="I2303" s="48" t="s">
        <v>2394</v>
      </c>
      <c r="J2303" s="48" t="s">
        <v>6449</v>
      </c>
      <c r="K2303" s="48" t="s">
        <v>1329</v>
      </c>
      <c r="L2303" s="48" t="s">
        <v>6450</v>
      </c>
      <c r="M2303" s="48" t="s">
        <v>4432</v>
      </c>
      <c r="N2303" s="48" t="s">
        <v>1310</v>
      </c>
      <c r="O2303" s="48" t="s">
        <v>1311</v>
      </c>
      <c r="P2303" s="48" t="s">
        <v>1312</v>
      </c>
      <c r="Q2303" s="48" t="s">
        <v>31</v>
      </c>
      <c r="R2303" s="48" t="s">
        <v>31</v>
      </c>
      <c r="S2303" s="48" t="s">
        <v>31</v>
      </c>
      <c r="T2303" s="48" t="s">
        <v>31</v>
      </c>
      <c r="U2303" s="46" t="s">
        <v>1154</v>
      </c>
    </row>
    <row r="2304" spans="1:21">
      <c r="A2304" s="48" t="s">
        <v>1184</v>
      </c>
      <c r="B2304" s="48" t="s">
        <v>227</v>
      </c>
      <c r="C2304" s="48" t="s">
        <v>666</v>
      </c>
      <c r="D2304" s="48">
        <v>1</v>
      </c>
      <c r="E2304" s="48">
        <v>0</v>
      </c>
      <c r="F2304" t="s">
        <v>725</v>
      </c>
      <c r="G2304" s="48" t="s">
        <v>1305</v>
      </c>
      <c r="H2304" s="48" t="s">
        <v>2384</v>
      </c>
      <c r="I2304" s="48" t="s">
        <v>2384</v>
      </c>
      <c r="J2304" s="48" t="s">
        <v>6451</v>
      </c>
      <c r="K2304" s="48" t="s">
        <v>1314</v>
      </c>
      <c r="L2304" s="48" t="s">
        <v>6452</v>
      </c>
      <c r="M2304" s="48" t="s">
        <v>4432</v>
      </c>
      <c r="N2304" s="48" t="s">
        <v>1310</v>
      </c>
      <c r="O2304" s="48" t="s">
        <v>1311</v>
      </c>
      <c r="P2304" s="48" t="s">
        <v>1312</v>
      </c>
      <c r="Q2304" s="48" t="s">
        <v>31</v>
      </c>
      <c r="R2304" s="48" t="s">
        <v>31</v>
      </c>
      <c r="S2304" s="48" t="s">
        <v>31</v>
      </c>
      <c r="T2304" s="48" t="s">
        <v>31</v>
      </c>
      <c r="U2304" s="46" t="s">
        <v>1154</v>
      </c>
    </row>
    <row r="2305" spans="1:21">
      <c r="A2305" s="48" t="s">
        <v>1184</v>
      </c>
      <c r="B2305" s="48" t="s">
        <v>227</v>
      </c>
      <c r="C2305" s="48" t="s">
        <v>666</v>
      </c>
      <c r="D2305" s="48">
        <v>1</v>
      </c>
      <c r="E2305" s="48">
        <v>0</v>
      </c>
      <c r="F2305" t="s">
        <v>725</v>
      </c>
      <c r="G2305" s="48" t="s">
        <v>1305</v>
      </c>
      <c r="H2305" s="48" t="s">
        <v>2396</v>
      </c>
      <c r="I2305" s="48" t="s">
        <v>2396</v>
      </c>
      <c r="J2305" s="48" t="s">
        <v>6453</v>
      </c>
      <c r="K2305" s="48" t="s">
        <v>1332</v>
      </c>
      <c r="L2305" s="48" t="s">
        <v>6454</v>
      </c>
      <c r="M2305" s="48" t="s">
        <v>4432</v>
      </c>
      <c r="N2305" s="48" t="s">
        <v>1310</v>
      </c>
      <c r="O2305" s="48" t="s">
        <v>1311</v>
      </c>
      <c r="P2305" s="48" t="s">
        <v>1312</v>
      </c>
      <c r="Q2305" s="48" t="s">
        <v>31</v>
      </c>
      <c r="R2305" s="48" t="s">
        <v>31</v>
      </c>
      <c r="S2305" s="48" t="s">
        <v>31</v>
      </c>
      <c r="T2305" s="48" t="s">
        <v>31</v>
      </c>
      <c r="U2305" s="46" t="s">
        <v>1154</v>
      </c>
    </row>
    <row r="2306" spans="1:21">
      <c r="A2306" s="48" t="s">
        <v>1185</v>
      </c>
      <c r="B2306" s="48" t="s">
        <v>229</v>
      </c>
      <c r="C2306" s="48" t="s">
        <v>666</v>
      </c>
      <c r="D2306" s="48">
        <v>1</v>
      </c>
      <c r="E2306" s="48">
        <v>0</v>
      </c>
      <c r="F2306" t="s">
        <v>775</v>
      </c>
      <c r="G2306" s="48" t="s">
        <v>1305</v>
      </c>
      <c r="H2306" s="48" t="s">
        <v>6455</v>
      </c>
      <c r="I2306" s="48" t="s">
        <v>6455</v>
      </c>
      <c r="J2306" s="48" t="s">
        <v>6456</v>
      </c>
      <c r="K2306" s="48" t="s">
        <v>1317</v>
      </c>
      <c r="L2306" s="48" t="s">
        <v>6457</v>
      </c>
      <c r="M2306" s="48" t="s">
        <v>4432</v>
      </c>
      <c r="N2306" s="48" t="s">
        <v>1310</v>
      </c>
      <c r="O2306" s="48" t="s">
        <v>1311</v>
      </c>
      <c r="P2306" s="48" t="s">
        <v>1312</v>
      </c>
      <c r="Q2306" s="48" t="s">
        <v>31</v>
      </c>
      <c r="R2306" s="48" t="s">
        <v>31</v>
      </c>
      <c r="S2306" s="48" t="s">
        <v>31</v>
      </c>
      <c r="T2306" s="48" t="s">
        <v>31</v>
      </c>
      <c r="U2306" s="46" t="s">
        <v>1154</v>
      </c>
    </row>
    <row r="2307" spans="1:21">
      <c r="A2307" s="48" t="s">
        <v>1185</v>
      </c>
      <c r="B2307" s="48" t="s">
        <v>229</v>
      </c>
      <c r="C2307" s="48" t="s">
        <v>666</v>
      </c>
      <c r="D2307" s="48">
        <v>1</v>
      </c>
      <c r="E2307" s="48">
        <v>0</v>
      </c>
      <c r="F2307" t="s">
        <v>775</v>
      </c>
      <c r="G2307" s="48" t="s">
        <v>1305</v>
      </c>
      <c r="H2307" s="48" t="s">
        <v>6458</v>
      </c>
      <c r="I2307" s="48" t="s">
        <v>6458</v>
      </c>
      <c r="J2307" s="48" t="s">
        <v>6459</v>
      </c>
      <c r="K2307" s="48" t="s">
        <v>1314</v>
      </c>
      <c r="L2307" s="48" t="s">
        <v>6460</v>
      </c>
      <c r="M2307" s="48" t="s">
        <v>4432</v>
      </c>
      <c r="N2307" s="48" t="s">
        <v>1310</v>
      </c>
      <c r="O2307" s="48" t="s">
        <v>1311</v>
      </c>
      <c r="P2307" s="48" t="s">
        <v>1312</v>
      </c>
      <c r="Q2307" s="48" t="s">
        <v>31</v>
      </c>
      <c r="R2307" s="48" t="s">
        <v>31</v>
      </c>
      <c r="S2307" s="48" t="s">
        <v>31</v>
      </c>
      <c r="T2307" s="48" t="s">
        <v>31</v>
      </c>
      <c r="U2307" s="46" t="s">
        <v>1154</v>
      </c>
    </row>
    <row r="2308" spans="1:21">
      <c r="A2308" s="48" t="s">
        <v>1185</v>
      </c>
      <c r="B2308" s="48" t="s">
        <v>229</v>
      </c>
      <c r="C2308" s="48" t="s">
        <v>666</v>
      </c>
      <c r="D2308" s="48">
        <v>1</v>
      </c>
      <c r="E2308" s="48">
        <v>0</v>
      </c>
      <c r="F2308" t="s">
        <v>775</v>
      </c>
      <c r="G2308" s="48" t="s">
        <v>1305</v>
      </c>
      <c r="H2308" s="48" t="s">
        <v>6461</v>
      </c>
      <c r="I2308" s="48" t="s">
        <v>6461</v>
      </c>
      <c r="J2308" s="48" t="s">
        <v>6462</v>
      </c>
      <c r="K2308" s="48" t="s">
        <v>1332</v>
      </c>
      <c r="L2308" s="48" t="s">
        <v>6463</v>
      </c>
      <c r="M2308" s="48" t="s">
        <v>4432</v>
      </c>
      <c r="N2308" s="48" t="s">
        <v>1310</v>
      </c>
      <c r="O2308" s="48" t="s">
        <v>1311</v>
      </c>
      <c r="P2308" s="48" t="s">
        <v>1312</v>
      </c>
      <c r="Q2308" s="48" t="s">
        <v>31</v>
      </c>
      <c r="R2308" s="48" t="s">
        <v>31</v>
      </c>
      <c r="S2308" s="48" t="s">
        <v>31</v>
      </c>
      <c r="T2308" s="48" t="s">
        <v>31</v>
      </c>
      <c r="U2308" s="46" t="s">
        <v>1154</v>
      </c>
    </row>
    <row r="2309" spans="1:21">
      <c r="A2309" s="48" t="s">
        <v>1185</v>
      </c>
      <c r="B2309" s="48" t="s">
        <v>229</v>
      </c>
      <c r="C2309" s="48" t="s">
        <v>666</v>
      </c>
      <c r="D2309" s="48">
        <v>1</v>
      </c>
      <c r="E2309" s="48">
        <v>0</v>
      </c>
      <c r="F2309" t="s">
        <v>775</v>
      </c>
      <c r="G2309" s="48" t="s">
        <v>1305</v>
      </c>
      <c r="H2309" s="48" t="s">
        <v>6464</v>
      </c>
      <c r="I2309" s="48" t="s">
        <v>6464</v>
      </c>
      <c r="J2309" s="48" t="s">
        <v>6465</v>
      </c>
      <c r="K2309" s="48" t="s">
        <v>1307</v>
      </c>
      <c r="L2309" s="48" t="s">
        <v>6466</v>
      </c>
      <c r="M2309" s="48" t="s">
        <v>4432</v>
      </c>
      <c r="N2309" s="48" t="s">
        <v>1310</v>
      </c>
      <c r="O2309" s="48" t="s">
        <v>1311</v>
      </c>
      <c r="P2309" s="48" t="s">
        <v>1312</v>
      </c>
      <c r="Q2309" s="48" t="s">
        <v>31</v>
      </c>
      <c r="R2309" s="48" t="s">
        <v>31</v>
      </c>
      <c r="S2309" s="48" t="s">
        <v>31</v>
      </c>
      <c r="T2309" s="48" t="s">
        <v>31</v>
      </c>
      <c r="U2309" s="46" t="s">
        <v>1154</v>
      </c>
    </row>
    <row r="2310" spans="1:21">
      <c r="A2310" s="48" t="s">
        <v>1185</v>
      </c>
      <c r="B2310" s="48" t="s">
        <v>229</v>
      </c>
      <c r="C2310" s="48" t="s">
        <v>666</v>
      </c>
      <c r="D2310" s="48">
        <v>1</v>
      </c>
      <c r="E2310" s="48">
        <v>0</v>
      </c>
      <c r="F2310" t="s">
        <v>775</v>
      </c>
      <c r="G2310" s="48" t="s">
        <v>1305</v>
      </c>
      <c r="H2310" s="48" t="s">
        <v>6467</v>
      </c>
      <c r="I2310" s="48" t="s">
        <v>6467</v>
      </c>
      <c r="J2310" s="48" t="s">
        <v>6468</v>
      </c>
      <c r="K2310" s="48" t="s">
        <v>1320</v>
      </c>
      <c r="L2310" s="48" t="s">
        <v>6469</v>
      </c>
      <c r="M2310" s="48" t="s">
        <v>4432</v>
      </c>
      <c r="N2310" s="48" t="s">
        <v>1310</v>
      </c>
      <c r="O2310" s="48" t="s">
        <v>1311</v>
      </c>
      <c r="P2310" s="48" t="s">
        <v>1312</v>
      </c>
      <c r="Q2310" s="48" t="s">
        <v>31</v>
      </c>
      <c r="R2310" s="48" t="s">
        <v>31</v>
      </c>
      <c r="S2310" s="48" t="s">
        <v>31</v>
      </c>
      <c r="T2310" s="48" t="s">
        <v>31</v>
      </c>
      <c r="U2310" s="46" t="s">
        <v>1154</v>
      </c>
    </row>
    <row r="2311" spans="1:21">
      <c r="A2311" s="48" t="s">
        <v>1185</v>
      </c>
      <c r="B2311" s="48" t="s">
        <v>229</v>
      </c>
      <c r="C2311" s="48" t="s">
        <v>666</v>
      </c>
      <c r="D2311" s="48">
        <v>1</v>
      </c>
      <c r="E2311" s="48">
        <v>0</v>
      </c>
      <c r="F2311" t="s">
        <v>775</v>
      </c>
      <c r="G2311" s="48" t="s">
        <v>1305</v>
      </c>
      <c r="H2311" s="48" t="s">
        <v>6470</v>
      </c>
      <c r="I2311" s="48" t="s">
        <v>6470</v>
      </c>
      <c r="J2311" s="48" t="s">
        <v>6471</v>
      </c>
      <c r="K2311" s="48" t="s">
        <v>1329</v>
      </c>
      <c r="L2311" s="48" t="s">
        <v>6472</v>
      </c>
      <c r="M2311" s="48" t="s">
        <v>4432</v>
      </c>
      <c r="N2311" s="48" t="s">
        <v>1310</v>
      </c>
      <c r="O2311" s="48" t="s">
        <v>1311</v>
      </c>
      <c r="P2311" s="48" t="s">
        <v>1312</v>
      </c>
      <c r="Q2311" s="48" t="s">
        <v>31</v>
      </c>
      <c r="R2311" s="48" t="s">
        <v>31</v>
      </c>
      <c r="S2311" s="48" t="s">
        <v>31</v>
      </c>
      <c r="T2311" s="48" t="s">
        <v>31</v>
      </c>
      <c r="U2311" s="46" t="s">
        <v>1154</v>
      </c>
    </row>
    <row r="2312" spans="1:21">
      <c r="A2312" s="48" t="s">
        <v>1185</v>
      </c>
      <c r="B2312" s="48" t="s">
        <v>229</v>
      </c>
      <c r="C2312" s="48" t="s">
        <v>666</v>
      </c>
      <c r="D2312" s="48">
        <v>1</v>
      </c>
      <c r="E2312" s="48">
        <v>0</v>
      </c>
      <c r="F2312" t="s">
        <v>775</v>
      </c>
      <c r="G2312" s="48" t="s">
        <v>1305</v>
      </c>
      <c r="H2312" s="48" t="s">
        <v>6473</v>
      </c>
      <c r="I2312" s="48" t="s">
        <v>6473</v>
      </c>
      <c r="J2312" s="48" t="s">
        <v>6474</v>
      </c>
      <c r="K2312" s="48" t="s">
        <v>1323</v>
      </c>
      <c r="L2312" s="48" t="s">
        <v>6475</v>
      </c>
      <c r="M2312" s="48" t="s">
        <v>4432</v>
      </c>
      <c r="N2312" s="48" t="s">
        <v>1310</v>
      </c>
      <c r="O2312" s="48" t="s">
        <v>1311</v>
      </c>
      <c r="P2312" s="48" t="s">
        <v>1312</v>
      </c>
      <c r="Q2312" s="48" t="s">
        <v>31</v>
      </c>
      <c r="R2312" s="48" t="s">
        <v>31</v>
      </c>
      <c r="S2312" s="48" t="s">
        <v>31</v>
      </c>
      <c r="T2312" s="48" t="s">
        <v>31</v>
      </c>
      <c r="U2312" s="46" t="s">
        <v>1154</v>
      </c>
    </row>
    <row r="2313" spans="1:21">
      <c r="A2313" s="48" t="s">
        <v>1185</v>
      </c>
      <c r="B2313" s="48" t="s">
        <v>229</v>
      </c>
      <c r="C2313" s="48" t="s">
        <v>666</v>
      </c>
      <c r="D2313" s="48">
        <v>1</v>
      </c>
      <c r="E2313" s="48">
        <v>0</v>
      </c>
      <c r="F2313" t="s">
        <v>775</v>
      </c>
      <c r="G2313" s="48" t="s">
        <v>1305</v>
      </c>
      <c r="H2313" s="48" t="s">
        <v>6476</v>
      </c>
      <c r="I2313" s="48" t="s">
        <v>6476</v>
      </c>
      <c r="J2313" s="48" t="s">
        <v>6477</v>
      </c>
      <c r="K2313" s="48" t="s">
        <v>1326</v>
      </c>
      <c r="L2313" s="48" t="s">
        <v>6478</v>
      </c>
      <c r="M2313" s="48" t="s">
        <v>4432</v>
      </c>
      <c r="N2313" s="48" t="s">
        <v>1310</v>
      </c>
      <c r="O2313" s="48" t="s">
        <v>1311</v>
      </c>
      <c r="P2313" s="48" t="s">
        <v>1312</v>
      </c>
      <c r="Q2313" s="48" t="s">
        <v>31</v>
      </c>
      <c r="R2313" s="48" t="s">
        <v>31</v>
      </c>
      <c r="S2313" s="48" t="s">
        <v>31</v>
      </c>
      <c r="T2313" s="48" t="s">
        <v>31</v>
      </c>
      <c r="U2313" s="46" t="s">
        <v>1154</v>
      </c>
    </row>
    <row r="2314" spans="1:21">
      <c r="A2314" s="48" t="s">
        <v>1218</v>
      </c>
      <c r="B2314" s="48" t="s">
        <v>231</v>
      </c>
      <c r="C2314" s="48" t="s">
        <v>666</v>
      </c>
      <c r="D2314" s="48">
        <v>1</v>
      </c>
      <c r="E2314" s="48">
        <v>0</v>
      </c>
      <c r="F2314" t="s">
        <v>764</v>
      </c>
      <c r="G2314" s="48" t="s">
        <v>1305</v>
      </c>
      <c r="H2314" s="48" t="s">
        <v>6479</v>
      </c>
      <c r="I2314" s="48" t="s">
        <v>6479</v>
      </c>
      <c r="J2314" s="48" t="s">
        <v>6480</v>
      </c>
      <c r="K2314" s="48" t="s">
        <v>1332</v>
      </c>
      <c r="L2314" s="48" t="s">
        <v>6481</v>
      </c>
      <c r="M2314" s="48" t="s">
        <v>4432</v>
      </c>
      <c r="N2314" s="48" t="s">
        <v>1310</v>
      </c>
      <c r="O2314" s="48" t="s">
        <v>1311</v>
      </c>
      <c r="P2314" s="48" t="s">
        <v>1312</v>
      </c>
      <c r="Q2314" s="48" t="s">
        <v>31</v>
      </c>
      <c r="R2314" s="48" t="s">
        <v>31</v>
      </c>
      <c r="S2314" s="48" t="s">
        <v>31</v>
      </c>
      <c r="T2314" s="48" t="s">
        <v>31</v>
      </c>
      <c r="U2314" s="46" t="s">
        <v>1154</v>
      </c>
    </row>
    <row r="2315" spans="1:21">
      <c r="A2315" s="48" t="s">
        <v>1218</v>
      </c>
      <c r="B2315" s="48" t="s">
        <v>231</v>
      </c>
      <c r="C2315" s="48" t="s">
        <v>666</v>
      </c>
      <c r="D2315" s="48">
        <v>1</v>
      </c>
      <c r="E2315" s="48">
        <v>0</v>
      </c>
      <c r="F2315" t="s">
        <v>764</v>
      </c>
      <c r="G2315" s="48" t="s">
        <v>1305</v>
      </c>
      <c r="H2315" s="48" t="s">
        <v>6482</v>
      </c>
      <c r="I2315" s="48" t="s">
        <v>6482</v>
      </c>
      <c r="J2315" s="48" t="s">
        <v>6483</v>
      </c>
      <c r="K2315" s="48" t="s">
        <v>1326</v>
      </c>
      <c r="L2315" s="48" t="s">
        <v>6484</v>
      </c>
      <c r="M2315" s="48" t="s">
        <v>4432</v>
      </c>
      <c r="N2315" s="48" t="s">
        <v>1310</v>
      </c>
      <c r="O2315" s="48" t="s">
        <v>1311</v>
      </c>
      <c r="P2315" s="48" t="s">
        <v>1312</v>
      </c>
      <c r="Q2315" s="48" t="s">
        <v>31</v>
      </c>
      <c r="R2315" s="48" t="s">
        <v>31</v>
      </c>
      <c r="S2315" s="48" t="s">
        <v>31</v>
      </c>
      <c r="T2315" s="48" t="s">
        <v>31</v>
      </c>
      <c r="U2315" s="46" t="s">
        <v>1154</v>
      </c>
    </row>
    <row r="2316" spans="1:21">
      <c r="A2316" s="48" t="s">
        <v>1218</v>
      </c>
      <c r="B2316" s="48" t="s">
        <v>231</v>
      </c>
      <c r="C2316" s="48" t="s">
        <v>666</v>
      </c>
      <c r="D2316" s="48">
        <v>1</v>
      </c>
      <c r="E2316" s="48">
        <v>0</v>
      </c>
      <c r="F2316" t="s">
        <v>764</v>
      </c>
      <c r="G2316" s="48" t="s">
        <v>1305</v>
      </c>
      <c r="H2316" s="48" t="s">
        <v>6485</v>
      </c>
      <c r="I2316" s="48" t="s">
        <v>6485</v>
      </c>
      <c r="J2316" s="48" t="s">
        <v>6486</v>
      </c>
      <c r="K2316" s="48" t="s">
        <v>1329</v>
      </c>
      <c r="L2316" s="48" t="s">
        <v>6487</v>
      </c>
      <c r="M2316" s="48" t="s">
        <v>4432</v>
      </c>
      <c r="N2316" s="48" t="s">
        <v>1310</v>
      </c>
      <c r="O2316" s="48" t="s">
        <v>1311</v>
      </c>
      <c r="P2316" s="48" t="s">
        <v>1312</v>
      </c>
      <c r="Q2316" s="48" t="s">
        <v>31</v>
      </c>
      <c r="R2316" s="48" t="s">
        <v>31</v>
      </c>
      <c r="S2316" s="48" t="s">
        <v>31</v>
      </c>
      <c r="T2316" s="48" t="s">
        <v>31</v>
      </c>
      <c r="U2316" s="46" t="s">
        <v>1154</v>
      </c>
    </row>
    <row r="2317" spans="1:21">
      <c r="A2317" s="48" t="s">
        <v>1218</v>
      </c>
      <c r="B2317" s="48" t="s">
        <v>231</v>
      </c>
      <c r="C2317" s="48" t="s">
        <v>666</v>
      </c>
      <c r="D2317" s="48">
        <v>1</v>
      </c>
      <c r="E2317" s="48">
        <v>0</v>
      </c>
      <c r="F2317" t="s">
        <v>764</v>
      </c>
      <c r="G2317" s="48" t="s">
        <v>1305</v>
      </c>
      <c r="H2317" s="48" t="s">
        <v>6488</v>
      </c>
      <c r="I2317" s="48" t="s">
        <v>6488</v>
      </c>
      <c r="J2317" s="48" t="s">
        <v>6489</v>
      </c>
      <c r="K2317" s="48" t="s">
        <v>1323</v>
      </c>
      <c r="L2317" s="48" t="s">
        <v>6490</v>
      </c>
      <c r="M2317" s="48" t="s">
        <v>4432</v>
      </c>
      <c r="N2317" s="48" t="s">
        <v>1310</v>
      </c>
      <c r="O2317" s="48" t="s">
        <v>1311</v>
      </c>
      <c r="P2317" s="48" t="s">
        <v>1312</v>
      </c>
      <c r="Q2317" s="48" t="s">
        <v>31</v>
      </c>
      <c r="R2317" s="48" t="s">
        <v>31</v>
      </c>
      <c r="S2317" s="48" t="s">
        <v>31</v>
      </c>
      <c r="T2317" s="48" t="s">
        <v>31</v>
      </c>
      <c r="U2317" s="46" t="s">
        <v>1154</v>
      </c>
    </row>
    <row r="2318" spans="1:21">
      <c r="A2318" s="48" t="s">
        <v>1218</v>
      </c>
      <c r="B2318" s="48" t="s">
        <v>231</v>
      </c>
      <c r="C2318" s="48" t="s">
        <v>666</v>
      </c>
      <c r="D2318" s="48">
        <v>1</v>
      </c>
      <c r="E2318" s="48">
        <v>0</v>
      </c>
      <c r="F2318" t="s">
        <v>764</v>
      </c>
      <c r="G2318" s="48" t="s">
        <v>1305</v>
      </c>
      <c r="H2318" s="48" t="s">
        <v>6491</v>
      </c>
      <c r="I2318" s="48" t="s">
        <v>6491</v>
      </c>
      <c r="J2318" s="48" t="s">
        <v>6492</v>
      </c>
      <c r="K2318" s="48" t="s">
        <v>1307</v>
      </c>
      <c r="L2318" s="48" t="s">
        <v>6493</v>
      </c>
      <c r="M2318" s="48" t="s">
        <v>4432</v>
      </c>
      <c r="N2318" s="48" t="s">
        <v>1310</v>
      </c>
      <c r="O2318" s="48" t="s">
        <v>1311</v>
      </c>
      <c r="P2318" s="48" t="s">
        <v>1312</v>
      </c>
      <c r="Q2318" s="48" t="s">
        <v>31</v>
      </c>
      <c r="R2318" s="48" t="s">
        <v>31</v>
      </c>
      <c r="S2318" s="48" t="s">
        <v>31</v>
      </c>
      <c r="T2318" s="48" t="s">
        <v>31</v>
      </c>
      <c r="U2318" s="46" t="s">
        <v>1154</v>
      </c>
    </row>
    <row r="2319" spans="1:21">
      <c r="A2319" s="48" t="s">
        <v>1218</v>
      </c>
      <c r="B2319" s="48" t="s">
        <v>231</v>
      </c>
      <c r="C2319" s="48" t="s">
        <v>666</v>
      </c>
      <c r="D2319" s="48">
        <v>1</v>
      </c>
      <c r="E2319" s="48">
        <v>0</v>
      </c>
      <c r="F2319" t="s">
        <v>764</v>
      </c>
      <c r="G2319" s="48" t="s">
        <v>1305</v>
      </c>
      <c r="H2319" s="48" t="s">
        <v>6494</v>
      </c>
      <c r="I2319" s="48" t="s">
        <v>6494</v>
      </c>
      <c r="J2319" s="48" t="s">
        <v>6495</v>
      </c>
      <c r="K2319" s="48" t="s">
        <v>1314</v>
      </c>
      <c r="L2319" s="48" t="s">
        <v>6496</v>
      </c>
      <c r="M2319" s="48" t="s">
        <v>4432</v>
      </c>
      <c r="N2319" s="48" t="s">
        <v>1310</v>
      </c>
      <c r="O2319" s="48" t="s">
        <v>1311</v>
      </c>
      <c r="P2319" s="48" t="s">
        <v>1312</v>
      </c>
      <c r="Q2319" s="48" t="s">
        <v>31</v>
      </c>
      <c r="R2319" s="48" t="s">
        <v>31</v>
      </c>
      <c r="S2319" s="48" t="s">
        <v>31</v>
      </c>
      <c r="T2319" s="48" t="s">
        <v>31</v>
      </c>
      <c r="U2319" s="46" t="s">
        <v>1154</v>
      </c>
    </row>
    <row r="2320" spans="1:21">
      <c r="A2320" s="48" t="s">
        <v>1218</v>
      </c>
      <c r="B2320" s="48" t="s">
        <v>231</v>
      </c>
      <c r="C2320" s="48" t="s">
        <v>666</v>
      </c>
      <c r="D2320" s="48">
        <v>1</v>
      </c>
      <c r="E2320" s="48">
        <v>0</v>
      </c>
      <c r="F2320" t="s">
        <v>764</v>
      </c>
      <c r="G2320" s="48" t="s">
        <v>1305</v>
      </c>
      <c r="H2320" s="48" t="s">
        <v>6497</v>
      </c>
      <c r="I2320" s="48" t="s">
        <v>6497</v>
      </c>
      <c r="J2320" s="48" t="s">
        <v>6498</v>
      </c>
      <c r="K2320" s="48" t="s">
        <v>1317</v>
      </c>
      <c r="L2320" s="48" t="s">
        <v>6499</v>
      </c>
      <c r="M2320" s="48" t="s">
        <v>4432</v>
      </c>
      <c r="N2320" s="48" t="s">
        <v>1310</v>
      </c>
      <c r="O2320" s="48" t="s">
        <v>1311</v>
      </c>
      <c r="P2320" s="48" t="s">
        <v>1312</v>
      </c>
      <c r="Q2320" s="48" t="s">
        <v>31</v>
      </c>
      <c r="R2320" s="48" t="s">
        <v>31</v>
      </c>
      <c r="S2320" s="48" t="s">
        <v>31</v>
      </c>
      <c r="T2320" s="48" t="s">
        <v>31</v>
      </c>
      <c r="U2320" s="46" t="s">
        <v>1154</v>
      </c>
    </row>
    <row r="2321" spans="1:21">
      <c r="A2321" s="48" t="s">
        <v>1218</v>
      </c>
      <c r="B2321" s="48" t="s">
        <v>231</v>
      </c>
      <c r="C2321" s="48" t="s">
        <v>666</v>
      </c>
      <c r="D2321" s="48">
        <v>1</v>
      </c>
      <c r="E2321" s="48">
        <v>0</v>
      </c>
      <c r="F2321" t="s">
        <v>764</v>
      </c>
      <c r="G2321" s="48" t="s">
        <v>1305</v>
      </c>
      <c r="H2321" s="48" t="s">
        <v>6500</v>
      </c>
      <c r="I2321" s="48" t="s">
        <v>6500</v>
      </c>
      <c r="J2321" s="48" t="s">
        <v>6501</v>
      </c>
      <c r="K2321" s="48" t="s">
        <v>1320</v>
      </c>
      <c r="L2321" s="48" t="s">
        <v>6502</v>
      </c>
      <c r="M2321" s="48" t="s">
        <v>4432</v>
      </c>
      <c r="N2321" s="48" t="s">
        <v>1310</v>
      </c>
      <c r="O2321" s="48" t="s">
        <v>1311</v>
      </c>
      <c r="P2321" s="48" t="s">
        <v>1312</v>
      </c>
      <c r="Q2321" s="48" t="s">
        <v>31</v>
      </c>
      <c r="R2321" s="48" t="s">
        <v>31</v>
      </c>
      <c r="S2321" s="48" t="s">
        <v>31</v>
      </c>
      <c r="T2321" s="48" t="s">
        <v>31</v>
      </c>
      <c r="U2321" s="46" t="s">
        <v>1154</v>
      </c>
    </row>
    <row r="2322" spans="1:21">
      <c r="A2322" s="48" t="s">
        <v>1200</v>
      </c>
      <c r="B2322" s="48" t="s">
        <v>233</v>
      </c>
      <c r="C2322" s="48" t="s">
        <v>666</v>
      </c>
      <c r="D2322" s="48">
        <v>2</v>
      </c>
      <c r="E2322" s="48">
        <v>1</v>
      </c>
      <c r="F2322" t="s">
        <v>764</v>
      </c>
      <c r="G2322" s="48" t="s">
        <v>1305</v>
      </c>
      <c r="H2322" s="48" t="s">
        <v>6503</v>
      </c>
      <c r="I2322" s="48" t="s">
        <v>6503</v>
      </c>
      <c r="J2322" s="48" t="s">
        <v>6504</v>
      </c>
      <c r="K2322" s="48" t="s">
        <v>1307</v>
      </c>
      <c r="L2322" s="48" t="s">
        <v>6505</v>
      </c>
      <c r="M2322" s="48" t="s">
        <v>4432</v>
      </c>
      <c r="N2322" s="48" t="s">
        <v>1310</v>
      </c>
      <c r="O2322" s="48" t="s">
        <v>1311</v>
      </c>
      <c r="P2322" s="48" t="s">
        <v>1312</v>
      </c>
      <c r="Q2322" s="48" t="s">
        <v>31</v>
      </c>
      <c r="R2322" s="48" t="s">
        <v>31</v>
      </c>
      <c r="S2322" s="48" t="s">
        <v>31</v>
      </c>
      <c r="T2322" s="48" t="s">
        <v>31</v>
      </c>
      <c r="U2322" s="46" t="s">
        <v>1154</v>
      </c>
    </row>
    <row r="2323" spans="1:21">
      <c r="A2323" s="48" t="s">
        <v>1200</v>
      </c>
      <c r="B2323" s="48" t="s">
        <v>233</v>
      </c>
      <c r="C2323" s="48" t="s">
        <v>666</v>
      </c>
      <c r="D2323" s="48">
        <v>2</v>
      </c>
      <c r="E2323" s="48">
        <v>1</v>
      </c>
      <c r="F2323" t="s">
        <v>764</v>
      </c>
      <c r="G2323" s="48" t="s">
        <v>1305</v>
      </c>
      <c r="H2323" s="48" t="s">
        <v>6506</v>
      </c>
      <c r="I2323" s="48" t="s">
        <v>6506</v>
      </c>
      <c r="J2323" s="48" t="s">
        <v>6507</v>
      </c>
      <c r="K2323" s="48" t="s">
        <v>1332</v>
      </c>
      <c r="L2323" s="48" t="s">
        <v>6508</v>
      </c>
      <c r="M2323" s="48" t="s">
        <v>4432</v>
      </c>
      <c r="N2323" s="48" t="s">
        <v>1310</v>
      </c>
      <c r="O2323" s="48" t="s">
        <v>1311</v>
      </c>
      <c r="P2323" s="48" t="s">
        <v>1312</v>
      </c>
      <c r="Q2323" s="48" t="s">
        <v>31</v>
      </c>
      <c r="R2323" s="48" t="s">
        <v>31</v>
      </c>
      <c r="S2323" s="48" t="s">
        <v>31</v>
      </c>
      <c r="T2323" s="48" t="s">
        <v>31</v>
      </c>
      <c r="U2323" s="46" t="s">
        <v>1154</v>
      </c>
    </row>
    <row r="2324" spans="1:21">
      <c r="A2324" s="48" t="s">
        <v>1200</v>
      </c>
      <c r="B2324" s="48" t="s">
        <v>233</v>
      </c>
      <c r="C2324" s="48" t="s">
        <v>666</v>
      </c>
      <c r="D2324" s="48">
        <v>2</v>
      </c>
      <c r="E2324" s="48">
        <v>1</v>
      </c>
      <c r="F2324" t="s">
        <v>764</v>
      </c>
      <c r="G2324" s="48" t="s">
        <v>1305</v>
      </c>
      <c r="H2324" s="48" t="s">
        <v>6509</v>
      </c>
      <c r="I2324" s="48" t="s">
        <v>6509</v>
      </c>
      <c r="J2324" s="48" t="s">
        <v>6510</v>
      </c>
      <c r="K2324" s="48" t="s">
        <v>1320</v>
      </c>
      <c r="L2324" s="48" t="s">
        <v>6511</v>
      </c>
      <c r="M2324" s="48" t="s">
        <v>4432</v>
      </c>
      <c r="N2324" s="48" t="s">
        <v>1310</v>
      </c>
      <c r="O2324" s="48" t="s">
        <v>1311</v>
      </c>
      <c r="P2324" s="48" t="s">
        <v>1312</v>
      </c>
      <c r="Q2324" s="48" t="s">
        <v>31</v>
      </c>
      <c r="R2324" s="48" t="s">
        <v>31</v>
      </c>
      <c r="S2324" s="48" t="s">
        <v>31</v>
      </c>
      <c r="T2324" s="48" t="s">
        <v>31</v>
      </c>
      <c r="U2324" s="46" t="s">
        <v>1154</v>
      </c>
    </row>
    <row r="2325" spans="1:21">
      <c r="A2325" s="48" t="s">
        <v>1200</v>
      </c>
      <c r="B2325" s="48" t="s">
        <v>233</v>
      </c>
      <c r="C2325" s="48" t="s">
        <v>666</v>
      </c>
      <c r="D2325" s="48">
        <v>2</v>
      </c>
      <c r="E2325" s="48">
        <v>1</v>
      </c>
      <c r="F2325" t="s">
        <v>764</v>
      </c>
      <c r="G2325" s="48" t="s">
        <v>1305</v>
      </c>
      <c r="H2325" s="48" t="s">
        <v>6512</v>
      </c>
      <c r="I2325" s="48" t="s">
        <v>6512</v>
      </c>
      <c r="J2325" s="48" t="s">
        <v>6513</v>
      </c>
      <c r="K2325" s="48" t="s">
        <v>1323</v>
      </c>
      <c r="L2325" s="48" t="s">
        <v>6514</v>
      </c>
      <c r="M2325" s="48" t="s">
        <v>4432</v>
      </c>
      <c r="N2325" s="48" t="s">
        <v>1310</v>
      </c>
      <c r="O2325" s="48" t="s">
        <v>1311</v>
      </c>
      <c r="P2325" s="48" t="s">
        <v>1312</v>
      </c>
      <c r="Q2325" s="48" t="s">
        <v>31</v>
      </c>
      <c r="R2325" s="48" t="s">
        <v>31</v>
      </c>
      <c r="S2325" s="48" t="s">
        <v>31</v>
      </c>
      <c r="T2325" s="48" t="s">
        <v>31</v>
      </c>
      <c r="U2325" s="46" t="s">
        <v>1154</v>
      </c>
    </row>
    <row r="2326" spans="1:21">
      <c r="A2326" s="48" t="s">
        <v>1200</v>
      </c>
      <c r="B2326" s="48" t="s">
        <v>233</v>
      </c>
      <c r="C2326" s="48" t="s">
        <v>666</v>
      </c>
      <c r="D2326" s="48">
        <v>2</v>
      </c>
      <c r="E2326" s="48">
        <v>1</v>
      </c>
      <c r="F2326" t="s">
        <v>764</v>
      </c>
      <c r="G2326" s="48" t="s">
        <v>1305</v>
      </c>
      <c r="H2326" s="48" t="s">
        <v>6515</v>
      </c>
      <c r="I2326" s="48" t="s">
        <v>6515</v>
      </c>
      <c r="J2326" s="48" t="s">
        <v>6516</v>
      </c>
      <c r="K2326" s="48" t="s">
        <v>1314</v>
      </c>
      <c r="L2326" s="48" t="s">
        <v>6517</v>
      </c>
      <c r="M2326" s="48" t="s">
        <v>4432</v>
      </c>
      <c r="N2326" s="48" t="s">
        <v>1310</v>
      </c>
      <c r="O2326" s="48" t="s">
        <v>1311</v>
      </c>
      <c r="P2326" s="48" t="s">
        <v>1312</v>
      </c>
      <c r="Q2326" s="48" t="s">
        <v>31</v>
      </c>
      <c r="R2326" s="48" t="s">
        <v>31</v>
      </c>
      <c r="S2326" s="48" t="s">
        <v>31</v>
      </c>
      <c r="T2326" s="48" t="s">
        <v>31</v>
      </c>
      <c r="U2326" s="46" t="s">
        <v>1154</v>
      </c>
    </row>
    <row r="2327" spans="1:21">
      <c r="A2327" s="48" t="s">
        <v>1200</v>
      </c>
      <c r="B2327" s="48" t="s">
        <v>233</v>
      </c>
      <c r="C2327" s="48" t="s">
        <v>666</v>
      </c>
      <c r="D2327" s="48">
        <v>2</v>
      </c>
      <c r="E2327" s="48">
        <v>1</v>
      </c>
      <c r="F2327" t="s">
        <v>764</v>
      </c>
      <c r="G2327" s="48" t="s">
        <v>1305</v>
      </c>
      <c r="H2327" s="48" t="s">
        <v>6518</v>
      </c>
      <c r="I2327" s="48" t="s">
        <v>6518</v>
      </c>
      <c r="J2327" s="48" t="s">
        <v>6519</v>
      </c>
      <c r="K2327" s="48" t="s">
        <v>1326</v>
      </c>
      <c r="L2327" s="48" t="s">
        <v>6520</v>
      </c>
      <c r="M2327" s="48" t="s">
        <v>4432</v>
      </c>
      <c r="N2327" s="48" t="s">
        <v>1310</v>
      </c>
      <c r="O2327" s="48" t="s">
        <v>1311</v>
      </c>
      <c r="P2327" s="48" t="s">
        <v>1312</v>
      </c>
      <c r="Q2327" s="48" t="s">
        <v>31</v>
      </c>
      <c r="R2327" s="48" t="s">
        <v>31</v>
      </c>
      <c r="S2327" s="48" t="s">
        <v>31</v>
      </c>
      <c r="T2327" s="48" t="s">
        <v>31</v>
      </c>
      <c r="U2327" s="46" t="s">
        <v>1154</v>
      </c>
    </row>
    <row r="2328" spans="1:21">
      <c r="A2328" s="48" t="s">
        <v>1200</v>
      </c>
      <c r="B2328" s="48" t="s">
        <v>233</v>
      </c>
      <c r="C2328" s="48" t="s">
        <v>666</v>
      </c>
      <c r="D2328" s="48">
        <v>2</v>
      </c>
      <c r="E2328" s="48">
        <v>1</v>
      </c>
      <c r="F2328" t="s">
        <v>764</v>
      </c>
      <c r="G2328" s="48" t="s">
        <v>1305</v>
      </c>
      <c r="H2328" s="48" t="s">
        <v>6521</v>
      </c>
      <c r="I2328" s="48" t="s">
        <v>6521</v>
      </c>
      <c r="J2328" s="48" t="s">
        <v>6522</v>
      </c>
      <c r="K2328" s="48" t="s">
        <v>1329</v>
      </c>
      <c r="L2328" s="48" t="s">
        <v>6523</v>
      </c>
      <c r="M2328" s="48" t="s">
        <v>4432</v>
      </c>
      <c r="N2328" s="48" t="s">
        <v>1310</v>
      </c>
      <c r="O2328" s="48" t="s">
        <v>1311</v>
      </c>
      <c r="P2328" s="48" t="s">
        <v>1312</v>
      </c>
      <c r="Q2328" s="48" t="s">
        <v>31</v>
      </c>
      <c r="R2328" s="48" t="s">
        <v>31</v>
      </c>
      <c r="S2328" s="48" t="s">
        <v>31</v>
      </c>
      <c r="T2328" s="48" t="s">
        <v>31</v>
      </c>
      <c r="U2328" s="46" t="s">
        <v>1154</v>
      </c>
    </row>
    <row r="2329" spans="1:21">
      <c r="A2329" s="48" t="s">
        <v>1200</v>
      </c>
      <c r="B2329" s="48" t="s">
        <v>233</v>
      </c>
      <c r="C2329" s="48" t="s">
        <v>666</v>
      </c>
      <c r="D2329" s="48">
        <v>2</v>
      </c>
      <c r="E2329" s="48">
        <v>1</v>
      </c>
      <c r="F2329" t="s">
        <v>764</v>
      </c>
      <c r="G2329" s="48" t="s">
        <v>1305</v>
      </c>
      <c r="H2329" s="48" t="s">
        <v>6524</v>
      </c>
      <c r="I2329" s="48" t="s">
        <v>6524</v>
      </c>
      <c r="J2329" s="48" t="s">
        <v>6525</v>
      </c>
      <c r="K2329" s="48" t="s">
        <v>1317</v>
      </c>
      <c r="L2329" s="48" t="s">
        <v>6526</v>
      </c>
      <c r="M2329" s="48" t="s">
        <v>4432</v>
      </c>
      <c r="N2329" s="48" t="s">
        <v>1310</v>
      </c>
      <c r="O2329" s="48" t="s">
        <v>1311</v>
      </c>
      <c r="P2329" s="48" t="s">
        <v>1312</v>
      </c>
      <c r="Q2329" s="48" t="s">
        <v>31</v>
      </c>
      <c r="R2329" s="48" t="s">
        <v>31</v>
      </c>
      <c r="S2329" s="48" t="s">
        <v>31</v>
      </c>
      <c r="T2329" s="48" t="s">
        <v>31</v>
      </c>
      <c r="U2329" s="46" t="s">
        <v>1154</v>
      </c>
    </row>
    <row r="2330" spans="1:21">
      <c r="A2330" s="48" t="s">
        <v>1202</v>
      </c>
      <c r="B2330" s="48" t="s">
        <v>233</v>
      </c>
      <c r="C2330" s="48" t="s">
        <v>689</v>
      </c>
      <c r="D2330" s="48">
        <v>2</v>
      </c>
      <c r="E2330" s="48">
        <v>1</v>
      </c>
      <c r="F2330" t="s">
        <v>708</v>
      </c>
      <c r="G2330" s="48" t="s">
        <v>1305</v>
      </c>
      <c r="H2330" s="48" t="s">
        <v>6527</v>
      </c>
      <c r="I2330" s="48" t="s">
        <v>6527</v>
      </c>
      <c r="J2330" s="48" t="s">
        <v>6528</v>
      </c>
      <c r="K2330" s="48" t="s">
        <v>1332</v>
      </c>
      <c r="L2330" s="48" t="s">
        <v>6529</v>
      </c>
      <c r="M2330" s="48" t="s">
        <v>4432</v>
      </c>
      <c r="N2330" s="48" t="s">
        <v>1310</v>
      </c>
      <c r="O2330" s="48" t="s">
        <v>1311</v>
      </c>
      <c r="P2330" s="48" t="s">
        <v>1312</v>
      </c>
      <c r="Q2330" s="48" t="s">
        <v>31</v>
      </c>
      <c r="R2330" s="48" t="s">
        <v>31</v>
      </c>
      <c r="S2330" s="48" t="s">
        <v>31</v>
      </c>
      <c r="T2330" s="48" t="s">
        <v>31</v>
      </c>
      <c r="U2330" s="46" t="s">
        <v>1154</v>
      </c>
    </row>
    <row r="2331" spans="1:21">
      <c r="A2331" s="48" t="s">
        <v>1202</v>
      </c>
      <c r="B2331" s="48" t="s">
        <v>233</v>
      </c>
      <c r="C2331" s="48" t="s">
        <v>689</v>
      </c>
      <c r="D2331" s="48">
        <v>2</v>
      </c>
      <c r="E2331" s="48">
        <v>1</v>
      </c>
      <c r="F2331" t="s">
        <v>708</v>
      </c>
      <c r="G2331" s="48" t="s">
        <v>1305</v>
      </c>
      <c r="H2331" s="48" t="s">
        <v>6530</v>
      </c>
      <c r="I2331" s="48" t="s">
        <v>6530</v>
      </c>
      <c r="J2331" s="48" t="s">
        <v>6531</v>
      </c>
      <c r="K2331" s="48" t="s">
        <v>1320</v>
      </c>
      <c r="L2331" s="48" t="s">
        <v>6532</v>
      </c>
      <c r="M2331" s="48" t="s">
        <v>4432</v>
      </c>
      <c r="N2331" s="48" t="s">
        <v>1310</v>
      </c>
      <c r="O2331" s="48" t="s">
        <v>1311</v>
      </c>
      <c r="P2331" s="48" t="s">
        <v>1312</v>
      </c>
      <c r="Q2331" s="48" t="s">
        <v>31</v>
      </c>
      <c r="R2331" s="48" t="s">
        <v>31</v>
      </c>
      <c r="S2331" s="48" t="s">
        <v>31</v>
      </c>
      <c r="T2331" s="48" t="s">
        <v>31</v>
      </c>
      <c r="U2331" s="46" t="s">
        <v>1154</v>
      </c>
    </row>
    <row r="2332" spans="1:21">
      <c r="A2332" s="48" t="s">
        <v>1202</v>
      </c>
      <c r="B2332" s="48" t="s">
        <v>233</v>
      </c>
      <c r="C2332" s="48" t="s">
        <v>689</v>
      </c>
      <c r="D2332" s="48">
        <v>2</v>
      </c>
      <c r="E2332" s="48">
        <v>1</v>
      </c>
      <c r="F2332" t="s">
        <v>708</v>
      </c>
      <c r="G2332" s="48" t="s">
        <v>1305</v>
      </c>
      <c r="H2332" s="48" t="s">
        <v>6533</v>
      </c>
      <c r="I2332" s="48" t="s">
        <v>6533</v>
      </c>
      <c r="J2332" s="48" t="s">
        <v>6534</v>
      </c>
      <c r="K2332" s="48" t="s">
        <v>1323</v>
      </c>
      <c r="L2332" s="48" t="s">
        <v>6535</v>
      </c>
      <c r="M2332" s="48" t="s">
        <v>4432</v>
      </c>
      <c r="N2332" s="48" t="s">
        <v>1310</v>
      </c>
      <c r="O2332" s="48" t="s">
        <v>1311</v>
      </c>
      <c r="P2332" s="48" t="s">
        <v>1312</v>
      </c>
      <c r="Q2332" s="48" t="s">
        <v>31</v>
      </c>
      <c r="R2332" s="48" t="s">
        <v>31</v>
      </c>
      <c r="S2332" s="48" t="s">
        <v>31</v>
      </c>
      <c r="T2332" s="48" t="s">
        <v>31</v>
      </c>
      <c r="U2332" s="46" t="s">
        <v>1154</v>
      </c>
    </row>
    <row r="2333" spans="1:21">
      <c r="A2333" s="48" t="s">
        <v>1202</v>
      </c>
      <c r="B2333" s="48" t="s">
        <v>233</v>
      </c>
      <c r="C2333" s="48" t="s">
        <v>689</v>
      </c>
      <c r="D2333" s="48">
        <v>2</v>
      </c>
      <c r="E2333" s="48">
        <v>1</v>
      </c>
      <c r="F2333" t="s">
        <v>708</v>
      </c>
      <c r="G2333" s="48" t="s">
        <v>1305</v>
      </c>
      <c r="H2333" s="48" t="s">
        <v>6536</v>
      </c>
      <c r="I2333" s="48" t="s">
        <v>6536</v>
      </c>
      <c r="J2333" s="48" t="s">
        <v>6537</v>
      </c>
      <c r="K2333" s="48" t="s">
        <v>1317</v>
      </c>
      <c r="L2333" s="48" t="s">
        <v>6538</v>
      </c>
      <c r="M2333" s="48" t="s">
        <v>4432</v>
      </c>
      <c r="N2333" s="48" t="s">
        <v>1310</v>
      </c>
      <c r="O2333" s="48" t="s">
        <v>1311</v>
      </c>
      <c r="P2333" s="48" t="s">
        <v>1312</v>
      </c>
      <c r="Q2333" s="48" t="s">
        <v>31</v>
      </c>
      <c r="R2333" s="48" t="s">
        <v>31</v>
      </c>
      <c r="S2333" s="48" t="s">
        <v>31</v>
      </c>
      <c r="T2333" s="48" t="s">
        <v>31</v>
      </c>
      <c r="U2333" s="46" t="s">
        <v>1154</v>
      </c>
    </row>
    <row r="2334" spans="1:21">
      <c r="A2334" s="48" t="s">
        <v>1202</v>
      </c>
      <c r="B2334" s="48" t="s">
        <v>233</v>
      </c>
      <c r="C2334" s="48" t="s">
        <v>689</v>
      </c>
      <c r="D2334" s="48">
        <v>2</v>
      </c>
      <c r="E2334" s="48">
        <v>1</v>
      </c>
      <c r="F2334" t="s">
        <v>708</v>
      </c>
      <c r="G2334" s="48" t="s">
        <v>1305</v>
      </c>
      <c r="H2334" s="48" t="s">
        <v>6539</v>
      </c>
      <c r="I2334" s="48" t="s">
        <v>6539</v>
      </c>
      <c r="J2334" s="48" t="s">
        <v>6540</v>
      </c>
      <c r="K2334" s="48" t="s">
        <v>1307</v>
      </c>
      <c r="L2334" s="48" t="s">
        <v>6541</v>
      </c>
      <c r="M2334" s="48" t="s">
        <v>4432</v>
      </c>
      <c r="N2334" s="48" t="s">
        <v>1310</v>
      </c>
      <c r="O2334" s="48" t="s">
        <v>1311</v>
      </c>
      <c r="P2334" s="48" t="s">
        <v>1312</v>
      </c>
      <c r="Q2334" s="48" t="s">
        <v>31</v>
      </c>
      <c r="R2334" s="48" t="s">
        <v>31</v>
      </c>
      <c r="S2334" s="48" t="s">
        <v>31</v>
      </c>
      <c r="T2334" s="48" t="s">
        <v>31</v>
      </c>
      <c r="U2334" s="46" t="s">
        <v>1154</v>
      </c>
    </row>
    <row r="2335" spans="1:21">
      <c r="A2335" s="48" t="s">
        <v>1202</v>
      </c>
      <c r="B2335" s="48" t="s">
        <v>233</v>
      </c>
      <c r="C2335" s="48" t="s">
        <v>689</v>
      </c>
      <c r="D2335" s="48">
        <v>2</v>
      </c>
      <c r="E2335" s="48">
        <v>1</v>
      </c>
      <c r="F2335" t="s">
        <v>708</v>
      </c>
      <c r="G2335" s="48" t="s">
        <v>1305</v>
      </c>
      <c r="H2335" s="48" t="s">
        <v>6542</v>
      </c>
      <c r="I2335" s="48" t="s">
        <v>6542</v>
      </c>
      <c r="J2335" s="48" t="s">
        <v>6543</v>
      </c>
      <c r="K2335" s="48" t="s">
        <v>1326</v>
      </c>
      <c r="L2335" s="48" t="s">
        <v>6544</v>
      </c>
      <c r="M2335" s="48" t="s">
        <v>4432</v>
      </c>
      <c r="N2335" s="48" t="s">
        <v>1310</v>
      </c>
      <c r="O2335" s="48" t="s">
        <v>1311</v>
      </c>
      <c r="P2335" s="48" t="s">
        <v>1312</v>
      </c>
      <c r="Q2335" s="48" t="s">
        <v>31</v>
      </c>
      <c r="R2335" s="48" t="s">
        <v>31</v>
      </c>
      <c r="S2335" s="48" t="s">
        <v>31</v>
      </c>
      <c r="T2335" s="48" t="s">
        <v>31</v>
      </c>
      <c r="U2335" s="46" t="s">
        <v>1154</v>
      </c>
    </row>
    <row r="2336" spans="1:21">
      <c r="A2336" s="48" t="s">
        <v>1202</v>
      </c>
      <c r="B2336" s="48" t="s">
        <v>233</v>
      </c>
      <c r="C2336" s="48" t="s">
        <v>689</v>
      </c>
      <c r="D2336" s="48">
        <v>2</v>
      </c>
      <c r="E2336" s="48">
        <v>1</v>
      </c>
      <c r="F2336" t="s">
        <v>708</v>
      </c>
      <c r="G2336" s="48" t="s">
        <v>1305</v>
      </c>
      <c r="H2336" s="48" t="s">
        <v>6545</v>
      </c>
      <c r="I2336" s="48" t="s">
        <v>6545</v>
      </c>
      <c r="J2336" s="48" t="s">
        <v>6546</v>
      </c>
      <c r="K2336" s="48" t="s">
        <v>1314</v>
      </c>
      <c r="L2336" s="48" t="s">
        <v>6547</v>
      </c>
      <c r="M2336" s="48" t="s">
        <v>4432</v>
      </c>
      <c r="N2336" s="48" t="s">
        <v>1310</v>
      </c>
      <c r="O2336" s="48" t="s">
        <v>1311</v>
      </c>
      <c r="P2336" s="48" t="s">
        <v>1312</v>
      </c>
      <c r="Q2336" s="48" t="s">
        <v>31</v>
      </c>
      <c r="R2336" s="48" t="s">
        <v>31</v>
      </c>
      <c r="S2336" s="48" t="s">
        <v>31</v>
      </c>
      <c r="T2336" s="48" t="s">
        <v>31</v>
      </c>
      <c r="U2336" s="46" t="s">
        <v>1154</v>
      </c>
    </row>
    <row r="2337" spans="1:21">
      <c r="A2337" s="48" t="s">
        <v>1202</v>
      </c>
      <c r="B2337" s="48" t="s">
        <v>233</v>
      </c>
      <c r="C2337" s="48" t="s">
        <v>689</v>
      </c>
      <c r="D2337" s="48">
        <v>2</v>
      </c>
      <c r="E2337" s="48">
        <v>1</v>
      </c>
      <c r="F2337" t="s">
        <v>708</v>
      </c>
      <c r="G2337" s="48" t="s">
        <v>1305</v>
      </c>
      <c r="H2337" s="48" t="s">
        <v>6548</v>
      </c>
      <c r="I2337" s="48" t="s">
        <v>6548</v>
      </c>
      <c r="J2337" s="48" t="s">
        <v>6549</v>
      </c>
      <c r="K2337" s="48" t="s">
        <v>1329</v>
      </c>
      <c r="L2337" s="48" t="s">
        <v>6550</v>
      </c>
      <c r="M2337" s="48" t="s">
        <v>4432</v>
      </c>
      <c r="N2337" s="48" t="s">
        <v>1310</v>
      </c>
      <c r="O2337" s="48" t="s">
        <v>1311</v>
      </c>
      <c r="P2337" s="48" t="s">
        <v>1312</v>
      </c>
      <c r="Q2337" s="48" t="s">
        <v>31</v>
      </c>
      <c r="R2337" s="48" t="s">
        <v>31</v>
      </c>
      <c r="S2337" s="48" t="s">
        <v>31</v>
      </c>
      <c r="T2337" s="48" t="s">
        <v>31</v>
      </c>
      <c r="U2337" s="46" t="s">
        <v>1154</v>
      </c>
    </row>
    <row r="2338" spans="1:21">
      <c r="A2338" s="48" t="s">
        <v>1161</v>
      </c>
      <c r="B2338" s="48" t="s">
        <v>235</v>
      </c>
      <c r="C2338" s="48" t="s">
        <v>666</v>
      </c>
      <c r="D2338" s="48">
        <v>1</v>
      </c>
      <c r="E2338" s="48">
        <v>0</v>
      </c>
      <c r="F2338" t="s">
        <v>771</v>
      </c>
      <c r="G2338" s="48" t="s">
        <v>1305</v>
      </c>
      <c r="H2338" s="48" t="s">
        <v>6551</v>
      </c>
      <c r="I2338" s="48" t="s">
        <v>6551</v>
      </c>
      <c r="J2338" s="48" t="s">
        <v>6552</v>
      </c>
      <c r="K2338" s="48" t="s">
        <v>1320</v>
      </c>
      <c r="L2338" s="48" t="s">
        <v>6553</v>
      </c>
      <c r="M2338" s="48" t="s">
        <v>4432</v>
      </c>
      <c r="N2338" s="48" t="s">
        <v>1310</v>
      </c>
      <c r="O2338" s="48" t="s">
        <v>1311</v>
      </c>
      <c r="P2338" s="48" t="s">
        <v>1312</v>
      </c>
      <c r="Q2338" s="48" t="s">
        <v>31</v>
      </c>
      <c r="R2338" s="48" t="s">
        <v>31</v>
      </c>
      <c r="S2338" s="48" t="s">
        <v>31</v>
      </c>
      <c r="T2338" s="48" t="s">
        <v>31</v>
      </c>
      <c r="U2338" s="46" t="s">
        <v>1154</v>
      </c>
    </row>
    <row r="2339" spans="1:21">
      <c r="A2339" s="48" t="s">
        <v>1161</v>
      </c>
      <c r="B2339" s="48" t="s">
        <v>235</v>
      </c>
      <c r="C2339" s="48" t="s">
        <v>666</v>
      </c>
      <c r="D2339" s="48">
        <v>1</v>
      </c>
      <c r="E2339" s="48">
        <v>0</v>
      </c>
      <c r="F2339" t="s">
        <v>771</v>
      </c>
      <c r="G2339" s="48" t="s">
        <v>1305</v>
      </c>
      <c r="H2339" s="48" t="s">
        <v>6554</v>
      </c>
      <c r="I2339" s="48" t="s">
        <v>6554</v>
      </c>
      <c r="J2339" s="48" t="s">
        <v>6555</v>
      </c>
      <c r="K2339" s="48" t="s">
        <v>1326</v>
      </c>
      <c r="L2339" s="48" t="s">
        <v>6556</v>
      </c>
      <c r="M2339" s="48" t="s">
        <v>4432</v>
      </c>
      <c r="N2339" s="48" t="s">
        <v>1310</v>
      </c>
      <c r="O2339" s="48" t="s">
        <v>1311</v>
      </c>
      <c r="P2339" s="48" t="s">
        <v>1312</v>
      </c>
      <c r="Q2339" s="48" t="s">
        <v>31</v>
      </c>
      <c r="R2339" s="48" t="s">
        <v>31</v>
      </c>
      <c r="S2339" s="48" t="s">
        <v>31</v>
      </c>
      <c r="T2339" s="48" t="s">
        <v>31</v>
      </c>
      <c r="U2339" s="46" t="s">
        <v>1154</v>
      </c>
    </row>
    <row r="2340" spans="1:21">
      <c r="A2340" s="48" t="s">
        <v>1161</v>
      </c>
      <c r="B2340" s="48" t="s">
        <v>235</v>
      </c>
      <c r="C2340" s="48" t="s">
        <v>666</v>
      </c>
      <c r="D2340" s="48">
        <v>1</v>
      </c>
      <c r="E2340" s="48">
        <v>0</v>
      </c>
      <c r="F2340" t="s">
        <v>771</v>
      </c>
      <c r="G2340" s="48" t="s">
        <v>1305</v>
      </c>
      <c r="H2340" s="48" t="s">
        <v>6557</v>
      </c>
      <c r="I2340" s="48" t="s">
        <v>6557</v>
      </c>
      <c r="J2340" s="48" t="s">
        <v>6558</v>
      </c>
      <c r="K2340" s="48" t="s">
        <v>1323</v>
      </c>
      <c r="L2340" s="48" t="s">
        <v>6559</v>
      </c>
      <c r="M2340" s="48" t="s">
        <v>4432</v>
      </c>
      <c r="N2340" s="48" t="s">
        <v>1310</v>
      </c>
      <c r="O2340" s="48" t="s">
        <v>1311</v>
      </c>
      <c r="P2340" s="48" t="s">
        <v>1312</v>
      </c>
      <c r="Q2340" s="48" t="s">
        <v>31</v>
      </c>
      <c r="R2340" s="48" t="s">
        <v>31</v>
      </c>
      <c r="S2340" s="48" t="s">
        <v>31</v>
      </c>
      <c r="T2340" s="48" t="s">
        <v>31</v>
      </c>
      <c r="U2340" s="46" t="s">
        <v>1154</v>
      </c>
    </row>
    <row r="2341" spans="1:21">
      <c r="A2341" s="48" t="s">
        <v>1161</v>
      </c>
      <c r="B2341" s="48" t="s">
        <v>235</v>
      </c>
      <c r="C2341" s="48" t="s">
        <v>666</v>
      </c>
      <c r="D2341" s="48">
        <v>1</v>
      </c>
      <c r="E2341" s="48">
        <v>0</v>
      </c>
      <c r="F2341" t="s">
        <v>771</v>
      </c>
      <c r="G2341" s="48" t="s">
        <v>1305</v>
      </c>
      <c r="H2341" s="48" t="s">
        <v>6560</v>
      </c>
      <c r="I2341" s="48" t="s">
        <v>6560</v>
      </c>
      <c r="J2341" s="48" t="s">
        <v>6561</v>
      </c>
      <c r="K2341" s="48" t="s">
        <v>1332</v>
      </c>
      <c r="L2341" s="48" t="s">
        <v>6562</v>
      </c>
      <c r="M2341" s="48" t="s">
        <v>4432</v>
      </c>
      <c r="N2341" s="48" t="s">
        <v>1310</v>
      </c>
      <c r="O2341" s="48" t="s">
        <v>1311</v>
      </c>
      <c r="P2341" s="48" t="s">
        <v>1312</v>
      </c>
      <c r="Q2341" s="48" t="s">
        <v>31</v>
      </c>
      <c r="R2341" s="48" t="s">
        <v>31</v>
      </c>
      <c r="S2341" s="48" t="s">
        <v>31</v>
      </c>
      <c r="T2341" s="48" t="s">
        <v>31</v>
      </c>
      <c r="U2341" s="46" t="s">
        <v>1154</v>
      </c>
    </row>
    <row r="2342" spans="1:21">
      <c r="A2342" s="48" t="s">
        <v>1161</v>
      </c>
      <c r="B2342" s="48" t="s">
        <v>235</v>
      </c>
      <c r="C2342" s="48" t="s">
        <v>666</v>
      </c>
      <c r="D2342" s="48">
        <v>1</v>
      </c>
      <c r="E2342" s="48">
        <v>0</v>
      </c>
      <c r="F2342" t="s">
        <v>771</v>
      </c>
      <c r="G2342" s="48" t="s">
        <v>1305</v>
      </c>
      <c r="H2342" s="48" t="s">
        <v>6563</v>
      </c>
      <c r="I2342" s="48" t="s">
        <v>6563</v>
      </c>
      <c r="J2342" s="48" t="s">
        <v>6564</v>
      </c>
      <c r="K2342" s="48" t="s">
        <v>1307</v>
      </c>
      <c r="L2342" s="48" t="s">
        <v>6565</v>
      </c>
      <c r="M2342" s="48" t="s">
        <v>4432</v>
      </c>
      <c r="N2342" s="48" t="s">
        <v>1310</v>
      </c>
      <c r="O2342" s="48" t="s">
        <v>1311</v>
      </c>
      <c r="P2342" s="48" t="s">
        <v>1312</v>
      </c>
      <c r="Q2342" s="48" t="s">
        <v>31</v>
      </c>
      <c r="R2342" s="48" t="s">
        <v>31</v>
      </c>
      <c r="S2342" s="48" t="s">
        <v>31</v>
      </c>
      <c r="T2342" s="48" t="s">
        <v>31</v>
      </c>
      <c r="U2342" s="46" t="s">
        <v>1154</v>
      </c>
    </row>
    <row r="2343" spans="1:21">
      <c r="A2343" s="48" t="s">
        <v>1161</v>
      </c>
      <c r="B2343" s="48" t="s">
        <v>235</v>
      </c>
      <c r="C2343" s="48" t="s">
        <v>666</v>
      </c>
      <c r="D2343" s="48">
        <v>1</v>
      </c>
      <c r="E2343" s="48">
        <v>0</v>
      </c>
      <c r="F2343" t="s">
        <v>771</v>
      </c>
      <c r="G2343" s="48" t="s">
        <v>1305</v>
      </c>
      <c r="H2343" s="48" t="s">
        <v>6566</v>
      </c>
      <c r="I2343" s="48" t="s">
        <v>6566</v>
      </c>
      <c r="J2343" s="48" t="s">
        <v>6567</v>
      </c>
      <c r="K2343" s="48" t="s">
        <v>1329</v>
      </c>
      <c r="L2343" s="48" t="s">
        <v>6568</v>
      </c>
      <c r="M2343" s="48" t="s">
        <v>4432</v>
      </c>
      <c r="N2343" s="48" t="s">
        <v>1310</v>
      </c>
      <c r="O2343" s="48" t="s">
        <v>1311</v>
      </c>
      <c r="P2343" s="48" t="s">
        <v>1312</v>
      </c>
      <c r="Q2343" s="48" t="s">
        <v>31</v>
      </c>
      <c r="R2343" s="48" t="s">
        <v>31</v>
      </c>
      <c r="S2343" s="48" t="s">
        <v>31</v>
      </c>
      <c r="T2343" s="48" t="s">
        <v>31</v>
      </c>
      <c r="U2343" s="46" t="s">
        <v>1154</v>
      </c>
    </row>
    <row r="2344" spans="1:21">
      <c r="A2344" s="48" t="s">
        <v>1161</v>
      </c>
      <c r="B2344" s="48" t="s">
        <v>235</v>
      </c>
      <c r="C2344" s="48" t="s">
        <v>666</v>
      </c>
      <c r="D2344" s="48">
        <v>1</v>
      </c>
      <c r="E2344" s="48">
        <v>0</v>
      </c>
      <c r="F2344" t="s">
        <v>771</v>
      </c>
      <c r="G2344" s="48" t="s">
        <v>1305</v>
      </c>
      <c r="H2344" s="48" t="s">
        <v>6569</v>
      </c>
      <c r="I2344" s="48" t="s">
        <v>6569</v>
      </c>
      <c r="J2344" s="48" t="s">
        <v>6570</v>
      </c>
      <c r="K2344" s="48" t="s">
        <v>1317</v>
      </c>
      <c r="L2344" s="48" t="s">
        <v>6571</v>
      </c>
      <c r="M2344" s="48" t="s">
        <v>4432</v>
      </c>
      <c r="N2344" s="48" t="s">
        <v>1310</v>
      </c>
      <c r="O2344" s="48" t="s">
        <v>1311</v>
      </c>
      <c r="P2344" s="48" t="s">
        <v>1312</v>
      </c>
      <c r="Q2344" s="48" t="s">
        <v>31</v>
      </c>
      <c r="R2344" s="48" t="s">
        <v>31</v>
      </c>
      <c r="S2344" s="48" t="s">
        <v>31</v>
      </c>
      <c r="T2344" s="48" t="s">
        <v>31</v>
      </c>
      <c r="U2344" s="46" t="s">
        <v>1154</v>
      </c>
    </row>
    <row r="2345" spans="1:21">
      <c r="A2345" s="48" t="s">
        <v>1161</v>
      </c>
      <c r="B2345" s="48" t="s">
        <v>235</v>
      </c>
      <c r="C2345" s="48" t="s">
        <v>666</v>
      </c>
      <c r="D2345" s="48">
        <v>1</v>
      </c>
      <c r="E2345" s="48">
        <v>0</v>
      </c>
      <c r="F2345" t="s">
        <v>771</v>
      </c>
      <c r="G2345" s="48" t="s">
        <v>1305</v>
      </c>
      <c r="H2345" s="48" t="s">
        <v>6572</v>
      </c>
      <c r="I2345" s="48" t="s">
        <v>6572</v>
      </c>
      <c r="J2345" s="48" t="s">
        <v>6573</v>
      </c>
      <c r="K2345" s="48" t="s">
        <v>1314</v>
      </c>
      <c r="L2345" s="48" t="s">
        <v>6574</v>
      </c>
      <c r="M2345" s="48" t="s">
        <v>4432</v>
      </c>
      <c r="N2345" s="48" t="s">
        <v>1310</v>
      </c>
      <c r="O2345" s="48" t="s">
        <v>1311</v>
      </c>
      <c r="P2345" s="48" t="s">
        <v>1312</v>
      </c>
      <c r="Q2345" s="48" t="s">
        <v>31</v>
      </c>
      <c r="R2345" s="48" t="s">
        <v>31</v>
      </c>
      <c r="S2345" s="48" t="s">
        <v>31</v>
      </c>
      <c r="T2345" s="48" t="s">
        <v>31</v>
      </c>
      <c r="U2345" s="46" t="s">
        <v>1154</v>
      </c>
    </row>
    <row r="2346" spans="1:21">
      <c r="A2346" s="48" t="s">
        <v>1205</v>
      </c>
      <c r="B2346" s="48" t="s">
        <v>237</v>
      </c>
      <c r="C2346" s="48" t="s">
        <v>666</v>
      </c>
      <c r="D2346" s="48">
        <v>1</v>
      </c>
      <c r="E2346" s="48">
        <v>0</v>
      </c>
      <c r="F2346" t="s">
        <v>775</v>
      </c>
      <c r="G2346" s="48" t="s">
        <v>1305</v>
      </c>
      <c r="H2346" s="48" t="s">
        <v>6575</v>
      </c>
      <c r="I2346" s="48" t="s">
        <v>6575</v>
      </c>
      <c r="J2346" s="48" t="s">
        <v>6576</v>
      </c>
      <c r="K2346" s="48" t="s">
        <v>1326</v>
      </c>
      <c r="L2346" s="48" t="s">
        <v>6577</v>
      </c>
      <c r="M2346" s="48" t="s">
        <v>4432</v>
      </c>
      <c r="N2346" s="48" t="s">
        <v>1310</v>
      </c>
      <c r="O2346" s="48" t="s">
        <v>1311</v>
      </c>
      <c r="P2346" s="48" t="s">
        <v>1312</v>
      </c>
      <c r="Q2346" s="48" t="s">
        <v>31</v>
      </c>
      <c r="R2346" s="48" t="s">
        <v>31</v>
      </c>
      <c r="S2346" s="48" t="s">
        <v>31</v>
      </c>
      <c r="T2346" s="48" t="s">
        <v>31</v>
      </c>
      <c r="U2346" s="46" t="s">
        <v>1154</v>
      </c>
    </row>
    <row r="2347" spans="1:21">
      <c r="A2347" s="48" t="s">
        <v>1205</v>
      </c>
      <c r="B2347" s="48" t="s">
        <v>237</v>
      </c>
      <c r="C2347" s="48" t="s">
        <v>666</v>
      </c>
      <c r="D2347" s="48">
        <v>1</v>
      </c>
      <c r="E2347" s="48">
        <v>0</v>
      </c>
      <c r="F2347" t="s">
        <v>775</v>
      </c>
      <c r="G2347" s="48" t="s">
        <v>1305</v>
      </c>
      <c r="H2347" s="48" t="s">
        <v>6578</v>
      </c>
      <c r="I2347" s="48" t="s">
        <v>6578</v>
      </c>
      <c r="J2347" s="48" t="s">
        <v>6579</v>
      </c>
      <c r="K2347" s="48" t="s">
        <v>1314</v>
      </c>
      <c r="L2347" s="48" t="s">
        <v>6580</v>
      </c>
      <c r="M2347" s="48" t="s">
        <v>4432</v>
      </c>
      <c r="N2347" s="48" t="s">
        <v>1310</v>
      </c>
      <c r="O2347" s="48" t="s">
        <v>1311</v>
      </c>
      <c r="P2347" s="48" t="s">
        <v>1312</v>
      </c>
      <c r="Q2347" s="48" t="s">
        <v>31</v>
      </c>
      <c r="R2347" s="48" t="s">
        <v>31</v>
      </c>
      <c r="S2347" s="48" t="s">
        <v>31</v>
      </c>
      <c r="T2347" s="48" t="s">
        <v>31</v>
      </c>
      <c r="U2347" s="46" t="s">
        <v>1154</v>
      </c>
    </row>
    <row r="2348" spans="1:21">
      <c r="A2348" s="48" t="s">
        <v>1205</v>
      </c>
      <c r="B2348" s="48" t="s">
        <v>237</v>
      </c>
      <c r="C2348" s="48" t="s">
        <v>666</v>
      </c>
      <c r="D2348" s="48">
        <v>1</v>
      </c>
      <c r="E2348" s="48">
        <v>0</v>
      </c>
      <c r="F2348" t="s">
        <v>775</v>
      </c>
      <c r="G2348" s="48" t="s">
        <v>1305</v>
      </c>
      <c r="H2348" s="48" t="s">
        <v>6581</v>
      </c>
      <c r="I2348" s="48" t="s">
        <v>6581</v>
      </c>
      <c r="J2348" s="48" t="s">
        <v>6582</v>
      </c>
      <c r="K2348" s="48" t="s">
        <v>1332</v>
      </c>
      <c r="L2348" s="48" t="s">
        <v>6583</v>
      </c>
      <c r="M2348" s="48" t="s">
        <v>4432</v>
      </c>
      <c r="N2348" s="48" t="s">
        <v>1310</v>
      </c>
      <c r="O2348" s="48" t="s">
        <v>1311</v>
      </c>
      <c r="P2348" s="48" t="s">
        <v>1312</v>
      </c>
      <c r="Q2348" s="48" t="s">
        <v>31</v>
      </c>
      <c r="R2348" s="48" t="s">
        <v>31</v>
      </c>
      <c r="S2348" s="48" t="s">
        <v>31</v>
      </c>
      <c r="T2348" s="48" t="s">
        <v>31</v>
      </c>
      <c r="U2348" s="46" t="s">
        <v>1154</v>
      </c>
    </row>
    <row r="2349" spans="1:21">
      <c r="A2349" s="48" t="s">
        <v>1205</v>
      </c>
      <c r="B2349" s="48" t="s">
        <v>237</v>
      </c>
      <c r="C2349" s="48" t="s">
        <v>666</v>
      </c>
      <c r="D2349" s="48">
        <v>1</v>
      </c>
      <c r="E2349" s="48">
        <v>0</v>
      </c>
      <c r="F2349" t="s">
        <v>775</v>
      </c>
      <c r="G2349" s="48" t="s">
        <v>1305</v>
      </c>
      <c r="H2349" s="48" t="s">
        <v>6584</v>
      </c>
      <c r="I2349" s="48" t="s">
        <v>6584</v>
      </c>
      <c r="J2349" s="48" t="s">
        <v>6585</v>
      </c>
      <c r="K2349" s="48" t="s">
        <v>1329</v>
      </c>
      <c r="L2349" s="48" t="s">
        <v>6586</v>
      </c>
      <c r="M2349" s="48" t="s">
        <v>4432</v>
      </c>
      <c r="N2349" s="48" t="s">
        <v>1310</v>
      </c>
      <c r="O2349" s="48" t="s">
        <v>1311</v>
      </c>
      <c r="P2349" s="48" t="s">
        <v>1312</v>
      </c>
      <c r="Q2349" s="48" t="s">
        <v>31</v>
      </c>
      <c r="R2349" s="48" t="s">
        <v>31</v>
      </c>
      <c r="S2349" s="48" t="s">
        <v>31</v>
      </c>
      <c r="T2349" s="48" t="s">
        <v>31</v>
      </c>
      <c r="U2349" s="46" t="s">
        <v>1154</v>
      </c>
    </row>
    <row r="2350" spans="1:21">
      <c r="A2350" s="48" t="s">
        <v>1205</v>
      </c>
      <c r="B2350" s="48" t="s">
        <v>237</v>
      </c>
      <c r="C2350" s="48" t="s">
        <v>666</v>
      </c>
      <c r="D2350" s="48">
        <v>1</v>
      </c>
      <c r="E2350" s="48">
        <v>0</v>
      </c>
      <c r="F2350" t="s">
        <v>775</v>
      </c>
      <c r="G2350" s="48" t="s">
        <v>1305</v>
      </c>
      <c r="H2350" s="48" t="s">
        <v>6587</v>
      </c>
      <c r="I2350" s="48" t="s">
        <v>6587</v>
      </c>
      <c r="J2350" s="48" t="s">
        <v>6588</v>
      </c>
      <c r="K2350" s="48" t="s">
        <v>1317</v>
      </c>
      <c r="L2350" s="48" t="s">
        <v>6589</v>
      </c>
      <c r="M2350" s="48" t="s">
        <v>4432</v>
      </c>
      <c r="N2350" s="48" t="s">
        <v>1310</v>
      </c>
      <c r="O2350" s="48" t="s">
        <v>1311</v>
      </c>
      <c r="P2350" s="48" t="s">
        <v>1312</v>
      </c>
      <c r="Q2350" s="48" t="s">
        <v>31</v>
      </c>
      <c r="R2350" s="48" t="s">
        <v>31</v>
      </c>
      <c r="S2350" s="48" t="s">
        <v>31</v>
      </c>
      <c r="T2350" s="48" t="s">
        <v>31</v>
      </c>
      <c r="U2350" s="46" t="s">
        <v>1154</v>
      </c>
    </row>
    <row r="2351" spans="1:21">
      <c r="A2351" s="48" t="s">
        <v>1205</v>
      </c>
      <c r="B2351" s="48" t="s">
        <v>237</v>
      </c>
      <c r="C2351" s="48" t="s">
        <v>666</v>
      </c>
      <c r="D2351" s="48">
        <v>1</v>
      </c>
      <c r="E2351" s="48">
        <v>0</v>
      </c>
      <c r="F2351" t="s">
        <v>775</v>
      </c>
      <c r="G2351" s="48" t="s">
        <v>1305</v>
      </c>
      <c r="H2351" s="48" t="s">
        <v>6590</v>
      </c>
      <c r="I2351" s="48" t="s">
        <v>6590</v>
      </c>
      <c r="J2351" s="48" t="s">
        <v>6591</v>
      </c>
      <c r="K2351" s="48" t="s">
        <v>1307</v>
      </c>
      <c r="L2351" s="48" t="s">
        <v>6592</v>
      </c>
      <c r="M2351" s="48" t="s">
        <v>4432</v>
      </c>
      <c r="N2351" s="48" t="s">
        <v>1310</v>
      </c>
      <c r="O2351" s="48" t="s">
        <v>1311</v>
      </c>
      <c r="P2351" s="48" t="s">
        <v>1312</v>
      </c>
      <c r="Q2351" s="48" t="s">
        <v>31</v>
      </c>
      <c r="R2351" s="48" t="s">
        <v>31</v>
      </c>
      <c r="S2351" s="48" t="s">
        <v>31</v>
      </c>
      <c r="T2351" s="48" t="s">
        <v>31</v>
      </c>
      <c r="U2351" s="46" t="s">
        <v>1154</v>
      </c>
    </row>
    <row r="2352" spans="1:21">
      <c r="A2352" s="48" t="s">
        <v>1205</v>
      </c>
      <c r="B2352" s="48" t="s">
        <v>237</v>
      </c>
      <c r="C2352" s="48" t="s">
        <v>666</v>
      </c>
      <c r="D2352" s="48">
        <v>1</v>
      </c>
      <c r="E2352" s="48">
        <v>0</v>
      </c>
      <c r="F2352" t="s">
        <v>775</v>
      </c>
      <c r="G2352" s="48" t="s">
        <v>1305</v>
      </c>
      <c r="H2352" s="48" t="s">
        <v>6593</v>
      </c>
      <c r="I2352" s="48" t="s">
        <v>6593</v>
      </c>
      <c r="J2352" s="48" t="s">
        <v>6594</v>
      </c>
      <c r="K2352" s="48" t="s">
        <v>1320</v>
      </c>
      <c r="L2352" s="48" t="s">
        <v>6595</v>
      </c>
      <c r="M2352" s="48" t="s">
        <v>4432</v>
      </c>
      <c r="N2352" s="48" t="s">
        <v>1310</v>
      </c>
      <c r="O2352" s="48" t="s">
        <v>1311</v>
      </c>
      <c r="P2352" s="48" t="s">
        <v>1312</v>
      </c>
      <c r="Q2352" s="48" t="s">
        <v>31</v>
      </c>
      <c r="R2352" s="48" t="s">
        <v>31</v>
      </c>
      <c r="S2352" s="48" t="s">
        <v>31</v>
      </c>
      <c r="T2352" s="48" t="s">
        <v>31</v>
      </c>
      <c r="U2352" s="46" t="s">
        <v>1154</v>
      </c>
    </row>
    <row r="2353" spans="1:21">
      <c r="A2353" s="48" t="s">
        <v>1205</v>
      </c>
      <c r="B2353" s="48" t="s">
        <v>237</v>
      </c>
      <c r="C2353" s="48" t="s">
        <v>666</v>
      </c>
      <c r="D2353" s="48">
        <v>1</v>
      </c>
      <c r="E2353" s="48">
        <v>0</v>
      </c>
      <c r="F2353" t="s">
        <v>775</v>
      </c>
      <c r="G2353" s="48" t="s">
        <v>1305</v>
      </c>
      <c r="H2353" s="48" t="s">
        <v>6596</v>
      </c>
      <c r="I2353" s="48" t="s">
        <v>6596</v>
      </c>
      <c r="J2353" s="48" t="s">
        <v>6597</v>
      </c>
      <c r="K2353" s="48" t="s">
        <v>1323</v>
      </c>
      <c r="L2353" s="48" t="s">
        <v>6598</v>
      </c>
      <c r="M2353" s="48" t="s">
        <v>4432</v>
      </c>
      <c r="N2353" s="48" t="s">
        <v>1310</v>
      </c>
      <c r="O2353" s="48" t="s">
        <v>1311</v>
      </c>
      <c r="P2353" s="48" t="s">
        <v>1312</v>
      </c>
      <c r="Q2353" s="48" t="s">
        <v>31</v>
      </c>
      <c r="R2353" s="48" t="s">
        <v>31</v>
      </c>
      <c r="S2353" s="48" t="s">
        <v>31</v>
      </c>
      <c r="T2353" s="48" t="s">
        <v>31</v>
      </c>
      <c r="U2353" s="46" t="s">
        <v>1154</v>
      </c>
    </row>
    <row r="2354" spans="1:21">
      <c r="A2354" s="48" t="s">
        <v>1250</v>
      </c>
      <c r="B2354" s="48" t="s">
        <v>239</v>
      </c>
      <c r="C2354" s="48" t="s">
        <v>666</v>
      </c>
      <c r="D2354" s="48">
        <v>1</v>
      </c>
      <c r="E2354" s="48">
        <v>0</v>
      </c>
      <c r="F2354" t="s">
        <v>777</v>
      </c>
      <c r="G2354" s="48" t="s">
        <v>1305</v>
      </c>
      <c r="H2354" s="48" t="s">
        <v>6599</v>
      </c>
      <c r="I2354" s="48" t="s">
        <v>6599</v>
      </c>
      <c r="J2354" s="48" t="s">
        <v>6600</v>
      </c>
      <c r="K2354" s="48" t="s">
        <v>1314</v>
      </c>
      <c r="L2354" s="48" t="s">
        <v>6601</v>
      </c>
      <c r="M2354" s="48" t="s">
        <v>4432</v>
      </c>
      <c r="N2354" s="48" t="s">
        <v>1310</v>
      </c>
      <c r="O2354" s="48" t="s">
        <v>1311</v>
      </c>
      <c r="P2354" s="48" t="s">
        <v>1312</v>
      </c>
      <c r="Q2354" s="48" t="s">
        <v>31</v>
      </c>
      <c r="R2354" s="48" t="s">
        <v>31</v>
      </c>
      <c r="S2354" s="48" t="s">
        <v>31</v>
      </c>
      <c r="T2354" s="48" t="s">
        <v>31</v>
      </c>
      <c r="U2354" s="46" t="s">
        <v>1154</v>
      </c>
    </row>
    <row r="2355" spans="1:21">
      <c r="A2355" s="48" t="s">
        <v>1250</v>
      </c>
      <c r="B2355" s="48" t="s">
        <v>239</v>
      </c>
      <c r="C2355" s="48" t="s">
        <v>666</v>
      </c>
      <c r="D2355" s="48">
        <v>1</v>
      </c>
      <c r="E2355" s="48">
        <v>0</v>
      </c>
      <c r="F2355" t="s">
        <v>777</v>
      </c>
      <c r="G2355" s="48" t="s">
        <v>1305</v>
      </c>
      <c r="H2355" s="48" t="s">
        <v>6602</v>
      </c>
      <c r="I2355" s="48" t="s">
        <v>6602</v>
      </c>
      <c r="J2355" s="48" t="s">
        <v>6603</v>
      </c>
      <c r="K2355" s="48" t="s">
        <v>1320</v>
      </c>
      <c r="L2355" s="48" t="s">
        <v>6604</v>
      </c>
      <c r="M2355" s="48" t="s">
        <v>4432</v>
      </c>
      <c r="N2355" s="48" t="s">
        <v>1310</v>
      </c>
      <c r="O2355" s="48" t="s">
        <v>1311</v>
      </c>
      <c r="P2355" s="48" t="s">
        <v>1312</v>
      </c>
      <c r="Q2355" s="48" t="s">
        <v>31</v>
      </c>
      <c r="R2355" s="48" t="s">
        <v>31</v>
      </c>
      <c r="S2355" s="48" t="s">
        <v>31</v>
      </c>
      <c r="T2355" s="48" t="s">
        <v>31</v>
      </c>
      <c r="U2355" s="46" t="s">
        <v>1154</v>
      </c>
    </row>
    <row r="2356" spans="1:21">
      <c r="A2356" s="48" t="s">
        <v>1250</v>
      </c>
      <c r="B2356" s="48" t="s">
        <v>239</v>
      </c>
      <c r="C2356" s="48" t="s">
        <v>666</v>
      </c>
      <c r="D2356" s="48">
        <v>1</v>
      </c>
      <c r="E2356" s="48">
        <v>0</v>
      </c>
      <c r="F2356" t="s">
        <v>777</v>
      </c>
      <c r="G2356" s="48" t="s">
        <v>1305</v>
      </c>
      <c r="H2356" s="48" t="s">
        <v>6605</v>
      </c>
      <c r="I2356" s="48" t="s">
        <v>6605</v>
      </c>
      <c r="J2356" s="48" t="s">
        <v>6606</v>
      </c>
      <c r="K2356" s="48" t="s">
        <v>1332</v>
      </c>
      <c r="L2356" s="48" t="s">
        <v>6607</v>
      </c>
      <c r="M2356" s="48" t="s">
        <v>4432</v>
      </c>
      <c r="N2356" s="48" t="s">
        <v>1310</v>
      </c>
      <c r="O2356" s="48" t="s">
        <v>1311</v>
      </c>
      <c r="P2356" s="48" t="s">
        <v>1312</v>
      </c>
      <c r="Q2356" s="48" t="s">
        <v>31</v>
      </c>
      <c r="R2356" s="48" t="s">
        <v>31</v>
      </c>
      <c r="S2356" s="48" t="s">
        <v>31</v>
      </c>
      <c r="T2356" s="48" t="s">
        <v>31</v>
      </c>
      <c r="U2356" s="46" t="s">
        <v>1154</v>
      </c>
    </row>
    <row r="2357" spans="1:21">
      <c r="A2357" s="48" t="s">
        <v>1250</v>
      </c>
      <c r="B2357" s="48" t="s">
        <v>239</v>
      </c>
      <c r="C2357" s="48" t="s">
        <v>666</v>
      </c>
      <c r="D2357" s="48">
        <v>1</v>
      </c>
      <c r="E2357" s="48">
        <v>0</v>
      </c>
      <c r="F2357" t="s">
        <v>777</v>
      </c>
      <c r="G2357" s="48" t="s">
        <v>1305</v>
      </c>
      <c r="H2357" s="48" t="s">
        <v>6608</v>
      </c>
      <c r="I2357" s="48" t="s">
        <v>6608</v>
      </c>
      <c r="J2357" s="48" t="s">
        <v>6609</v>
      </c>
      <c r="K2357" s="48" t="s">
        <v>1326</v>
      </c>
      <c r="L2357" s="48" t="s">
        <v>6610</v>
      </c>
      <c r="M2357" s="48" t="s">
        <v>4432</v>
      </c>
      <c r="N2357" s="48" t="s">
        <v>1310</v>
      </c>
      <c r="O2357" s="48" t="s">
        <v>1311</v>
      </c>
      <c r="P2357" s="48" t="s">
        <v>1312</v>
      </c>
      <c r="Q2357" s="48" t="s">
        <v>31</v>
      </c>
      <c r="R2357" s="48" t="s">
        <v>31</v>
      </c>
      <c r="S2357" s="48" t="s">
        <v>31</v>
      </c>
      <c r="T2357" s="48" t="s">
        <v>31</v>
      </c>
      <c r="U2357" s="46" t="s">
        <v>1154</v>
      </c>
    </row>
    <row r="2358" spans="1:21">
      <c r="A2358" s="48" t="s">
        <v>1250</v>
      </c>
      <c r="B2358" s="48" t="s">
        <v>239</v>
      </c>
      <c r="C2358" s="48" t="s">
        <v>666</v>
      </c>
      <c r="D2358" s="48">
        <v>1</v>
      </c>
      <c r="E2358" s="48">
        <v>0</v>
      </c>
      <c r="F2358" t="s">
        <v>777</v>
      </c>
      <c r="G2358" s="48" t="s">
        <v>1305</v>
      </c>
      <c r="H2358" s="48" t="s">
        <v>6611</v>
      </c>
      <c r="I2358" s="48" t="s">
        <v>6611</v>
      </c>
      <c r="J2358" s="48" t="s">
        <v>6612</v>
      </c>
      <c r="K2358" s="48" t="s">
        <v>1317</v>
      </c>
      <c r="L2358" s="48" t="s">
        <v>6613</v>
      </c>
      <c r="M2358" s="48" t="s">
        <v>4432</v>
      </c>
      <c r="N2358" s="48" t="s">
        <v>1310</v>
      </c>
      <c r="O2358" s="48" t="s">
        <v>1311</v>
      </c>
      <c r="P2358" s="48" t="s">
        <v>1312</v>
      </c>
      <c r="Q2358" s="48" t="s">
        <v>31</v>
      </c>
      <c r="R2358" s="48" t="s">
        <v>31</v>
      </c>
      <c r="S2358" s="48" t="s">
        <v>31</v>
      </c>
      <c r="T2358" s="48" t="s">
        <v>31</v>
      </c>
      <c r="U2358" s="46" t="s">
        <v>1154</v>
      </c>
    </row>
    <row r="2359" spans="1:21">
      <c r="A2359" s="48" t="s">
        <v>1250</v>
      </c>
      <c r="B2359" s="48" t="s">
        <v>239</v>
      </c>
      <c r="C2359" s="48" t="s">
        <v>666</v>
      </c>
      <c r="D2359" s="48">
        <v>1</v>
      </c>
      <c r="E2359" s="48">
        <v>0</v>
      </c>
      <c r="F2359" t="s">
        <v>777</v>
      </c>
      <c r="G2359" s="48" t="s">
        <v>1305</v>
      </c>
      <c r="H2359" s="48" t="s">
        <v>6614</v>
      </c>
      <c r="I2359" s="48" t="s">
        <v>6614</v>
      </c>
      <c r="J2359" s="48" t="s">
        <v>6615</v>
      </c>
      <c r="K2359" s="48" t="s">
        <v>1329</v>
      </c>
      <c r="L2359" s="48" t="s">
        <v>6616</v>
      </c>
      <c r="M2359" s="48" t="s">
        <v>4432</v>
      </c>
      <c r="N2359" s="48" t="s">
        <v>1310</v>
      </c>
      <c r="O2359" s="48" t="s">
        <v>1311</v>
      </c>
      <c r="P2359" s="48" t="s">
        <v>1312</v>
      </c>
      <c r="Q2359" s="48" t="s">
        <v>31</v>
      </c>
      <c r="R2359" s="48" t="s">
        <v>31</v>
      </c>
      <c r="S2359" s="48" t="s">
        <v>31</v>
      </c>
      <c r="T2359" s="48" t="s">
        <v>31</v>
      </c>
      <c r="U2359" s="46" t="s">
        <v>1154</v>
      </c>
    </row>
    <row r="2360" spans="1:21">
      <c r="A2360" s="48" t="s">
        <v>1250</v>
      </c>
      <c r="B2360" s="48" t="s">
        <v>239</v>
      </c>
      <c r="C2360" s="48" t="s">
        <v>666</v>
      </c>
      <c r="D2360" s="48">
        <v>1</v>
      </c>
      <c r="E2360" s="48">
        <v>0</v>
      </c>
      <c r="F2360" t="s">
        <v>777</v>
      </c>
      <c r="G2360" s="48" t="s">
        <v>1305</v>
      </c>
      <c r="H2360" s="48" t="s">
        <v>6617</v>
      </c>
      <c r="I2360" s="48" t="s">
        <v>6617</v>
      </c>
      <c r="J2360" s="48" t="s">
        <v>6618</v>
      </c>
      <c r="K2360" s="48" t="s">
        <v>1307</v>
      </c>
      <c r="L2360" s="48" t="s">
        <v>6619</v>
      </c>
      <c r="M2360" s="48" t="s">
        <v>4432</v>
      </c>
      <c r="N2360" s="48" t="s">
        <v>1310</v>
      </c>
      <c r="O2360" s="48" t="s">
        <v>1311</v>
      </c>
      <c r="P2360" s="48" t="s">
        <v>1312</v>
      </c>
      <c r="Q2360" s="48" t="s">
        <v>31</v>
      </c>
      <c r="R2360" s="48" t="s">
        <v>31</v>
      </c>
      <c r="S2360" s="48" t="s">
        <v>31</v>
      </c>
      <c r="T2360" s="48" t="s">
        <v>31</v>
      </c>
      <c r="U2360" s="46" t="s">
        <v>1154</v>
      </c>
    </row>
    <row r="2361" spans="1:21">
      <c r="A2361" s="48" t="s">
        <v>1250</v>
      </c>
      <c r="B2361" s="48" t="s">
        <v>239</v>
      </c>
      <c r="C2361" s="48" t="s">
        <v>666</v>
      </c>
      <c r="D2361" s="48">
        <v>1</v>
      </c>
      <c r="E2361" s="48">
        <v>0</v>
      </c>
      <c r="F2361" t="s">
        <v>777</v>
      </c>
      <c r="G2361" s="48" t="s">
        <v>1305</v>
      </c>
      <c r="H2361" s="48" t="s">
        <v>6620</v>
      </c>
      <c r="I2361" s="48" t="s">
        <v>6620</v>
      </c>
      <c r="J2361" s="48" t="s">
        <v>6621</v>
      </c>
      <c r="K2361" s="48" t="s">
        <v>1323</v>
      </c>
      <c r="L2361" s="48" t="s">
        <v>6622</v>
      </c>
      <c r="M2361" s="48" t="s">
        <v>4432</v>
      </c>
      <c r="N2361" s="48" t="s">
        <v>1310</v>
      </c>
      <c r="O2361" s="48" t="s">
        <v>1311</v>
      </c>
      <c r="P2361" s="48" t="s">
        <v>1312</v>
      </c>
      <c r="Q2361" s="48" t="s">
        <v>31</v>
      </c>
      <c r="R2361" s="48" t="s">
        <v>31</v>
      </c>
      <c r="S2361" s="48" t="s">
        <v>31</v>
      </c>
      <c r="T2361" s="48" t="s">
        <v>31</v>
      </c>
      <c r="U2361" s="46" t="s">
        <v>1154</v>
      </c>
    </row>
    <row r="2362" spans="1:21">
      <c r="A2362" s="48" t="s">
        <v>1196</v>
      </c>
      <c r="B2362" s="48" t="s">
        <v>241</v>
      </c>
      <c r="C2362" s="48" t="s">
        <v>666</v>
      </c>
      <c r="D2362" s="48">
        <v>1</v>
      </c>
      <c r="E2362" s="48">
        <v>0</v>
      </c>
      <c r="F2362" t="s">
        <v>775</v>
      </c>
      <c r="G2362" s="48" t="s">
        <v>1305</v>
      </c>
      <c r="H2362" s="48" t="s">
        <v>4210</v>
      </c>
      <c r="I2362" s="48" t="s">
        <v>4210</v>
      </c>
      <c r="J2362" s="48" t="s">
        <v>6623</v>
      </c>
      <c r="K2362" s="48" t="s">
        <v>1317</v>
      </c>
      <c r="L2362" s="48" t="s">
        <v>6624</v>
      </c>
      <c r="M2362" s="48" t="s">
        <v>4432</v>
      </c>
      <c r="N2362" s="48" t="s">
        <v>1310</v>
      </c>
      <c r="O2362" s="48" t="s">
        <v>1311</v>
      </c>
      <c r="P2362" s="48" t="s">
        <v>1312</v>
      </c>
      <c r="Q2362" s="48" t="s">
        <v>31</v>
      </c>
      <c r="R2362" s="48" t="s">
        <v>31</v>
      </c>
      <c r="S2362" s="48" t="s">
        <v>31</v>
      </c>
      <c r="T2362" s="48" t="s">
        <v>31</v>
      </c>
      <c r="U2362" s="46" t="s">
        <v>1154</v>
      </c>
    </row>
    <row r="2363" spans="1:21">
      <c r="A2363" s="48" t="s">
        <v>1196</v>
      </c>
      <c r="B2363" s="48" t="s">
        <v>241</v>
      </c>
      <c r="C2363" s="48" t="s">
        <v>666</v>
      </c>
      <c r="D2363" s="48">
        <v>1</v>
      </c>
      <c r="E2363" s="48">
        <v>0</v>
      </c>
      <c r="F2363" t="s">
        <v>775</v>
      </c>
      <c r="G2363" s="48" t="s">
        <v>1305</v>
      </c>
      <c r="H2363" s="48" t="s">
        <v>4216</v>
      </c>
      <c r="I2363" s="48" t="s">
        <v>4216</v>
      </c>
      <c r="J2363" s="48" t="s">
        <v>6625</v>
      </c>
      <c r="K2363" s="48" t="s">
        <v>1326</v>
      </c>
      <c r="L2363" s="48" t="s">
        <v>6626</v>
      </c>
      <c r="M2363" s="48" t="s">
        <v>4432</v>
      </c>
      <c r="N2363" s="48" t="s">
        <v>1310</v>
      </c>
      <c r="O2363" s="48" t="s">
        <v>1311</v>
      </c>
      <c r="P2363" s="48" t="s">
        <v>1312</v>
      </c>
      <c r="Q2363" s="48" t="s">
        <v>31</v>
      </c>
      <c r="R2363" s="48" t="s">
        <v>31</v>
      </c>
      <c r="S2363" s="48" t="s">
        <v>31</v>
      </c>
      <c r="T2363" s="48" t="s">
        <v>31</v>
      </c>
      <c r="U2363" s="46" t="s">
        <v>1154</v>
      </c>
    </row>
    <row r="2364" spans="1:21">
      <c r="A2364" s="48" t="s">
        <v>1196</v>
      </c>
      <c r="B2364" s="48" t="s">
        <v>241</v>
      </c>
      <c r="C2364" s="48" t="s">
        <v>666</v>
      </c>
      <c r="D2364" s="48">
        <v>1</v>
      </c>
      <c r="E2364" s="48">
        <v>0</v>
      </c>
      <c r="F2364" t="s">
        <v>775</v>
      </c>
      <c r="G2364" s="48" t="s">
        <v>1305</v>
      </c>
      <c r="H2364" s="48" t="s">
        <v>4214</v>
      </c>
      <c r="I2364" s="48" t="s">
        <v>4214</v>
      </c>
      <c r="J2364" s="48" t="s">
        <v>6627</v>
      </c>
      <c r="K2364" s="48" t="s">
        <v>1323</v>
      </c>
      <c r="L2364" s="48" t="s">
        <v>6628</v>
      </c>
      <c r="M2364" s="48" t="s">
        <v>4432</v>
      </c>
      <c r="N2364" s="48" t="s">
        <v>1310</v>
      </c>
      <c r="O2364" s="48" t="s">
        <v>1311</v>
      </c>
      <c r="P2364" s="48" t="s">
        <v>1312</v>
      </c>
      <c r="Q2364" s="48" t="s">
        <v>31</v>
      </c>
      <c r="R2364" s="48" t="s">
        <v>31</v>
      </c>
      <c r="S2364" s="48" t="s">
        <v>31</v>
      </c>
      <c r="T2364" s="48" t="s">
        <v>31</v>
      </c>
      <c r="U2364" s="46" t="s">
        <v>1154</v>
      </c>
    </row>
    <row r="2365" spans="1:21">
      <c r="A2365" s="48" t="s">
        <v>1196</v>
      </c>
      <c r="B2365" s="48" t="s">
        <v>241</v>
      </c>
      <c r="C2365" s="48" t="s">
        <v>666</v>
      </c>
      <c r="D2365" s="48">
        <v>1</v>
      </c>
      <c r="E2365" s="48">
        <v>0</v>
      </c>
      <c r="F2365" t="s">
        <v>775</v>
      </c>
      <c r="G2365" s="48" t="s">
        <v>1305</v>
      </c>
      <c r="H2365" s="48" t="s">
        <v>4212</v>
      </c>
      <c r="I2365" s="48" t="s">
        <v>4212</v>
      </c>
      <c r="J2365" s="48" t="s">
        <v>6629</v>
      </c>
      <c r="K2365" s="48" t="s">
        <v>1320</v>
      </c>
      <c r="L2365" s="48" t="s">
        <v>6630</v>
      </c>
      <c r="M2365" s="48" t="s">
        <v>4432</v>
      </c>
      <c r="N2365" s="48" t="s">
        <v>1310</v>
      </c>
      <c r="O2365" s="48" t="s">
        <v>1311</v>
      </c>
      <c r="P2365" s="48" t="s">
        <v>1312</v>
      </c>
      <c r="Q2365" s="48" t="s">
        <v>31</v>
      </c>
      <c r="R2365" s="48" t="s">
        <v>31</v>
      </c>
      <c r="S2365" s="48" t="s">
        <v>31</v>
      </c>
      <c r="T2365" s="48" t="s">
        <v>31</v>
      </c>
      <c r="U2365" s="46" t="s">
        <v>1154</v>
      </c>
    </row>
    <row r="2366" spans="1:21">
      <c r="A2366" s="48" t="s">
        <v>1196</v>
      </c>
      <c r="B2366" s="48" t="s">
        <v>241</v>
      </c>
      <c r="C2366" s="48" t="s">
        <v>666</v>
      </c>
      <c r="D2366" s="48">
        <v>1</v>
      </c>
      <c r="E2366" s="48">
        <v>0</v>
      </c>
      <c r="F2366" t="s">
        <v>775</v>
      </c>
      <c r="G2366" s="48" t="s">
        <v>1305</v>
      </c>
      <c r="H2366" s="48" t="s">
        <v>4218</v>
      </c>
      <c r="I2366" s="48" t="s">
        <v>4218</v>
      </c>
      <c r="J2366" s="48" t="s">
        <v>6631</v>
      </c>
      <c r="K2366" s="48" t="s">
        <v>1329</v>
      </c>
      <c r="L2366" s="48" t="s">
        <v>6632</v>
      </c>
      <c r="M2366" s="48" t="s">
        <v>4432</v>
      </c>
      <c r="N2366" s="48" t="s">
        <v>1310</v>
      </c>
      <c r="O2366" s="48" t="s">
        <v>1311</v>
      </c>
      <c r="P2366" s="48" t="s">
        <v>1312</v>
      </c>
      <c r="Q2366" s="48" t="s">
        <v>31</v>
      </c>
      <c r="R2366" s="48" t="s">
        <v>31</v>
      </c>
      <c r="S2366" s="48" t="s">
        <v>31</v>
      </c>
      <c r="T2366" s="48" t="s">
        <v>31</v>
      </c>
      <c r="U2366" s="46" t="s">
        <v>1154</v>
      </c>
    </row>
    <row r="2367" spans="1:21">
      <c r="A2367" s="48" t="s">
        <v>1196</v>
      </c>
      <c r="B2367" s="48" t="s">
        <v>241</v>
      </c>
      <c r="C2367" s="48" t="s">
        <v>666</v>
      </c>
      <c r="D2367" s="48">
        <v>1</v>
      </c>
      <c r="E2367" s="48">
        <v>0</v>
      </c>
      <c r="F2367" t="s">
        <v>775</v>
      </c>
      <c r="G2367" s="48" t="s">
        <v>1305</v>
      </c>
      <c r="H2367" s="48" t="s">
        <v>4208</v>
      </c>
      <c r="I2367" s="48" t="s">
        <v>4208</v>
      </c>
      <c r="J2367" s="48" t="s">
        <v>6633</v>
      </c>
      <c r="K2367" s="48" t="s">
        <v>1314</v>
      </c>
      <c r="L2367" s="48" t="s">
        <v>6634</v>
      </c>
      <c r="M2367" s="48" t="s">
        <v>4432</v>
      </c>
      <c r="N2367" s="48" t="s">
        <v>1310</v>
      </c>
      <c r="O2367" s="48" t="s">
        <v>1311</v>
      </c>
      <c r="P2367" s="48" t="s">
        <v>1312</v>
      </c>
      <c r="Q2367" s="48" t="s">
        <v>31</v>
      </c>
      <c r="R2367" s="48" t="s">
        <v>31</v>
      </c>
      <c r="S2367" s="48" t="s">
        <v>31</v>
      </c>
      <c r="T2367" s="48" t="s">
        <v>31</v>
      </c>
      <c r="U2367" s="46" t="s">
        <v>1154</v>
      </c>
    </row>
    <row r="2368" spans="1:21">
      <c r="A2368" s="48" t="s">
        <v>1196</v>
      </c>
      <c r="B2368" s="48" t="s">
        <v>241</v>
      </c>
      <c r="C2368" s="48" t="s">
        <v>666</v>
      </c>
      <c r="D2368" s="48">
        <v>1</v>
      </c>
      <c r="E2368" s="48">
        <v>0</v>
      </c>
      <c r="F2368" t="s">
        <v>775</v>
      </c>
      <c r="G2368" s="48" t="s">
        <v>1305</v>
      </c>
      <c r="H2368" s="48" t="s">
        <v>4220</v>
      </c>
      <c r="I2368" s="48" t="s">
        <v>4220</v>
      </c>
      <c r="J2368" s="48" t="s">
        <v>6635</v>
      </c>
      <c r="K2368" s="48" t="s">
        <v>1332</v>
      </c>
      <c r="L2368" s="48" t="s">
        <v>6636</v>
      </c>
      <c r="M2368" s="48" t="s">
        <v>4432</v>
      </c>
      <c r="N2368" s="48" t="s">
        <v>1310</v>
      </c>
      <c r="O2368" s="48" t="s">
        <v>1311</v>
      </c>
      <c r="P2368" s="48" t="s">
        <v>1312</v>
      </c>
      <c r="Q2368" s="48" t="s">
        <v>31</v>
      </c>
      <c r="R2368" s="48" t="s">
        <v>31</v>
      </c>
      <c r="S2368" s="48" t="s">
        <v>31</v>
      </c>
      <c r="T2368" s="48" t="s">
        <v>31</v>
      </c>
      <c r="U2368" s="46" t="s">
        <v>1154</v>
      </c>
    </row>
    <row r="2369" spans="1:21">
      <c r="A2369" s="48" t="s">
        <v>1196</v>
      </c>
      <c r="B2369" s="48" t="s">
        <v>241</v>
      </c>
      <c r="C2369" s="48" t="s">
        <v>666</v>
      </c>
      <c r="D2369" s="48">
        <v>1</v>
      </c>
      <c r="E2369" s="48">
        <v>0</v>
      </c>
      <c r="F2369" t="s">
        <v>775</v>
      </c>
      <c r="G2369" s="48" t="s">
        <v>1305</v>
      </c>
      <c r="H2369" s="48" t="s">
        <v>4206</v>
      </c>
      <c r="I2369" s="48" t="s">
        <v>4206</v>
      </c>
      <c r="J2369" s="48" t="s">
        <v>6637</v>
      </c>
      <c r="K2369" s="48" t="s">
        <v>1307</v>
      </c>
      <c r="L2369" s="48" t="s">
        <v>6638</v>
      </c>
      <c r="M2369" s="48" t="s">
        <v>4432</v>
      </c>
      <c r="N2369" s="48" t="s">
        <v>1310</v>
      </c>
      <c r="O2369" s="48" t="s">
        <v>1311</v>
      </c>
      <c r="P2369" s="48" t="s">
        <v>1312</v>
      </c>
      <c r="Q2369" s="48" t="s">
        <v>31</v>
      </c>
      <c r="R2369" s="48" t="s">
        <v>31</v>
      </c>
      <c r="S2369" s="48" t="s">
        <v>31</v>
      </c>
      <c r="T2369" s="48" t="s">
        <v>31</v>
      </c>
      <c r="U2369" s="46" t="s">
        <v>1154</v>
      </c>
    </row>
    <row r="2370" spans="1:21">
      <c r="A2370" s="48" t="s">
        <v>1194</v>
      </c>
      <c r="B2370" s="48" t="s">
        <v>243</v>
      </c>
      <c r="C2370" s="48" t="s">
        <v>666</v>
      </c>
      <c r="D2370" s="48">
        <v>1</v>
      </c>
      <c r="E2370" s="48">
        <v>0</v>
      </c>
      <c r="F2370" t="s">
        <v>750</v>
      </c>
      <c r="G2370" s="48" t="s">
        <v>1305</v>
      </c>
      <c r="H2370" s="48" t="s">
        <v>6639</v>
      </c>
      <c r="I2370" s="48" t="s">
        <v>6639</v>
      </c>
      <c r="J2370" s="48" t="s">
        <v>6640</v>
      </c>
      <c r="K2370" s="48" t="s">
        <v>1323</v>
      </c>
      <c r="L2370" s="48" t="s">
        <v>6641</v>
      </c>
      <c r="M2370" s="48" t="s">
        <v>4432</v>
      </c>
      <c r="N2370" s="48" t="s">
        <v>1310</v>
      </c>
      <c r="O2370" s="48" t="s">
        <v>1311</v>
      </c>
      <c r="P2370" s="48" t="s">
        <v>1312</v>
      </c>
      <c r="Q2370" s="48" t="s">
        <v>31</v>
      </c>
      <c r="R2370" s="48" t="s">
        <v>31</v>
      </c>
      <c r="S2370" s="48" t="s">
        <v>31</v>
      </c>
      <c r="T2370" s="48" t="s">
        <v>31</v>
      </c>
      <c r="U2370" s="46" t="s">
        <v>1154</v>
      </c>
    </row>
    <row r="2371" spans="1:21">
      <c r="A2371" s="48" t="s">
        <v>1194</v>
      </c>
      <c r="B2371" s="48" t="s">
        <v>243</v>
      </c>
      <c r="C2371" s="48" t="s">
        <v>666</v>
      </c>
      <c r="D2371" s="48">
        <v>1</v>
      </c>
      <c r="E2371" s="48">
        <v>0</v>
      </c>
      <c r="F2371" t="s">
        <v>750</v>
      </c>
      <c r="G2371" s="48" t="s">
        <v>1305</v>
      </c>
      <c r="H2371" s="48" t="s">
        <v>6642</v>
      </c>
      <c r="I2371" s="48" t="s">
        <v>6642</v>
      </c>
      <c r="J2371" s="48" t="s">
        <v>6643</v>
      </c>
      <c r="K2371" s="48" t="s">
        <v>1329</v>
      </c>
      <c r="L2371" s="48" t="s">
        <v>6644</v>
      </c>
      <c r="M2371" s="48" t="s">
        <v>4432</v>
      </c>
      <c r="N2371" s="48" t="s">
        <v>1310</v>
      </c>
      <c r="O2371" s="48" t="s">
        <v>1311</v>
      </c>
      <c r="P2371" s="48" t="s">
        <v>1312</v>
      </c>
      <c r="Q2371" s="48" t="s">
        <v>31</v>
      </c>
      <c r="R2371" s="48" t="s">
        <v>31</v>
      </c>
      <c r="S2371" s="48" t="s">
        <v>31</v>
      </c>
      <c r="T2371" s="48" t="s">
        <v>31</v>
      </c>
      <c r="U2371" s="46" t="s">
        <v>1154</v>
      </c>
    </row>
    <row r="2372" spans="1:21">
      <c r="A2372" s="48" t="s">
        <v>1194</v>
      </c>
      <c r="B2372" s="48" t="s">
        <v>243</v>
      </c>
      <c r="C2372" s="48" t="s">
        <v>666</v>
      </c>
      <c r="D2372" s="48">
        <v>1</v>
      </c>
      <c r="E2372" s="48">
        <v>0</v>
      </c>
      <c r="F2372" t="s">
        <v>750</v>
      </c>
      <c r="G2372" s="48" t="s">
        <v>1305</v>
      </c>
      <c r="H2372" s="48" t="s">
        <v>6645</v>
      </c>
      <c r="I2372" s="48" t="s">
        <v>6645</v>
      </c>
      <c r="J2372" s="48" t="s">
        <v>6646</v>
      </c>
      <c r="K2372" s="48" t="s">
        <v>1320</v>
      </c>
      <c r="L2372" s="48" t="s">
        <v>6647</v>
      </c>
      <c r="M2372" s="48" t="s">
        <v>4432</v>
      </c>
      <c r="N2372" s="48" t="s">
        <v>1310</v>
      </c>
      <c r="O2372" s="48" t="s">
        <v>1311</v>
      </c>
      <c r="P2372" s="48" t="s">
        <v>1312</v>
      </c>
      <c r="Q2372" s="48" t="s">
        <v>31</v>
      </c>
      <c r="R2372" s="48" t="s">
        <v>31</v>
      </c>
      <c r="S2372" s="48" t="s">
        <v>31</v>
      </c>
      <c r="T2372" s="48" t="s">
        <v>31</v>
      </c>
      <c r="U2372" s="46" t="s">
        <v>1154</v>
      </c>
    </row>
    <row r="2373" spans="1:21">
      <c r="A2373" s="48" t="s">
        <v>1194</v>
      </c>
      <c r="B2373" s="48" t="s">
        <v>243</v>
      </c>
      <c r="C2373" s="48" t="s">
        <v>666</v>
      </c>
      <c r="D2373" s="48">
        <v>1</v>
      </c>
      <c r="E2373" s="48">
        <v>0</v>
      </c>
      <c r="F2373" t="s">
        <v>750</v>
      </c>
      <c r="G2373" s="48" t="s">
        <v>1305</v>
      </c>
      <c r="H2373" s="48" t="s">
        <v>6648</v>
      </c>
      <c r="I2373" s="48" t="s">
        <v>6648</v>
      </c>
      <c r="J2373" s="48" t="s">
        <v>6649</v>
      </c>
      <c r="K2373" s="48" t="s">
        <v>1317</v>
      </c>
      <c r="L2373" s="48" t="s">
        <v>6650</v>
      </c>
      <c r="M2373" s="48" t="s">
        <v>4432</v>
      </c>
      <c r="N2373" s="48" t="s">
        <v>1310</v>
      </c>
      <c r="O2373" s="48" t="s">
        <v>1311</v>
      </c>
      <c r="P2373" s="48" t="s">
        <v>1312</v>
      </c>
      <c r="Q2373" s="48" t="s">
        <v>31</v>
      </c>
      <c r="R2373" s="48" t="s">
        <v>31</v>
      </c>
      <c r="S2373" s="48" t="s">
        <v>31</v>
      </c>
      <c r="T2373" s="48" t="s">
        <v>31</v>
      </c>
      <c r="U2373" s="46" t="s">
        <v>1154</v>
      </c>
    </row>
    <row r="2374" spans="1:21">
      <c r="A2374" s="48" t="s">
        <v>1194</v>
      </c>
      <c r="B2374" s="48" t="s">
        <v>243</v>
      </c>
      <c r="C2374" s="48" t="s">
        <v>666</v>
      </c>
      <c r="D2374" s="48">
        <v>1</v>
      </c>
      <c r="E2374" s="48">
        <v>0</v>
      </c>
      <c r="F2374" t="s">
        <v>750</v>
      </c>
      <c r="G2374" s="48" t="s">
        <v>1305</v>
      </c>
      <c r="H2374" s="48" t="s">
        <v>6651</v>
      </c>
      <c r="I2374" s="48" t="s">
        <v>6651</v>
      </c>
      <c r="J2374" s="48" t="s">
        <v>6652</v>
      </c>
      <c r="K2374" s="48" t="s">
        <v>1307</v>
      </c>
      <c r="L2374" s="48" t="s">
        <v>6653</v>
      </c>
      <c r="M2374" s="48" t="s">
        <v>4432</v>
      </c>
      <c r="N2374" s="48" t="s">
        <v>1310</v>
      </c>
      <c r="O2374" s="48" t="s">
        <v>1311</v>
      </c>
      <c r="P2374" s="48" t="s">
        <v>1312</v>
      </c>
      <c r="Q2374" s="48" t="s">
        <v>31</v>
      </c>
      <c r="R2374" s="48" t="s">
        <v>31</v>
      </c>
      <c r="S2374" s="48" t="s">
        <v>31</v>
      </c>
      <c r="T2374" s="48" t="s">
        <v>31</v>
      </c>
      <c r="U2374" s="46" t="s">
        <v>1154</v>
      </c>
    </row>
    <row r="2375" spans="1:21">
      <c r="A2375" s="48" t="s">
        <v>1194</v>
      </c>
      <c r="B2375" s="48" t="s">
        <v>243</v>
      </c>
      <c r="C2375" s="48" t="s">
        <v>666</v>
      </c>
      <c r="D2375" s="48">
        <v>1</v>
      </c>
      <c r="E2375" s="48">
        <v>0</v>
      </c>
      <c r="F2375" t="s">
        <v>750</v>
      </c>
      <c r="G2375" s="48" t="s">
        <v>1305</v>
      </c>
      <c r="H2375" s="48" t="s">
        <v>6654</v>
      </c>
      <c r="I2375" s="48" t="s">
        <v>6654</v>
      </c>
      <c r="J2375" s="48" t="s">
        <v>6655</v>
      </c>
      <c r="K2375" s="48" t="s">
        <v>1332</v>
      </c>
      <c r="L2375" s="48" t="s">
        <v>6656</v>
      </c>
      <c r="M2375" s="48" t="s">
        <v>4432</v>
      </c>
      <c r="N2375" s="48" t="s">
        <v>1310</v>
      </c>
      <c r="O2375" s="48" t="s">
        <v>1311</v>
      </c>
      <c r="P2375" s="48" t="s">
        <v>1312</v>
      </c>
      <c r="Q2375" s="48" t="s">
        <v>31</v>
      </c>
      <c r="R2375" s="48" t="s">
        <v>31</v>
      </c>
      <c r="S2375" s="48" t="s">
        <v>31</v>
      </c>
      <c r="T2375" s="48" t="s">
        <v>31</v>
      </c>
      <c r="U2375" s="46" t="s">
        <v>1154</v>
      </c>
    </row>
    <row r="2376" spans="1:21">
      <c r="A2376" s="48" t="s">
        <v>1194</v>
      </c>
      <c r="B2376" s="48" t="s">
        <v>243</v>
      </c>
      <c r="C2376" s="48" t="s">
        <v>666</v>
      </c>
      <c r="D2376" s="48">
        <v>1</v>
      </c>
      <c r="E2376" s="48">
        <v>0</v>
      </c>
      <c r="F2376" t="s">
        <v>750</v>
      </c>
      <c r="G2376" s="48" t="s">
        <v>1305</v>
      </c>
      <c r="H2376" s="48" t="s">
        <v>6657</v>
      </c>
      <c r="I2376" s="48" t="s">
        <v>6657</v>
      </c>
      <c r="J2376" s="48" t="s">
        <v>6658</v>
      </c>
      <c r="K2376" s="48" t="s">
        <v>1314</v>
      </c>
      <c r="L2376" s="48" t="s">
        <v>6659</v>
      </c>
      <c r="M2376" s="48" t="s">
        <v>4432</v>
      </c>
      <c r="N2376" s="48" t="s">
        <v>1310</v>
      </c>
      <c r="O2376" s="48" t="s">
        <v>1311</v>
      </c>
      <c r="P2376" s="48" t="s">
        <v>1312</v>
      </c>
      <c r="Q2376" s="48" t="s">
        <v>31</v>
      </c>
      <c r="R2376" s="48" t="s">
        <v>31</v>
      </c>
      <c r="S2376" s="48" t="s">
        <v>31</v>
      </c>
      <c r="T2376" s="48" t="s">
        <v>31</v>
      </c>
      <c r="U2376" s="46" t="s">
        <v>1154</v>
      </c>
    </row>
    <row r="2377" spans="1:21">
      <c r="A2377" s="48" t="s">
        <v>1194</v>
      </c>
      <c r="B2377" s="48" t="s">
        <v>243</v>
      </c>
      <c r="C2377" s="48" t="s">
        <v>666</v>
      </c>
      <c r="D2377" s="48">
        <v>1</v>
      </c>
      <c r="E2377" s="48">
        <v>0</v>
      </c>
      <c r="F2377" t="s">
        <v>750</v>
      </c>
      <c r="G2377" s="48" t="s">
        <v>1305</v>
      </c>
      <c r="H2377" s="48" t="s">
        <v>6660</v>
      </c>
      <c r="I2377" s="48" t="s">
        <v>6660</v>
      </c>
      <c r="J2377" s="48" t="s">
        <v>6661</v>
      </c>
      <c r="K2377" s="48" t="s">
        <v>1326</v>
      </c>
      <c r="L2377" s="48" t="s">
        <v>6662</v>
      </c>
      <c r="M2377" s="48" t="s">
        <v>4432</v>
      </c>
      <c r="N2377" s="48" t="s">
        <v>1310</v>
      </c>
      <c r="O2377" s="48" t="s">
        <v>1311</v>
      </c>
      <c r="P2377" s="48" t="s">
        <v>1312</v>
      </c>
      <c r="Q2377" s="48" t="s">
        <v>31</v>
      </c>
      <c r="R2377" s="48" t="s">
        <v>31</v>
      </c>
      <c r="S2377" s="48" t="s">
        <v>31</v>
      </c>
      <c r="T2377" s="48" t="s">
        <v>31</v>
      </c>
      <c r="U2377" s="46" t="s">
        <v>1154</v>
      </c>
    </row>
    <row r="2378" spans="1:21">
      <c r="A2378" s="48" t="s">
        <v>1210</v>
      </c>
      <c r="B2378" s="48" t="s">
        <v>245</v>
      </c>
      <c r="C2378" s="48" t="s">
        <v>666</v>
      </c>
      <c r="D2378" s="48">
        <v>1</v>
      </c>
      <c r="E2378" s="48">
        <v>0</v>
      </c>
      <c r="F2378" t="s">
        <v>781</v>
      </c>
      <c r="G2378" s="48" t="s">
        <v>1305</v>
      </c>
      <c r="H2378" s="48" t="s">
        <v>6663</v>
      </c>
      <c r="I2378" s="48" t="s">
        <v>6663</v>
      </c>
      <c r="J2378" s="48" t="s">
        <v>6664</v>
      </c>
      <c r="K2378" s="48" t="s">
        <v>1317</v>
      </c>
      <c r="L2378" s="48" t="s">
        <v>6665</v>
      </c>
      <c r="M2378" s="48" t="s">
        <v>4432</v>
      </c>
      <c r="N2378" s="48" t="s">
        <v>1310</v>
      </c>
      <c r="O2378" s="48" t="s">
        <v>1311</v>
      </c>
      <c r="P2378" s="48" t="s">
        <v>1312</v>
      </c>
      <c r="Q2378" s="48" t="s">
        <v>31</v>
      </c>
      <c r="R2378" s="48" t="s">
        <v>31</v>
      </c>
      <c r="S2378" s="48" t="s">
        <v>31</v>
      </c>
      <c r="T2378" s="48" t="s">
        <v>31</v>
      </c>
      <c r="U2378" s="46" t="s">
        <v>1154</v>
      </c>
    </row>
    <row r="2379" spans="1:21">
      <c r="A2379" s="48" t="s">
        <v>1210</v>
      </c>
      <c r="B2379" s="48" t="s">
        <v>245</v>
      </c>
      <c r="C2379" s="48" t="s">
        <v>666</v>
      </c>
      <c r="D2379" s="48">
        <v>1</v>
      </c>
      <c r="E2379" s="48">
        <v>0</v>
      </c>
      <c r="F2379" t="s">
        <v>781</v>
      </c>
      <c r="G2379" s="48" t="s">
        <v>1305</v>
      </c>
      <c r="H2379" s="48" t="s">
        <v>6666</v>
      </c>
      <c r="I2379" s="48" t="s">
        <v>6666</v>
      </c>
      <c r="J2379" s="48" t="s">
        <v>6667</v>
      </c>
      <c r="K2379" s="48" t="s">
        <v>1332</v>
      </c>
      <c r="L2379" s="48" t="s">
        <v>6668</v>
      </c>
      <c r="M2379" s="48" t="s">
        <v>4432</v>
      </c>
      <c r="N2379" s="48" t="s">
        <v>1310</v>
      </c>
      <c r="O2379" s="48" t="s">
        <v>1311</v>
      </c>
      <c r="P2379" s="48" t="s">
        <v>1312</v>
      </c>
      <c r="Q2379" s="48" t="s">
        <v>31</v>
      </c>
      <c r="R2379" s="48" t="s">
        <v>31</v>
      </c>
      <c r="S2379" s="48" t="s">
        <v>31</v>
      </c>
      <c r="T2379" s="48" t="s">
        <v>31</v>
      </c>
      <c r="U2379" s="46" t="s">
        <v>1154</v>
      </c>
    </row>
    <row r="2380" spans="1:21">
      <c r="A2380" s="48" t="s">
        <v>1210</v>
      </c>
      <c r="B2380" s="48" t="s">
        <v>245</v>
      </c>
      <c r="C2380" s="48" t="s">
        <v>666</v>
      </c>
      <c r="D2380" s="48">
        <v>1</v>
      </c>
      <c r="E2380" s="48">
        <v>0</v>
      </c>
      <c r="F2380" t="s">
        <v>781</v>
      </c>
      <c r="G2380" s="48" t="s">
        <v>1305</v>
      </c>
      <c r="H2380" s="48" t="s">
        <v>6669</v>
      </c>
      <c r="I2380" s="48" t="s">
        <v>6669</v>
      </c>
      <c r="J2380" s="48" t="s">
        <v>6670</v>
      </c>
      <c r="K2380" s="48" t="s">
        <v>1320</v>
      </c>
      <c r="L2380" s="48" t="s">
        <v>6671</v>
      </c>
      <c r="M2380" s="48" t="s">
        <v>4432</v>
      </c>
      <c r="N2380" s="48" t="s">
        <v>1310</v>
      </c>
      <c r="O2380" s="48" t="s">
        <v>1311</v>
      </c>
      <c r="P2380" s="48" t="s">
        <v>1312</v>
      </c>
      <c r="Q2380" s="48" t="s">
        <v>31</v>
      </c>
      <c r="R2380" s="48" t="s">
        <v>31</v>
      </c>
      <c r="S2380" s="48" t="s">
        <v>31</v>
      </c>
      <c r="T2380" s="48" t="s">
        <v>31</v>
      </c>
      <c r="U2380" s="46" t="s">
        <v>1154</v>
      </c>
    </row>
    <row r="2381" spans="1:21">
      <c r="A2381" s="48" t="s">
        <v>1210</v>
      </c>
      <c r="B2381" s="48" t="s">
        <v>245</v>
      </c>
      <c r="C2381" s="48" t="s">
        <v>666</v>
      </c>
      <c r="D2381" s="48">
        <v>1</v>
      </c>
      <c r="E2381" s="48">
        <v>0</v>
      </c>
      <c r="F2381" t="s">
        <v>781</v>
      </c>
      <c r="G2381" s="48" t="s">
        <v>1305</v>
      </c>
      <c r="H2381" s="48" t="s">
        <v>6672</v>
      </c>
      <c r="I2381" s="48" t="s">
        <v>6672</v>
      </c>
      <c r="J2381" s="48" t="s">
        <v>6673</v>
      </c>
      <c r="K2381" s="48" t="s">
        <v>1323</v>
      </c>
      <c r="L2381" s="48" t="s">
        <v>6674</v>
      </c>
      <c r="M2381" s="48" t="s">
        <v>4432</v>
      </c>
      <c r="N2381" s="48" t="s">
        <v>1310</v>
      </c>
      <c r="O2381" s="48" t="s">
        <v>1311</v>
      </c>
      <c r="P2381" s="48" t="s">
        <v>1312</v>
      </c>
      <c r="Q2381" s="48" t="s">
        <v>31</v>
      </c>
      <c r="R2381" s="48" t="s">
        <v>31</v>
      </c>
      <c r="S2381" s="48" t="s">
        <v>31</v>
      </c>
      <c r="T2381" s="48" t="s">
        <v>31</v>
      </c>
      <c r="U2381" s="46" t="s">
        <v>1154</v>
      </c>
    </row>
    <row r="2382" spans="1:21">
      <c r="A2382" s="48" t="s">
        <v>1210</v>
      </c>
      <c r="B2382" s="48" t="s">
        <v>245</v>
      </c>
      <c r="C2382" s="48" t="s">
        <v>666</v>
      </c>
      <c r="D2382" s="48">
        <v>1</v>
      </c>
      <c r="E2382" s="48">
        <v>0</v>
      </c>
      <c r="F2382" t="s">
        <v>781</v>
      </c>
      <c r="G2382" s="48" t="s">
        <v>1305</v>
      </c>
      <c r="H2382" s="48" t="s">
        <v>6675</v>
      </c>
      <c r="I2382" s="48" t="s">
        <v>6675</v>
      </c>
      <c r="J2382" s="48" t="s">
        <v>6676</v>
      </c>
      <c r="K2382" s="48" t="s">
        <v>1307</v>
      </c>
      <c r="L2382" s="48" t="s">
        <v>6677</v>
      </c>
      <c r="M2382" s="48" t="s">
        <v>4432</v>
      </c>
      <c r="N2382" s="48" t="s">
        <v>1310</v>
      </c>
      <c r="O2382" s="48" t="s">
        <v>1311</v>
      </c>
      <c r="P2382" s="48" t="s">
        <v>1312</v>
      </c>
      <c r="Q2382" s="48" t="s">
        <v>31</v>
      </c>
      <c r="R2382" s="48" t="s">
        <v>31</v>
      </c>
      <c r="S2382" s="48" t="s">
        <v>31</v>
      </c>
      <c r="T2382" s="48" t="s">
        <v>31</v>
      </c>
      <c r="U2382" s="46" t="s">
        <v>1154</v>
      </c>
    </row>
    <row r="2383" spans="1:21">
      <c r="A2383" s="48" t="s">
        <v>1210</v>
      </c>
      <c r="B2383" s="48" t="s">
        <v>245</v>
      </c>
      <c r="C2383" s="48" t="s">
        <v>666</v>
      </c>
      <c r="D2383" s="48">
        <v>1</v>
      </c>
      <c r="E2383" s="48">
        <v>0</v>
      </c>
      <c r="F2383" t="s">
        <v>781</v>
      </c>
      <c r="G2383" s="48" t="s">
        <v>1305</v>
      </c>
      <c r="H2383" s="48" t="s">
        <v>6678</v>
      </c>
      <c r="I2383" s="48" t="s">
        <v>6678</v>
      </c>
      <c r="J2383" s="48" t="s">
        <v>6679</v>
      </c>
      <c r="K2383" s="48" t="s">
        <v>1314</v>
      </c>
      <c r="L2383" s="48" t="s">
        <v>6680</v>
      </c>
      <c r="M2383" s="48" t="s">
        <v>4432</v>
      </c>
      <c r="N2383" s="48" t="s">
        <v>1310</v>
      </c>
      <c r="O2383" s="48" t="s">
        <v>1311</v>
      </c>
      <c r="P2383" s="48" t="s">
        <v>1312</v>
      </c>
      <c r="Q2383" s="48" t="s">
        <v>31</v>
      </c>
      <c r="R2383" s="48" t="s">
        <v>31</v>
      </c>
      <c r="S2383" s="48" t="s">
        <v>31</v>
      </c>
      <c r="T2383" s="48" t="s">
        <v>31</v>
      </c>
      <c r="U2383" s="46" t="s">
        <v>1154</v>
      </c>
    </row>
    <row r="2384" spans="1:21">
      <c r="A2384" s="48" t="s">
        <v>1210</v>
      </c>
      <c r="B2384" s="48" t="s">
        <v>245</v>
      </c>
      <c r="C2384" s="48" t="s">
        <v>666</v>
      </c>
      <c r="D2384" s="48">
        <v>1</v>
      </c>
      <c r="E2384" s="48">
        <v>0</v>
      </c>
      <c r="F2384" t="s">
        <v>781</v>
      </c>
      <c r="G2384" s="48" t="s">
        <v>1305</v>
      </c>
      <c r="H2384" s="48" t="s">
        <v>6681</v>
      </c>
      <c r="I2384" s="48" t="s">
        <v>6681</v>
      </c>
      <c r="J2384" s="48" t="s">
        <v>6682</v>
      </c>
      <c r="K2384" s="48" t="s">
        <v>1329</v>
      </c>
      <c r="L2384" s="48" t="s">
        <v>6683</v>
      </c>
      <c r="M2384" s="48" t="s">
        <v>4432</v>
      </c>
      <c r="N2384" s="48" t="s">
        <v>1310</v>
      </c>
      <c r="O2384" s="48" t="s">
        <v>1311</v>
      </c>
      <c r="P2384" s="48" t="s">
        <v>1312</v>
      </c>
      <c r="Q2384" s="48" t="s">
        <v>31</v>
      </c>
      <c r="R2384" s="48" t="s">
        <v>31</v>
      </c>
      <c r="S2384" s="48" t="s">
        <v>31</v>
      </c>
      <c r="T2384" s="48" t="s">
        <v>31</v>
      </c>
      <c r="U2384" s="46" t="s">
        <v>1154</v>
      </c>
    </row>
    <row r="2385" spans="1:21">
      <c r="A2385" s="48" t="s">
        <v>1210</v>
      </c>
      <c r="B2385" s="48" t="s">
        <v>245</v>
      </c>
      <c r="C2385" s="48" t="s">
        <v>666</v>
      </c>
      <c r="D2385" s="48">
        <v>1</v>
      </c>
      <c r="E2385" s="48">
        <v>0</v>
      </c>
      <c r="F2385" t="s">
        <v>781</v>
      </c>
      <c r="G2385" s="48" t="s">
        <v>1305</v>
      </c>
      <c r="H2385" s="48" t="s">
        <v>6684</v>
      </c>
      <c r="I2385" s="48" t="s">
        <v>6684</v>
      </c>
      <c r="J2385" s="48" t="s">
        <v>6685</v>
      </c>
      <c r="K2385" s="48" t="s">
        <v>1326</v>
      </c>
      <c r="L2385" s="48" t="s">
        <v>6686</v>
      </c>
      <c r="M2385" s="48" t="s">
        <v>4432</v>
      </c>
      <c r="N2385" s="48" t="s">
        <v>1310</v>
      </c>
      <c r="O2385" s="48" t="s">
        <v>1311</v>
      </c>
      <c r="P2385" s="48" t="s">
        <v>1312</v>
      </c>
      <c r="Q2385" s="48" t="s">
        <v>31</v>
      </c>
      <c r="R2385" s="48" t="s">
        <v>31</v>
      </c>
      <c r="S2385" s="48" t="s">
        <v>31</v>
      </c>
      <c r="T2385" s="48" t="s">
        <v>31</v>
      </c>
      <c r="U2385" s="46" t="s">
        <v>1154</v>
      </c>
    </row>
    <row r="2386" spans="1:21">
      <c r="A2386" s="48" t="s">
        <v>1211</v>
      </c>
      <c r="B2386" s="48" t="s">
        <v>247</v>
      </c>
      <c r="C2386" s="48" t="s">
        <v>666</v>
      </c>
      <c r="D2386" s="48">
        <v>1</v>
      </c>
      <c r="E2386" s="48">
        <v>0</v>
      </c>
      <c r="F2386" t="s">
        <v>775</v>
      </c>
      <c r="G2386" s="48" t="s">
        <v>1305</v>
      </c>
      <c r="H2386" s="48" t="s">
        <v>6687</v>
      </c>
      <c r="I2386" s="48" t="s">
        <v>6687</v>
      </c>
      <c r="J2386" s="48" t="s">
        <v>6688</v>
      </c>
      <c r="K2386" s="48" t="s">
        <v>1317</v>
      </c>
      <c r="L2386" s="48" t="s">
        <v>6689</v>
      </c>
      <c r="M2386" s="48" t="s">
        <v>4432</v>
      </c>
      <c r="N2386" s="48" t="s">
        <v>1310</v>
      </c>
      <c r="O2386" s="48" t="s">
        <v>1311</v>
      </c>
      <c r="P2386" s="48" t="s">
        <v>1312</v>
      </c>
      <c r="Q2386" s="48" t="s">
        <v>31</v>
      </c>
      <c r="R2386" s="48" t="s">
        <v>31</v>
      </c>
      <c r="S2386" s="48" t="s">
        <v>31</v>
      </c>
      <c r="T2386" s="48" t="s">
        <v>31</v>
      </c>
      <c r="U2386" s="46" t="s">
        <v>1154</v>
      </c>
    </row>
    <row r="2387" spans="1:21">
      <c r="A2387" s="48" t="s">
        <v>1211</v>
      </c>
      <c r="B2387" s="48" t="s">
        <v>247</v>
      </c>
      <c r="C2387" s="48" t="s">
        <v>666</v>
      </c>
      <c r="D2387" s="48">
        <v>1</v>
      </c>
      <c r="E2387" s="48">
        <v>0</v>
      </c>
      <c r="F2387" t="s">
        <v>775</v>
      </c>
      <c r="G2387" s="48" t="s">
        <v>1305</v>
      </c>
      <c r="H2387" s="48" t="s">
        <v>6690</v>
      </c>
      <c r="I2387" s="48" t="s">
        <v>6690</v>
      </c>
      <c r="J2387" s="48" t="s">
        <v>6691</v>
      </c>
      <c r="K2387" s="48" t="s">
        <v>1332</v>
      </c>
      <c r="L2387" s="48" t="s">
        <v>6692</v>
      </c>
      <c r="M2387" s="48" t="s">
        <v>4432</v>
      </c>
      <c r="N2387" s="48" t="s">
        <v>1310</v>
      </c>
      <c r="O2387" s="48" t="s">
        <v>1311</v>
      </c>
      <c r="P2387" s="48" t="s">
        <v>1312</v>
      </c>
      <c r="Q2387" s="48" t="s">
        <v>31</v>
      </c>
      <c r="R2387" s="48" t="s">
        <v>31</v>
      </c>
      <c r="S2387" s="48" t="s">
        <v>31</v>
      </c>
      <c r="T2387" s="48" t="s">
        <v>31</v>
      </c>
      <c r="U2387" s="46" t="s">
        <v>1154</v>
      </c>
    </row>
    <row r="2388" spans="1:21">
      <c r="A2388" s="48" t="s">
        <v>1211</v>
      </c>
      <c r="B2388" s="48" t="s">
        <v>247</v>
      </c>
      <c r="C2388" s="48" t="s">
        <v>666</v>
      </c>
      <c r="D2388" s="48">
        <v>1</v>
      </c>
      <c r="E2388" s="48">
        <v>0</v>
      </c>
      <c r="F2388" t="s">
        <v>775</v>
      </c>
      <c r="G2388" s="48" t="s">
        <v>1305</v>
      </c>
      <c r="H2388" s="48" t="s">
        <v>6693</v>
      </c>
      <c r="I2388" s="48" t="s">
        <v>6693</v>
      </c>
      <c r="J2388" s="48" t="s">
        <v>6694</v>
      </c>
      <c r="K2388" s="48" t="s">
        <v>1329</v>
      </c>
      <c r="L2388" s="48" t="s">
        <v>6695</v>
      </c>
      <c r="M2388" s="48" t="s">
        <v>4432</v>
      </c>
      <c r="N2388" s="48" t="s">
        <v>1310</v>
      </c>
      <c r="O2388" s="48" t="s">
        <v>1311</v>
      </c>
      <c r="P2388" s="48" t="s">
        <v>1312</v>
      </c>
      <c r="Q2388" s="48" t="s">
        <v>31</v>
      </c>
      <c r="R2388" s="48" t="s">
        <v>31</v>
      </c>
      <c r="S2388" s="48" t="s">
        <v>31</v>
      </c>
      <c r="T2388" s="48" t="s">
        <v>31</v>
      </c>
      <c r="U2388" s="46" t="s">
        <v>1154</v>
      </c>
    </row>
    <row r="2389" spans="1:21">
      <c r="A2389" s="48" t="s">
        <v>1211</v>
      </c>
      <c r="B2389" s="48" t="s">
        <v>247</v>
      </c>
      <c r="C2389" s="48" t="s">
        <v>666</v>
      </c>
      <c r="D2389" s="48">
        <v>1</v>
      </c>
      <c r="E2389" s="48">
        <v>0</v>
      </c>
      <c r="F2389" t="s">
        <v>775</v>
      </c>
      <c r="G2389" s="48" t="s">
        <v>1305</v>
      </c>
      <c r="H2389" s="48" t="s">
        <v>6696</v>
      </c>
      <c r="I2389" s="48" t="s">
        <v>6696</v>
      </c>
      <c r="J2389" s="48" t="s">
        <v>6697</v>
      </c>
      <c r="K2389" s="48" t="s">
        <v>1307</v>
      </c>
      <c r="L2389" s="48" t="s">
        <v>6698</v>
      </c>
      <c r="M2389" s="48" t="s">
        <v>4432</v>
      </c>
      <c r="N2389" s="48" t="s">
        <v>1310</v>
      </c>
      <c r="O2389" s="48" t="s">
        <v>1311</v>
      </c>
      <c r="P2389" s="48" t="s">
        <v>1312</v>
      </c>
      <c r="Q2389" s="48" t="s">
        <v>31</v>
      </c>
      <c r="R2389" s="48" t="s">
        <v>31</v>
      </c>
      <c r="S2389" s="48" t="s">
        <v>31</v>
      </c>
      <c r="T2389" s="48" t="s">
        <v>31</v>
      </c>
      <c r="U2389" s="46" t="s">
        <v>1154</v>
      </c>
    </row>
    <row r="2390" spans="1:21">
      <c r="A2390" s="48" t="s">
        <v>1211</v>
      </c>
      <c r="B2390" s="48" t="s">
        <v>247</v>
      </c>
      <c r="C2390" s="48" t="s">
        <v>666</v>
      </c>
      <c r="D2390" s="48">
        <v>1</v>
      </c>
      <c r="E2390" s="48">
        <v>0</v>
      </c>
      <c r="F2390" t="s">
        <v>775</v>
      </c>
      <c r="G2390" s="48" t="s">
        <v>1305</v>
      </c>
      <c r="H2390" s="48" t="s">
        <v>6699</v>
      </c>
      <c r="I2390" s="48" t="s">
        <v>6699</v>
      </c>
      <c r="J2390" s="48" t="s">
        <v>6700</v>
      </c>
      <c r="K2390" s="48" t="s">
        <v>1314</v>
      </c>
      <c r="L2390" s="48" t="s">
        <v>6701</v>
      </c>
      <c r="M2390" s="48" t="s">
        <v>4432</v>
      </c>
      <c r="N2390" s="48" t="s">
        <v>1310</v>
      </c>
      <c r="O2390" s="48" t="s">
        <v>1311</v>
      </c>
      <c r="P2390" s="48" t="s">
        <v>1312</v>
      </c>
      <c r="Q2390" s="48" t="s">
        <v>31</v>
      </c>
      <c r="R2390" s="48" t="s">
        <v>31</v>
      </c>
      <c r="S2390" s="48" t="s">
        <v>31</v>
      </c>
      <c r="T2390" s="48" t="s">
        <v>31</v>
      </c>
      <c r="U2390" s="46" t="s">
        <v>1154</v>
      </c>
    </row>
    <row r="2391" spans="1:21">
      <c r="A2391" s="48" t="s">
        <v>1211</v>
      </c>
      <c r="B2391" s="48" t="s">
        <v>247</v>
      </c>
      <c r="C2391" s="48" t="s">
        <v>666</v>
      </c>
      <c r="D2391" s="48">
        <v>1</v>
      </c>
      <c r="E2391" s="48">
        <v>0</v>
      </c>
      <c r="F2391" t="s">
        <v>775</v>
      </c>
      <c r="G2391" s="48" t="s">
        <v>1305</v>
      </c>
      <c r="H2391" s="48" t="s">
        <v>6702</v>
      </c>
      <c r="I2391" s="48" t="s">
        <v>6702</v>
      </c>
      <c r="J2391" s="48" t="s">
        <v>6703</v>
      </c>
      <c r="K2391" s="48" t="s">
        <v>1326</v>
      </c>
      <c r="L2391" s="48" t="s">
        <v>6704</v>
      </c>
      <c r="M2391" s="48" t="s">
        <v>4432</v>
      </c>
      <c r="N2391" s="48" t="s">
        <v>1310</v>
      </c>
      <c r="O2391" s="48" t="s">
        <v>1311</v>
      </c>
      <c r="P2391" s="48" t="s">
        <v>1312</v>
      </c>
      <c r="Q2391" s="48" t="s">
        <v>31</v>
      </c>
      <c r="R2391" s="48" t="s">
        <v>31</v>
      </c>
      <c r="S2391" s="48" t="s">
        <v>31</v>
      </c>
      <c r="T2391" s="48" t="s">
        <v>31</v>
      </c>
      <c r="U2391" s="46" t="s">
        <v>1154</v>
      </c>
    </row>
    <row r="2392" spans="1:21">
      <c r="A2392" s="48" t="s">
        <v>1211</v>
      </c>
      <c r="B2392" s="48" t="s">
        <v>247</v>
      </c>
      <c r="C2392" s="48" t="s">
        <v>666</v>
      </c>
      <c r="D2392" s="48">
        <v>1</v>
      </c>
      <c r="E2392" s="48">
        <v>0</v>
      </c>
      <c r="F2392" t="s">
        <v>775</v>
      </c>
      <c r="G2392" s="48" t="s">
        <v>1305</v>
      </c>
      <c r="H2392" s="48" t="s">
        <v>6705</v>
      </c>
      <c r="I2392" s="48" t="s">
        <v>6705</v>
      </c>
      <c r="J2392" s="48" t="s">
        <v>6706</v>
      </c>
      <c r="K2392" s="48" t="s">
        <v>1323</v>
      </c>
      <c r="L2392" s="48" t="s">
        <v>6707</v>
      </c>
      <c r="M2392" s="48" t="s">
        <v>4432</v>
      </c>
      <c r="N2392" s="48" t="s">
        <v>1310</v>
      </c>
      <c r="O2392" s="48" t="s">
        <v>1311</v>
      </c>
      <c r="P2392" s="48" t="s">
        <v>1312</v>
      </c>
      <c r="Q2392" s="48" t="s">
        <v>31</v>
      </c>
      <c r="R2392" s="48" t="s">
        <v>31</v>
      </c>
      <c r="S2392" s="48" t="s">
        <v>31</v>
      </c>
      <c r="T2392" s="48" t="s">
        <v>31</v>
      </c>
      <c r="U2392" s="46" t="s">
        <v>1154</v>
      </c>
    </row>
    <row r="2393" spans="1:21" ht="17" customHeight="1">
      <c r="A2393" s="48" t="s">
        <v>1211</v>
      </c>
      <c r="B2393" s="48" t="s">
        <v>247</v>
      </c>
      <c r="C2393" s="48" t="s">
        <v>666</v>
      </c>
      <c r="D2393" s="48">
        <v>1</v>
      </c>
      <c r="E2393" s="48">
        <v>0</v>
      </c>
      <c r="F2393" t="s">
        <v>775</v>
      </c>
      <c r="G2393" s="48" t="s">
        <v>1305</v>
      </c>
      <c r="H2393" s="48" t="s">
        <v>6708</v>
      </c>
      <c r="I2393" s="48" t="s">
        <v>6708</v>
      </c>
      <c r="J2393" s="48" t="s">
        <v>6709</v>
      </c>
      <c r="K2393" s="48" t="s">
        <v>1320</v>
      </c>
      <c r="L2393" s="48" t="s">
        <v>6710</v>
      </c>
      <c r="M2393" s="48" t="s">
        <v>4432</v>
      </c>
      <c r="N2393" s="48" t="s">
        <v>1310</v>
      </c>
      <c r="O2393" s="48" t="s">
        <v>1311</v>
      </c>
      <c r="P2393" s="48" t="s">
        <v>1312</v>
      </c>
      <c r="Q2393" s="48" t="s">
        <v>31</v>
      </c>
      <c r="R2393" s="48" t="s">
        <v>31</v>
      </c>
      <c r="S2393" s="48" t="s">
        <v>31</v>
      </c>
      <c r="T2393" s="48" t="s">
        <v>31</v>
      </c>
      <c r="U2393" s="46" t="s">
        <v>1154</v>
      </c>
    </row>
    <row r="2394" spans="1:21">
      <c r="A2394" s="48" t="s">
        <v>1203</v>
      </c>
      <c r="B2394" s="48" t="s">
        <v>249</v>
      </c>
      <c r="C2394" s="48" t="s">
        <v>666</v>
      </c>
      <c r="D2394" s="48">
        <v>1</v>
      </c>
      <c r="E2394" s="48">
        <v>0</v>
      </c>
      <c r="F2394" t="s">
        <v>771</v>
      </c>
      <c r="G2394" s="48" t="s">
        <v>1305</v>
      </c>
      <c r="H2394" s="48" t="s">
        <v>3834</v>
      </c>
      <c r="I2394" s="48" t="s">
        <v>3834</v>
      </c>
      <c r="J2394" s="48" t="s">
        <v>6711</v>
      </c>
      <c r="K2394" s="48" t="s">
        <v>1329</v>
      </c>
      <c r="L2394" s="48" t="s">
        <v>6712</v>
      </c>
      <c r="M2394" s="48" t="s">
        <v>4432</v>
      </c>
      <c r="N2394" s="48" t="s">
        <v>1310</v>
      </c>
      <c r="O2394" s="48" t="s">
        <v>1311</v>
      </c>
      <c r="P2394" s="48" t="s">
        <v>1312</v>
      </c>
      <c r="Q2394" s="48" t="s">
        <v>31</v>
      </c>
      <c r="R2394" s="48" t="s">
        <v>31</v>
      </c>
      <c r="S2394" s="48" t="s">
        <v>31</v>
      </c>
      <c r="T2394" s="48" t="s">
        <v>31</v>
      </c>
      <c r="U2394" s="46" t="s">
        <v>1154</v>
      </c>
    </row>
    <row r="2395" spans="1:21">
      <c r="A2395" s="48" t="s">
        <v>1203</v>
      </c>
      <c r="B2395" s="48" t="s">
        <v>249</v>
      </c>
      <c r="C2395" s="48" t="s">
        <v>666</v>
      </c>
      <c r="D2395" s="48">
        <v>1</v>
      </c>
      <c r="E2395" s="48">
        <v>0</v>
      </c>
      <c r="F2395" t="s">
        <v>771</v>
      </c>
      <c r="G2395" s="48" t="s">
        <v>1305</v>
      </c>
      <c r="H2395" s="48" t="s">
        <v>3822</v>
      </c>
      <c r="I2395" s="48" t="s">
        <v>3822</v>
      </c>
      <c r="J2395" s="48" t="s">
        <v>6713</v>
      </c>
      <c r="K2395" s="48" t="s">
        <v>1307</v>
      </c>
      <c r="L2395" s="48" t="s">
        <v>6714</v>
      </c>
      <c r="M2395" s="48" t="s">
        <v>4432</v>
      </c>
      <c r="N2395" s="48" t="s">
        <v>1310</v>
      </c>
      <c r="O2395" s="48" t="s">
        <v>1311</v>
      </c>
      <c r="P2395" s="48" t="s">
        <v>1312</v>
      </c>
      <c r="Q2395" s="48" t="s">
        <v>31</v>
      </c>
      <c r="R2395" s="48" t="s">
        <v>31</v>
      </c>
      <c r="S2395" s="48" t="s">
        <v>31</v>
      </c>
      <c r="T2395" s="48" t="s">
        <v>31</v>
      </c>
      <c r="U2395" s="46" t="s">
        <v>1154</v>
      </c>
    </row>
    <row r="2396" spans="1:21">
      <c r="A2396" s="48" t="s">
        <v>1203</v>
      </c>
      <c r="B2396" s="48" t="s">
        <v>249</v>
      </c>
      <c r="C2396" s="48" t="s">
        <v>666</v>
      </c>
      <c r="D2396" s="48">
        <v>1</v>
      </c>
      <c r="E2396" s="48">
        <v>0</v>
      </c>
      <c r="F2396" t="s">
        <v>771</v>
      </c>
      <c r="G2396" s="48" t="s">
        <v>1305</v>
      </c>
      <c r="H2396" s="48" t="s">
        <v>3824</v>
      </c>
      <c r="I2396" s="48" t="s">
        <v>3824</v>
      </c>
      <c r="J2396" s="48" t="s">
        <v>6715</v>
      </c>
      <c r="K2396" s="48" t="s">
        <v>1314</v>
      </c>
      <c r="L2396" s="48" t="s">
        <v>6716</v>
      </c>
      <c r="M2396" s="48" t="s">
        <v>4432</v>
      </c>
      <c r="N2396" s="48" t="s">
        <v>1310</v>
      </c>
      <c r="O2396" s="48" t="s">
        <v>1311</v>
      </c>
      <c r="P2396" s="48" t="s">
        <v>1312</v>
      </c>
      <c r="Q2396" s="48" t="s">
        <v>31</v>
      </c>
      <c r="R2396" s="48" t="s">
        <v>31</v>
      </c>
      <c r="S2396" s="48" t="s">
        <v>31</v>
      </c>
      <c r="T2396" s="48" t="s">
        <v>31</v>
      </c>
      <c r="U2396" s="46" t="s">
        <v>1154</v>
      </c>
    </row>
    <row r="2397" spans="1:21">
      <c r="A2397" s="48" t="s">
        <v>1203</v>
      </c>
      <c r="B2397" s="48" t="s">
        <v>249</v>
      </c>
      <c r="C2397" s="48" t="s">
        <v>666</v>
      </c>
      <c r="D2397" s="48">
        <v>1</v>
      </c>
      <c r="E2397" s="48">
        <v>0</v>
      </c>
      <c r="F2397" t="s">
        <v>771</v>
      </c>
      <c r="G2397" s="48" t="s">
        <v>1305</v>
      </c>
      <c r="H2397" s="48" t="s">
        <v>3826</v>
      </c>
      <c r="I2397" s="48" t="s">
        <v>3826</v>
      </c>
      <c r="J2397" s="48" t="s">
        <v>6717</v>
      </c>
      <c r="K2397" s="48" t="s">
        <v>1317</v>
      </c>
      <c r="L2397" s="48" t="s">
        <v>6718</v>
      </c>
      <c r="M2397" s="48" t="s">
        <v>4432</v>
      </c>
      <c r="N2397" s="48" t="s">
        <v>1310</v>
      </c>
      <c r="O2397" s="48" t="s">
        <v>1311</v>
      </c>
      <c r="P2397" s="48" t="s">
        <v>1312</v>
      </c>
      <c r="Q2397" s="48" t="s">
        <v>31</v>
      </c>
      <c r="R2397" s="48" t="s">
        <v>31</v>
      </c>
      <c r="S2397" s="48" t="s">
        <v>31</v>
      </c>
      <c r="T2397" s="48" t="s">
        <v>31</v>
      </c>
      <c r="U2397" s="46" t="s">
        <v>1154</v>
      </c>
    </row>
    <row r="2398" spans="1:21">
      <c r="A2398" s="48" t="s">
        <v>1203</v>
      </c>
      <c r="B2398" s="48" t="s">
        <v>249</v>
      </c>
      <c r="C2398" s="48" t="s">
        <v>666</v>
      </c>
      <c r="D2398" s="48">
        <v>1</v>
      </c>
      <c r="E2398" s="48">
        <v>0</v>
      </c>
      <c r="F2398" t="s">
        <v>771</v>
      </c>
      <c r="G2398" s="48" t="s">
        <v>1305</v>
      </c>
      <c r="H2398" s="48" t="s">
        <v>3830</v>
      </c>
      <c r="I2398" s="48" t="s">
        <v>3830</v>
      </c>
      <c r="J2398" s="48" t="s">
        <v>6719</v>
      </c>
      <c r="K2398" s="48" t="s">
        <v>1323</v>
      </c>
      <c r="L2398" s="48" t="s">
        <v>6720</v>
      </c>
      <c r="M2398" s="48" t="s">
        <v>4432</v>
      </c>
      <c r="N2398" s="48" t="s">
        <v>1310</v>
      </c>
      <c r="O2398" s="48" t="s">
        <v>1311</v>
      </c>
      <c r="P2398" s="48" t="s">
        <v>1312</v>
      </c>
      <c r="Q2398" s="48" t="s">
        <v>31</v>
      </c>
      <c r="R2398" s="48" t="s">
        <v>31</v>
      </c>
      <c r="S2398" s="48" t="s">
        <v>31</v>
      </c>
      <c r="T2398" s="48" t="s">
        <v>31</v>
      </c>
      <c r="U2398" s="46" t="s">
        <v>1154</v>
      </c>
    </row>
    <row r="2399" spans="1:21">
      <c r="A2399" s="48" t="s">
        <v>1203</v>
      </c>
      <c r="B2399" s="48" t="s">
        <v>249</v>
      </c>
      <c r="C2399" s="48" t="s">
        <v>666</v>
      </c>
      <c r="D2399" s="48">
        <v>1</v>
      </c>
      <c r="E2399" s="48">
        <v>0</v>
      </c>
      <c r="F2399" t="s">
        <v>771</v>
      </c>
      <c r="G2399" s="48" t="s">
        <v>1305</v>
      </c>
      <c r="H2399" s="48" t="s">
        <v>3836</v>
      </c>
      <c r="I2399" s="48" t="s">
        <v>3836</v>
      </c>
      <c r="J2399" s="48" t="s">
        <v>6721</v>
      </c>
      <c r="K2399" s="48" t="s">
        <v>1332</v>
      </c>
      <c r="L2399" s="48" t="s">
        <v>6722</v>
      </c>
      <c r="M2399" s="48" t="s">
        <v>4432</v>
      </c>
      <c r="N2399" s="48" t="s">
        <v>1310</v>
      </c>
      <c r="O2399" s="48" t="s">
        <v>1311</v>
      </c>
      <c r="P2399" s="48" t="s">
        <v>1312</v>
      </c>
      <c r="Q2399" s="48" t="s">
        <v>31</v>
      </c>
      <c r="R2399" s="48" t="s">
        <v>31</v>
      </c>
      <c r="S2399" s="48" t="s">
        <v>31</v>
      </c>
      <c r="T2399" s="48" t="s">
        <v>31</v>
      </c>
      <c r="U2399" s="46" t="s">
        <v>1154</v>
      </c>
    </row>
    <row r="2400" spans="1:21">
      <c r="A2400" s="48" t="s">
        <v>1203</v>
      </c>
      <c r="B2400" s="48" t="s">
        <v>249</v>
      </c>
      <c r="C2400" s="48" t="s">
        <v>666</v>
      </c>
      <c r="D2400" s="48">
        <v>1</v>
      </c>
      <c r="E2400" s="48">
        <v>0</v>
      </c>
      <c r="F2400" t="s">
        <v>771</v>
      </c>
      <c r="G2400" s="48" t="s">
        <v>1305</v>
      </c>
      <c r="H2400" s="48" t="s">
        <v>3828</v>
      </c>
      <c r="I2400" s="48" t="s">
        <v>3828</v>
      </c>
      <c r="J2400" s="48" t="s">
        <v>6723</v>
      </c>
      <c r="K2400" s="48" t="s">
        <v>1320</v>
      </c>
      <c r="L2400" s="48" t="s">
        <v>6724</v>
      </c>
      <c r="M2400" s="48" t="s">
        <v>4432</v>
      </c>
      <c r="N2400" s="48" t="s">
        <v>1310</v>
      </c>
      <c r="O2400" s="48" t="s">
        <v>1311</v>
      </c>
      <c r="P2400" s="48" t="s">
        <v>1312</v>
      </c>
      <c r="Q2400" s="48" t="s">
        <v>31</v>
      </c>
      <c r="R2400" s="48" t="s">
        <v>31</v>
      </c>
      <c r="S2400" s="48" t="s">
        <v>31</v>
      </c>
      <c r="T2400" s="48" t="s">
        <v>31</v>
      </c>
      <c r="U2400" s="46" t="s">
        <v>1154</v>
      </c>
    </row>
    <row r="2401" spans="1:21">
      <c r="A2401" s="48" t="s">
        <v>1203</v>
      </c>
      <c r="B2401" s="48" t="s">
        <v>249</v>
      </c>
      <c r="C2401" s="48" t="s">
        <v>666</v>
      </c>
      <c r="D2401" s="48">
        <v>1</v>
      </c>
      <c r="E2401" s="48">
        <v>0</v>
      </c>
      <c r="F2401" t="s">
        <v>771</v>
      </c>
      <c r="G2401" s="48" t="s">
        <v>1305</v>
      </c>
      <c r="H2401" s="48" t="s">
        <v>3832</v>
      </c>
      <c r="I2401" s="48" t="s">
        <v>3832</v>
      </c>
      <c r="J2401" s="48" t="s">
        <v>6725</v>
      </c>
      <c r="K2401" s="48" t="s">
        <v>1326</v>
      </c>
      <c r="L2401" s="48" t="s">
        <v>6726</v>
      </c>
      <c r="M2401" s="48" t="s">
        <v>4432</v>
      </c>
      <c r="N2401" s="48" t="s">
        <v>1310</v>
      </c>
      <c r="O2401" s="48" t="s">
        <v>1311</v>
      </c>
      <c r="P2401" s="48" t="s">
        <v>1312</v>
      </c>
      <c r="Q2401" s="48" t="s">
        <v>31</v>
      </c>
      <c r="R2401" s="48" t="s">
        <v>31</v>
      </c>
      <c r="S2401" s="48" t="s">
        <v>31</v>
      </c>
      <c r="T2401" s="48" t="s">
        <v>31</v>
      </c>
      <c r="U2401" s="46" t="s">
        <v>1154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FC1B-07D4-F648-910F-F837BC0491B2}">
  <dimension ref="A1:J2"/>
  <sheetViews>
    <sheetView workbookViewId="0">
      <selection activeCell="A2" sqref="A2"/>
    </sheetView>
  </sheetViews>
  <sheetFormatPr baseColWidth="10" defaultRowHeight="16"/>
  <cols>
    <col min="4" max="4" width="23.5" bestFit="1" customWidth="1"/>
    <col min="5" max="5" width="20.83203125" bestFit="1" customWidth="1"/>
    <col min="6" max="6" width="15.5" bestFit="1" customWidth="1"/>
    <col min="7" max="7" width="222.33203125" bestFit="1" customWidth="1"/>
    <col min="8" max="8" width="38.5" bestFit="1" customWidth="1"/>
    <col min="9" max="9" width="41.5" bestFit="1" customWidth="1"/>
    <col min="10" max="10" width="10.83203125" customWidth="1"/>
  </cols>
  <sheetData>
    <row r="1" spans="1:10">
      <c r="A1" s="4" t="s">
        <v>1287</v>
      </c>
      <c r="B1" s="4" t="s">
        <v>36</v>
      </c>
      <c r="C1" s="4" t="s">
        <v>1288</v>
      </c>
      <c r="D1" s="39" t="s">
        <v>1273</v>
      </c>
      <c r="E1" s="39" t="s">
        <v>1274</v>
      </c>
      <c r="F1" s="39" t="s">
        <v>1275</v>
      </c>
      <c r="G1" s="39" t="s">
        <v>1276</v>
      </c>
      <c r="H1" s="39" t="s">
        <v>1277</v>
      </c>
      <c r="I1" s="39" t="s">
        <v>1278</v>
      </c>
      <c r="J1" s="39" t="s">
        <v>1279</v>
      </c>
    </row>
    <row r="2" spans="1:10" ht="114" customHeight="1">
      <c r="A2" t="s">
        <v>1290</v>
      </c>
      <c r="B2" t="s">
        <v>1289</v>
      </c>
      <c r="C2">
        <v>0.1</v>
      </c>
      <c r="D2" s="40" t="s">
        <v>1280</v>
      </c>
      <c r="E2" s="40" t="s">
        <v>1281</v>
      </c>
      <c r="F2" s="40" t="s">
        <v>1282</v>
      </c>
      <c r="G2" s="1" t="s">
        <v>1283</v>
      </c>
      <c r="H2" s="5" t="s">
        <v>1284</v>
      </c>
      <c r="I2" s="5" t="s">
        <v>1285</v>
      </c>
      <c r="J2" s="5" t="s">
        <v>1286</v>
      </c>
    </row>
  </sheetData>
  <hyperlinks>
    <hyperlink ref="H2" r:id="rId1" xr:uid="{0FC42577-2FEC-9E40-B095-08CC5D377BD2}"/>
    <hyperlink ref="I2" r:id="rId2" display="https://dx.doi.org/10.17504/protocols.io.j8nlk4k55g5r/v1" xr:uid="{893C8AB9-736F-6444-9BFC-79793592E51A}"/>
    <hyperlink ref="J2" r:id="rId3" xr:uid="{EF2264A8-B4DC-B040-AE81-5F4A90ED7FD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E350A-9E38-8F4B-8DED-0CE66C661D88}">
  <dimension ref="A1:H1005"/>
  <sheetViews>
    <sheetView tabSelected="1" workbookViewId="0">
      <selection activeCell="L14" sqref="L14"/>
    </sheetView>
  </sheetViews>
  <sheetFormatPr baseColWidth="10" defaultRowHeight="16"/>
  <cols>
    <col min="1" max="1" width="26.83203125" customWidth="1"/>
    <col min="8" max="8" width="10.83203125" style="52"/>
  </cols>
  <sheetData>
    <row r="1" spans="1:8">
      <c r="A1" s="3" t="s">
        <v>251</v>
      </c>
      <c r="B1" s="3" t="s">
        <v>636</v>
      </c>
      <c r="C1" s="3" t="s">
        <v>637</v>
      </c>
      <c r="D1" s="3" t="s">
        <v>638</v>
      </c>
      <c r="E1" s="3" t="s">
        <v>639</v>
      </c>
      <c r="F1" s="1" t="s">
        <v>251</v>
      </c>
    </row>
    <row r="2" spans="1:8">
      <c r="A2" s="3" t="s">
        <v>52</v>
      </c>
      <c r="B2" s="3" t="s">
        <v>666</v>
      </c>
      <c r="C2" s="3">
        <v>1</v>
      </c>
      <c r="D2" s="3" t="b">
        <v>0</v>
      </c>
      <c r="E2" s="3" t="s">
        <v>696</v>
      </c>
      <c r="F2" s="1" t="s">
        <v>52</v>
      </c>
      <c r="H2" s="52" t="s">
        <v>52</v>
      </c>
    </row>
    <row r="3" spans="1:8">
      <c r="A3" s="3" t="s">
        <v>65</v>
      </c>
      <c r="B3" s="3" t="s">
        <v>666</v>
      </c>
      <c r="C3" s="3">
        <v>1</v>
      </c>
      <c r="D3" s="3" t="b">
        <v>0</v>
      </c>
      <c r="E3" s="3" t="s">
        <v>686</v>
      </c>
      <c r="F3" s="1" t="s">
        <v>65</v>
      </c>
      <c r="H3" s="52" t="s">
        <v>65</v>
      </c>
    </row>
    <row r="4" spans="1:8">
      <c r="A4" s="3" t="s">
        <v>66</v>
      </c>
      <c r="B4" s="3" t="s">
        <v>666</v>
      </c>
      <c r="C4" s="3">
        <v>1</v>
      </c>
      <c r="D4" s="3" t="b">
        <v>0</v>
      </c>
      <c r="E4" s="3" t="s">
        <v>696</v>
      </c>
      <c r="F4" s="1" t="s">
        <v>66</v>
      </c>
      <c r="H4" s="52" t="s">
        <v>66</v>
      </c>
    </row>
    <row r="5" spans="1:8">
      <c r="A5" s="3" t="s">
        <v>71</v>
      </c>
      <c r="B5" s="3" t="s">
        <v>666</v>
      </c>
      <c r="C5" s="3">
        <v>1</v>
      </c>
      <c r="D5" s="3" t="b">
        <v>0</v>
      </c>
      <c r="E5" s="3" t="s">
        <v>686</v>
      </c>
      <c r="F5" s="1" t="s">
        <v>71</v>
      </c>
      <c r="H5" s="52" t="s">
        <v>71</v>
      </c>
    </row>
    <row r="6" spans="1:8">
      <c r="A6" s="50" t="s">
        <v>74</v>
      </c>
      <c r="B6" s="50" t="s">
        <v>689</v>
      </c>
      <c r="C6" s="50">
        <v>5</v>
      </c>
      <c r="D6" s="50" t="b">
        <v>1</v>
      </c>
      <c r="E6" s="50" t="s">
        <v>679</v>
      </c>
    </row>
    <row r="7" spans="1:8">
      <c r="A7" s="50" t="s">
        <v>74</v>
      </c>
      <c r="B7" s="50" t="s">
        <v>814</v>
      </c>
      <c r="C7" s="50">
        <v>5</v>
      </c>
      <c r="D7" s="50" t="b">
        <v>1</v>
      </c>
      <c r="E7" s="50" t="s">
        <v>679</v>
      </c>
    </row>
    <row r="8" spans="1:8">
      <c r="A8" s="50" t="s">
        <v>74</v>
      </c>
      <c r="B8" s="50" t="s">
        <v>821</v>
      </c>
      <c r="C8" s="50">
        <v>5</v>
      </c>
      <c r="D8" s="50" t="b">
        <v>1</v>
      </c>
      <c r="E8" s="50" t="s">
        <v>679</v>
      </c>
    </row>
    <row r="9" spans="1:8">
      <c r="A9" s="50" t="s">
        <v>74</v>
      </c>
      <c r="B9" s="50" t="s">
        <v>819</v>
      </c>
      <c r="C9" s="50">
        <v>5</v>
      </c>
      <c r="D9" s="50" t="b">
        <v>1</v>
      </c>
      <c r="E9" s="50" t="s">
        <v>679</v>
      </c>
    </row>
    <row r="10" spans="1:8">
      <c r="A10" s="50" t="s">
        <v>74</v>
      </c>
      <c r="B10" s="50" t="s">
        <v>666</v>
      </c>
      <c r="C10" s="50">
        <v>5</v>
      </c>
      <c r="D10" s="50" t="b">
        <v>1</v>
      </c>
      <c r="E10" s="50" t="s">
        <v>679</v>
      </c>
      <c r="F10" s="1" t="s">
        <v>74</v>
      </c>
      <c r="H10" s="52" t="s">
        <v>74</v>
      </c>
    </row>
    <row r="11" spans="1:8">
      <c r="A11" s="3" t="s">
        <v>78</v>
      </c>
      <c r="B11" s="3" t="s">
        <v>666</v>
      </c>
      <c r="C11" s="3">
        <v>1</v>
      </c>
      <c r="D11" s="3" t="b">
        <v>0</v>
      </c>
      <c r="E11" s="3" t="s">
        <v>679</v>
      </c>
      <c r="F11" s="1" t="s">
        <v>78</v>
      </c>
      <c r="H11" s="52" t="s">
        <v>78</v>
      </c>
    </row>
    <row r="12" spans="1:8">
      <c r="A12" s="3" t="s">
        <v>80</v>
      </c>
      <c r="B12" s="3" t="s">
        <v>666</v>
      </c>
      <c r="C12" s="3">
        <v>1</v>
      </c>
      <c r="D12" s="3" t="b">
        <v>0</v>
      </c>
      <c r="E12" s="3" t="s">
        <v>696</v>
      </c>
      <c r="F12" s="1" t="s">
        <v>80</v>
      </c>
      <c r="H12" s="52" t="s">
        <v>80</v>
      </c>
    </row>
    <row r="13" spans="1:8">
      <c r="A13" s="3" t="s">
        <v>83</v>
      </c>
      <c r="B13" s="3" t="s">
        <v>666</v>
      </c>
      <c r="C13" s="3">
        <v>1</v>
      </c>
      <c r="D13" s="3" t="b">
        <v>0</v>
      </c>
      <c r="E13" s="3" t="s">
        <v>706</v>
      </c>
      <c r="F13" s="1" t="s">
        <v>83</v>
      </c>
      <c r="H13" s="52" t="s">
        <v>83</v>
      </c>
    </row>
    <row r="14" spans="1:8">
      <c r="A14" s="3" t="s">
        <v>85</v>
      </c>
      <c r="B14" s="3" t="s">
        <v>666</v>
      </c>
      <c r="C14" s="3">
        <v>1</v>
      </c>
      <c r="D14" s="3" t="b">
        <v>0</v>
      </c>
      <c r="E14" s="3" t="s">
        <v>696</v>
      </c>
      <c r="F14" s="1" t="s">
        <v>85</v>
      </c>
      <c r="H14" s="52" t="s">
        <v>85</v>
      </c>
    </row>
    <row r="15" spans="1:8">
      <c r="A15" s="3" t="s">
        <v>87</v>
      </c>
      <c r="B15" s="3" t="s">
        <v>666</v>
      </c>
      <c r="C15" s="3">
        <v>1</v>
      </c>
      <c r="D15" s="3" t="b">
        <v>0</v>
      </c>
      <c r="E15" s="3" t="s">
        <v>692</v>
      </c>
      <c r="F15" s="1" t="s">
        <v>87</v>
      </c>
      <c r="H15" s="52" t="s">
        <v>87</v>
      </c>
    </row>
    <row r="16" spans="1:8" s="51" customFormat="1">
      <c r="A16" s="50" t="s">
        <v>89</v>
      </c>
      <c r="B16" s="50" t="s">
        <v>689</v>
      </c>
      <c r="C16" s="50">
        <v>2</v>
      </c>
      <c r="D16" s="50" t="b">
        <v>1</v>
      </c>
      <c r="E16" s="50" t="s">
        <v>1149</v>
      </c>
      <c r="H16" s="52"/>
    </row>
    <row r="17" spans="1:8" s="51" customFormat="1">
      <c r="A17" s="50" t="s">
        <v>89</v>
      </c>
      <c r="B17" s="50" t="s">
        <v>666</v>
      </c>
      <c r="C17" s="50">
        <v>2</v>
      </c>
      <c r="D17" s="50" t="b">
        <v>1</v>
      </c>
      <c r="E17" s="50" t="s">
        <v>750</v>
      </c>
      <c r="F17" s="1" t="s">
        <v>89</v>
      </c>
      <c r="H17" s="52" t="s">
        <v>89</v>
      </c>
    </row>
    <row r="18" spans="1:8">
      <c r="A18" s="3" t="s">
        <v>90</v>
      </c>
      <c r="B18" s="3" t="s">
        <v>666</v>
      </c>
      <c r="C18" s="3">
        <v>1</v>
      </c>
      <c r="D18" s="3" t="b">
        <v>0</v>
      </c>
      <c r="E18" s="3" t="s">
        <v>750</v>
      </c>
      <c r="F18" s="1" t="s">
        <v>90</v>
      </c>
      <c r="H18" s="52" t="s">
        <v>90</v>
      </c>
    </row>
    <row r="19" spans="1:8">
      <c r="A19" s="3" t="s">
        <v>91</v>
      </c>
      <c r="B19" s="3" t="s">
        <v>666</v>
      </c>
      <c r="C19" s="3">
        <v>1</v>
      </c>
      <c r="D19" s="3" t="b">
        <v>0</v>
      </c>
      <c r="E19" s="3" t="s">
        <v>746</v>
      </c>
      <c r="F19" s="1" t="s">
        <v>91</v>
      </c>
      <c r="H19" s="52" t="s">
        <v>91</v>
      </c>
    </row>
    <row r="20" spans="1:8">
      <c r="A20" s="3" t="s">
        <v>93</v>
      </c>
      <c r="B20" s="3" t="s">
        <v>666</v>
      </c>
      <c r="C20" s="3">
        <v>1</v>
      </c>
      <c r="D20" s="3" t="b">
        <v>0</v>
      </c>
      <c r="E20" s="3" t="s">
        <v>686</v>
      </c>
      <c r="F20" s="1" t="s">
        <v>93</v>
      </c>
      <c r="H20" s="52" t="s">
        <v>93</v>
      </c>
    </row>
    <row r="21" spans="1:8">
      <c r="A21" s="3" t="s">
        <v>95</v>
      </c>
      <c r="B21" s="3" t="s">
        <v>666</v>
      </c>
      <c r="C21" s="3">
        <v>1</v>
      </c>
      <c r="D21" s="3" t="b">
        <v>0</v>
      </c>
      <c r="E21" s="3" t="s">
        <v>679</v>
      </c>
      <c r="F21" s="1" t="s">
        <v>95</v>
      </c>
      <c r="H21" s="52" t="s">
        <v>95</v>
      </c>
    </row>
    <row r="22" spans="1:8">
      <c r="A22" s="3" t="s">
        <v>97</v>
      </c>
      <c r="B22" s="3" t="s">
        <v>666</v>
      </c>
      <c r="C22" s="3">
        <v>1</v>
      </c>
      <c r="D22" s="3" t="b">
        <v>0</v>
      </c>
      <c r="E22" s="3" t="s">
        <v>777</v>
      </c>
      <c r="F22" s="1" t="s">
        <v>97</v>
      </c>
      <c r="H22" s="52" t="s">
        <v>97</v>
      </c>
    </row>
    <row r="23" spans="1:8">
      <c r="A23" s="3" t="s">
        <v>99</v>
      </c>
      <c r="B23" s="3" t="s">
        <v>666</v>
      </c>
      <c r="C23" s="3">
        <v>1</v>
      </c>
      <c r="D23" s="3" t="b">
        <v>0</v>
      </c>
      <c r="E23" s="3" t="s">
        <v>706</v>
      </c>
      <c r="F23" s="1" t="s">
        <v>99</v>
      </c>
      <c r="H23" s="52" t="s">
        <v>99</v>
      </c>
    </row>
    <row r="24" spans="1:8">
      <c r="A24" s="3" t="s">
        <v>101</v>
      </c>
      <c r="B24" s="3" t="s">
        <v>666</v>
      </c>
      <c r="C24" s="3">
        <v>1</v>
      </c>
      <c r="D24" s="3" t="b">
        <v>0</v>
      </c>
      <c r="E24" s="3" t="s">
        <v>692</v>
      </c>
      <c r="F24" s="1" t="s">
        <v>101</v>
      </c>
      <c r="H24" s="52" t="s">
        <v>101</v>
      </c>
    </row>
    <row r="25" spans="1:8">
      <c r="A25" s="3" t="s">
        <v>102</v>
      </c>
      <c r="B25" s="3" t="s">
        <v>666</v>
      </c>
      <c r="C25" s="3">
        <v>1</v>
      </c>
      <c r="D25" s="3" t="b">
        <v>0</v>
      </c>
      <c r="E25" s="3" t="s">
        <v>733</v>
      </c>
      <c r="F25" s="1" t="s">
        <v>102</v>
      </c>
      <c r="H25" s="52" t="s">
        <v>102</v>
      </c>
    </row>
    <row r="26" spans="1:8">
      <c r="A26" s="3" t="s">
        <v>104</v>
      </c>
      <c r="B26" s="3" t="s">
        <v>666</v>
      </c>
      <c r="C26" s="3">
        <v>1</v>
      </c>
      <c r="D26" s="3" t="b">
        <v>0</v>
      </c>
      <c r="E26" s="3" t="s">
        <v>723</v>
      </c>
      <c r="F26" s="1" t="s">
        <v>104</v>
      </c>
      <c r="H26" s="52" t="s">
        <v>104</v>
      </c>
    </row>
    <row r="27" spans="1:8">
      <c r="A27" s="3" t="s">
        <v>106</v>
      </c>
      <c r="B27" s="3" t="s">
        <v>666</v>
      </c>
      <c r="C27" s="3">
        <v>1</v>
      </c>
      <c r="D27" s="3" t="b">
        <v>0</v>
      </c>
      <c r="E27" s="3" t="s">
        <v>690</v>
      </c>
      <c r="F27" s="1" t="s">
        <v>106</v>
      </c>
      <c r="H27" s="52" t="s">
        <v>106</v>
      </c>
    </row>
    <row r="28" spans="1:8">
      <c r="A28" s="3" t="s">
        <v>108</v>
      </c>
      <c r="B28" s="3" t="s">
        <v>666</v>
      </c>
      <c r="C28" s="3">
        <v>1</v>
      </c>
      <c r="D28" s="3" t="b">
        <v>0</v>
      </c>
      <c r="E28" s="3" t="s">
        <v>686</v>
      </c>
      <c r="F28" s="1" t="s">
        <v>108</v>
      </c>
      <c r="H28" s="52" t="s">
        <v>108</v>
      </c>
    </row>
    <row r="29" spans="1:8">
      <c r="A29" s="3" t="s">
        <v>110</v>
      </c>
      <c r="B29" s="3" t="s">
        <v>666</v>
      </c>
      <c r="C29" s="3">
        <v>1</v>
      </c>
      <c r="D29" s="3" t="b">
        <v>0</v>
      </c>
      <c r="E29" s="3" t="s">
        <v>692</v>
      </c>
      <c r="F29" s="1" t="s">
        <v>110</v>
      </c>
      <c r="H29" s="52" t="s">
        <v>110</v>
      </c>
    </row>
    <row r="30" spans="1:8" s="51" customFormat="1">
      <c r="A30" s="50" t="s">
        <v>112</v>
      </c>
      <c r="B30" s="50" t="s">
        <v>814</v>
      </c>
      <c r="C30" s="50">
        <v>3</v>
      </c>
      <c r="D30" s="50" t="b">
        <v>1</v>
      </c>
      <c r="E30" s="50" t="s">
        <v>1149</v>
      </c>
      <c r="H30" s="52"/>
    </row>
    <row r="31" spans="1:8" s="51" customFormat="1">
      <c r="A31" s="50" t="s">
        <v>112</v>
      </c>
      <c r="B31" s="50" t="s">
        <v>689</v>
      </c>
      <c r="C31" s="50">
        <v>3</v>
      </c>
      <c r="D31" s="50" t="b">
        <v>1</v>
      </c>
      <c r="E31" s="50" t="s">
        <v>708</v>
      </c>
      <c r="H31" s="52"/>
    </row>
    <row r="32" spans="1:8" s="51" customFormat="1">
      <c r="A32" s="50" t="s">
        <v>112</v>
      </c>
      <c r="B32" s="50" t="s">
        <v>666</v>
      </c>
      <c r="C32" s="50">
        <v>3</v>
      </c>
      <c r="D32" s="50" t="b">
        <v>1</v>
      </c>
      <c r="E32" s="50" t="s">
        <v>755</v>
      </c>
      <c r="F32" s="1" t="s">
        <v>112</v>
      </c>
      <c r="H32" s="52" t="s">
        <v>112</v>
      </c>
    </row>
    <row r="33" spans="1:8">
      <c r="A33" s="3" t="s">
        <v>113</v>
      </c>
      <c r="B33" s="3" t="s">
        <v>666</v>
      </c>
      <c r="C33" s="3">
        <v>1</v>
      </c>
      <c r="D33" s="3" t="b">
        <v>0</v>
      </c>
      <c r="E33" s="3" t="s">
        <v>692</v>
      </c>
      <c r="F33" s="1" t="s">
        <v>113</v>
      </c>
      <c r="H33" s="52" t="s">
        <v>113</v>
      </c>
    </row>
    <row r="34" spans="1:8">
      <c r="A34" s="3" t="s">
        <v>115</v>
      </c>
      <c r="B34" s="3" t="s">
        <v>666</v>
      </c>
      <c r="C34" s="3">
        <v>1</v>
      </c>
      <c r="D34" s="3" t="b">
        <v>0</v>
      </c>
      <c r="E34" s="3" t="s">
        <v>706</v>
      </c>
      <c r="F34" s="1" t="s">
        <v>115</v>
      </c>
      <c r="H34" s="52" t="s">
        <v>115</v>
      </c>
    </row>
    <row r="35" spans="1:8">
      <c r="A35" s="3" t="s">
        <v>116</v>
      </c>
      <c r="B35" s="3" t="s">
        <v>666</v>
      </c>
      <c r="C35" s="3">
        <v>1</v>
      </c>
      <c r="D35" s="3" t="b">
        <v>0</v>
      </c>
      <c r="E35" s="3" t="s">
        <v>713</v>
      </c>
      <c r="F35" s="1" t="s">
        <v>116</v>
      </c>
      <c r="H35" s="52" t="s">
        <v>116</v>
      </c>
    </row>
    <row r="36" spans="1:8">
      <c r="A36" s="3" t="s">
        <v>119</v>
      </c>
      <c r="B36" s="3" t="s">
        <v>666</v>
      </c>
      <c r="C36" s="3">
        <v>1</v>
      </c>
      <c r="D36" s="3" t="b">
        <v>0</v>
      </c>
      <c r="E36" s="3" t="s">
        <v>746</v>
      </c>
      <c r="F36" s="1" t="s">
        <v>119</v>
      </c>
      <c r="H36" s="52" t="s">
        <v>119</v>
      </c>
    </row>
    <row r="37" spans="1:8">
      <c r="A37" s="3" t="s">
        <v>121</v>
      </c>
      <c r="B37" s="3" t="s">
        <v>666</v>
      </c>
      <c r="C37" s="3">
        <v>1</v>
      </c>
      <c r="D37" s="3" t="b">
        <v>0</v>
      </c>
      <c r="E37" s="3" t="s">
        <v>781</v>
      </c>
      <c r="F37" s="1" t="s">
        <v>121</v>
      </c>
      <c r="H37" s="52" t="s">
        <v>121</v>
      </c>
    </row>
    <row r="38" spans="1:8">
      <c r="A38" s="3" t="s">
        <v>122</v>
      </c>
      <c r="B38" s="3" t="s">
        <v>666</v>
      </c>
      <c r="C38" s="3">
        <v>1</v>
      </c>
      <c r="D38" s="3" t="b">
        <v>0</v>
      </c>
      <c r="E38" s="3" t="s">
        <v>698</v>
      </c>
      <c r="F38" s="1" t="s">
        <v>122</v>
      </c>
      <c r="H38" s="52" t="s">
        <v>122</v>
      </c>
    </row>
    <row r="39" spans="1:8" s="51" customFormat="1">
      <c r="A39" s="50" t="s">
        <v>124</v>
      </c>
      <c r="B39" s="50" t="s">
        <v>689</v>
      </c>
      <c r="C39" s="50">
        <v>2</v>
      </c>
      <c r="D39" s="50" t="b">
        <v>1</v>
      </c>
      <c r="E39" s="50" t="s">
        <v>667</v>
      </c>
      <c r="H39" s="52"/>
    </row>
    <row r="40" spans="1:8" s="51" customFormat="1">
      <c r="A40" s="50" t="s">
        <v>124</v>
      </c>
      <c r="B40" s="50" t="s">
        <v>666</v>
      </c>
      <c r="C40" s="50">
        <v>2</v>
      </c>
      <c r="D40" s="50" t="b">
        <v>1</v>
      </c>
      <c r="E40" s="50" t="s">
        <v>667</v>
      </c>
      <c r="F40" s="1" t="s">
        <v>124</v>
      </c>
      <c r="H40" s="52" t="s">
        <v>124</v>
      </c>
    </row>
    <row r="41" spans="1:8">
      <c r="A41" s="3" t="s">
        <v>125</v>
      </c>
      <c r="B41" s="3" t="s">
        <v>666</v>
      </c>
      <c r="C41" s="3">
        <v>1</v>
      </c>
      <c r="D41" s="3" t="b">
        <v>0</v>
      </c>
      <c r="E41" s="3" t="s">
        <v>804</v>
      </c>
      <c r="F41" s="1" t="s">
        <v>125</v>
      </c>
      <c r="H41" s="52" t="s">
        <v>125</v>
      </c>
    </row>
    <row r="42" spans="1:8">
      <c r="A42" s="3" t="s">
        <v>127</v>
      </c>
      <c r="B42" s="3" t="s">
        <v>666</v>
      </c>
      <c r="C42" s="3">
        <v>1</v>
      </c>
      <c r="D42" s="3" t="b">
        <v>0</v>
      </c>
      <c r="E42" s="3" t="s">
        <v>723</v>
      </c>
      <c r="F42" s="1" t="s">
        <v>127</v>
      </c>
      <c r="H42" s="52" t="s">
        <v>127</v>
      </c>
    </row>
    <row r="43" spans="1:8">
      <c r="A43" s="3" t="s">
        <v>129</v>
      </c>
      <c r="B43" s="3" t="s">
        <v>666</v>
      </c>
      <c r="C43" s="3">
        <v>1</v>
      </c>
      <c r="D43" s="3" t="b">
        <v>0</v>
      </c>
      <c r="E43" s="3" t="s">
        <v>746</v>
      </c>
      <c r="F43" s="1" t="s">
        <v>129</v>
      </c>
      <c r="H43" s="52" t="s">
        <v>129</v>
      </c>
    </row>
    <row r="44" spans="1:8">
      <c r="A44" s="3" t="s">
        <v>131</v>
      </c>
      <c r="B44" s="3" t="s">
        <v>666</v>
      </c>
      <c r="C44" s="3">
        <v>1</v>
      </c>
      <c r="D44" s="3" t="b">
        <v>0</v>
      </c>
      <c r="E44" s="3" t="s">
        <v>804</v>
      </c>
      <c r="F44" s="1" t="s">
        <v>131</v>
      </c>
      <c r="H44" s="52" t="s">
        <v>131</v>
      </c>
    </row>
    <row r="45" spans="1:8">
      <c r="A45" s="3" t="s">
        <v>133</v>
      </c>
      <c r="B45" s="3" t="s">
        <v>666</v>
      </c>
      <c r="C45" s="3">
        <v>1</v>
      </c>
      <c r="D45" s="3" t="b">
        <v>0</v>
      </c>
      <c r="E45" s="3" t="s">
        <v>750</v>
      </c>
      <c r="F45" s="1" t="s">
        <v>133</v>
      </c>
      <c r="H45" s="52" t="s">
        <v>133</v>
      </c>
    </row>
    <row r="46" spans="1:8">
      <c r="A46" s="3" t="s">
        <v>135</v>
      </c>
      <c r="B46" s="3" t="s">
        <v>666</v>
      </c>
      <c r="C46" s="3">
        <v>1</v>
      </c>
      <c r="D46" s="3" t="b">
        <v>0</v>
      </c>
      <c r="E46" s="3" t="s">
        <v>735</v>
      </c>
      <c r="F46" s="1" t="s">
        <v>135</v>
      </c>
      <c r="H46" s="52" t="s">
        <v>135</v>
      </c>
    </row>
    <row r="47" spans="1:8">
      <c r="A47" s="3" t="s">
        <v>137</v>
      </c>
      <c r="B47" s="3" t="s">
        <v>666</v>
      </c>
      <c r="C47" s="3">
        <v>1</v>
      </c>
      <c r="D47" s="3" t="b">
        <v>0</v>
      </c>
      <c r="E47" s="3" t="s">
        <v>755</v>
      </c>
      <c r="F47" s="1" t="s">
        <v>137</v>
      </c>
      <c r="H47" s="52" t="s">
        <v>137</v>
      </c>
    </row>
    <row r="48" spans="1:8">
      <c r="A48" s="3" t="s">
        <v>139</v>
      </c>
      <c r="B48" s="3" t="s">
        <v>666</v>
      </c>
      <c r="C48" s="3">
        <v>1</v>
      </c>
      <c r="D48" s="3" t="b">
        <v>0</v>
      </c>
      <c r="E48" s="3" t="s">
        <v>706</v>
      </c>
      <c r="F48" s="1" t="s">
        <v>139</v>
      </c>
      <c r="H48" s="52" t="s">
        <v>139</v>
      </c>
    </row>
    <row r="49" spans="1:8" s="51" customFormat="1">
      <c r="A49" s="50" t="s">
        <v>141</v>
      </c>
      <c r="B49" s="50" t="s">
        <v>689</v>
      </c>
      <c r="C49" s="50">
        <v>3</v>
      </c>
      <c r="D49" s="50" t="b">
        <v>1</v>
      </c>
      <c r="E49" s="50" t="s">
        <v>667</v>
      </c>
      <c r="H49" s="52"/>
    </row>
    <row r="50" spans="1:8" s="51" customFormat="1">
      <c r="A50" s="50" t="s">
        <v>141</v>
      </c>
      <c r="B50" s="50" t="s">
        <v>814</v>
      </c>
      <c r="C50" s="50">
        <v>3</v>
      </c>
      <c r="D50" s="50" t="b">
        <v>1</v>
      </c>
      <c r="E50" s="50" t="s">
        <v>1149</v>
      </c>
      <c r="H50" s="52"/>
    </row>
    <row r="51" spans="1:8" s="51" customFormat="1">
      <c r="A51" s="50" t="s">
        <v>141</v>
      </c>
      <c r="B51" s="50" t="s">
        <v>666</v>
      </c>
      <c r="C51" s="50">
        <v>3</v>
      </c>
      <c r="D51" s="50" t="b">
        <v>1</v>
      </c>
      <c r="E51" s="50" t="s">
        <v>667</v>
      </c>
      <c r="F51" s="1" t="s">
        <v>141</v>
      </c>
      <c r="H51" s="52" t="s">
        <v>141</v>
      </c>
    </row>
    <row r="52" spans="1:8">
      <c r="A52" s="3" t="s">
        <v>143</v>
      </c>
      <c r="B52" s="3" t="s">
        <v>666</v>
      </c>
      <c r="C52" s="3">
        <v>1</v>
      </c>
      <c r="D52" s="3" t="b">
        <v>0</v>
      </c>
      <c r="E52" s="3" t="s">
        <v>698</v>
      </c>
      <c r="F52" s="1" t="s">
        <v>143</v>
      </c>
      <c r="H52" s="52" t="s">
        <v>143</v>
      </c>
    </row>
    <row r="53" spans="1:8">
      <c r="A53" s="3" t="s">
        <v>145</v>
      </c>
      <c r="B53" s="3" t="s">
        <v>666</v>
      </c>
      <c r="C53" s="3">
        <v>1</v>
      </c>
      <c r="D53" s="3" t="b">
        <v>0</v>
      </c>
      <c r="E53" s="3" t="s">
        <v>698</v>
      </c>
      <c r="F53" s="1" t="s">
        <v>145</v>
      </c>
      <c r="H53" s="52" t="s">
        <v>145</v>
      </c>
    </row>
    <row r="54" spans="1:8">
      <c r="A54" s="3" t="s">
        <v>147</v>
      </c>
      <c r="B54" s="3" t="s">
        <v>666</v>
      </c>
      <c r="C54" s="3">
        <v>1</v>
      </c>
      <c r="D54" s="3" t="b">
        <v>0</v>
      </c>
      <c r="E54" s="3" t="s">
        <v>733</v>
      </c>
      <c r="F54" s="1" t="s">
        <v>147</v>
      </c>
      <c r="H54" s="52" t="s">
        <v>147</v>
      </c>
    </row>
    <row r="55" spans="1:8">
      <c r="A55" s="3" t="s">
        <v>149</v>
      </c>
      <c r="B55" s="3" t="s">
        <v>666</v>
      </c>
      <c r="C55" s="3">
        <v>1</v>
      </c>
      <c r="D55" s="3" t="b">
        <v>0</v>
      </c>
      <c r="E55" s="3" t="s">
        <v>698</v>
      </c>
      <c r="F55" s="1" t="s">
        <v>149</v>
      </c>
      <c r="H55" s="52" t="s">
        <v>149</v>
      </c>
    </row>
    <row r="56" spans="1:8">
      <c r="A56" s="3" t="s">
        <v>151</v>
      </c>
      <c r="B56" s="3" t="s">
        <v>666</v>
      </c>
      <c r="C56" s="3">
        <v>1</v>
      </c>
      <c r="D56" s="3" t="b">
        <v>0</v>
      </c>
      <c r="E56" s="3" t="s">
        <v>764</v>
      </c>
      <c r="F56" s="1" t="s">
        <v>151</v>
      </c>
      <c r="H56" s="52" t="s">
        <v>151</v>
      </c>
    </row>
    <row r="57" spans="1:8">
      <c r="A57" s="3" t="s">
        <v>153</v>
      </c>
      <c r="B57" s="3" t="s">
        <v>666</v>
      </c>
      <c r="C57" s="3">
        <v>1</v>
      </c>
      <c r="D57" s="3" t="b">
        <v>0</v>
      </c>
      <c r="E57" s="3" t="s">
        <v>690</v>
      </c>
      <c r="F57" s="1" t="s">
        <v>153</v>
      </c>
      <c r="H57" s="52" t="s">
        <v>153</v>
      </c>
    </row>
    <row r="58" spans="1:8">
      <c r="A58" s="3" t="s">
        <v>155</v>
      </c>
      <c r="B58" s="3" t="s">
        <v>666</v>
      </c>
      <c r="C58" s="3">
        <v>1</v>
      </c>
      <c r="D58" s="3" t="b">
        <v>0</v>
      </c>
      <c r="E58" s="3" t="s">
        <v>777</v>
      </c>
      <c r="F58" s="1" t="s">
        <v>155</v>
      </c>
      <c r="H58" s="52" t="s">
        <v>155</v>
      </c>
    </row>
    <row r="59" spans="1:8" s="51" customFormat="1">
      <c r="A59" s="50" t="s">
        <v>157</v>
      </c>
      <c r="B59" s="50" t="s">
        <v>666</v>
      </c>
      <c r="C59" s="50">
        <v>2</v>
      </c>
      <c r="D59" s="50" t="b">
        <v>1</v>
      </c>
      <c r="E59" s="50" t="s">
        <v>694</v>
      </c>
      <c r="H59" s="52"/>
    </row>
    <row r="60" spans="1:8" s="51" customFormat="1">
      <c r="A60" s="50" t="s">
        <v>157</v>
      </c>
      <c r="B60" s="50" t="s">
        <v>689</v>
      </c>
      <c r="C60" s="50">
        <v>2</v>
      </c>
      <c r="D60" s="50" t="b">
        <v>1</v>
      </c>
      <c r="E60" s="50" t="s">
        <v>1149</v>
      </c>
      <c r="F60" s="1" t="s">
        <v>157</v>
      </c>
      <c r="H60" s="52" t="s">
        <v>157</v>
      </c>
    </row>
    <row r="61" spans="1:8">
      <c r="A61" s="3" t="s">
        <v>159</v>
      </c>
      <c r="B61" s="3" t="s">
        <v>666</v>
      </c>
      <c r="C61" s="3">
        <v>1</v>
      </c>
      <c r="D61" s="3" t="b">
        <v>0</v>
      </c>
      <c r="E61" s="3" t="s">
        <v>773</v>
      </c>
      <c r="F61" s="1" t="s">
        <v>159</v>
      </c>
      <c r="H61" s="52" t="s">
        <v>159</v>
      </c>
    </row>
    <row r="62" spans="1:8">
      <c r="A62" s="3" t="s">
        <v>161</v>
      </c>
      <c r="B62" s="3" t="s">
        <v>666</v>
      </c>
      <c r="C62" s="3">
        <v>1</v>
      </c>
      <c r="D62" s="3" t="b">
        <v>0</v>
      </c>
      <c r="E62" s="3" t="s">
        <v>718</v>
      </c>
      <c r="F62" s="1" t="s">
        <v>161</v>
      </c>
      <c r="H62" s="52" t="s">
        <v>161</v>
      </c>
    </row>
    <row r="63" spans="1:8">
      <c r="A63" s="3" t="s">
        <v>163</v>
      </c>
      <c r="B63" s="3" t="s">
        <v>666</v>
      </c>
      <c r="C63" s="3">
        <v>1</v>
      </c>
      <c r="D63" s="3" t="b">
        <v>0</v>
      </c>
      <c r="E63" s="3" t="s">
        <v>723</v>
      </c>
      <c r="F63" s="1" t="s">
        <v>163</v>
      </c>
      <c r="H63" s="52" t="s">
        <v>163</v>
      </c>
    </row>
    <row r="64" spans="1:8">
      <c r="A64" s="3" t="s">
        <v>165</v>
      </c>
      <c r="B64" s="3" t="s">
        <v>666</v>
      </c>
      <c r="C64" s="3">
        <v>1</v>
      </c>
      <c r="D64" s="3" t="b">
        <v>0</v>
      </c>
      <c r="E64" s="3" t="s">
        <v>718</v>
      </c>
      <c r="F64" s="1" t="s">
        <v>165</v>
      </c>
      <c r="H64" s="52" t="s">
        <v>165</v>
      </c>
    </row>
    <row r="65" spans="1:8">
      <c r="A65" s="3" t="s">
        <v>167</v>
      </c>
      <c r="B65" s="3" t="s">
        <v>666</v>
      </c>
      <c r="C65" s="3">
        <v>1</v>
      </c>
      <c r="D65" s="3" t="b">
        <v>0</v>
      </c>
      <c r="E65" s="3" t="s">
        <v>713</v>
      </c>
      <c r="F65" s="1" t="s">
        <v>167</v>
      </c>
      <c r="H65" s="52" t="s">
        <v>167</v>
      </c>
    </row>
    <row r="66" spans="1:8">
      <c r="A66" s="3" t="s">
        <v>169</v>
      </c>
      <c r="B66" s="3" t="s">
        <v>666</v>
      </c>
      <c r="C66" s="3">
        <v>1</v>
      </c>
      <c r="D66" s="3" t="b">
        <v>0</v>
      </c>
      <c r="E66" s="3" t="s">
        <v>690</v>
      </c>
      <c r="F66" s="1" t="s">
        <v>169</v>
      </c>
      <c r="H66" s="52" t="s">
        <v>169</v>
      </c>
    </row>
    <row r="67" spans="1:8">
      <c r="A67" s="3" t="s">
        <v>171</v>
      </c>
      <c r="B67" s="3" t="s">
        <v>666</v>
      </c>
      <c r="C67" s="3">
        <v>1</v>
      </c>
      <c r="D67" s="3" t="b">
        <v>0</v>
      </c>
      <c r="E67" s="3" t="s">
        <v>733</v>
      </c>
      <c r="F67" s="1" t="s">
        <v>171</v>
      </c>
      <c r="H67" s="52" t="s">
        <v>171</v>
      </c>
    </row>
    <row r="68" spans="1:8">
      <c r="A68" s="3" t="s">
        <v>173</v>
      </c>
      <c r="B68" s="3" t="s">
        <v>666</v>
      </c>
      <c r="C68" s="3">
        <v>1</v>
      </c>
      <c r="D68" s="3" t="b">
        <v>0</v>
      </c>
      <c r="E68" s="3" t="s">
        <v>713</v>
      </c>
      <c r="F68" s="1" t="s">
        <v>173</v>
      </c>
      <c r="H68" s="52" t="s">
        <v>173</v>
      </c>
    </row>
    <row r="69" spans="1:8">
      <c r="A69" s="3" t="s">
        <v>175</v>
      </c>
      <c r="B69" s="3" t="s">
        <v>666</v>
      </c>
      <c r="C69" s="3">
        <v>1</v>
      </c>
      <c r="D69" s="3" t="b">
        <v>0</v>
      </c>
      <c r="E69" s="3" t="s">
        <v>804</v>
      </c>
      <c r="F69" s="1" t="s">
        <v>175</v>
      </c>
      <c r="H69" s="52" t="s">
        <v>175</v>
      </c>
    </row>
    <row r="70" spans="1:8">
      <c r="A70" s="3" t="s">
        <v>177</v>
      </c>
      <c r="B70" s="3" t="s">
        <v>666</v>
      </c>
      <c r="C70" s="3">
        <v>1</v>
      </c>
      <c r="D70" s="3" t="b">
        <v>0</v>
      </c>
      <c r="E70" s="3" t="s">
        <v>773</v>
      </c>
      <c r="F70" s="1" t="s">
        <v>177</v>
      </c>
      <c r="H70" s="52" t="s">
        <v>177</v>
      </c>
    </row>
    <row r="71" spans="1:8">
      <c r="A71" s="3" t="s">
        <v>179</v>
      </c>
      <c r="B71" s="3" t="s">
        <v>666</v>
      </c>
      <c r="C71" s="3">
        <v>1</v>
      </c>
      <c r="D71" s="3" t="b">
        <v>0</v>
      </c>
      <c r="E71" s="3" t="s">
        <v>733</v>
      </c>
      <c r="F71" s="1" t="s">
        <v>179</v>
      </c>
      <c r="H71" s="52" t="s">
        <v>179</v>
      </c>
    </row>
    <row r="72" spans="1:8">
      <c r="A72" s="3" t="s">
        <v>181</v>
      </c>
      <c r="B72" s="3" t="s">
        <v>666</v>
      </c>
      <c r="C72" s="3">
        <v>1</v>
      </c>
      <c r="D72" s="3" t="b">
        <v>0</v>
      </c>
      <c r="E72" s="3" t="s">
        <v>773</v>
      </c>
      <c r="F72" s="1" t="s">
        <v>181</v>
      </c>
      <c r="H72" s="52" t="s">
        <v>181</v>
      </c>
    </row>
    <row r="73" spans="1:8" s="51" customFormat="1">
      <c r="A73" s="50" t="s">
        <v>183</v>
      </c>
      <c r="B73" s="50" t="s">
        <v>689</v>
      </c>
      <c r="C73" s="50">
        <v>2</v>
      </c>
      <c r="D73" s="50" t="b">
        <v>1</v>
      </c>
      <c r="E73" s="50" t="s">
        <v>708</v>
      </c>
      <c r="H73" s="52"/>
    </row>
    <row r="74" spans="1:8" s="51" customFormat="1">
      <c r="A74" s="50" t="s">
        <v>183</v>
      </c>
      <c r="B74" s="50" t="s">
        <v>666</v>
      </c>
      <c r="C74" s="50">
        <v>2</v>
      </c>
      <c r="D74" s="50" t="b">
        <v>1</v>
      </c>
      <c r="E74" s="50" t="s">
        <v>718</v>
      </c>
      <c r="F74" s="1" t="s">
        <v>183</v>
      </c>
      <c r="H74" s="52" t="s">
        <v>183</v>
      </c>
    </row>
    <row r="75" spans="1:8">
      <c r="A75" s="3" t="s">
        <v>6731</v>
      </c>
      <c r="B75" s="3" t="s">
        <v>666</v>
      </c>
      <c r="C75" s="3">
        <v>1</v>
      </c>
      <c r="D75" s="3" t="b">
        <v>0</v>
      </c>
      <c r="E75" s="3" t="s">
        <v>694</v>
      </c>
      <c r="F75" s="1" t="s">
        <v>6731</v>
      </c>
      <c r="H75" s="52" t="s">
        <v>6731</v>
      </c>
    </row>
    <row r="76" spans="1:8">
      <c r="A76" s="3" t="s">
        <v>185</v>
      </c>
      <c r="B76" s="3" t="s">
        <v>666</v>
      </c>
      <c r="C76" s="3">
        <v>1</v>
      </c>
      <c r="D76" s="3" t="b">
        <v>0</v>
      </c>
      <c r="E76" s="3" t="s">
        <v>725</v>
      </c>
      <c r="F76" s="1" t="s">
        <v>185</v>
      </c>
      <c r="H76" s="52" t="s">
        <v>185</v>
      </c>
    </row>
    <row r="77" spans="1:8">
      <c r="A77" s="3" t="s">
        <v>187</v>
      </c>
      <c r="B77" s="3" t="s">
        <v>666</v>
      </c>
      <c r="C77" s="3">
        <v>1</v>
      </c>
      <c r="D77" s="3" t="b">
        <v>0</v>
      </c>
      <c r="E77" s="3" t="s">
        <v>713</v>
      </c>
      <c r="F77" s="1" t="s">
        <v>187</v>
      </c>
      <c r="H77" s="52" t="s">
        <v>187</v>
      </c>
    </row>
    <row r="78" spans="1:8">
      <c r="A78" s="3" t="s">
        <v>189</v>
      </c>
      <c r="B78" s="3" t="s">
        <v>666</v>
      </c>
      <c r="C78" s="3">
        <v>1</v>
      </c>
      <c r="D78" s="3" t="b">
        <v>0</v>
      </c>
      <c r="E78" s="3" t="s">
        <v>804</v>
      </c>
      <c r="F78" s="1" t="s">
        <v>189</v>
      </c>
      <c r="H78" s="52" t="s">
        <v>189</v>
      </c>
    </row>
    <row r="79" spans="1:8">
      <c r="A79" s="3" t="s">
        <v>197</v>
      </c>
      <c r="B79" s="3" t="s">
        <v>666</v>
      </c>
      <c r="C79" s="3">
        <v>1</v>
      </c>
      <c r="D79" s="3" t="b">
        <v>0</v>
      </c>
      <c r="E79" s="3" t="s">
        <v>773</v>
      </c>
      <c r="F79" s="1" t="s">
        <v>191</v>
      </c>
      <c r="H79" s="52" t="s">
        <v>197</v>
      </c>
    </row>
    <row r="80" spans="1:8">
      <c r="A80" s="3" t="s">
        <v>191</v>
      </c>
      <c r="B80" s="3" t="s">
        <v>666</v>
      </c>
      <c r="C80" s="3">
        <v>1</v>
      </c>
      <c r="D80" s="3" t="b">
        <v>0</v>
      </c>
      <c r="E80" s="3" t="s">
        <v>690</v>
      </c>
      <c r="F80" s="1" t="s">
        <v>193</v>
      </c>
      <c r="H80" s="52" t="s">
        <v>191</v>
      </c>
    </row>
    <row r="81" spans="1:8">
      <c r="A81" s="3" t="s">
        <v>193</v>
      </c>
      <c r="B81" s="3" t="s">
        <v>666</v>
      </c>
      <c r="C81" s="3">
        <v>1</v>
      </c>
      <c r="D81" s="3" t="b">
        <v>0</v>
      </c>
      <c r="E81" s="3" t="s">
        <v>708</v>
      </c>
      <c r="F81" s="1" t="s">
        <v>195</v>
      </c>
      <c r="H81" s="52" t="s">
        <v>193</v>
      </c>
    </row>
    <row r="82" spans="1:8">
      <c r="A82" s="3" t="s">
        <v>195</v>
      </c>
      <c r="B82" s="3" t="s">
        <v>666</v>
      </c>
      <c r="C82" s="3">
        <v>1</v>
      </c>
      <c r="D82" s="3" t="b">
        <v>0</v>
      </c>
      <c r="E82" s="3" t="s">
        <v>694</v>
      </c>
      <c r="F82" s="1" t="s">
        <v>197</v>
      </c>
      <c r="H82" s="52" t="s">
        <v>195</v>
      </c>
    </row>
    <row r="83" spans="1:8">
      <c r="A83" s="3" t="s">
        <v>199</v>
      </c>
      <c r="B83" s="3" t="s">
        <v>666</v>
      </c>
      <c r="C83" s="3">
        <v>1</v>
      </c>
      <c r="D83" s="3" t="b">
        <v>0</v>
      </c>
      <c r="E83" s="3" t="s">
        <v>725</v>
      </c>
      <c r="F83" s="1" t="s">
        <v>199</v>
      </c>
      <c r="H83" s="52" t="s">
        <v>199</v>
      </c>
    </row>
    <row r="84" spans="1:8">
      <c r="A84" s="3" t="s">
        <v>201</v>
      </c>
      <c r="B84" s="3" t="s">
        <v>666</v>
      </c>
      <c r="C84" s="3">
        <v>1</v>
      </c>
      <c r="D84" s="3" t="b">
        <v>0</v>
      </c>
      <c r="E84" s="3" t="s">
        <v>755</v>
      </c>
      <c r="F84" s="1" t="s">
        <v>201</v>
      </c>
      <c r="H84" s="52" t="s">
        <v>201</v>
      </c>
    </row>
    <row r="85" spans="1:8">
      <c r="A85" s="3" t="s">
        <v>203</v>
      </c>
      <c r="B85" s="3" t="s">
        <v>666</v>
      </c>
      <c r="C85" s="3">
        <v>1</v>
      </c>
      <c r="D85" s="3" t="b">
        <v>0</v>
      </c>
      <c r="E85" s="3" t="s">
        <v>735</v>
      </c>
      <c r="F85" s="1" t="s">
        <v>203</v>
      </c>
      <c r="H85" s="52" t="s">
        <v>203</v>
      </c>
    </row>
    <row r="86" spans="1:8">
      <c r="A86" s="3" t="s">
        <v>205</v>
      </c>
      <c r="B86" s="3" t="s">
        <v>666</v>
      </c>
      <c r="C86" s="3">
        <v>1</v>
      </c>
      <c r="D86" s="3" t="b">
        <v>0</v>
      </c>
      <c r="E86" s="3" t="s">
        <v>718</v>
      </c>
      <c r="F86" s="1" t="s">
        <v>205</v>
      </c>
      <c r="H86" s="52" t="s">
        <v>205</v>
      </c>
    </row>
    <row r="87" spans="1:8">
      <c r="A87" s="3" t="s">
        <v>207</v>
      </c>
      <c r="B87" s="3" t="s">
        <v>666</v>
      </c>
      <c r="C87" s="3">
        <v>1</v>
      </c>
      <c r="D87" s="3" t="b">
        <v>0</v>
      </c>
      <c r="E87" s="3" t="s">
        <v>735</v>
      </c>
      <c r="F87" s="1" t="s">
        <v>207</v>
      </c>
      <c r="H87" s="52" t="s">
        <v>207</v>
      </c>
    </row>
    <row r="88" spans="1:8">
      <c r="A88" s="3" t="s">
        <v>209</v>
      </c>
      <c r="B88" s="3" t="s">
        <v>666</v>
      </c>
      <c r="C88" s="3">
        <v>1</v>
      </c>
      <c r="D88" s="3" t="b">
        <v>0</v>
      </c>
      <c r="E88" s="3" t="s">
        <v>781</v>
      </c>
      <c r="F88" s="1" t="s">
        <v>209</v>
      </c>
      <c r="H88" s="52" t="s">
        <v>209</v>
      </c>
    </row>
    <row r="89" spans="1:8">
      <c r="A89" s="3" t="s">
        <v>211</v>
      </c>
      <c r="B89" s="3" t="s">
        <v>666</v>
      </c>
      <c r="C89" s="3">
        <v>1</v>
      </c>
      <c r="D89" s="3" t="b">
        <v>0</v>
      </c>
      <c r="E89" s="3" t="s">
        <v>735</v>
      </c>
      <c r="F89" s="1" t="s">
        <v>211</v>
      </c>
      <c r="H89" s="52" t="s">
        <v>211</v>
      </c>
    </row>
    <row r="90" spans="1:8">
      <c r="A90" s="3" t="s">
        <v>213</v>
      </c>
      <c r="B90" s="3" t="s">
        <v>666</v>
      </c>
      <c r="C90" s="3">
        <v>1</v>
      </c>
      <c r="D90" s="3" t="b">
        <v>0</v>
      </c>
      <c r="E90" s="3" t="s">
        <v>723</v>
      </c>
      <c r="F90" s="1" t="s">
        <v>213</v>
      </c>
      <c r="H90" s="52" t="s">
        <v>213</v>
      </c>
    </row>
    <row r="91" spans="1:8">
      <c r="A91" s="3" t="s">
        <v>215</v>
      </c>
      <c r="B91" s="3" t="s">
        <v>666</v>
      </c>
      <c r="C91" s="3">
        <v>1</v>
      </c>
      <c r="D91" s="3" t="b">
        <v>0</v>
      </c>
      <c r="E91" s="3" t="s">
        <v>679</v>
      </c>
      <c r="F91" s="1" t="s">
        <v>215</v>
      </c>
      <c r="H91" s="52" t="s">
        <v>215</v>
      </c>
    </row>
    <row r="92" spans="1:8">
      <c r="A92" s="3" t="s">
        <v>217</v>
      </c>
      <c r="B92" s="3" t="s">
        <v>666</v>
      </c>
      <c r="C92" s="3">
        <v>1</v>
      </c>
      <c r="D92" s="3" t="b">
        <v>0</v>
      </c>
      <c r="E92" s="3" t="s">
        <v>694</v>
      </c>
      <c r="F92" s="1" t="s">
        <v>217</v>
      </c>
      <c r="H92" s="52" t="s">
        <v>217</v>
      </c>
    </row>
    <row r="93" spans="1:8">
      <c r="A93" s="3" t="s">
        <v>6730</v>
      </c>
      <c r="B93" s="3" t="s">
        <v>666</v>
      </c>
      <c r="C93" s="3">
        <v>1</v>
      </c>
      <c r="D93" s="3" t="b">
        <v>0</v>
      </c>
      <c r="E93" s="3" t="s">
        <v>764</v>
      </c>
      <c r="F93" s="1" t="s">
        <v>6730</v>
      </c>
      <c r="H93" s="52" t="s">
        <v>6730</v>
      </c>
    </row>
    <row r="94" spans="1:8">
      <c r="A94" s="3" t="s">
        <v>219</v>
      </c>
      <c r="B94" s="3" t="s">
        <v>666</v>
      </c>
      <c r="C94" s="3">
        <v>1</v>
      </c>
      <c r="D94" s="3" t="b">
        <v>0</v>
      </c>
      <c r="E94" s="3" t="s">
        <v>725</v>
      </c>
      <c r="F94" s="1" t="s">
        <v>219</v>
      </c>
      <c r="H94" s="52" t="s">
        <v>219</v>
      </c>
    </row>
    <row r="95" spans="1:8">
      <c r="A95" s="3" t="s">
        <v>6728</v>
      </c>
      <c r="B95" s="3" t="s">
        <v>666</v>
      </c>
      <c r="C95" s="3">
        <v>1</v>
      </c>
      <c r="D95" s="3" t="b">
        <v>0</v>
      </c>
      <c r="E95" s="3" t="s">
        <v>771</v>
      </c>
      <c r="F95" s="1" t="s">
        <v>6728</v>
      </c>
      <c r="G95" s="1" t="s">
        <v>221</v>
      </c>
    </row>
    <row r="96" spans="1:8">
      <c r="A96" s="3" t="s">
        <v>223</v>
      </c>
      <c r="B96" s="3" t="s">
        <v>666</v>
      </c>
      <c r="C96" s="3">
        <v>1</v>
      </c>
      <c r="D96" s="3" t="b">
        <v>0</v>
      </c>
      <c r="E96" s="3" t="s">
        <v>771</v>
      </c>
      <c r="F96" s="1" t="s">
        <v>223</v>
      </c>
      <c r="H96" s="52" t="s">
        <v>223</v>
      </c>
    </row>
    <row r="97" spans="1:8">
      <c r="A97" s="3" t="s">
        <v>225</v>
      </c>
      <c r="B97" s="3" t="s">
        <v>666</v>
      </c>
      <c r="C97" s="3">
        <v>1</v>
      </c>
      <c r="D97" s="3" t="b">
        <v>0</v>
      </c>
      <c r="E97" s="3" t="s">
        <v>746</v>
      </c>
      <c r="F97" s="1" t="s">
        <v>225</v>
      </c>
      <c r="H97" s="52" t="s">
        <v>225</v>
      </c>
    </row>
    <row r="98" spans="1:8">
      <c r="A98" s="3" t="s">
        <v>227</v>
      </c>
      <c r="B98" s="3" t="s">
        <v>666</v>
      </c>
      <c r="C98" s="3">
        <v>1</v>
      </c>
      <c r="D98" s="3" t="b">
        <v>0</v>
      </c>
      <c r="E98" s="3" t="s">
        <v>725</v>
      </c>
      <c r="F98" s="1" t="s">
        <v>227</v>
      </c>
      <c r="H98" s="52" t="s">
        <v>227</v>
      </c>
    </row>
    <row r="99" spans="1:8">
      <c r="A99" s="3" t="s">
        <v>229</v>
      </c>
      <c r="B99" s="3" t="s">
        <v>666</v>
      </c>
      <c r="C99" s="3">
        <v>1</v>
      </c>
      <c r="D99" s="3" t="b">
        <v>0</v>
      </c>
      <c r="E99" s="3" t="s">
        <v>775</v>
      </c>
      <c r="F99" s="1" t="s">
        <v>229</v>
      </c>
      <c r="H99" s="52" t="s">
        <v>229</v>
      </c>
    </row>
    <row r="100" spans="1:8">
      <c r="A100" s="3" t="s">
        <v>231</v>
      </c>
      <c r="B100" s="3" t="s">
        <v>666</v>
      </c>
      <c r="C100" s="3">
        <v>1</v>
      </c>
      <c r="D100" s="3" t="b">
        <v>0</v>
      </c>
      <c r="E100" s="3" t="s">
        <v>764</v>
      </c>
      <c r="F100" s="1" t="s">
        <v>231</v>
      </c>
      <c r="H100" s="52" t="s">
        <v>231</v>
      </c>
    </row>
    <row r="101" spans="1:8" s="51" customFormat="1">
      <c r="A101" s="50" t="s">
        <v>233</v>
      </c>
      <c r="B101" s="50" t="s">
        <v>666</v>
      </c>
      <c r="C101" s="50">
        <v>2</v>
      </c>
      <c r="D101" s="50" t="b">
        <v>1</v>
      </c>
      <c r="E101" s="50" t="s">
        <v>764</v>
      </c>
      <c r="F101" s="3"/>
      <c r="H101" s="52"/>
    </row>
    <row r="102" spans="1:8" s="51" customFormat="1">
      <c r="A102" s="50" t="s">
        <v>233</v>
      </c>
      <c r="B102" s="50" t="s">
        <v>689</v>
      </c>
      <c r="C102" s="50">
        <v>2</v>
      </c>
      <c r="D102" s="50" t="b">
        <v>1</v>
      </c>
      <c r="E102" s="50" t="s">
        <v>708</v>
      </c>
      <c r="F102" s="1" t="s">
        <v>233</v>
      </c>
      <c r="H102" s="52" t="s">
        <v>233</v>
      </c>
    </row>
    <row r="103" spans="1:8">
      <c r="A103" s="3" t="s">
        <v>235</v>
      </c>
      <c r="B103" s="3" t="s">
        <v>666</v>
      </c>
      <c r="C103" s="3">
        <v>1</v>
      </c>
      <c r="D103" s="3" t="b">
        <v>0</v>
      </c>
      <c r="E103" s="3" t="s">
        <v>771</v>
      </c>
      <c r="F103" s="1" t="s">
        <v>235</v>
      </c>
      <c r="H103" s="52" t="s">
        <v>235</v>
      </c>
    </row>
    <row r="104" spans="1:8">
      <c r="A104" s="3" t="s">
        <v>237</v>
      </c>
      <c r="B104" s="3" t="s">
        <v>666</v>
      </c>
      <c r="C104" s="3">
        <v>1</v>
      </c>
      <c r="D104" s="3" t="b">
        <v>0</v>
      </c>
      <c r="E104" s="3" t="s">
        <v>775</v>
      </c>
      <c r="F104" s="1" t="s">
        <v>237</v>
      </c>
      <c r="H104" s="52" t="s">
        <v>237</v>
      </c>
    </row>
    <row r="105" spans="1:8">
      <c r="A105" s="3" t="s">
        <v>239</v>
      </c>
      <c r="B105" s="3" t="s">
        <v>666</v>
      </c>
      <c r="C105" s="3">
        <v>1</v>
      </c>
      <c r="D105" s="3" t="b">
        <v>0</v>
      </c>
      <c r="E105" s="3" t="s">
        <v>777</v>
      </c>
      <c r="F105" s="1" t="s">
        <v>239</v>
      </c>
      <c r="H105" s="52" t="s">
        <v>239</v>
      </c>
    </row>
    <row r="106" spans="1:8">
      <c r="A106" s="3" t="s">
        <v>6732</v>
      </c>
      <c r="B106" s="3" t="s">
        <v>666</v>
      </c>
      <c r="C106" s="3">
        <v>1</v>
      </c>
      <c r="D106" s="3" t="b">
        <v>0</v>
      </c>
      <c r="E106" s="3" t="s">
        <v>755</v>
      </c>
      <c r="F106" s="1" t="s">
        <v>6732</v>
      </c>
      <c r="H106" s="52" t="s">
        <v>6732</v>
      </c>
    </row>
    <row r="107" spans="1:8">
      <c r="A107" s="3" t="s">
        <v>241</v>
      </c>
      <c r="B107" s="3" t="s">
        <v>666</v>
      </c>
      <c r="C107" s="3">
        <v>1</v>
      </c>
      <c r="D107" s="3" t="b">
        <v>0</v>
      </c>
      <c r="E107" s="3" t="s">
        <v>775</v>
      </c>
      <c r="F107" s="1" t="s">
        <v>241</v>
      </c>
      <c r="H107" s="52" t="s">
        <v>241</v>
      </c>
    </row>
    <row r="108" spans="1:8">
      <c r="A108" s="3" t="s">
        <v>243</v>
      </c>
      <c r="B108" s="3" t="s">
        <v>666</v>
      </c>
      <c r="C108" s="3">
        <v>1</v>
      </c>
      <c r="D108" s="3" t="b">
        <v>0</v>
      </c>
      <c r="E108" s="3" t="s">
        <v>750</v>
      </c>
      <c r="F108" s="1" t="s">
        <v>243</v>
      </c>
      <c r="H108" s="52" t="s">
        <v>243</v>
      </c>
    </row>
    <row r="109" spans="1:8">
      <c r="A109" s="3" t="s">
        <v>245</v>
      </c>
      <c r="B109" s="3" t="s">
        <v>666</v>
      </c>
      <c r="C109" s="3">
        <v>1</v>
      </c>
      <c r="D109" s="3" t="b">
        <v>0</v>
      </c>
      <c r="E109" s="3" t="s">
        <v>781</v>
      </c>
      <c r="F109" s="1" t="s">
        <v>245</v>
      </c>
      <c r="H109" s="52" t="s">
        <v>245</v>
      </c>
    </row>
    <row r="110" spans="1:8">
      <c r="A110" s="3" t="s">
        <v>247</v>
      </c>
      <c r="B110" s="3" t="s">
        <v>666</v>
      </c>
      <c r="C110" s="3">
        <v>1</v>
      </c>
      <c r="D110" s="3" t="b">
        <v>0</v>
      </c>
      <c r="E110" s="3" t="s">
        <v>775</v>
      </c>
      <c r="F110" s="1" t="s">
        <v>247</v>
      </c>
      <c r="H110" s="52" t="s">
        <v>247</v>
      </c>
    </row>
    <row r="111" spans="1:8">
      <c r="A111" s="3" t="s">
        <v>6729</v>
      </c>
      <c r="B111" s="3" t="s">
        <v>666</v>
      </c>
      <c r="C111" s="3">
        <v>1</v>
      </c>
      <c r="D111" s="3" t="b">
        <v>0</v>
      </c>
      <c r="E111" s="3" t="s">
        <v>781</v>
      </c>
      <c r="F111" s="1" t="s">
        <v>6729</v>
      </c>
    </row>
    <row r="112" spans="1:8">
      <c r="A112" s="3" t="s">
        <v>249</v>
      </c>
      <c r="B112" s="3" t="s">
        <v>666</v>
      </c>
      <c r="C112" s="3">
        <v>1</v>
      </c>
      <c r="D112" s="3" t="b">
        <v>0</v>
      </c>
      <c r="E112" s="3" t="s">
        <v>771</v>
      </c>
      <c r="F112" s="1" t="s">
        <v>249</v>
      </c>
      <c r="H112" s="52" t="s">
        <v>249</v>
      </c>
    </row>
    <row r="113" spans="1:6">
      <c r="A113" s="3"/>
      <c r="B113" s="3"/>
      <c r="C113" s="3"/>
      <c r="D113" s="3"/>
      <c r="E113" s="3"/>
      <c r="F113" s="3"/>
    </row>
    <row r="114" spans="1:6">
      <c r="A114" s="3"/>
      <c r="B114" s="3"/>
      <c r="C114" s="3"/>
      <c r="D114" s="3"/>
      <c r="E114" s="3"/>
      <c r="F114" s="3"/>
    </row>
    <row r="115" spans="1:6">
      <c r="A115" s="3"/>
      <c r="B115" s="3"/>
      <c r="C115" s="3"/>
      <c r="D115" s="3"/>
      <c r="E115" s="3"/>
      <c r="F115" s="3"/>
    </row>
    <row r="116" spans="1:6">
      <c r="A116" s="3"/>
      <c r="B116" s="3"/>
      <c r="C116" s="3"/>
      <c r="D116" s="3"/>
      <c r="E116" s="3"/>
      <c r="F116" s="3"/>
    </row>
    <row r="117" spans="1:6">
      <c r="A117" s="3"/>
      <c r="B117" s="3"/>
      <c r="C117" s="3"/>
      <c r="D117" s="3"/>
      <c r="E117" s="3"/>
      <c r="F117" s="3"/>
    </row>
    <row r="118" spans="1:6">
      <c r="A118" s="3"/>
      <c r="B118" s="3"/>
      <c r="C118" s="3"/>
      <c r="D118" s="3"/>
      <c r="E118" s="3"/>
      <c r="F118" s="3"/>
    </row>
    <row r="119" spans="1:6">
      <c r="A119" s="3"/>
      <c r="B119" s="3"/>
      <c r="C119" s="3"/>
      <c r="D119" s="3"/>
      <c r="E119" s="3"/>
      <c r="F119" s="3"/>
    </row>
    <row r="120" spans="1:6">
      <c r="A120" s="3"/>
      <c r="B120" s="3"/>
      <c r="C120" s="3"/>
      <c r="D120" s="3"/>
      <c r="E120" s="3"/>
      <c r="F120" s="3"/>
    </row>
    <row r="121" spans="1:6">
      <c r="A121" s="3"/>
      <c r="B121" s="3"/>
      <c r="C121" s="3"/>
      <c r="D121" s="3"/>
      <c r="E121" s="3"/>
      <c r="F121" s="3"/>
    </row>
    <row r="122" spans="1:6">
      <c r="A122" s="3"/>
      <c r="B122" s="3"/>
      <c r="C122" s="3"/>
      <c r="D122" s="3"/>
      <c r="E122" s="3"/>
      <c r="F122" s="3"/>
    </row>
    <row r="123" spans="1:6">
      <c r="A123" s="3"/>
      <c r="B123" s="3"/>
      <c r="C123" s="3"/>
      <c r="D123" s="3"/>
      <c r="E123" s="3"/>
      <c r="F123" s="3"/>
    </row>
    <row r="124" spans="1:6">
      <c r="A124" s="3"/>
      <c r="B124" s="3"/>
      <c r="C124" s="3"/>
      <c r="D124" s="3"/>
      <c r="E124" s="3"/>
      <c r="F124" s="3"/>
    </row>
    <row r="125" spans="1:6">
      <c r="A125" s="3"/>
      <c r="B125" s="3"/>
      <c r="C125" s="3"/>
      <c r="D125" s="3"/>
      <c r="E125" s="3"/>
      <c r="F125" s="3"/>
    </row>
    <row r="126" spans="1:6">
      <c r="A126" s="3"/>
      <c r="B126" s="3"/>
      <c r="C126" s="3"/>
      <c r="D126" s="3"/>
      <c r="E126" s="3"/>
      <c r="F126" s="3"/>
    </row>
    <row r="127" spans="1:6">
      <c r="A127" s="3"/>
      <c r="B127" s="3"/>
      <c r="C127" s="3"/>
      <c r="D127" s="3"/>
      <c r="E127" s="3"/>
      <c r="F127" s="3"/>
    </row>
    <row r="128" spans="1:6">
      <c r="A128" s="3"/>
      <c r="B128" s="3"/>
      <c r="C128" s="3"/>
      <c r="D128" s="3"/>
      <c r="E128" s="3"/>
      <c r="F128" s="3"/>
    </row>
    <row r="129" spans="1:6">
      <c r="A129" s="3"/>
      <c r="B129" s="3"/>
      <c r="C129" s="3"/>
      <c r="D129" s="3"/>
      <c r="E129" s="3"/>
      <c r="F129" s="3"/>
    </row>
    <row r="130" spans="1:6">
      <c r="A130" s="3"/>
      <c r="B130" s="3"/>
      <c r="C130" s="3"/>
      <c r="D130" s="3"/>
      <c r="E130" s="3"/>
      <c r="F130" s="3"/>
    </row>
    <row r="131" spans="1:6">
      <c r="A131" s="3"/>
      <c r="B131" s="3"/>
      <c r="C131" s="3"/>
      <c r="D131" s="3"/>
      <c r="E131" s="3"/>
      <c r="F131" s="3"/>
    </row>
    <row r="132" spans="1:6">
      <c r="A132" s="3"/>
      <c r="B132" s="3"/>
      <c r="C132" s="3"/>
      <c r="D132" s="3"/>
      <c r="E132" s="3"/>
      <c r="F132" s="3"/>
    </row>
    <row r="133" spans="1:6">
      <c r="A133" s="3"/>
      <c r="B133" s="3"/>
      <c r="C133" s="3"/>
      <c r="D133" s="3"/>
      <c r="E133" s="3"/>
      <c r="F133" s="3"/>
    </row>
    <row r="134" spans="1:6">
      <c r="A134" s="3"/>
      <c r="B134" s="3"/>
      <c r="C134" s="3"/>
      <c r="D134" s="3"/>
      <c r="E134" s="3"/>
      <c r="F134" s="3"/>
    </row>
    <row r="135" spans="1:6">
      <c r="A135" s="3"/>
      <c r="B135" s="3"/>
      <c r="C135" s="3"/>
      <c r="D135" s="3"/>
      <c r="E135" s="3"/>
      <c r="F135" s="3"/>
    </row>
    <row r="136" spans="1:6">
      <c r="A136" s="3"/>
      <c r="B136" s="3"/>
      <c r="C136" s="3"/>
      <c r="D136" s="3"/>
      <c r="E136" s="3"/>
      <c r="F136" s="3"/>
    </row>
    <row r="137" spans="1:6">
      <c r="A137" s="3"/>
      <c r="B137" s="3"/>
      <c r="C137" s="3"/>
      <c r="D137" s="3"/>
      <c r="E137" s="3"/>
      <c r="F137" s="3"/>
    </row>
    <row r="138" spans="1:6">
      <c r="A138" s="3"/>
      <c r="B138" s="3"/>
      <c r="C138" s="3"/>
      <c r="D138" s="3"/>
      <c r="E138" s="3"/>
      <c r="F138" s="3"/>
    </row>
    <row r="139" spans="1:6">
      <c r="A139" s="3"/>
      <c r="B139" s="3"/>
      <c r="C139" s="3"/>
      <c r="D139" s="3"/>
      <c r="E139" s="3"/>
      <c r="F139" s="3"/>
    </row>
    <row r="140" spans="1:6">
      <c r="A140" s="3"/>
      <c r="B140" s="3"/>
      <c r="C140" s="3"/>
      <c r="D140" s="3"/>
      <c r="E140" s="3"/>
      <c r="F140" s="3"/>
    </row>
    <row r="141" spans="1:6">
      <c r="A141" s="3"/>
      <c r="B141" s="3"/>
      <c r="C141" s="3"/>
      <c r="D141" s="3"/>
      <c r="E141" s="3"/>
      <c r="F141" s="3"/>
    </row>
    <row r="142" spans="1:6">
      <c r="A142" s="3"/>
      <c r="B142" s="3"/>
      <c r="C142" s="3"/>
      <c r="D142" s="3"/>
      <c r="E142" s="3"/>
      <c r="F142" s="3"/>
    </row>
    <row r="143" spans="1:6">
      <c r="A143" s="3"/>
      <c r="B143" s="3"/>
      <c r="C143" s="3"/>
      <c r="D143" s="3"/>
      <c r="E143" s="3"/>
      <c r="F143" s="3"/>
    </row>
    <row r="144" spans="1:6">
      <c r="A144" s="3"/>
      <c r="B144" s="3"/>
      <c r="C144" s="3"/>
      <c r="D144" s="3"/>
      <c r="E144" s="3"/>
      <c r="F144" s="3"/>
    </row>
    <row r="145" spans="1:6">
      <c r="A145" s="3"/>
      <c r="B145" s="3"/>
      <c r="C145" s="3"/>
      <c r="D145" s="3"/>
      <c r="E145" s="3"/>
      <c r="F145" s="3"/>
    </row>
    <row r="146" spans="1:6">
      <c r="A146" s="3"/>
      <c r="B146" s="3"/>
      <c r="C146" s="3"/>
      <c r="D146" s="3"/>
      <c r="E146" s="3"/>
      <c r="F146" s="3"/>
    </row>
    <row r="147" spans="1:6">
      <c r="A147" s="3"/>
      <c r="B147" s="3"/>
      <c r="C147" s="3"/>
      <c r="D147" s="3"/>
      <c r="E147" s="3"/>
      <c r="F147" s="3"/>
    </row>
    <row r="148" spans="1:6">
      <c r="A148" s="3"/>
      <c r="B148" s="3"/>
      <c r="C148" s="3"/>
      <c r="D148" s="3"/>
      <c r="E148" s="3"/>
      <c r="F148" s="3"/>
    </row>
    <row r="149" spans="1:6">
      <c r="A149" s="3"/>
      <c r="B149" s="3"/>
      <c r="C149" s="3"/>
      <c r="D149" s="3"/>
      <c r="E149" s="3"/>
      <c r="F149" s="3"/>
    </row>
    <row r="150" spans="1:6">
      <c r="A150" s="3"/>
      <c r="B150" s="3"/>
      <c r="C150" s="3"/>
      <c r="D150" s="3"/>
      <c r="E150" s="3"/>
      <c r="F150" s="3"/>
    </row>
    <row r="151" spans="1:6">
      <c r="A151" s="3"/>
      <c r="B151" s="3"/>
      <c r="C151" s="3"/>
      <c r="D151" s="3"/>
      <c r="E151" s="3"/>
      <c r="F151" s="3"/>
    </row>
    <row r="152" spans="1:6">
      <c r="A152" s="3"/>
      <c r="B152" s="3"/>
      <c r="C152" s="3"/>
      <c r="D152" s="3"/>
      <c r="E152" s="3"/>
      <c r="F152" s="3"/>
    </row>
    <row r="153" spans="1:6">
      <c r="A153" s="3"/>
      <c r="B153" s="3"/>
      <c r="C153" s="3"/>
      <c r="D153" s="3"/>
      <c r="E153" s="3"/>
      <c r="F153" s="3"/>
    </row>
    <row r="154" spans="1:6">
      <c r="A154" s="3"/>
      <c r="B154" s="3"/>
      <c r="C154" s="3"/>
      <c r="D154" s="3"/>
      <c r="E154" s="3"/>
      <c r="F154" s="3"/>
    </row>
    <row r="155" spans="1:6">
      <c r="A155" s="3"/>
      <c r="B155" s="3"/>
      <c r="C155" s="3"/>
      <c r="D155" s="3"/>
      <c r="E155" s="3"/>
      <c r="F155" s="3"/>
    </row>
    <row r="156" spans="1:6">
      <c r="A156" s="3"/>
      <c r="B156" s="3"/>
      <c r="C156" s="3"/>
      <c r="D156" s="3"/>
      <c r="E156" s="3"/>
      <c r="F156" s="3"/>
    </row>
    <row r="157" spans="1:6">
      <c r="A157" s="3"/>
      <c r="B157" s="3"/>
      <c r="C157" s="3"/>
      <c r="D157" s="3"/>
      <c r="E157" s="3"/>
      <c r="F157" s="3"/>
    </row>
    <row r="158" spans="1:6">
      <c r="A158" s="3"/>
      <c r="B158" s="3"/>
      <c r="C158" s="3"/>
      <c r="D158" s="3"/>
      <c r="E158" s="3"/>
      <c r="F158" s="3"/>
    </row>
    <row r="159" spans="1:6">
      <c r="A159" s="3"/>
      <c r="B159" s="3"/>
      <c r="C159" s="3"/>
      <c r="D159" s="3"/>
      <c r="E159" s="3"/>
      <c r="F159" s="3"/>
    </row>
    <row r="160" spans="1:6">
      <c r="A160" s="3"/>
      <c r="B160" s="3"/>
      <c r="C160" s="3"/>
      <c r="D160" s="3"/>
      <c r="E160" s="3"/>
      <c r="F160" s="3"/>
    </row>
    <row r="161" spans="1:6">
      <c r="A161" s="3"/>
      <c r="B161" s="3"/>
      <c r="C161" s="3"/>
      <c r="D161" s="3"/>
      <c r="E161" s="3"/>
      <c r="F161" s="3"/>
    </row>
    <row r="162" spans="1:6">
      <c r="A162" s="3"/>
      <c r="B162" s="3"/>
      <c r="C162" s="3"/>
      <c r="D162" s="3"/>
      <c r="E162" s="3"/>
      <c r="F162" s="3"/>
    </row>
    <row r="163" spans="1:6">
      <c r="A163" s="3"/>
      <c r="B163" s="3"/>
      <c r="C163" s="3"/>
      <c r="D163" s="3"/>
      <c r="E163" s="3"/>
      <c r="F163" s="3"/>
    </row>
    <row r="164" spans="1:6">
      <c r="A164" s="3"/>
      <c r="B164" s="3"/>
      <c r="C164" s="3"/>
      <c r="D164" s="3"/>
      <c r="E164" s="3"/>
      <c r="F164" s="3"/>
    </row>
    <row r="165" spans="1:6">
      <c r="A165" s="3"/>
      <c r="B165" s="3"/>
      <c r="C165" s="3"/>
      <c r="D165" s="3"/>
      <c r="E165" s="3"/>
      <c r="F165" s="3"/>
    </row>
    <row r="166" spans="1:6">
      <c r="A166" s="3"/>
      <c r="B166" s="3"/>
      <c r="C166" s="3"/>
      <c r="D166" s="3"/>
      <c r="E166" s="3"/>
      <c r="F166" s="3"/>
    </row>
    <row r="167" spans="1:6">
      <c r="A167" s="3"/>
      <c r="B167" s="3"/>
      <c r="C167" s="3"/>
      <c r="D167" s="3"/>
      <c r="E167" s="3"/>
      <c r="F167" s="3"/>
    </row>
    <row r="168" spans="1:6">
      <c r="A168" s="3"/>
      <c r="B168" s="3"/>
      <c r="C168" s="3"/>
      <c r="D168" s="3"/>
      <c r="E168" s="3"/>
      <c r="F168" s="3"/>
    </row>
    <row r="169" spans="1:6">
      <c r="A169" s="3"/>
      <c r="B169" s="3"/>
      <c r="C169" s="3"/>
      <c r="D169" s="3"/>
      <c r="E169" s="3"/>
      <c r="F169" s="3"/>
    </row>
    <row r="170" spans="1:6">
      <c r="A170" s="3"/>
      <c r="B170" s="3"/>
      <c r="C170" s="3"/>
      <c r="D170" s="3"/>
      <c r="E170" s="3"/>
      <c r="F170" s="3"/>
    </row>
    <row r="171" spans="1:6">
      <c r="A171" s="3"/>
      <c r="B171" s="3"/>
      <c r="C171" s="3"/>
      <c r="D171" s="3"/>
      <c r="E171" s="3"/>
      <c r="F171" s="3"/>
    </row>
    <row r="172" spans="1:6">
      <c r="A172" s="3"/>
      <c r="B172" s="3"/>
      <c r="C172" s="3"/>
      <c r="D172" s="3"/>
      <c r="E172" s="3"/>
      <c r="F172" s="3"/>
    </row>
    <row r="173" spans="1:6">
      <c r="A173" s="3"/>
      <c r="B173" s="3"/>
      <c r="C173" s="3"/>
      <c r="D173" s="3"/>
      <c r="E173" s="3"/>
      <c r="F173" s="3"/>
    </row>
    <row r="174" spans="1:6">
      <c r="A174" s="3"/>
      <c r="B174" s="3"/>
      <c r="C174" s="3"/>
      <c r="D174" s="3"/>
      <c r="E174" s="3"/>
      <c r="F174" s="3"/>
    </row>
    <row r="175" spans="1:6">
      <c r="A175" s="3"/>
      <c r="B175" s="3"/>
      <c r="C175" s="3"/>
      <c r="D175" s="3"/>
      <c r="E175" s="3"/>
      <c r="F175" s="3"/>
    </row>
    <row r="176" spans="1:6">
      <c r="A176" s="3"/>
      <c r="B176" s="3"/>
      <c r="C176" s="3"/>
      <c r="D176" s="3"/>
      <c r="E176" s="3"/>
      <c r="F176" s="3"/>
    </row>
    <row r="177" spans="1:6">
      <c r="A177" s="3"/>
      <c r="B177" s="3"/>
      <c r="C177" s="3"/>
      <c r="D177" s="3"/>
      <c r="E177" s="3"/>
      <c r="F177" s="3"/>
    </row>
    <row r="178" spans="1:6">
      <c r="A178" s="3"/>
      <c r="B178" s="3"/>
      <c r="C178" s="3"/>
      <c r="D178" s="3"/>
      <c r="E178" s="3"/>
      <c r="F178" s="3"/>
    </row>
    <row r="179" spans="1:6">
      <c r="A179" s="3"/>
      <c r="B179" s="3"/>
      <c r="C179" s="3"/>
      <c r="D179" s="3"/>
      <c r="E179" s="3"/>
      <c r="F179" s="3"/>
    </row>
    <row r="180" spans="1:6">
      <c r="A180" s="3"/>
      <c r="B180" s="3"/>
      <c r="C180" s="3"/>
      <c r="D180" s="3"/>
      <c r="E180" s="3"/>
      <c r="F180" s="3"/>
    </row>
    <row r="181" spans="1:6">
      <c r="A181" s="3"/>
      <c r="B181" s="3"/>
      <c r="C181" s="3"/>
      <c r="D181" s="3"/>
      <c r="E181" s="3"/>
      <c r="F181" s="3"/>
    </row>
    <row r="182" spans="1:6">
      <c r="A182" s="3"/>
      <c r="B182" s="3"/>
      <c r="C182" s="3"/>
      <c r="D182" s="3"/>
      <c r="E182" s="3"/>
      <c r="F182" s="3"/>
    </row>
    <row r="183" spans="1:6">
      <c r="A183" s="3"/>
      <c r="B183" s="3"/>
      <c r="C183" s="3"/>
      <c r="D183" s="3"/>
      <c r="E183" s="3"/>
      <c r="F183" s="3"/>
    </row>
    <row r="184" spans="1:6">
      <c r="A184" s="3"/>
      <c r="B184" s="3"/>
      <c r="C184" s="3"/>
      <c r="D184" s="3"/>
      <c r="E184" s="3"/>
      <c r="F184" s="3"/>
    </row>
    <row r="185" spans="1:6">
      <c r="A185" s="3"/>
      <c r="B185" s="3"/>
      <c r="C185" s="3"/>
      <c r="D185" s="3"/>
      <c r="E185" s="3"/>
      <c r="F185" s="3"/>
    </row>
    <row r="186" spans="1:6">
      <c r="A186" s="3"/>
      <c r="B186" s="3"/>
      <c r="C186" s="3"/>
      <c r="D186" s="3"/>
      <c r="E186" s="3"/>
      <c r="F186" s="3"/>
    </row>
    <row r="187" spans="1:6">
      <c r="A187" s="3"/>
      <c r="B187" s="3"/>
      <c r="C187" s="3"/>
      <c r="D187" s="3"/>
      <c r="E187" s="3"/>
      <c r="F187" s="3"/>
    </row>
    <row r="188" spans="1:6">
      <c r="A188" s="3"/>
      <c r="B188" s="3"/>
      <c r="C188" s="3"/>
      <c r="D188" s="3"/>
      <c r="E188" s="3"/>
      <c r="F188" s="3"/>
    </row>
    <row r="189" spans="1:6">
      <c r="A189" s="3"/>
      <c r="B189" s="3"/>
      <c r="C189" s="3"/>
      <c r="D189" s="3"/>
      <c r="E189" s="3"/>
      <c r="F189" s="3"/>
    </row>
    <row r="190" spans="1:6">
      <c r="A190" s="3"/>
      <c r="B190" s="3"/>
      <c r="C190" s="3"/>
      <c r="D190" s="3"/>
      <c r="E190" s="3"/>
      <c r="F190" s="3"/>
    </row>
    <row r="191" spans="1:6">
      <c r="A191" s="3"/>
      <c r="B191" s="3"/>
      <c r="C191" s="3"/>
      <c r="D191" s="3"/>
      <c r="E191" s="3"/>
      <c r="F191" s="3"/>
    </row>
    <row r="192" spans="1:6">
      <c r="A192" s="3"/>
      <c r="B192" s="3"/>
      <c r="C192" s="3"/>
      <c r="D192" s="3"/>
      <c r="E192" s="3"/>
      <c r="F192" s="3"/>
    </row>
    <row r="193" spans="1:6">
      <c r="A193" s="3"/>
      <c r="B193" s="3"/>
      <c r="C193" s="3"/>
      <c r="D193" s="3"/>
      <c r="E193" s="3"/>
      <c r="F193" s="3"/>
    </row>
    <row r="194" spans="1:6">
      <c r="A194" s="3"/>
      <c r="B194" s="3"/>
      <c r="C194" s="3"/>
      <c r="D194" s="3"/>
      <c r="E194" s="3"/>
      <c r="F194" s="3"/>
    </row>
    <row r="195" spans="1:6">
      <c r="A195" s="3"/>
      <c r="B195" s="3"/>
      <c r="C195" s="3"/>
      <c r="D195" s="3"/>
      <c r="E195" s="3"/>
      <c r="F195" s="3"/>
    </row>
    <row r="196" spans="1:6">
      <c r="A196" s="3"/>
      <c r="B196" s="3"/>
      <c r="C196" s="3"/>
      <c r="D196" s="3"/>
      <c r="E196" s="3"/>
      <c r="F196" s="3"/>
    </row>
    <row r="197" spans="1:6">
      <c r="A197" s="3"/>
      <c r="B197" s="3"/>
      <c r="C197" s="3"/>
      <c r="D197" s="3"/>
      <c r="E197" s="3"/>
      <c r="F197" s="3"/>
    </row>
    <row r="198" spans="1:6">
      <c r="A198" s="3"/>
      <c r="B198" s="3"/>
      <c r="C198" s="3"/>
      <c r="D198" s="3"/>
      <c r="E198" s="3"/>
      <c r="F198" s="3"/>
    </row>
    <row r="199" spans="1:6">
      <c r="A199" s="3"/>
      <c r="B199" s="3"/>
      <c r="C199" s="3"/>
      <c r="D199" s="3"/>
      <c r="E199" s="3"/>
      <c r="F199" s="3"/>
    </row>
    <row r="200" spans="1:6">
      <c r="A200" s="3"/>
      <c r="B200" s="3"/>
      <c r="C200" s="3"/>
      <c r="D200" s="3"/>
      <c r="E200" s="3"/>
      <c r="F200" s="3"/>
    </row>
    <row r="201" spans="1:6">
      <c r="A201" s="3"/>
      <c r="B201" s="3"/>
      <c r="C201" s="3"/>
      <c r="D201" s="3"/>
      <c r="E201" s="3"/>
      <c r="F201" s="3"/>
    </row>
    <row r="202" spans="1:6">
      <c r="A202" s="3"/>
      <c r="B202" s="3"/>
      <c r="C202" s="3"/>
      <c r="D202" s="3"/>
      <c r="E202" s="3"/>
      <c r="F202" s="3"/>
    </row>
    <row r="203" spans="1:6">
      <c r="A203" s="3"/>
      <c r="B203" s="3"/>
      <c r="C203" s="3"/>
      <c r="D203" s="3"/>
      <c r="E203" s="3"/>
      <c r="F203" s="3"/>
    </row>
    <row r="204" spans="1:6">
      <c r="A204" s="3"/>
      <c r="B204" s="3"/>
      <c r="C204" s="3"/>
      <c r="D204" s="3"/>
      <c r="E204" s="3"/>
      <c r="F204" s="3"/>
    </row>
    <row r="205" spans="1:6">
      <c r="A205" s="3"/>
      <c r="B205" s="3"/>
      <c r="C205" s="3"/>
      <c r="D205" s="3"/>
      <c r="E205" s="3"/>
      <c r="F205" s="3"/>
    </row>
    <row r="206" spans="1:6">
      <c r="A206" s="3"/>
      <c r="B206" s="3"/>
      <c r="C206" s="3"/>
      <c r="D206" s="3"/>
      <c r="E206" s="3"/>
      <c r="F206" s="3"/>
    </row>
    <row r="207" spans="1:6">
      <c r="A207" s="3"/>
      <c r="B207" s="3"/>
      <c r="C207" s="3"/>
      <c r="D207" s="3"/>
      <c r="E207" s="3"/>
      <c r="F207" s="3"/>
    </row>
    <row r="208" spans="1:6">
      <c r="A208" s="3"/>
      <c r="B208" s="3"/>
      <c r="C208" s="3"/>
      <c r="D208" s="3"/>
      <c r="E208" s="3"/>
      <c r="F208" s="3"/>
    </row>
    <row r="209" spans="1:6">
      <c r="A209" s="3"/>
      <c r="B209" s="3"/>
      <c r="C209" s="3"/>
      <c r="D209" s="3"/>
      <c r="E209" s="3"/>
      <c r="F209" s="3"/>
    </row>
    <row r="210" spans="1:6">
      <c r="A210" s="3"/>
      <c r="B210" s="3"/>
      <c r="C210" s="3"/>
      <c r="D210" s="3"/>
      <c r="E210" s="3"/>
      <c r="F210" s="3"/>
    </row>
    <row r="211" spans="1:6">
      <c r="A211" s="3"/>
      <c r="B211" s="3"/>
      <c r="C211" s="3"/>
      <c r="D211" s="3"/>
      <c r="E211" s="3"/>
      <c r="F211" s="3"/>
    </row>
    <row r="212" spans="1:6">
      <c r="A212" s="3"/>
      <c r="B212" s="3"/>
      <c r="C212" s="3"/>
      <c r="D212" s="3"/>
      <c r="E212" s="3"/>
      <c r="F212" s="3"/>
    </row>
    <row r="213" spans="1:6">
      <c r="A213" s="3"/>
      <c r="B213" s="3"/>
      <c r="C213" s="3"/>
      <c r="D213" s="3"/>
      <c r="E213" s="3"/>
      <c r="F213" s="3"/>
    </row>
    <row r="214" spans="1:6">
      <c r="A214" s="3"/>
      <c r="B214" s="3"/>
      <c r="C214" s="3"/>
      <c r="D214" s="3"/>
      <c r="E214" s="3"/>
      <c r="F214" s="3"/>
    </row>
    <row r="215" spans="1:6">
      <c r="A215" s="3"/>
      <c r="B215" s="3"/>
      <c r="C215" s="3"/>
      <c r="D215" s="3"/>
      <c r="E215" s="3"/>
      <c r="F215" s="3"/>
    </row>
    <row r="216" spans="1:6">
      <c r="A216" s="3"/>
      <c r="B216" s="3"/>
      <c r="C216" s="3"/>
      <c r="D216" s="3"/>
      <c r="E216" s="3"/>
      <c r="F216" s="3"/>
    </row>
    <row r="217" spans="1:6">
      <c r="A217" s="3"/>
      <c r="B217" s="3"/>
      <c r="C217" s="3"/>
      <c r="D217" s="3"/>
      <c r="E217" s="3"/>
      <c r="F217" s="3"/>
    </row>
    <row r="218" spans="1:6">
      <c r="A218" s="3"/>
      <c r="B218" s="3"/>
      <c r="C218" s="3"/>
      <c r="D218" s="3"/>
      <c r="E218" s="3"/>
      <c r="F218" s="3"/>
    </row>
    <row r="219" spans="1:6">
      <c r="A219" s="3"/>
      <c r="B219" s="3"/>
      <c r="C219" s="3"/>
      <c r="D219" s="3"/>
      <c r="E219" s="3"/>
      <c r="F219" s="3"/>
    </row>
    <row r="220" spans="1:6">
      <c r="A220" s="3"/>
      <c r="B220" s="3"/>
      <c r="C220" s="3"/>
      <c r="D220" s="3"/>
      <c r="E220" s="3"/>
      <c r="F220" s="3"/>
    </row>
    <row r="221" spans="1:6">
      <c r="A221" s="3"/>
      <c r="B221" s="3"/>
      <c r="C221" s="3"/>
      <c r="D221" s="3"/>
      <c r="E221" s="3"/>
      <c r="F221" s="3"/>
    </row>
    <row r="222" spans="1:6">
      <c r="A222" s="3"/>
      <c r="B222" s="3"/>
      <c r="C222" s="3"/>
      <c r="D222" s="3"/>
      <c r="E222" s="3"/>
      <c r="F222" s="3"/>
    </row>
    <row r="223" spans="1:6">
      <c r="A223" s="3"/>
      <c r="B223" s="3"/>
      <c r="C223" s="3"/>
      <c r="D223" s="3"/>
      <c r="E223" s="3"/>
      <c r="F223" s="3"/>
    </row>
    <row r="224" spans="1:6">
      <c r="A224" s="3"/>
      <c r="B224" s="3"/>
      <c r="C224" s="3"/>
      <c r="D224" s="3"/>
      <c r="E224" s="3"/>
      <c r="F224" s="3"/>
    </row>
    <row r="225" spans="1:6">
      <c r="A225" s="3"/>
      <c r="B225" s="3"/>
      <c r="C225" s="3"/>
      <c r="D225" s="3"/>
      <c r="E225" s="3"/>
      <c r="F225" s="3"/>
    </row>
    <row r="226" spans="1:6">
      <c r="A226" s="3"/>
      <c r="B226" s="3"/>
      <c r="C226" s="3"/>
      <c r="D226" s="3"/>
      <c r="E226" s="3"/>
      <c r="F226" s="3"/>
    </row>
    <row r="227" spans="1:6">
      <c r="A227" s="3"/>
      <c r="B227" s="3"/>
      <c r="C227" s="3"/>
      <c r="D227" s="3"/>
      <c r="E227" s="3"/>
      <c r="F227" s="3"/>
    </row>
    <row r="228" spans="1:6">
      <c r="A228" s="3"/>
      <c r="B228" s="3"/>
      <c r="C228" s="3"/>
      <c r="D228" s="3"/>
      <c r="E228" s="3"/>
      <c r="F228" s="3"/>
    </row>
    <row r="229" spans="1:6">
      <c r="A229" s="3"/>
      <c r="B229" s="3"/>
      <c r="C229" s="3"/>
      <c r="D229" s="3"/>
      <c r="E229" s="3"/>
      <c r="F229" s="3"/>
    </row>
    <row r="230" spans="1:6">
      <c r="A230" s="3"/>
      <c r="B230" s="3"/>
      <c r="C230" s="3"/>
      <c r="D230" s="3"/>
      <c r="E230" s="3"/>
      <c r="F230" s="3"/>
    </row>
    <row r="231" spans="1:6">
      <c r="A231" s="3"/>
      <c r="B231" s="3"/>
      <c r="C231" s="3"/>
      <c r="D231" s="3"/>
      <c r="E231" s="3"/>
      <c r="F231" s="3"/>
    </row>
    <row r="232" spans="1:6">
      <c r="A232" s="3"/>
      <c r="B232" s="3"/>
      <c r="C232" s="3"/>
      <c r="D232" s="3"/>
      <c r="E232" s="3"/>
      <c r="F232" s="3"/>
    </row>
    <row r="233" spans="1:6">
      <c r="A233" s="3"/>
      <c r="B233" s="3"/>
      <c r="C233" s="3"/>
      <c r="D233" s="3"/>
      <c r="E233" s="3"/>
      <c r="F233" s="3"/>
    </row>
    <row r="234" spans="1:6">
      <c r="A234" s="3"/>
      <c r="B234" s="3"/>
      <c r="C234" s="3"/>
      <c r="D234" s="3"/>
      <c r="E234" s="3"/>
      <c r="F234" s="3"/>
    </row>
    <row r="235" spans="1:6">
      <c r="A235" s="3"/>
      <c r="B235" s="3"/>
      <c r="C235" s="3"/>
      <c r="D235" s="3"/>
      <c r="E235" s="3"/>
      <c r="F235" s="3"/>
    </row>
    <row r="236" spans="1:6">
      <c r="A236" s="3"/>
      <c r="B236" s="3"/>
      <c r="C236" s="3"/>
      <c r="D236" s="3"/>
      <c r="E236" s="3"/>
      <c r="F236" s="3"/>
    </row>
    <row r="237" spans="1:6">
      <c r="A237" s="3"/>
      <c r="B237" s="3"/>
      <c r="C237" s="3"/>
      <c r="D237" s="3"/>
      <c r="E237" s="3"/>
      <c r="F237" s="3"/>
    </row>
    <row r="238" spans="1:6">
      <c r="A238" s="3"/>
      <c r="B238" s="3"/>
      <c r="C238" s="3"/>
      <c r="D238" s="3"/>
      <c r="E238" s="3"/>
      <c r="F238" s="3"/>
    </row>
    <row r="239" spans="1:6">
      <c r="A239" s="3"/>
      <c r="B239" s="3"/>
      <c r="C239" s="3"/>
      <c r="D239" s="3"/>
      <c r="E239" s="3"/>
      <c r="F239" s="3"/>
    </row>
    <row r="240" spans="1:6">
      <c r="A240" s="3"/>
      <c r="B240" s="3"/>
      <c r="C240" s="3"/>
      <c r="D240" s="3"/>
      <c r="E240" s="3"/>
      <c r="F240" s="3"/>
    </row>
    <row r="241" spans="1:6">
      <c r="A241" s="3"/>
      <c r="B241" s="3"/>
      <c r="C241" s="3"/>
      <c r="D241" s="3"/>
      <c r="E241" s="3"/>
      <c r="F241" s="3"/>
    </row>
    <row r="242" spans="1:6">
      <c r="A242" s="3"/>
      <c r="B242" s="3"/>
      <c r="C242" s="3"/>
      <c r="D242" s="3"/>
      <c r="E242" s="3"/>
      <c r="F242" s="3"/>
    </row>
    <row r="243" spans="1:6">
      <c r="A243" s="3"/>
      <c r="B243" s="3"/>
      <c r="C243" s="3"/>
      <c r="D243" s="3"/>
      <c r="E243" s="3"/>
      <c r="F243" s="3"/>
    </row>
    <row r="244" spans="1:6">
      <c r="A244" s="3"/>
      <c r="B244" s="3"/>
      <c r="C244" s="3"/>
      <c r="D244" s="3"/>
      <c r="E244" s="3"/>
      <c r="F244" s="3"/>
    </row>
    <row r="245" spans="1:6">
      <c r="A245" s="3"/>
      <c r="B245" s="3"/>
      <c r="C245" s="3"/>
      <c r="D245" s="3"/>
      <c r="E245" s="3"/>
      <c r="F245" s="3"/>
    </row>
    <row r="246" spans="1:6">
      <c r="A246" s="3"/>
      <c r="B246" s="3"/>
      <c r="C246" s="3"/>
      <c r="D246" s="3"/>
      <c r="E246" s="3"/>
      <c r="F246" s="3"/>
    </row>
    <row r="247" spans="1:6">
      <c r="A247" s="3"/>
      <c r="B247" s="3"/>
      <c r="C247" s="3"/>
      <c r="D247" s="3"/>
      <c r="E247" s="3"/>
      <c r="F247" s="3"/>
    </row>
    <row r="248" spans="1:6">
      <c r="A248" s="3"/>
      <c r="B248" s="3"/>
      <c r="C248" s="3"/>
      <c r="D248" s="3"/>
      <c r="E248" s="3"/>
      <c r="F248" s="3"/>
    </row>
    <row r="249" spans="1:6">
      <c r="A249" s="3"/>
      <c r="B249" s="3"/>
      <c r="C249" s="3"/>
      <c r="D249" s="3"/>
      <c r="E249" s="3"/>
      <c r="F249" s="3"/>
    </row>
    <row r="250" spans="1:6">
      <c r="A250" s="3"/>
      <c r="B250" s="3"/>
      <c r="C250" s="3"/>
      <c r="D250" s="3"/>
      <c r="E250" s="3"/>
      <c r="F250" s="3"/>
    </row>
    <row r="251" spans="1:6">
      <c r="A251" s="3"/>
      <c r="B251" s="3"/>
      <c r="C251" s="3"/>
      <c r="D251" s="3"/>
      <c r="E251" s="3"/>
      <c r="F251" s="3"/>
    </row>
    <row r="252" spans="1:6">
      <c r="A252" s="3"/>
      <c r="B252" s="3"/>
      <c r="C252" s="3"/>
      <c r="D252" s="3"/>
      <c r="E252" s="3"/>
      <c r="F252" s="3"/>
    </row>
    <row r="253" spans="1:6">
      <c r="A253" s="3"/>
      <c r="B253" s="3"/>
      <c r="C253" s="3"/>
      <c r="D253" s="3"/>
      <c r="E253" s="3"/>
      <c r="F253" s="3"/>
    </row>
    <row r="254" spans="1:6">
      <c r="A254" s="3"/>
      <c r="B254" s="3"/>
      <c r="C254" s="3"/>
      <c r="D254" s="3"/>
      <c r="E254" s="3"/>
      <c r="F254" s="3"/>
    </row>
    <row r="255" spans="1:6">
      <c r="A255" s="3"/>
      <c r="B255" s="3"/>
      <c r="C255" s="3"/>
      <c r="D255" s="3"/>
      <c r="E255" s="3"/>
      <c r="F255" s="3"/>
    </row>
    <row r="256" spans="1:6">
      <c r="A256" s="3"/>
      <c r="B256" s="3"/>
      <c r="C256" s="3"/>
      <c r="D256" s="3"/>
      <c r="E256" s="3"/>
      <c r="F256" s="3"/>
    </row>
    <row r="257" spans="1:6">
      <c r="A257" s="3"/>
      <c r="B257" s="3"/>
      <c r="C257" s="3"/>
      <c r="D257" s="3"/>
      <c r="E257" s="3"/>
      <c r="F257" s="3"/>
    </row>
    <row r="258" spans="1:6">
      <c r="A258" s="3"/>
      <c r="B258" s="3"/>
      <c r="C258" s="3"/>
      <c r="D258" s="3"/>
      <c r="E258" s="3"/>
      <c r="F258" s="3"/>
    </row>
    <row r="259" spans="1:6">
      <c r="A259" s="3"/>
      <c r="B259" s="3"/>
      <c r="C259" s="3"/>
      <c r="D259" s="3"/>
      <c r="E259" s="3"/>
      <c r="F259" s="3"/>
    </row>
    <row r="260" spans="1:6">
      <c r="A260" s="3"/>
      <c r="B260" s="3"/>
      <c r="C260" s="3"/>
      <c r="D260" s="3"/>
      <c r="E260" s="3"/>
      <c r="F260" s="3"/>
    </row>
    <row r="261" spans="1:6">
      <c r="A261" s="3"/>
      <c r="B261" s="3"/>
      <c r="C261" s="3"/>
      <c r="D261" s="3"/>
      <c r="E261" s="3"/>
      <c r="F261" s="3"/>
    </row>
    <row r="262" spans="1:6">
      <c r="A262" s="3"/>
      <c r="B262" s="3"/>
      <c r="C262" s="3"/>
      <c r="D262" s="3"/>
      <c r="E262" s="3"/>
      <c r="F262" s="3"/>
    </row>
    <row r="263" spans="1:6">
      <c r="A263" s="3"/>
      <c r="B263" s="3"/>
      <c r="C263" s="3"/>
      <c r="D263" s="3"/>
      <c r="E263" s="3"/>
      <c r="F263" s="3"/>
    </row>
    <row r="264" spans="1:6">
      <c r="A264" s="3"/>
      <c r="B264" s="3"/>
      <c r="C264" s="3"/>
      <c r="D264" s="3"/>
      <c r="E264" s="3"/>
      <c r="F264" s="3"/>
    </row>
    <row r="265" spans="1:6">
      <c r="A265" s="3"/>
      <c r="B265" s="3"/>
      <c r="C265" s="3"/>
      <c r="D265" s="3"/>
      <c r="E265" s="3"/>
      <c r="F265" s="3"/>
    </row>
    <row r="266" spans="1:6">
      <c r="A266" s="3"/>
      <c r="B266" s="3"/>
      <c r="C266" s="3"/>
      <c r="D266" s="3"/>
      <c r="E266" s="3"/>
      <c r="F266" s="3"/>
    </row>
    <row r="267" spans="1:6">
      <c r="A267" s="3"/>
      <c r="B267" s="3"/>
      <c r="C267" s="3"/>
      <c r="D267" s="3"/>
      <c r="E267" s="3"/>
      <c r="F267" s="3"/>
    </row>
    <row r="268" spans="1:6">
      <c r="A268" s="3"/>
      <c r="B268" s="3"/>
      <c r="C268" s="3"/>
      <c r="D268" s="3"/>
      <c r="E268" s="3"/>
      <c r="F268" s="3"/>
    </row>
    <row r="269" spans="1:6">
      <c r="A269" s="3"/>
      <c r="B269" s="3"/>
      <c r="C269" s="3"/>
      <c r="D269" s="3"/>
      <c r="E269" s="3"/>
      <c r="F269" s="3"/>
    </row>
    <row r="270" spans="1:6">
      <c r="A270" s="3"/>
      <c r="B270" s="3"/>
      <c r="C270" s="3"/>
      <c r="D270" s="3"/>
      <c r="E270" s="3"/>
      <c r="F270" s="3"/>
    </row>
    <row r="271" spans="1:6">
      <c r="A271" s="3"/>
      <c r="B271" s="3"/>
      <c r="C271" s="3"/>
      <c r="D271" s="3"/>
      <c r="E271" s="3"/>
      <c r="F271" s="3"/>
    </row>
    <row r="272" spans="1:6">
      <c r="A272" s="3"/>
      <c r="B272" s="3"/>
      <c r="C272" s="3"/>
      <c r="D272" s="3"/>
      <c r="E272" s="3"/>
      <c r="F272" s="3"/>
    </row>
    <row r="273" spans="1:6">
      <c r="A273" s="3"/>
      <c r="B273" s="3"/>
      <c r="C273" s="3"/>
      <c r="D273" s="3"/>
      <c r="E273" s="3"/>
      <c r="F273" s="3"/>
    </row>
    <row r="274" spans="1:6">
      <c r="A274" s="3"/>
      <c r="B274" s="3"/>
      <c r="C274" s="3"/>
      <c r="D274" s="3"/>
      <c r="E274" s="3"/>
      <c r="F274" s="3"/>
    </row>
    <row r="275" spans="1:6">
      <c r="A275" s="3"/>
      <c r="B275" s="3"/>
      <c r="C275" s="3"/>
      <c r="D275" s="3"/>
      <c r="E275" s="3"/>
      <c r="F275" s="3"/>
    </row>
    <row r="276" spans="1:6">
      <c r="A276" s="3"/>
      <c r="B276" s="3"/>
      <c r="C276" s="3"/>
      <c r="D276" s="3"/>
      <c r="E276" s="3"/>
      <c r="F276" s="3"/>
    </row>
    <row r="277" spans="1:6">
      <c r="A277" s="3"/>
      <c r="B277" s="3"/>
      <c r="C277" s="3"/>
      <c r="D277" s="3"/>
      <c r="E277" s="3"/>
      <c r="F277" s="3"/>
    </row>
    <row r="278" spans="1:6">
      <c r="A278" s="3"/>
      <c r="B278" s="3"/>
      <c r="C278" s="3"/>
      <c r="D278" s="3"/>
      <c r="E278" s="3"/>
      <c r="F278" s="3"/>
    </row>
    <row r="279" spans="1:6">
      <c r="A279" s="3"/>
      <c r="B279" s="3"/>
      <c r="C279" s="3"/>
      <c r="D279" s="3"/>
      <c r="E279" s="3"/>
      <c r="F279" s="3"/>
    </row>
    <row r="280" spans="1:6">
      <c r="A280" s="3"/>
      <c r="B280" s="3"/>
      <c r="C280" s="3"/>
      <c r="D280" s="3"/>
      <c r="E280" s="3"/>
      <c r="F280" s="3"/>
    </row>
    <row r="281" spans="1:6">
      <c r="A281" s="3"/>
      <c r="B281" s="3"/>
      <c r="C281" s="3"/>
      <c r="D281" s="3"/>
      <c r="E281" s="3"/>
      <c r="F281" s="3"/>
    </row>
    <row r="282" spans="1:6">
      <c r="A282" s="3"/>
      <c r="B282" s="3"/>
      <c r="C282" s="3"/>
      <c r="D282" s="3"/>
      <c r="E282" s="3"/>
      <c r="F282" s="3"/>
    </row>
    <row r="283" spans="1:6">
      <c r="A283" s="3"/>
      <c r="B283" s="3"/>
      <c r="C283" s="3"/>
      <c r="D283" s="3"/>
      <c r="E283" s="3"/>
      <c r="F283" s="3"/>
    </row>
    <row r="284" spans="1:6">
      <c r="A284" s="3"/>
      <c r="B284" s="3"/>
      <c r="C284" s="3"/>
      <c r="D284" s="3"/>
      <c r="E284" s="3"/>
      <c r="F284" s="3"/>
    </row>
    <row r="285" spans="1:6">
      <c r="A285" s="3"/>
      <c r="B285" s="3"/>
      <c r="C285" s="3"/>
      <c r="D285" s="3"/>
      <c r="E285" s="3"/>
      <c r="F285" s="3"/>
    </row>
    <row r="286" spans="1:6">
      <c r="A286" s="3"/>
      <c r="B286" s="3"/>
      <c r="C286" s="3"/>
      <c r="D286" s="3"/>
      <c r="E286" s="3"/>
      <c r="F286" s="3"/>
    </row>
    <row r="287" spans="1:6">
      <c r="A287" s="3"/>
      <c r="B287" s="3"/>
      <c r="C287" s="3"/>
      <c r="D287" s="3"/>
      <c r="E287" s="3"/>
      <c r="F287" s="3"/>
    </row>
    <row r="288" spans="1:6">
      <c r="A288" s="3"/>
      <c r="B288" s="3"/>
      <c r="C288" s="3"/>
      <c r="D288" s="3"/>
      <c r="E288" s="3"/>
      <c r="F288" s="3"/>
    </row>
    <row r="289" spans="1:6">
      <c r="A289" s="3"/>
      <c r="B289" s="3"/>
      <c r="C289" s="3"/>
      <c r="D289" s="3"/>
      <c r="E289" s="3"/>
      <c r="F289" s="3"/>
    </row>
    <row r="290" spans="1:6">
      <c r="A290" s="3"/>
      <c r="B290" s="3"/>
      <c r="C290" s="3"/>
      <c r="D290" s="3"/>
      <c r="E290" s="3"/>
      <c r="F290" s="3"/>
    </row>
    <row r="291" spans="1:6">
      <c r="A291" s="3"/>
      <c r="B291" s="3"/>
      <c r="C291" s="3"/>
      <c r="D291" s="3"/>
      <c r="E291" s="3"/>
      <c r="F291" s="3"/>
    </row>
    <row r="292" spans="1:6">
      <c r="A292" s="3"/>
      <c r="B292" s="3"/>
      <c r="C292" s="3"/>
      <c r="D292" s="3"/>
      <c r="E292" s="3"/>
      <c r="F292" s="3"/>
    </row>
    <row r="293" spans="1:6">
      <c r="A293" s="3"/>
      <c r="B293" s="3"/>
      <c r="C293" s="3"/>
      <c r="D293" s="3"/>
      <c r="E293" s="3"/>
      <c r="F293" s="3"/>
    </row>
    <row r="294" spans="1:6">
      <c r="A294" s="3"/>
      <c r="B294" s="3"/>
      <c r="C294" s="3"/>
      <c r="D294" s="3"/>
      <c r="E294" s="3"/>
      <c r="F294" s="3"/>
    </row>
    <row r="295" spans="1:6">
      <c r="A295" s="3"/>
      <c r="B295" s="3"/>
      <c r="C295" s="3"/>
      <c r="D295" s="3"/>
      <c r="E295" s="3"/>
      <c r="F295" s="3"/>
    </row>
    <row r="296" spans="1:6">
      <c r="A296" s="3"/>
      <c r="B296" s="3"/>
      <c r="C296" s="3"/>
      <c r="D296" s="3"/>
      <c r="E296" s="3"/>
      <c r="F296" s="3"/>
    </row>
    <row r="297" spans="1:6">
      <c r="A297" s="3"/>
      <c r="B297" s="3"/>
      <c r="C297" s="3"/>
      <c r="D297" s="3"/>
      <c r="E297" s="3"/>
      <c r="F297" s="3"/>
    </row>
    <row r="298" spans="1:6">
      <c r="A298" s="3"/>
      <c r="B298" s="3"/>
      <c r="C298" s="3"/>
      <c r="D298" s="3"/>
      <c r="E298" s="3"/>
      <c r="F298" s="3"/>
    </row>
    <row r="299" spans="1:6">
      <c r="A299" s="3"/>
      <c r="B299" s="3"/>
      <c r="C299" s="3"/>
      <c r="D299" s="3"/>
      <c r="E299" s="3"/>
      <c r="F299" s="3"/>
    </row>
    <row r="300" spans="1:6">
      <c r="A300" s="3"/>
      <c r="B300" s="3"/>
      <c r="C300" s="3"/>
      <c r="D300" s="3"/>
      <c r="E300" s="3"/>
      <c r="F300" s="3"/>
    </row>
    <row r="301" spans="1:6">
      <c r="A301" s="3"/>
      <c r="B301" s="3"/>
      <c r="C301" s="3"/>
      <c r="D301" s="3"/>
      <c r="E301" s="3"/>
      <c r="F301" s="3"/>
    </row>
    <row r="302" spans="1:6">
      <c r="A302" s="3"/>
      <c r="B302" s="3"/>
      <c r="C302" s="3"/>
      <c r="D302" s="3"/>
      <c r="E302" s="3"/>
      <c r="F302" s="3"/>
    </row>
    <row r="303" spans="1:6">
      <c r="A303" s="3"/>
      <c r="B303" s="3"/>
      <c r="C303" s="3"/>
      <c r="D303" s="3"/>
      <c r="E303" s="3"/>
      <c r="F303" s="3"/>
    </row>
    <row r="304" spans="1:6">
      <c r="A304" s="3"/>
      <c r="B304" s="3"/>
      <c r="C304" s="3"/>
      <c r="D304" s="3"/>
      <c r="E304" s="3"/>
      <c r="F304" s="3"/>
    </row>
    <row r="305" spans="1:6">
      <c r="A305" s="3"/>
      <c r="B305" s="3"/>
      <c r="C305" s="3"/>
      <c r="D305" s="3"/>
      <c r="E305" s="3"/>
      <c r="F305" s="3"/>
    </row>
    <row r="306" spans="1:6">
      <c r="A306" s="3"/>
      <c r="B306" s="3"/>
      <c r="C306" s="3"/>
      <c r="D306" s="3"/>
      <c r="E306" s="3"/>
      <c r="F306" s="3"/>
    </row>
    <row r="307" spans="1:6">
      <c r="A307" s="3"/>
      <c r="B307" s="3"/>
      <c r="C307" s="3"/>
      <c r="D307" s="3"/>
      <c r="E307" s="3"/>
      <c r="F307" s="3"/>
    </row>
    <row r="308" spans="1:6">
      <c r="A308" s="3"/>
      <c r="B308" s="3"/>
      <c r="C308" s="3"/>
      <c r="D308" s="3"/>
      <c r="E308" s="3"/>
      <c r="F308" s="3"/>
    </row>
    <row r="309" spans="1:6">
      <c r="A309" s="3"/>
      <c r="B309" s="3"/>
      <c r="C309" s="3"/>
      <c r="D309" s="3"/>
      <c r="E309" s="3"/>
      <c r="F309" s="3"/>
    </row>
    <row r="310" spans="1:6">
      <c r="A310" s="3"/>
      <c r="B310" s="3"/>
      <c r="C310" s="3"/>
      <c r="D310" s="3"/>
      <c r="E310" s="3"/>
      <c r="F310" s="3"/>
    </row>
    <row r="311" spans="1:6">
      <c r="A311" s="3"/>
      <c r="B311" s="3"/>
      <c r="C311" s="3"/>
      <c r="D311" s="3"/>
      <c r="E311" s="3"/>
      <c r="F311" s="3"/>
    </row>
    <row r="312" spans="1:6">
      <c r="A312" s="3"/>
      <c r="B312" s="3"/>
      <c r="C312" s="3"/>
      <c r="D312" s="3"/>
      <c r="E312" s="3"/>
      <c r="F312" s="3"/>
    </row>
    <row r="313" spans="1:6">
      <c r="A313" s="3"/>
      <c r="B313" s="3"/>
      <c r="C313" s="3"/>
      <c r="D313" s="3"/>
      <c r="E313" s="3"/>
      <c r="F313" s="3"/>
    </row>
    <row r="314" spans="1:6">
      <c r="A314" s="3"/>
      <c r="B314" s="3"/>
      <c r="C314" s="3"/>
      <c r="D314" s="3"/>
      <c r="E314" s="3"/>
      <c r="F314" s="3"/>
    </row>
    <row r="315" spans="1:6">
      <c r="A315" s="3"/>
      <c r="B315" s="3"/>
      <c r="C315" s="3"/>
      <c r="D315" s="3"/>
      <c r="E315" s="3"/>
      <c r="F315" s="3"/>
    </row>
    <row r="316" spans="1:6">
      <c r="A316" s="3"/>
      <c r="B316" s="3"/>
      <c r="C316" s="3"/>
      <c r="D316" s="3"/>
      <c r="E316" s="3"/>
      <c r="F316" s="3"/>
    </row>
    <row r="317" spans="1:6">
      <c r="A317" s="3"/>
      <c r="B317" s="3"/>
      <c r="C317" s="3"/>
      <c r="D317" s="3"/>
      <c r="E317" s="3"/>
      <c r="F317" s="3"/>
    </row>
    <row r="318" spans="1:6">
      <c r="A318" s="3"/>
      <c r="B318" s="3"/>
      <c r="C318" s="3"/>
      <c r="D318" s="3"/>
      <c r="E318" s="3"/>
      <c r="F318" s="3"/>
    </row>
    <row r="319" spans="1:6">
      <c r="A319" s="3"/>
      <c r="B319" s="3"/>
      <c r="C319" s="3"/>
      <c r="D319" s="3"/>
      <c r="E319" s="3"/>
      <c r="F319" s="3"/>
    </row>
    <row r="320" spans="1:6">
      <c r="A320" s="3"/>
      <c r="B320" s="3"/>
      <c r="C320" s="3"/>
      <c r="D320" s="3"/>
      <c r="E320" s="3"/>
      <c r="F320" s="3"/>
    </row>
    <row r="321" spans="1:6">
      <c r="A321" s="3"/>
      <c r="B321" s="3"/>
      <c r="C321" s="3"/>
      <c r="D321" s="3"/>
      <c r="E321" s="3"/>
      <c r="F321" s="3"/>
    </row>
    <row r="322" spans="1:6">
      <c r="A322" s="3"/>
      <c r="B322" s="3"/>
      <c r="C322" s="3"/>
      <c r="D322" s="3"/>
      <c r="E322" s="3"/>
      <c r="F322" s="3"/>
    </row>
    <row r="323" spans="1:6">
      <c r="A323" s="3"/>
      <c r="B323" s="3"/>
      <c r="C323" s="3"/>
      <c r="D323" s="3"/>
      <c r="E323" s="3"/>
      <c r="F323" s="3"/>
    </row>
    <row r="324" spans="1:6">
      <c r="A324" s="3"/>
      <c r="B324" s="3"/>
      <c r="C324" s="3"/>
      <c r="D324" s="3"/>
      <c r="E324" s="3"/>
      <c r="F324" s="3"/>
    </row>
    <row r="325" spans="1:6">
      <c r="A325" s="3"/>
      <c r="B325" s="3"/>
      <c r="C325" s="3"/>
      <c r="D325" s="3"/>
      <c r="E325" s="3"/>
      <c r="F325" s="3"/>
    </row>
    <row r="326" spans="1:6">
      <c r="A326" s="3"/>
      <c r="B326" s="3"/>
      <c r="C326" s="3"/>
      <c r="D326" s="3"/>
      <c r="E326" s="3"/>
      <c r="F326" s="3"/>
    </row>
    <row r="327" spans="1:6">
      <c r="A327" s="3"/>
      <c r="B327" s="3"/>
      <c r="C327" s="3"/>
      <c r="D327" s="3"/>
      <c r="E327" s="3"/>
      <c r="F327" s="3"/>
    </row>
    <row r="328" spans="1:6">
      <c r="A328" s="3"/>
      <c r="B328" s="3"/>
      <c r="C328" s="3"/>
      <c r="D328" s="3"/>
      <c r="E328" s="3"/>
      <c r="F328" s="3"/>
    </row>
    <row r="329" spans="1:6">
      <c r="A329" s="3"/>
      <c r="B329" s="3"/>
      <c r="C329" s="3"/>
      <c r="D329" s="3"/>
      <c r="E329" s="3"/>
      <c r="F329" s="3"/>
    </row>
    <row r="330" spans="1:6">
      <c r="A330" s="3"/>
      <c r="B330" s="3"/>
      <c r="C330" s="3"/>
      <c r="D330" s="3"/>
      <c r="E330" s="3"/>
      <c r="F330" s="3"/>
    </row>
    <row r="331" spans="1:6">
      <c r="A331" s="3"/>
      <c r="B331" s="3"/>
      <c r="C331" s="3"/>
      <c r="D331" s="3"/>
      <c r="E331" s="3"/>
      <c r="F331" s="3"/>
    </row>
    <row r="332" spans="1:6">
      <c r="A332" s="3"/>
      <c r="B332" s="3"/>
      <c r="C332" s="3"/>
      <c r="D332" s="3"/>
      <c r="E332" s="3"/>
      <c r="F332" s="3"/>
    </row>
    <row r="333" spans="1:6">
      <c r="A333" s="3"/>
      <c r="B333" s="3"/>
      <c r="C333" s="3"/>
      <c r="D333" s="3"/>
      <c r="E333" s="3"/>
      <c r="F333" s="3"/>
    </row>
    <row r="334" spans="1:6">
      <c r="A334" s="3"/>
      <c r="B334" s="3"/>
      <c r="C334" s="3"/>
      <c r="D334" s="3"/>
      <c r="E334" s="3"/>
      <c r="F334" s="3"/>
    </row>
    <row r="335" spans="1:6">
      <c r="A335" s="3"/>
      <c r="B335" s="3"/>
      <c r="C335" s="3"/>
      <c r="D335" s="3"/>
      <c r="E335" s="3"/>
      <c r="F335" s="3"/>
    </row>
    <row r="336" spans="1:6">
      <c r="A336" s="3"/>
      <c r="B336" s="3"/>
      <c r="C336" s="3"/>
      <c r="D336" s="3"/>
      <c r="E336" s="3"/>
      <c r="F336" s="3"/>
    </row>
    <row r="337" spans="1:6">
      <c r="A337" s="3"/>
      <c r="B337" s="3"/>
      <c r="C337" s="3"/>
      <c r="D337" s="3"/>
      <c r="E337" s="3"/>
      <c r="F337" s="3"/>
    </row>
    <row r="338" spans="1:6">
      <c r="A338" s="3"/>
      <c r="B338" s="3"/>
      <c r="C338" s="3"/>
      <c r="D338" s="3"/>
      <c r="E338" s="3"/>
      <c r="F338" s="3"/>
    </row>
    <row r="339" spans="1:6">
      <c r="A339" s="3"/>
      <c r="B339" s="3"/>
      <c r="C339" s="3"/>
      <c r="D339" s="3"/>
      <c r="E339" s="3"/>
      <c r="F339" s="3"/>
    </row>
    <row r="340" spans="1:6">
      <c r="A340" s="3"/>
      <c r="B340" s="3"/>
      <c r="C340" s="3"/>
      <c r="D340" s="3"/>
      <c r="E340" s="3"/>
      <c r="F340" s="3"/>
    </row>
    <row r="341" spans="1:6">
      <c r="A341" s="3"/>
      <c r="B341" s="3"/>
      <c r="C341" s="3"/>
      <c r="D341" s="3"/>
      <c r="E341" s="3"/>
      <c r="F341" s="3"/>
    </row>
    <row r="342" spans="1:6">
      <c r="A342" s="3"/>
      <c r="B342" s="3"/>
      <c r="C342" s="3"/>
      <c r="D342" s="3"/>
      <c r="E342" s="3"/>
      <c r="F342" s="3"/>
    </row>
    <row r="343" spans="1:6">
      <c r="A343" s="3"/>
      <c r="B343" s="3"/>
      <c r="C343" s="3"/>
      <c r="D343" s="3"/>
      <c r="E343" s="3"/>
      <c r="F343" s="3"/>
    </row>
    <row r="344" spans="1:6">
      <c r="A344" s="3"/>
      <c r="B344" s="3"/>
      <c r="C344" s="3"/>
      <c r="D344" s="3"/>
      <c r="E344" s="3"/>
      <c r="F344" s="3"/>
    </row>
    <row r="345" spans="1:6">
      <c r="A345" s="3"/>
      <c r="B345" s="3"/>
      <c r="C345" s="3"/>
      <c r="D345" s="3"/>
      <c r="E345" s="3"/>
      <c r="F345" s="3"/>
    </row>
    <row r="346" spans="1:6">
      <c r="A346" s="3"/>
      <c r="B346" s="3"/>
      <c r="C346" s="3"/>
      <c r="D346" s="3"/>
      <c r="E346" s="3"/>
      <c r="F346" s="3"/>
    </row>
    <row r="347" spans="1:6">
      <c r="A347" s="3"/>
      <c r="B347" s="3"/>
      <c r="C347" s="3"/>
      <c r="D347" s="3"/>
      <c r="E347" s="3"/>
      <c r="F347" s="3"/>
    </row>
    <row r="348" spans="1:6">
      <c r="A348" s="3"/>
      <c r="B348" s="3"/>
      <c r="C348" s="3"/>
      <c r="D348" s="3"/>
      <c r="E348" s="3"/>
      <c r="F348" s="3"/>
    </row>
    <row r="349" spans="1:6">
      <c r="A349" s="3"/>
      <c r="B349" s="3"/>
      <c r="C349" s="3"/>
      <c r="D349" s="3"/>
      <c r="E349" s="3"/>
      <c r="F349" s="3"/>
    </row>
    <row r="350" spans="1:6">
      <c r="A350" s="3"/>
      <c r="B350" s="3"/>
      <c r="C350" s="3"/>
      <c r="D350" s="3"/>
      <c r="E350" s="3"/>
      <c r="F350" s="3"/>
    </row>
    <row r="351" spans="1:6">
      <c r="A351" s="3"/>
      <c r="B351" s="3"/>
      <c r="C351" s="3"/>
      <c r="D351" s="3"/>
      <c r="E351" s="3"/>
      <c r="F351" s="3"/>
    </row>
    <row r="352" spans="1:6">
      <c r="A352" s="3"/>
      <c r="B352" s="3"/>
      <c r="C352" s="3"/>
      <c r="D352" s="3"/>
      <c r="E352" s="3"/>
      <c r="F352" s="3"/>
    </row>
    <row r="353" spans="1:6">
      <c r="A353" s="3"/>
      <c r="B353" s="3"/>
      <c r="C353" s="3"/>
      <c r="D353" s="3"/>
      <c r="E353" s="3"/>
      <c r="F353" s="3"/>
    </row>
    <row r="354" spans="1:6">
      <c r="A354" s="3"/>
      <c r="B354" s="3"/>
      <c r="C354" s="3"/>
      <c r="D354" s="3"/>
      <c r="E354" s="3"/>
      <c r="F354" s="3"/>
    </row>
    <row r="355" spans="1:6">
      <c r="A355" s="3"/>
      <c r="B355" s="3"/>
      <c r="C355" s="3"/>
      <c r="D355" s="3"/>
      <c r="E355" s="3"/>
      <c r="F355" s="3"/>
    </row>
    <row r="356" spans="1:6">
      <c r="A356" s="3"/>
      <c r="B356" s="3"/>
      <c r="C356" s="3"/>
      <c r="D356" s="3"/>
      <c r="E356" s="3"/>
      <c r="F356" s="3"/>
    </row>
    <row r="357" spans="1:6">
      <c r="A357" s="3"/>
      <c r="B357" s="3"/>
      <c r="C357" s="3"/>
      <c r="D357" s="3"/>
      <c r="E357" s="3"/>
      <c r="F357" s="3"/>
    </row>
    <row r="358" spans="1:6">
      <c r="A358" s="3"/>
      <c r="B358" s="3"/>
      <c r="C358" s="3"/>
      <c r="D358" s="3"/>
      <c r="E358" s="3"/>
      <c r="F358" s="3"/>
    </row>
    <row r="359" spans="1:6">
      <c r="A359" s="3"/>
      <c r="B359" s="3"/>
      <c r="C359" s="3"/>
      <c r="D359" s="3"/>
      <c r="E359" s="3"/>
      <c r="F359" s="3"/>
    </row>
    <row r="360" spans="1:6">
      <c r="A360" s="3"/>
      <c r="B360" s="3"/>
      <c r="C360" s="3"/>
      <c r="D360" s="3"/>
      <c r="E360" s="3"/>
      <c r="F360" s="3"/>
    </row>
    <row r="361" spans="1:6">
      <c r="A361" s="3"/>
      <c r="B361" s="3"/>
      <c r="C361" s="3"/>
      <c r="D361" s="3"/>
      <c r="E361" s="3"/>
      <c r="F361" s="3"/>
    </row>
    <row r="362" spans="1:6">
      <c r="A362" s="3"/>
      <c r="B362" s="3"/>
      <c r="C362" s="3"/>
      <c r="D362" s="3"/>
      <c r="E362" s="3"/>
      <c r="F362" s="3"/>
    </row>
    <row r="363" spans="1:6">
      <c r="A363" s="3"/>
      <c r="B363" s="3"/>
      <c r="C363" s="3"/>
      <c r="D363" s="3"/>
      <c r="E363" s="3"/>
      <c r="F363" s="3"/>
    </row>
    <row r="364" spans="1:6">
      <c r="A364" s="3"/>
      <c r="B364" s="3"/>
      <c r="C364" s="3"/>
      <c r="D364" s="3"/>
      <c r="E364" s="3"/>
      <c r="F364" s="3"/>
    </row>
    <row r="365" spans="1:6">
      <c r="A365" s="3"/>
      <c r="B365" s="3"/>
      <c r="C365" s="3"/>
      <c r="D365" s="3"/>
      <c r="E365" s="3"/>
      <c r="F365" s="3"/>
    </row>
    <row r="366" spans="1:6">
      <c r="A366" s="3"/>
      <c r="B366" s="3"/>
      <c r="C366" s="3"/>
      <c r="D366" s="3"/>
      <c r="E366" s="3"/>
      <c r="F366" s="3"/>
    </row>
    <row r="367" spans="1:6">
      <c r="A367" s="3"/>
      <c r="B367" s="3"/>
      <c r="C367" s="3"/>
      <c r="D367" s="3"/>
      <c r="E367" s="3"/>
      <c r="F367" s="3"/>
    </row>
    <row r="368" spans="1:6">
      <c r="A368" s="3"/>
      <c r="B368" s="3"/>
      <c r="C368" s="3"/>
      <c r="D368" s="3"/>
      <c r="E368" s="3"/>
      <c r="F368" s="3"/>
    </row>
    <row r="369" spans="1:6">
      <c r="A369" s="3"/>
      <c r="B369" s="3"/>
      <c r="C369" s="3"/>
      <c r="D369" s="3"/>
      <c r="E369" s="3"/>
      <c r="F369" s="3"/>
    </row>
    <row r="370" spans="1:6">
      <c r="A370" s="3"/>
      <c r="B370" s="3"/>
      <c r="C370" s="3"/>
      <c r="D370" s="3"/>
      <c r="E370" s="3"/>
      <c r="F370" s="3"/>
    </row>
    <row r="371" spans="1:6">
      <c r="A371" s="3"/>
      <c r="B371" s="3"/>
      <c r="C371" s="3"/>
      <c r="D371" s="3"/>
      <c r="E371" s="3"/>
      <c r="F371" s="3"/>
    </row>
    <row r="372" spans="1:6">
      <c r="A372" s="3"/>
      <c r="B372" s="3"/>
      <c r="C372" s="3"/>
      <c r="D372" s="3"/>
      <c r="E372" s="3"/>
      <c r="F372" s="3"/>
    </row>
    <row r="373" spans="1:6">
      <c r="A373" s="3"/>
      <c r="B373" s="3"/>
      <c r="C373" s="3"/>
      <c r="D373" s="3"/>
      <c r="E373" s="3"/>
      <c r="F373" s="3"/>
    </row>
    <row r="374" spans="1:6">
      <c r="A374" s="3"/>
      <c r="B374" s="3"/>
      <c r="C374" s="3"/>
      <c r="D374" s="3"/>
      <c r="E374" s="3"/>
      <c r="F374" s="3"/>
    </row>
    <row r="375" spans="1:6">
      <c r="A375" s="3"/>
      <c r="B375" s="3"/>
      <c r="C375" s="3"/>
      <c r="D375" s="3"/>
      <c r="E375" s="3"/>
      <c r="F375" s="3"/>
    </row>
    <row r="376" spans="1:6">
      <c r="A376" s="3"/>
      <c r="B376" s="3"/>
      <c r="C376" s="3"/>
      <c r="D376" s="3"/>
      <c r="E376" s="3"/>
      <c r="F376" s="3"/>
    </row>
    <row r="377" spans="1:6">
      <c r="A377" s="3"/>
      <c r="B377" s="3"/>
      <c r="C377" s="3"/>
      <c r="D377" s="3"/>
      <c r="E377" s="3"/>
      <c r="F377" s="3"/>
    </row>
    <row r="378" spans="1:6">
      <c r="A378" s="3"/>
      <c r="B378" s="3"/>
      <c r="C378" s="3"/>
      <c r="D378" s="3"/>
      <c r="E378" s="3"/>
      <c r="F378" s="3"/>
    </row>
    <row r="379" spans="1:6">
      <c r="A379" s="3"/>
      <c r="B379" s="3"/>
      <c r="C379" s="3"/>
      <c r="D379" s="3"/>
      <c r="E379" s="3"/>
      <c r="F379" s="3"/>
    </row>
    <row r="380" spans="1:6">
      <c r="A380" s="3"/>
      <c r="B380" s="3"/>
      <c r="C380" s="3"/>
      <c r="D380" s="3"/>
      <c r="E380" s="3"/>
      <c r="F380" s="3"/>
    </row>
    <row r="381" spans="1:6">
      <c r="A381" s="3"/>
      <c r="B381" s="3"/>
      <c r="C381" s="3"/>
      <c r="D381" s="3"/>
      <c r="E381" s="3"/>
      <c r="F381" s="3"/>
    </row>
    <row r="382" spans="1:6">
      <c r="A382" s="3"/>
      <c r="B382" s="3"/>
      <c r="C382" s="3"/>
      <c r="D382" s="3"/>
      <c r="E382" s="3"/>
      <c r="F382" s="3"/>
    </row>
    <row r="383" spans="1:6">
      <c r="A383" s="3"/>
      <c r="B383" s="3"/>
      <c r="C383" s="3"/>
      <c r="D383" s="3"/>
      <c r="E383" s="3"/>
      <c r="F383" s="3"/>
    </row>
    <row r="384" spans="1:6">
      <c r="A384" s="3"/>
      <c r="B384" s="3"/>
      <c r="C384" s="3"/>
      <c r="D384" s="3"/>
      <c r="E384" s="3"/>
      <c r="F384" s="3"/>
    </row>
    <row r="385" spans="1:6">
      <c r="A385" s="3"/>
      <c r="B385" s="3"/>
      <c r="C385" s="3"/>
      <c r="D385" s="3"/>
      <c r="E385" s="3"/>
      <c r="F385" s="3"/>
    </row>
    <row r="386" spans="1:6">
      <c r="A386" s="3"/>
      <c r="B386" s="3"/>
      <c r="C386" s="3"/>
      <c r="D386" s="3"/>
      <c r="E386" s="3"/>
      <c r="F386" s="3"/>
    </row>
    <row r="387" spans="1:6">
      <c r="A387" s="3"/>
      <c r="B387" s="3"/>
      <c r="C387" s="3"/>
      <c r="D387" s="3"/>
      <c r="E387" s="3"/>
      <c r="F387" s="3"/>
    </row>
    <row r="388" spans="1:6">
      <c r="A388" s="3"/>
      <c r="B388" s="3"/>
      <c r="C388" s="3"/>
      <c r="D388" s="3"/>
      <c r="E388" s="3"/>
      <c r="F388" s="3"/>
    </row>
    <row r="389" spans="1:6">
      <c r="A389" s="3"/>
      <c r="B389" s="3"/>
      <c r="C389" s="3"/>
      <c r="D389" s="3"/>
      <c r="E389" s="3"/>
      <c r="F389" s="3"/>
    </row>
    <row r="390" spans="1:6">
      <c r="A390" s="3"/>
      <c r="B390" s="3"/>
      <c r="C390" s="3"/>
      <c r="D390" s="3"/>
      <c r="E390" s="3"/>
      <c r="F390" s="3"/>
    </row>
    <row r="391" spans="1:6">
      <c r="A391" s="3"/>
      <c r="B391" s="3"/>
      <c r="C391" s="3"/>
      <c r="D391" s="3"/>
      <c r="E391" s="3"/>
      <c r="F391" s="3"/>
    </row>
    <row r="392" spans="1:6">
      <c r="A392" s="3"/>
      <c r="B392" s="3"/>
      <c r="C392" s="3"/>
      <c r="D392" s="3"/>
      <c r="E392" s="3"/>
      <c r="F392" s="3"/>
    </row>
    <row r="393" spans="1:6">
      <c r="A393" s="3"/>
      <c r="B393" s="3"/>
      <c r="C393" s="3"/>
      <c r="D393" s="3"/>
      <c r="E393" s="3"/>
      <c r="F393" s="3"/>
    </row>
    <row r="394" spans="1:6">
      <c r="A394" s="3"/>
      <c r="B394" s="3"/>
      <c r="C394" s="3"/>
      <c r="D394" s="3"/>
      <c r="E394" s="3"/>
      <c r="F394" s="3"/>
    </row>
    <row r="395" spans="1:6">
      <c r="A395" s="3"/>
      <c r="B395" s="3"/>
      <c r="C395" s="3"/>
      <c r="D395" s="3"/>
      <c r="E395" s="3"/>
      <c r="F395" s="3"/>
    </row>
    <row r="396" spans="1:6">
      <c r="A396" s="3"/>
      <c r="B396" s="3"/>
      <c r="C396" s="3"/>
      <c r="D396" s="3"/>
      <c r="E396" s="3"/>
      <c r="F396" s="3"/>
    </row>
    <row r="397" spans="1:6">
      <c r="A397" s="3"/>
      <c r="B397" s="3"/>
      <c r="C397" s="3"/>
      <c r="D397" s="3"/>
      <c r="E397" s="3"/>
      <c r="F397" s="3"/>
    </row>
    <row r="398" spans="1:6">
      <c r="A398" s="3"/>
      <c r="B398" s="3"/>
      <c r="C398" s="3"/>
      <c r="D398" s="3"/>
      <c r="E398" s="3"/>
      <c r="F398" s="3"/>
    </row>
    <row r="399" spans="1:6">
      <c r="A399" s="3"/>
      <c r="B399" s="3"/>
      <c r="C399" s="3"/>
      <c r="D399" s="3"/>
      <c r="E399" s="3"/>
      <c r="F399" s="3"/>
    </row>
    <row r="400" spans="1:6">
      <c r="A400" s="3"/>
      <c r="B400" s="3"/>
      <c r="C400" s="3"/>
      <c r="D400" s="3"/>
      <c r="E400" s="3"/>
      <c r="F400" s="3"/>
    </row>
    <row r="401" spans="1:6">
      <c r="A401" s="3"/>
      <c r="B401" s="3"/>
      <c r="C401" s="3"/>
      <c r="D401" s="3"/>
      <c r="E401" s="3"/>
      <c r="F401" s="3"/>
    </row>
    <row r="402" spans="1:6">
      <c r="A402" s="3"/>
      <c r="B402" s="3"/>
      <c r="C402" s="3"/>
      <c r="D402" s="3"/>
      <c r="E402" s="3"/>
      <c r="F402" s="3"/>
    </row>
    <row r="403" spans="1:6">
      <c r="A403" s="3"/>
      <c r="B403" s="3"/>
      <c r="C403" s="3"/>
      <c r="D403" s="3"/>
      <c r="E403" s="3"/>
      <c r="F403" s="3"/>
    </row>
    <row r="404" spans="1:6">
      <c r="A404" s="3"/>
      <c r="B404" s="3"/>
      <c r="C404" s="3"/>
      <c r="D404" s="3"/>
      <c r="E404" s="3"/>
      <c r="F404" s="3"/>
    </row>
    <row r="405" spans="1:6">
      <c r="A405" s="3"/>
      <c r="B405" s="3"/>
      <c r="C405" s="3"/>
      <c r="D405" s="3"/>
      <c r="E405" s="3"/>
      <c r="F405" s="3"/>
    </row>
    <row r="406" spans="1:6">
      <c r="A406" s="3"/>
      <c r="B406" s="3"/>
      <c r="C406" s="3"/>
      <c r="D406" s="3"/>
      <c r="E406" s="3"/>
      <c r="F406" s="3"/>
    </row>
    <row r="407" spans="1:6">
      <c r="A407" s="3"/>
      <c r="B407" s="3"/>
      <c r="C407" s="3"/>
      <c r="D407" s="3"/>
      <c r="E407" s="3"/>
      <c r="F407" s="3"/>
    </row>
    <row r="408" spans="1:6">
      <c r="A408" s="3"/>
      <c r="B408" s="3"/>
      <c r="C408" s="3"/>
      <c r="D408" s="3"/>
      <c r="E408" s="3"/>
      <c r="F408" s="3"/>
    </row>
    <row r="409" spans="1:6">
      <c r="A409" s="3"/>
      <c r="B409" s="3"/>
      <c r="C409" s="3"/>
      <c r="D409" s="3"/>
      <c r="E409" s="3"/>
      <c r="F409" s="3"/>
    </row>
    <row r="410" spans="1:6">
      <c r="A410" s="3"/>
      <c r="B410" s="3"/>
      <c r="C410" s="3"/>
      <c r="D410" s="3"/>
      <c r="E410" s="3"/>
      <c r="F410" s="3"/>
    </row>
    <row r="411" spans="1:6">
      <c r="A411" s="3"/>
      <c r="B411" s="3"/>
      <c r="C411" s="3"/>
      <c r="D411" s="3"/>
      <c r="E411" s="3"/>
      <c r="F411" s="3"/>
    </row>
    <row r="412" spans="1:6">
      <c r="A412" s="3"/>
      <c r="B412" s="3"/>
      <c r="C412" s="3"/>
      <c r="D412" s="3"/>
      <c r="E412" s="3"/>
      <c r="F412" s="3"/>
    </row>
    <row r="413" spans="1:6">
      <c r="A413" s="3"/>
      <c r="B413" s="3"/>
      <c r="C413" s="3"/>
      <c r="D413" s="3"/>
      <c r="E413" s="3"/>
      <c r="F413" s="3"/>
    </row>
    <row r="414" spans="1:6">
      <c r="A414" s="3"/>
      <c r="B414" s="3"/>
      <c r="C414" s="3"/>
      <c r="D414" s="3"/>
      <c r="E414" s="3"/>
      <c r="F414" s="3"/>
    </row>
    <row r="415" spans="1:6">
      <c r="A415" s="3"/>
      <c r="B415" s="3"/>
      <c r="C415" s="3"/>
      <c r="D415" s="3"/>
      <c r="E415" s="3"/>
      <c r="F415" s="3"/>
    </row>
    <row r="416" spans="1:6">
      <c r="A416" s="3"/>
      <c r="B416" s="3"/>
      <c r="C416" s="3"/>
      <c r="D416" s="3"/>
      <c r="E416" s="3"/>
      <c r="F416" s="3"/>
    </row>
    <row r="417" spans="1:6">
      <c r="A417" s="3"/>
      <c r="B417" s="3"/>
      <c r="C417" s="3"/>
      <c r="D417" s="3"/>
      <c r="E417" s="3"/>
      <c r="F417" s="3"/>
    </row>
    <row r="418" spans="1:6">
      <c r="A418" s="3"/>
      <c r="B418" s="3"/>
      <c r="C418" s="3"/>
      <c r="D418" s="3"/>
      <c r="E418" s="3"/>
      <c r="F418" s="3"/>
    </row>
    <row r="419" spans="1:6">
      <c r="A419" s="3"/>
      <c r="B419" s="3"/>
      <c r="C419" s="3"/>
      <c r="D419" s="3"/>
      <c r="E419" s="3"/>
      <c r="F419" s="3"/>
    </row>
    <row r="420" spans="1:6">
      <c r="A420" s="3"/>
      <c r="B420" s="3"/>
      <c r="C420" s="3"/>
      <c r="D420" s="3"/>
      <c r="E420" s="3"/>
      <c r="F420" s="3"/>
    </row>
    <row r="421" spans="1:6">
      <c r="A421" s="3"/>
      <c r="B421" s="3"/>
      <c r="C421" s="3"/>
      <c r="D421" s="3"/>
      <c r="E421" s="3"/>
      <c r="F421" s="3"/>
    </row>
    <row r="422" spans="1:6">
      <c r="A422" s="3"/>
      <c r="B422" s="3"/>
      <c r="C422" s="3"/>
      <c r="D422" s="3"/>
      <c r="E422" s="3"/>
      <c r="F422" s="3"/>
    </row>
    <row r="423" spans="1:6">
      <c r="A423" s="3"/>
      <c r="B423" s="3"/>
      <c r="C423" s="3"/>
      <c r="D423" s="3"/>
      <c r="E423" s="3"/>
      <c r="F423" s="3"/>
    </row>
    <row r="424" spans="1:6">
      <c r="A424" s="3"/>
      <c r="B424" s="3"/>
      <c r="C424" s="3"/>
      <c r="D424" s="3"/>
      <c r="E424" s="3"/>
      <c r="F424" s="3"/>
    </row>
    <row r="425" spans="1:6">
      <c r="A425" s="3"/>
      <c r="B425" s="3"/>
      <c r="C425" s="3"/>
      <c r="D425" s="3"/>
      <c r="E425" s="3"/>
      <c r="F425" s="3"/>
    </row>
    <row r="426" spans="1:6">
      <c r="A426" s="3"/>
      <c r="B426" s="3"/>
      <c r="C426" s="3"/>
      <c r="D426" s="3"/>
      <c r="E426" s="3"/>
      <c r="F426" s="3"/>
    </row>
    <row r="427" spans="1:6">
      <c r="A427" s="3"/>
      <c r="B427" s="3"/>
      <c r="C427" s="3"/>
      <c r="D427" s="3"/>
      <c r="E427" s="3"/>
      <c r="F427" s="3"/>
    </row>
    <row r="428" spans="1:6">
      <c r="A428" s="3"/>
      <c r="B428" s="3"/>
      <c r="C428" s="3"/>
      <c r="D428" s="3"/>
      <c r="E428" s="3"/>
      <c r="F428" s="3"/>
    </row>
    <row r="429" spans="1:6">
      <c r="A429" s="3"/>
      <c r="B429" s="3"/>
      <c r="C429" s="3"/>
      <c r="D429" s="3"/>
      <c r="E429" s="3"/>
      <c r="F429" s="3"/>
    </row>
    <row r="430" spans="1:6">
      <c r="A430" s="3"/>
      <c r="B430" s="3"/>
      <c r="C430" s="3"/>
      <c r="D430" s="3"/>
      <c r="E430" s="3"/>
      <c r="F430" s="3"/>
    </row>
    <row r="431" spans="1:6">
      <c r="A431" s="3"/>
      <c r="B431" s="3"/>
      <c r="C431" s="3"/>
      <c r="D431" s="3"/>
      <c r="E431" s="3"/>
      <c r="F431" s="3"/>
    </row>
    <row r="432" spans="1:6">
      <c r="A432" s="3"/>
      <c r="B432" s="3"/>
      <c r="C432" s="3"/>
      <c r="D432" s="3"/>
      <c r="E432" s="3"/>
      <c r="F432" s="3"/>
    </row>
    <row r="433" spans="1:6">
      <c r="A433" s="3"/>
      <c r="B433" s="3"/>
      <c r="C433" s="3"/>
      <c r="D433" s="3"/>
      <c r="E433" s="3"/>
      <c r="F433" s="3"/>
    </row>
    <row r="434" spans="1:6">
      <c r="A434" s="3"/>
      <c r="B434" s="3"/>
      <c r="C434" s="3"/>
      <c r="D434" s="3"/>
      <c r="E434" s="3"/>
      <c r="F434" s="3"/>
    </row>
    <row r="435" spans="1:6">
      <c r="A435" s="3"/>
      <c r="B435" s="3"/>
      <c r="C435" s="3"/>
      <c r="D435" s="3"/>
      <c r="E435" s="3"/>
      <c r="F435" s="3"/>
    </row>
    <row r="436" spans="1:6">
      <c r="A436" s="3"/>
      <c r="B436" s="3"/>
      <c r="C436" s="3"/>
      <c r="D436" s="3"/>
      <c r="E436" s="3"/>
      <c r="F436" s="3"/>
    </row>
    <row r="437" spans="1:6">
      <c r="A437" s="3"/>
      <c r="B437" s="3"/>
      <c r="C437" s="3"/>
      <c r="D437" s="3"/>
      <c r="E437" s="3"/>
      <c r="F437" s="3"/>
    </row>
    <row r="438" spans="1:6">
      <c r="A438" s="3"/>
      <c r="B438" s="3"/>
      <c r="C438" s="3"/>
      <c r="D438" s="3"/>
      <c r="E438" s="3"/>
      <c r="F438" s="3"/>
    </row>
    <row r="439" spans="1:6">
      <c r="A439" s="3"/>
      <c r="B439" s="3"/>
      <c r="C439" s="3"/>
      <c r="D439" s="3"/>
      <c r="E439" s="3"/>
      <c r="F439" s="3"/>
    </row>
    <row r="440" spans="1:6">
      <c r="A440" s="3"/>
      <c r="B440" s="3"/>
      <c r="C440" s="3"/>
      <c r="D440" s="3"/>
      <c r="E440" s="3"/>
      <c r="F440" s="3"/>
    </row>
    <row r="441" spans="1:6">
      <c r="A441" s="3"/>
      <c r="B441" s="3"/>
      <c r="C441" s="3"/>
      <c r="D441" s="3"/>
      <c r="E441" s="3"/>
      <c r="F441" s="3"/>
    </row>
    <row r="442" spans="1:6">
      <c r="A442" s="3"/>
      <c r="B442" s="3"/>
      <c r="C442" s="3"/>
      <c r="D442" s="3"/>
      <c r="E442" s="3"/>
      <c r="F442" s="3"/>
    </row>
    <row r="443" spans="1:6">
      <c r="A443" s="3"/>
      <c r="B443" s="3"/>
      <c r="C443" s="3"/>
      <c r="D443" s="3"/>
      <c r="E443" s="3"/>
      <c r="F443" s="3"/>
    </row>
    <row r="444" spans="1:6">
      <c r="A444" s="3"/>
      <c r="B444" s="3"/>
      <c r="C444" s="3"/>
      <c r="D444" s="3"/>
      <c r="E444" s="3"/>
      <c r="F444" s="3"/>
    </row>
    <row r="445" spans="1:6">
      <c r="A445" s="3"/>
      <c r="B445" s="3"/>
      <c r="C445" s="3"/>
      <c r="D445" s="3"/>
      <c r="E445" s="3"/>
      <c r="F445" s="3"/>
    </row>
    <row r="446" spans="1:6">
      <c r="A446" s="3"/>
      <c r="B446" s="3"/>
      <c r="C446" s="3"/>
      <c r="D446" s="3"/>
      <c r="E446" s="3"/>
      <c r="F446" s="3"/>
    </row>
    <row r="447" spans="1:6">
      <c r="A447" s="3"/>
      <c r="B447" s="3"/>
      <c r="C447" s="3"/>
      <c r="D447" s="3"/>
      <c r="E447" s="3"/>
      <c r="F447" s="3"/>
    </row>
    <row r="448" spans="1:6">
      <c r="A448" s="3"/>
      <c r="B448" s="3"/>
      <c r="C448" s="3"/>
      <c r="D448" s="3"/>
      <c r="E448" s="3"/>
      <c r="F448" s="3"/>
    </row>
    <row r="449" spans="1:6">
      <c r="A449" s="3"/>
      <c r="B449" s="3"/>
      <c r="C449" s="3"/>
      <c r="D449" s="3"/>
      <c r="E449" s="3"/>
      <c r="F449" s="3"/>
    </row>
    <row r="450" spans="1:6">
      <c r="A450" s="3"/>
      <c r="B450" s="3"/>
      <c r="C450" s="3"/>
      <c r="D450" s="3"/>
      <c r="E450" s="3"/>
      <c r="F450" s="3"/>
    </row>
    <row r="451" spans="1:6">
      <c r="A451" s="3"/>
      <c r="B451" s="3"/>
      <c r="C451" s="3"/>
      <c r="D451" s="3"/>
      <c r="E451" s="3"/>
      <c r="F451" s="3"/>
    </row>
    <row r="452" spans="1:6">
      <c r="A452" s="3"/>
      <c r="B452" s="3"/>
      <c r="C452" s="3"/>
      <c r="D452" s="3"/>
      <c r="E452" s="3"/>
      <c r="F452" s="3"/>
    </row>
    <row r="453" spans="1:6">
      <c r="A453" s="3"/>
      <c r="B453" s="3"/>
      <c r="C453" s="3"/>
      <c r="D453" s="3"/>
      <c r="E453" s="3"/>
      <c r="F453" s="3"/>
    </row>
    <row r="454" spans="1:6">
      <c r="A454" s="3"/>
      <c r="B454" s="3"/>
      <c r="C454" s="3"/>
      <c r="D454" s="3"/>
      <c r="E454" s="3"/>
      <c r="F454" s="3"/>
    </row>
    <row r="455" spans="1:6">
      <c r="A455" s="3"/>
      <c r="B455" s="3"/>
      <c r="C455" s="3"/>
      <c r="D455" s="3"/>
      <c r="E455" s="3"/>
      <c r="F455" s="3"/>
    </row>
    <row r="456" spans="1:6">
      <c r="A456" s="3"/>
      <c r="B456" s="3"/>
      <c r="C456" s="3"/>
      <c r="D456" s="3"/>
      <c r="E456" s="3"/>
      <c r="F456" s="3"/>
    </row>
    <row r="457" spans="1:6">
      <c r="A457" s="3"/>
      <c r="B457" s="3"/>
      <c r="C457" s="3"/>
      <c r="D457" s="3"/>
      <c r="E457" s="3"/>
      <c r="F457" s="3"/>
    </row>
    <row r="458" spans="1:6">
      <c r="A458" s="3"/>
      <c r="B458" s="3"/>
      <c r="C458" s="3"/>
      <c r="D458" s="3"/>
      <c r="E458" s="3"/>
      <c r="F458" s="3"/>
    </row>
    <row r="459" spans="1:6">
      <c r="A459" s="3"/>
      <c r="B459" s="3"/>
      <c r="C459" s="3"/>
      <c r="D459" s="3"/>
      <c r="E459" s="3"/>
      <c r="F459" s="3"/>
    </row>
    <row r="460" spans="1:6">
      <c r="A460" s="3"/>
      <c r="B460" s="3"/>
      <c r="C460" s="3"/>
      <c r="D460" s="3"/>
      <c r="E460" s="3"/>
      <c r="F460" s="3"/>
    </row>
    <row r="461" spans="1:6">
      <c r="A461" s="3"/>
      <c r="B461" s="3"/>
      <c r="C461" s="3"/>
      <c r="D461" s="3"/>
      <c r="E461" s="3"/>
      <c r="F461" s="3"/>
    </row>
    <row r="462" spans="1:6">
      <c r="A462" s="3"/>
      <c r="B462" s="3"/>
      <c r="C462" s="3"/>
      <c r="D462" s="3"/>
      <c r="E462" s="3"/>
      <c r="F462" s="3"/>
    </row>
    <row r="463" spans="1:6">
      <c r="A463" s="3"/>
      <c r="B463" s="3"/>
      <c r="C463" s="3"/>
      <c r="D463" s="3"/>
      <c r="E463" s="3"/>
      <c r="F463" s="3"/>
    </row>
    <row r="464" spans="1:6">
      <c r="A464" s="3"/>
      <c r="B464" s="3"/>
      <c r="C464" s="3"/>
      <c r="D464" s="3"/>
      <c r="E464" s="3"/>
      <c r="F464" s="3"/>
    </row>
    <row r="465" spans="1:6">
      <c r="A465" s="3"/>
      <c r="B465" s="3"/>
      <c r="C465" s="3"/>
      <c r="D465" s="3"/>
      <c r="E465" s="3"/>
      <c r="F465" s="3"/>
    </row>
    <row r="466" spans="1:6">
      <c r="A466" s="3"/>
      <c r="B466" s="3"/>
      <c r="C466" s="3"/>
      <c r="D466" s="3"/>
      <c r="E466" s="3"/>
      <c r="F466" s="3"/>
    </row>
    <row r="467" spans="1:6">
      <c r="A467" s="3"/>
      <c r="B467" s="3"/>
      <c r="C467" s="3"/>
      <c r="D467" s="3"/>
      <c r="E467" s="3"/>
      <c r="F467" s="3"/>
    </row>
    <row r="468" spans="1:6">
      <c r="A468" s="3"/>
      <c r="B468" s="3"/>
      <c r="C468" s="3"/>
      <c r="D468" s="3"/>
      <c r="E468" s="3"/>
      <c r="F468" s="3"/>
    </row>
    <row r="469" spans="1:6">
      <c r="A469" s="3"/>
      <c r="B469" s="3"/>
      <c r="C469" s="3"/>
      <c r="D469" s="3"/>
      <c r="E469" s="3"/>
      <c r="F469" s="3"/>
    </row>
    <row r="470" spans="1:6">
      <c r="A470" s="3"/>
      <c r="B470" s="3"/>
      <c r="C470" s="3"/>
      <c r="D470" s="3"/>
      <c r="E470" s="3"/>
      <c r="F470" s="3"/>
    </row>
    <row r="471" spans="1:6">
      <c r="A471" s="3"/>
      <c r="B471" s="3"/>
      <c r="C471" s="3"/>
      <c r="D471" s="3"/>
      <c r="E471" s="3"/>
      <c r="F471" s="3"/>
    </row>
    <row r="472" spans="1:6">
      <c r="A472" s="3"/>
      <c r="B472" s="3"/>
      <c r="C472" s="3"/>
      <c r="D472" s="3"/>
      <c r="E472" s="3"/>
      <c r="F472" s="3"/>
    </row>
    <row r="473" spans="1:6">
      <c r="A473" s="3"/>
      <c r="B473" s="3"/>
      <c r="C473" s="3"/>
      <c r="D473" s="3"/>
      <c r="E473" s="3"/>
      <c r="F473" s="3"/>
    </row>
    <row r="474" spans="1:6">
      <c r="A474" s="3"/>
      <c r="B474" s="3"/>
      <c r="C474" s="3"/>
      <c r="D474" s="3"/>
      <c r="E474" s="3"/>
      <c r="F474" s="3"/>
    </row>
    <row r="475" spans="1:6">
      <c r="A475" s="3"/>
      <c r="B475" s="3"/>
      <c r="C475" s="3"/>
      <c r="D475" s="3"/>
      <c r="E475" s="3"/>
      <c r="F475" s="3"/>
    </row>
    <row r="476" spans="1:6">
      <c r="A476" s="3"/>
      <c r="B476" s="3"/>
      <c r="C476" s="3"/>
      <c r="D476" s="3"/>
      <c r="E476" s="3"/>
      <c r="F476" s="3"/>
    </row>
    <row r="477" spans="1:6">
      <c r="A477" s="3"/>
      <c r="B477" s="3"/>
      <c r="C477" s="3"/>
      <c r="D477" s="3"/>
      <c r="E477" s="3"/>
      <c r="F477" s="3"/>
    </row>
    <row r="478" spans="1:6">
      <c r="A478" s="3"/>
      <c r="B478" s="3"/>
      <c r="C478" s="3"/>
      <c r="D478" s="3"/>
      <c r="E478" s="3"/>
      <c r="F478" s="3"/>
    </row>
    <row r="479" spans="1:6">
      <c r="A479" s="3"/>
      <c r="B479" s="3"/>
      <c r="C479" s="3"/>
      <c r="D479" s="3"/>
      <c r="E479" s="3"/>
      <c r="F479" s="3"/>
    </row>
    <row r="480" spans="1:6">
      <c r="A480" s="3"/>
      <c r="B480" s="3"/>
      <c r="C480" s="3"/>
      <c r="D480" s="3"/>
      <c r="E480" s="3"/>
      <c r="F480" s="3"/>
    </row>
    <row r="481" spans="1:6">
      <c r="A481" s="3"/>
      <c r="B481" s="3"/>
      <c r="C481" s="3"/>
      <c r="D481" s="3"/>
      <c r="E481" s="3"/>
      <c r="F481" s="3"/>
    </row>
    <row r="482" spans="1:6">
      <c r="A482" s="3"/>
      <c r="B482" s="3"/>
      <c r="C482" s="3"/>
      <c r="D482" s="3"/>
      <c r="E482" s="3"/>
      <c r="F482" s="3"/>
    </row>
    <row r="483" spans="1:6">
      <c r="A483" s="3"/>
      <c r="B483" s="3"/>
      <c r="C483" s="3"/>
      <c r="D483" s="3"/>
      <c r="E483" s="3"/>
      <c r="F483" s="3"/>
    </row>
    <row r="484" spans="1:6">
      <c r="A484" s="3"/>
      <c r="B484" s="3"/>
      <c r="C484" s="3"/>
      <c r="D484" s="3"/>
      <c r="E484" s="3"/>
      <c r="F484" s="3"/>
    </row>
    <row r="485" spans="1:6">
      <c r="A485" s="3"/>
      <c r="B485" s="3"/>
      <c r="C485" s="3"/>
      <c r="D485" s="3"/>
      <c r="E485" s="3"/>
      <c r="F485" s="3"/>
    </row>
    <row r="486" spans="1:6">
      <c r="A486" s="3"/>
      <c r="B486" s="3"/>
      <c r="C486" s="3"/>
      <c r="D486" s="3"/>
      <c r="E486" s="3"/>
      <c r="F486" s="3"/>
    </row>
    <row r="487" spans="1:6">
      <c r="A487" s="3"/>
      <c r="B487" s="3"/>
      <c r="C487" s="3"/>
      <c r="D487" s="3"/>
      <c r="E487" s="3"/>
      <c r="F487" s="3"/>
    </row>
    <row r="488" spans="1:6">
      <c r="A488" s="3"/>
      <c r="B488" s="3"/>
      <c r="C488" s="3"/>
      <c r="D488" s="3"/>
      <c r="E488" s="3"/>
      <c r="F488" s="3"/>
    </row>
    <row r="489" spans="1:6">
      <c r="A489" s="3"/>
      <c r="B489" s="3"/>
      <c r="C489" s="3"/>
      <c r="D489" s="3"/>
      <c r="E489" s="3"/>
      <c r="F489" s="3"/>
    </row>
    <row r="490" spans="1:6">
      <c r="A490" s="3"/>
      <c r="B490" s="3"/>
      <c r="C490" s="3"/>
      <c r="D490" s="3"/>
      <c r="E490" s="3"/>
      <c r="F490" s="3"/>
    </row>
    <row r="491" spans="1:6">
      <c r="A491" s="3"/>
      <c r="B491" s="3"/>
      <c r="C491" s="3"/>
      <c r="D491" s="3"/>
      <c r="E491" s="3"/>
      <c r="F491" s="3"/>
    </row>
    <row r="492" spans="1:6">
      <c r="A492" s="3"/>
      <c r="B492" s="3"/>
      <c r="C492" s="3"/>
      <c r="D492" s="3"/>
      <c r="E492" s="3"/>
      <c r="F492" s="3"/>
    </row>
    <row r="493" spans="1:6">
      <c r="A493" s="3"/>
      <c r="B493" s="3"/>
      <c r="C493" s="3"/>
      <c r="D493" s="3"/>
      <c r="E493" s="3"/>
      <c r="F493" s="3"/>
    </row>
    <row r="494" spans="1:6">
      <c r="A494" s="3"/>
      <c r="B494" s="3"/>
      <c r="C494" s="3"/>
      <c r="D494" s="3"/>
      <c r="E494" s="3"/>
      <c r="F494" s="3"/>
    </row>
    <row r="495" spans="1:6">
      <c r="A495" s="3"/>
      <c r="B495" s="3"/>
      <c r="C495" s="3"/>
      <c r="D495" s="3"/>
      <c r="E495" s="3"/>
      <c r="F495" s="3"/>
    </row>
    <row r="496" spans="1:6">
      <c r="A496" s="3"/>
      <c r="B496" s="3"/>
      <c r="C496" s="3"/>
      <c r="D496" s="3"/>
      <c r="E496" s="3"/>
      <c r="F496" s="3"/>
    </row>
    <row r="497" spans="1:6">
      <c r="A497" s="3"/>
      <c r="B497" s="3"/>
      <c r="C497" s="3"/>
      <c r="D497" s="3"/>
      <c r="E497" s="3"/>
      <c r="F497" s="3"/>
    </row>
    <row r="498" spans="1:6">
      <c r="A498" s="3"/>
      <c r="B498" s="3"/>
      <c r="C498" s="3"/>
      <c r="D498" s="3"/>
      <c r="E498" s="3"/>
      <c r="F498" s="3"/>
    </row>
    <row r="499" spans="1:6">
      <c r="A499" s="3"/>
      <c r="B499" s="3"/>
      <c r="C499" s="3"/>
      <c r="D499" s="3"/>
      <c r="E499" s="3"/>
      <c r="F499" s="3"/>
    </row>
    <row r="500" spans="1:6">
      <c r="A500" s="3"/>
      <c r="B500" s="3"/>
      <c r="C500" s="3"/>
      <c r="D500" s="3"/>
      <c r="E500" s="3"/>
      <c r="F500" s="3"/>
    </row>
    <row r="501" spans="1:6">
      <c r="A501" s="3"/>
      <c r="B501" s="3"/>
      <c r="C501" s="3"/>
      <c r="D501" s="3"/>
      <c r="E501" s="3"/>
      <c r="F501" s="3"/>
    </row>
    <row r="502" spans="1:6">
      <c r="A502" s="3"/>
      <c r="B502" s="3"/>
      <c r="C502" s="3"/>
      <c r="D502" s="3"/>
      <c r="E502" s="3"/>
      <c r="F502" s="3"/>
    </row>
    <row r="503" spans="1:6">
      <c r="A503" s="3"/>
      <c r="B503" s="3"/>
      <c r="C503" s="3"/>
      <c r="D503" s="3"/>
      <c r="E503" s="3"/>
      <c r="F503" s="3"/>
    </row>
    <row r="504" spans="1:6">
      <c r="A504" s="3"/>
      <c r="B504" s="3"/>
      <c r="C504" s="3"/>
      <c r="D504" s="3"/>
      <c r="E504" s="3"/>
      <c r="F504" s="3"/>
    </row>
    <row r="505" spans="1:6">
      <c r="A505" s="3"/>
      <c r="B505" s="3"/>
      <c r="C505" s="3"/>
      <c r="D505" s="3"/>
      <c r="E505" s="3"/>
      <c r="F505" s="3"/>
    </row>
    <row r="506" spans="1:6">
      <c r="A506" s="3"/>
      <c r="B506" s="3"/>
      <c r="C506" s="3"/>
      <c r="D506" s="3"/>
      <c r="E506" s="3"/>
      <c r="F506" s="3"/>
    </row>
    <row r="507" spans="1:6">
      <c r="A507" s="3"/>
      <c r="B507" s="3"/>
      <c r="C507" s="3"/>
      <c r="D507" s="3"/>
      <c r="E507" s="3"/>
      <c r="F507" s="3"/>
    </row>
    <row r="508" spans="1:6">
      <c r="A508" s="3"/>
      <c r="B508" s="3"/>
      <c r="C508" s="3"/>
      <c r="D508" s="3"/>
      <c r="E508" s="3"/>
      <c r="F508" s="3"/>
    </row>
    <row r="509" spans="1:6">
      <c r="A509" s="3"/>
      <c r="B509" s="3"/>
      <c r="C509" s="3"/>
      <c r="D509" s="3"/>
      <c r="E509" s="3"/>
      <c r="F509" s="3"/>
    </row>
    <row r="510" spans="1:6">
      <c r="A510" s="3"/>
      <c r="B510" s="3"/>
      <c r="C510" s="3"/>
      <c r="D510" s="3"/>
      <c r="E510" s="3"/>
      <c r="F510" s="3"/>
    </row>
    <row r="511" spans="1:6">
      <c r="A511" s="3"/>
      <c r="B511" s="3"/>
      <c r="C511" s="3"/>
      <c r="D511" s="3"/>
      <c r="E511" s="3"/>
      <c r="F511" s="3"/>
    </row>
    <row r="512" spans="1:6">
      <c r="A512" s="3"/>
      <c r="B512" s="3"/>
      <c r="C512" s="3"/>
      <c r="D512" s="3"/>
      <c r="E512" s="3"/>
      <c r="F512" s="3"/>
    </row>
    <row r="513" spans="1:6">
      <c r="A513" s="3"/>
      <c r="B513" s="3"/>
      <c r="C513" s="3"/>
      <c r="D513" s="3"/>
      <c r="E513" s="3"/>
      <c r="F513" s="3"/>
    </row>
    <row r="514" spans="1:6">
      <c r="A514" s="3"/>
      <c r="B514" s="3"/>
      <c r="C514" s="3"/>
      <c r="D514" s="3"/>
      <c r="E514" s="3"/>
      <c r="F514" s="3"/>
    </row>
    <row r="515" spans="1:6">
      <c r="A515" s="3"/>
      <c r="B515" s="3"/>
      <c r="C515" s="3"/>
      <c r="D515" s="3"/>
      <c r="E515" s="3"/>
      <c r="F515" s="3"/>
    </row>
    <row r="516" spans="1:6">
      <c r="A516" s="3"/>
      <c r="B516" s="3"/>
      <c r="C516" s="3"/>
      <c r="D516" s="3"/>
      <c r="E516" s="3"/>
      <c r="F516" s="3"/>
    </row>
    <row r="517" spans="1:6">
      <c r="A517" s="3"/>
      <c r="B517" s="3"/>
      <c r="C517" s="3"/>
      <c r="D517" s="3"/>
      <c r="E517" s="3"/>
      <c r="F517" s="3"/>
    </row>
    <row r="518" spans="1:6">
      <c r="A518" s="3"/>
      <c r="B518" s="3"/>
      <c r="C518" s="3"/>
      <c r="D518" s="3"/>
      <c r="E518" s="3"/>
      <c r="F518" s="3"/>
    </row>
    <row r="519" spans="1:6">
      <c r="A519" s="3"/>
      <c r="B519" s="3"/>
      <c r="C519" s="3"/>
      <c r="D519" s="3"/>
      <c r="E519" s="3"/>
      <c r="F519" s="3"/>
    </row>
    <row r="520" spans="1:6">
      <c r="A520" s="3"/>
      <c r="B520" s="3"/>
      <c r="C520" s="3"/>
      <c r="D520" s="3"/>
      <c r="E520" s="3"/>
      <c r="F520" s="3"/>
    </row>
    <row r="521" spans="1:6">
      <c r="A521" s="3"/>
      <c r="B521" s="3"/>
      <c r="C521" s="3"/>
      <c r="D521" s="3"/>
      <c r="E521" s="3"/>
      <c r="F521" s="3"/>
    </row>
    <row r="522" spans="1:6">
      <c r="A522" s="3"/>
      <c r="B522" s="3"/>
      <c r="C522" s="3"/>
      <c r="D522" s="3"/>
      <c r="E522" s="3"/>
      <c r="F522" s="3"/>
    </row>
    <row r="523" spans="1:6">
      <c r="A523" s="3"/>
      <c r="B523" s="3"/>
      <c r="C523" s="3"/>
      <c r="D523" s="3"/>
      <c r="E523" s="3"/>
      <c r="F523" s="3"/>
    </row>
    <row r="524" spans="1:6">
      <c r="A524" s="3"/>
      <c r="B524" s="3"/>
      <c r="C524" s="3"/>
      <c r="D524" s="3"/>
      <c r="E524" s="3"/>
      <c r="F524" s="3"/>
    </row>
    <row r="525" spans="1:6">
      <c r="A525" s="3"/>
      <c r="B525" s="3"/>
      <c r="C525" s="3"/>
      <c r="D525" s="3"/>
      <c r="E525" s="3"/>
      <c r="F525" s="3"/>
    </row>
    <row r="526" spans="1:6">
      <c r="A526" s="3"/>
      <c r="B526" s="3"/>
      <c r="C526" s="3"/>
      <c r="D526" s="3"/>
      <c r="E526" s="3"/>
      <c r="F526" s="3"/>
    </row>
    <row r="527" spans="1:6">
      <c r="A527" s="3"/>
      <c r="B527" s="3"/>
      <c r="C527" s="3"/>
      <c r="D527" s="3"/>
      <c r="E527" s="3"/>
      <c r="F527" s="3"/>
    </row>
    <row r="528" spans="1:6">
      <c r="A528" s="3"/>
      <c r="B528" s="3"/>
      <c r="C528" s="3"/>
      <c r="D528" s="3"/>
      <c r="E528" s="3"/>
      <c r="F528" s="3"/>
    </row>
    <row r="529" spans="1:6">
      <c r="A529" s="3"/>
      <c r="B529" s="3"/>
      <c r="C529" s="3"/>
      <c r="D529" s="3"/>
      <c r="E529" s="3"/>
      <c r="F529" s="3"/>
    </row>
    <row r="530" spans="1:6">
      <c r="A530" s="3"/>
      <c r="B530" s="3"/>
      <c r="C530" s="3"/>
      <c r="D530" s="3"/>
      <c r="E530" s="3"/>
      <c r="F530" s="3"/>
    </row>
    <row r="531" spans="1:6">
      <c r="A531" s="3"/>
      <c r="B531" s="3"/>
      <c r="C531" s="3"/>
      <c r="D531" s="3"/>
      <c r="E531" s="3"/>
      <c r="F531" s="3"/>
    </row>
    <row r="532" spans="1:6">
      <c r="A532" s="3"/>
      <c r="B532" s="3"/>
      <c r="C532" s="3"/>
      <c r="D532" s="3"/>
      <c r="E532" s="3"/>
      <c r="F532" s="3"/>
    </row>
    <row r="533" spans="1:6">
      <c r="A533" s="3"/>
      <c r="B533" s="3"/>
      <c r="C533" s="3"/>
      <c r="D533" s="3"/>
      <c r="E533" s="3"/>
      <c r="F533" s="3"/>
    </row>
    <row r="534" spans="1:6">
      <c r="A534" s="3"/>
      <c r="B534" s="3"/>
      <c r="C534" s="3"/>
      <c r="D534" s="3"/>
      <c r="E534" s="3"/>
      <c r="F534" s="3"/>
    </row>
    <row r="535" spans="1:6">
      <c r="A535" s="3"/>
      <c r="B535" s="3"/>
      <c r="C535" s="3"/>
      <c r="D535" s="3"/>
      <c r="E535" s="3"/>
      <c r="F535" s="3"/>
    </row>
    <row r="536" spans="1:6">
      <c r="A536" s="3"/>
      <c r="B536" s="3"/>
      <c r="C536" s="3"/>
      <c r="D536" s="3"/>
      <c r="E536" s="3"/>
      <c r="F536" s="3"/>
    </row>
    <row r="537" spans="1:6">
      <c r="A537" s="3"/>
      <c r="B537" s="3"/>
      <c r="C537" s="3"/>
      <c r="D537" s="3"/>
      <c r="E537" s="3"/>
      <c r="F537" s="3"/>
    </row>
    <row r="538" spans="1:6">
      <c r="A538" s="3"/>
      <c r="B538" s="3"/>
      <c r="C538" s="3"/>
      <c r="D538" s="3"/>
      <c r="E538" s="3"/>
      <c r="F538" s="3"/>
    </row>
    <row r="539" spans="1:6">
      <c r="A539" s="3"/>
      <c r="B539" s="3"/>
      <c r="C539" s="3"/>
      <c r="D539" s="3"/>
      <c r="E539" s="3"/>
      <c r="F539" s="3"/>
    </row>
    <row r="540" spans="1:6">
      <c r="A540" s="3"/>
      <c r="B540" s="3"/>
      <c r="C540" s="3"/>
      <c r="D540" s="3"/>
      <c r="E540" s="3"/>
      <c r="F540" s="3"/>
    </row>
    <row r="541" spans="1:6">
      <c r="A541" s="3"/>
      <c r="B541" s="3"/>
      <c r="C541" s="3"/>
      <c r="D541" s="3"/>
      <c r="E541" s="3"/>
      <c r="F541" s="3"/>
    </row>
    <row r="542" spans="1:6">
      <c r="A542" s="3"/>
      <c r="B542" s="3"/>
      <c r="C542" s="3"/>
      <c r="D542" s="3"/>
      <c r="E542" s="3"/>
      <c r="F542" s="3"/>
    </row>
    <row r="543" spans="1:6">
      <c r="A543" s="3"/>
      <c r="B543" s="3"/>
      <c r="C543" s="3"/>
      <c r="D543" s="3"/>
      <c r="E543" s="3"/>
      <c r="F543" s="3"/>
    </row>
    <row r="544" spans="1:6">
      <c r="A544" s="3"/>
      <c r="B544" s="3"/>
      <c r="C544" s="3"/>
      <c r="D544" s="3"/>
      <c r="E544" s="3"/>
      <c r="F544" s="3"/>
    </row>
    <row r="545" spans="1:6">
      <c r="A545" s="3"/>
      <c r="B545" s="3"/>
      <c r="C545" s="3"/>
      <c r="D545" s="3"/>
      <c r="E545" s="3"/>
      <c r="F545" s="3"/>
    </row>
    <row r="546" spans="1:6">
      <c r="A546" s="3"/>
      <c r="B546" s="3"/>
      <c r="C546" s="3"/>
      <c r="D546" s="3"/>
      <c r="E546" s="3"/>
      <c r="F546" s="3"/>
    </row>
    <row r="547" spans="1:6">
      <c r="A547" s="3"/>
      <c r="B547" s="3"/>
      <c r="C547" s="3"/>
      <c r="D547" s="3"/>
      <c r="E547" s="3"/>
      <c r="F547" s="3"/>
    </row>
    <row r="548" spans="1:6">
      <c r="A548" s="3"/>
      <c r="B548" s="3"/>
      <c r="C548" s="3"/>
      <c r="D548" s="3"/>
      <c r="E548" s="3"/>
      <c r="F548" s="3"/>
    </row>
    <row r="549" spans="1:6">
      <c r="A549" s="3"/>
      <c r="B549" s="3"/>
      <c r="C549" s="3"/>
      <c r="D549" s="3"/>
      <c r="E549" s="3"/>
      <c r="F549" s="3"/>
    </row>
    <row r="550" spans="1:6">
      <c r="A550" s="3"/>
      <c r="B550" s="3"/>
      <c r="C550" s="3"/>
      <c r="D550" s="3"/>
      <c r="E550" s="3"/>
      <c r="F550" s="3"/>
    </row>
    <row r="551" spans="1:6">
      <c r="A551" s="3"/>
      <c r="B551" s="3"/>
      <c r="C551" s="3"/>
      <c r="D551" s="3"/>
      <c r="E551" s="3"/>
      <c r="F551" s="3"/>
    </row>
    <row r="552" spans="1:6">
      <c r="A552" s="3"/>
      <c r="B552" s="3"/>
      <c r="C552" s="3"/>
      <c r="D552" s="3"/>
      <c r="E552" s="3"/>
      <c r="F552" s="3"/>
    </row>
    <row r="553" spans="1:6">
      <c r="A553" s="3"/>
      <c r="B553" s="3"/>
      <c r="C553" s="3"/>
      <c r="D553" s="3"/>
      <c r="E553" s="3"/>
      <c r="F553" s="3"/>
    </row>
    <row r="554" spans="1:6">
      <c r="A554" s="3"/>
      <c r="B554" s="3"/>
      <c r="C554" s="3"/>
      <c r="D554" s="3"/>
      <c r="E554" s="3"/>
      <c r="F554" s="3"/>
    </row>
    <row r="555" spans="1:6">
      <c r="A555" s="3"/>
      <c r="B555" s="3"/>
      <c r="C555" s="3"/>
      <c r="D555" s="3"/>
      <c r="E555" s="3"/>
      <c r="F555" s="3"/>
    </row>
    <row r="556" spans="1:6">
      <c r="A556" s="3"/>
      <c r="B556" s="3"/>
      <c r="C556" s="3"/>
      <c r="D556" s="3"/>
      <c r="E556" s="3"/>
      <c r="F556" s="3"/>
    </row>
    <row r="557" spans="1:6">
      <c r="A557" s="3"/>
      <c r="B557" s="3"/>
      <c r="C557" s="3"/>
      <c r="D557" s="3"/>
      <c r="E557" s="3"/>
      <c r="F557" s="3"/>
    </row>
    <row r="558" spans="1:6">
      <c r="A558" s="3"/>
      <c r="B558" s="3"/>
      <c r="C558" s="3"/>
      <c r="D558" s="3"/>
      <c r="E558" s="3"/>
      <c r="F558" s="3"/>
    </row>
    <row r="559" spans="1:6">
      <c r="A559" s="3"/>
      <c r="B559" s="3"/>
      <c r="C559" s="3"/>
      <c r="D559" s="3"/>
      <c r="E559" s="3"/>
      <c r="F559" s="3"/>
    </row>
    <row r="560" spans="1:6">
      <c r="A560" s="3"/>
      <c r="B560" s="3"/>
      <c r="C560" s="3"/>
      <c r="D560" s="3"/>
      <c r="E560" s="3"/>
      <c r="F560" s="3"/>
    </row>
    <row r="561" spans="1:6">
      <c r="A561" s="3"/>
      <c r="B561" s="3"/>
      <c r="C561" s="3"/>
      <c r="D561" s="3"/>
      <c r="E561" s="3"/>
      <c r="F561" s="3"/>
    </row>
    <row r="562" spans="1:6">
      <c r="A562" s="3"/>
      <c r="B562" s="3"/>
      <c r="C562" s="3"/>
      <c r="D562" s="3"/>
      <c r="E562" s="3"/>
      <c r="F562" s="3"/>
    </row>
    <row r="563" spans="1:6">
      <c r="A563" s="3"/>
      <c r="B563" s="3"/>
      <c r="C563" s="3"/>
      <c r="D563" s="3"/>
      <c r="E563" s="3"/>
      <c r="F563" s="3"/>
    </row>
    <row r="564" spans="1:6">
      <c r="A564" s="3"/>
      <c r="B564" s="3"/>
      <c r="C564" s="3"/>
      <c r="D564" s="3"/>
      <c r="E564" s="3"/>
      <c r="F564" s="3"/>
    </row>
    <row r="565" spans="1:6">
      <c r="A565" s="3"/>
      <c r="B565" s="3"/>
      <c r="C565" s="3"/>
      <c r="D565" s="3"/>
      <c r="E565" s="3"/>
      <c r="F565" s="3"/>
    </row>
    <row r="566" spans="1:6">
      <c r="A566" s="3"/>
      <c r="B566" s="3"/>
      <c r="C566" s="3"/>
      <c r="D566" s="3"/>
      <c r="E566" s="3"/>
      <c r="F566" s="3"/>
    </row>
    <row r="567" spans="1:6">
      <c r="A567" s="3"/>
      <c r="B567" s="3"/>
      <c r="C567" s="3"/>
      <c r="D567" s="3"/>
      <c r="E567" s="3"/>
      <c r="F567" s="3"/>
    </row>
    <row r="568" spans="1:6">
      <c r="A568" s="3"/>
      <c r="B568" s="3"/>
      <c r="C568" s="3"/>
      <c r="D568" s="3"/>
      <c r="E568" s="3"/>
      <c r="F568" s="3"/>
    </row>
    <row r="569" spans="1:6">
      <c r="A569" s="3"/>
      <c r="B569" s="3"/>
      <c r="C569" s="3"/>
      <c r="D569" s="3"/>
      <c r="E569" s="3"/>
      <c r="F569" s="3"/>
    </row>
    <row r="570" spans="1:6">
      <c r="A570" s="3"/>
      <c r="B570" s="3"/>
      <c r="C570" s="3"/>
      <c r="D570" s="3"/>
      <c r="E570" s="3"/>
      <c r="F570" s="3"/>
    </row>
    <row r="571" spans="1:6">
      <c r="A571" s="3"/>
      <c r="B571" s="3"/>
      <c r="C571" s="3"/>
      <c r="D571" s="3"/>
      <c r="E571" s="3"/>
      <c r="F571" s="3"/>
    </row>
    <row r="572" spans="1:6">
      <c r="A572" s="3"/>
      <c r="B572" s="3"/>
      <c r="C572" s="3"/>
      <c r="D572" s="3"/>
      <c r="E572" s="3"/>
      <c r="F572" s="3"/>
    </row>
    <row r="573" spans="1:6">
      <c r="A573" s="3"/>
      <c r="B573" s="3"/>
      <c r="C573" s="3"/>
      <c r="D573" s="3"/>
      <c r="E573" s="3"/>
      <c r="F573" s="3"/>
    </row>
    <row r="574" spans="1:6">
      <c r="A574" s="3"/>
      <c r="B574" s="3"/>
      <c r="C574" s="3"/>
      <c r="D574" s="3"/>
      <c r="E574" s="3"/>
      <c r="F574" s="3"/>
    </row>
    <row r="575" spans="1:6">
      <c r="A575" s="3"/>
      <c r="B575" s="3"/>
      <c r="C575" s="3"/>
      <c r="D575" s="3"/>
      <c r="E575" s="3"/>
      <c r="F575" s="3"/>
    </row>
    <row r="576" spans="1:6">
      <c r="A576" s="3"/>
      <c r="B576" s="3"/>
      <c r="C576" s="3"/>
      <c r="D576" s="3"/>
      <c r="E576" s="3"/>
      <c r="F576" s="3"/>
    </row>
    <row r="577" spans="1:6">
      <c r="A577" s="3"/>
      <c r="B577" s="3"/>
      <c r="C577" s="3"/>
      <c r="D577" s="3"/>
      <c r="E577" s="3"/>
      <c r="F577" s="3"/>
    </row>
    <row r="578" spans="1:6">
      <c r="A578" s="3"/>
      <c r="B578" s="3"/>
      <c r="C578" s="3"/>
      <c r="D578" s="3"/>
      <c r="E578" s="3"/>
      <c r="F578" s="3"/>
    </row>
    <row r="579" spans="1:6">
      <c r="A579" s="3"/>
      <c r="B579" s="3"/>
      <c r="C579" s="3"/>
      <c r="D579" s="3"/>
      <c r="E579" s="3"/>
      <c r="F579" s="3"/>
    </row>
    <row r="580" spans="1:6">
      <c r="A580" s="3"/>
      <c r="B580" s="3"/>
      <c r="C580" s="3"/>
      <c r="D580" s="3"/>
      <c r="E580" s="3"/>
      <c r="F580" s="3"/>
    </row>
    <row r="581" spans="1:6">
      <c r="A581" s="3"/>
      <c r="B581" s="3"/>
      <c r="C581" s="3"/>
      <c r="D581" s="3"/>
      <c r="E581" s="3"/>
      <c r="F581" s="3"/>
    </row>
    <row r="582" spans="1:6">
      <c r="A582" s="3"/>
      <c r="B582" s="3"/>
      <c r="C582" s="3"/>
      <c r="D582" s="3"/>
      <c r="E582" s="3"/>
      <c r="F582" s="3"/>
    </row>
    <row r="583" spans="1:6">
      <c r="A583" s="3"/>
      <c r="B583" s="3"/>
      <c r="C583" s="3"/>
      <c r="D583" s="3"/>
      <c r="E583" s="3"/>
      <c r="F583" s="3"/>
    </row>
    <row r="584" spans="1:6">
      <c r="A584" s="3"/>
      <c r="B584" s="3"/>
      <c r="C584" s="3"/>
      <c r="D584" s="3"/>
      <c r="E584" s="3"/>
      <c r="F584" s="3"/>
    </row>
    <row r="585" spans="1:6">
      <c r="A585" s="3"/>
      <c r="B585" s="3"/>
      <c r="C585" s="3"/>
      <c r="D585" s="3"/>
      <c r="E585" s="3"/>
      <c r="F585" s="3"/>
    </row>
    <row r="586" spans="1:6">
      <c r="A586" s="3"/>
      <c r="B586" s="3"/>
      <c r="C586" s="3"/>
      <c r="D586" s="3"/>
      <c r="E586" s="3"/>
      <c r="F586" s="3"/>
    </row>
    <row r="587" spans="1:6">
      <c r="A587" s="3"/>
      <c r="B587" s="3"/>
      <c r="C587" s="3"/>
      <c r="D587" s="3"/>
      <c r="E587" s="3"/>
      <c r="F587" s="3"/>
    </row>
    <row r="588" spans="1:6">
      <c r="A588" s="3"/>
      <c r="B588" s="3"/>
      <c r="C588" s="3"/>
      <c r="D588" s="3"/>
      <c r="E588" s="3"/>
      <c r="F588" s="3"/>
    </row>
    <row r="589" spans="1:6">
      <c r="A589" s="3"/>
      <c r="B589" s="3"/>
      <c r="C589" s="3"/>
      <c r="D589" s="3"/>
      <c r="E589" s="3"/>
      <c r="F589" s="3"/>
    </row>
    <row r="590" spans="1:6">
      <c r="A590" s="3"/>
      <c r="B590" s="3"/>
      <c r="C590" s="3"/>
      <c r="D590" s="3"/>
      <c r="E590" s="3"/>
      <c r="F590" s="3"/>
    </row>
    <row r="591" spans="1:6">
      <c r="A591" s="3"/>
      <c r="B591" s="3"/>
      <c r="C591" s="3"/>
      <c r="D591" s="3"/>
      <c r="E591" s="3"/>
      <c r="F591" s="3"/>
    </row>
    <row r="592" spans="1:6">
      <c r="A592" s="3"/>
      <c r="B592" s="3"/>
      <c r="C592" s="3"/>
      <c r="D592" s="3"/>
      <c r="E592" s="3"/>
      <c r="F592" s="3"/>
    </row>
    <row r="593" spans="1:6">
      <c r="A593" s="3"/>
      <c r="B593" s="3"/>
      <c r="C593" s="3"/>
      <c r="D593" s="3"/>
      <c r="E593" s="3"/>
      <c r="F593" s="3"/>
    </row>
    <row r="594" spans="1:6">
      <c r="A594" s="3"/>
      <c r="B594" s="3"/>
      <c r="C594" s="3"/>
      <c r="D594" s="3"/>
      <c r="E594" s="3"/>
      <c r="F594" s="3"/>
    </row>
    <row r="595" spans="1:6">
      <c r="A595" s="3"/>
      <c r="B595" s="3"/>
      <c r="C595" s="3"/>
      <c r="D595" s="3"/>
      <c r="E595" s="3"/>
      <c r="F595" s="3"/>
    </row>
    <row r="596" spans="1:6">
      <c r="A596" s="3"/>
      <c r="B596" s="3"/>
      <c r="C596" s="3"/>
      <c r="D596" s="3"/>
      <c r="E596" s="3"/>
      <c r="F596" s="3"/>
    </row>
    <row r="597" spans="1:6">
      <c r="A597" s="3"/>
      <c r="B597" s="3"/>
      <c r="C597" s="3"/>
      <c r="D597" s="3"/>
      <c r="E597" s="3"/>
      <c r="F597" s="3"/>
    </row>
    <row r="598" spans="1:6">
      <c r="A598" s="3"/>
      <c r="B598" s="3"/>
      <c r="C598" s="3"/>
      <c r="D598" s="3"/>
      <c r="E598" s="3"/>
      <c r="F598" s="3"/>
    </row>
    <row r="599" spans="1:6">
      <c r="A599" s="3"/>
      <c r="B599" s="3"/>
      <c r="C599" s="3"/>
      <c r="D599" s="3"/>
      <c r="E599" s="3"/>
      <c r="F599" s="3"/>
    </row>
    <row r="600" spans="1:6">
      <c r="A600" s="3"/>
      <c r="B600" s="3"/>
      <c r="C600" s="3"/>
      <c r="D600" s="3"/>
      <c r="E600" s="3"/>
      <c r="F600" s="3"/>
    </row>
    <row r="601" spans="1:6">
      <c r="A601" s="3"/>
      <c r="B601" s="3"/>
      <c r="C601" s="3"/>
      <c r="D601" s="3"/>
      <c r="E601" s="3"/>
      <c r="F601" s="3"/>
    </row>
    <row r="602" spans="1:6">
      <c r="A602" s="3"/>
      <c r="B602" s="3"/>
      <c r="C602" s="3"/>
      <c r="D602" s="3"/>
      <c r="E602" s="3"/>
      <c r="F602" s="3"/>
    </row>
    <row r="603" spans="1:6">
      <c r="A603" s="3"/>
      <c r="B603" s="3"/>
      <c r="C603" s="3"/>
      <c r="D603" s="3"/>
      <c r="E603" s="3"/>
      <c r="F603" s="3"/>
    </row>
    <row r="604" spans="1:6">
      <c r="A604" s="3"/>
      <c r="B604" s="3"/>
      <c r="C604" s="3"/>
      <c r="D604" s="3"/>
      <c r="E604" s="3"/>
      <c r="F604" s="3"/>
    </row>
    <row r="605" spans="1:6">
      <c r="A605" s="3"/>
      <c r="B605" s="3"/>
      <c r="C605" s="3"/>
      <c r="D605" s="3"/>
      <c r="E605" s="3"/>
      <c r="F605" s="3"/>
    </row>
    <row r="606" spans="1:6">
      <c r="A606" s="3"/>
      <c r="B606" s="3"/>
      <c r="C606" s="3"/>
      <c r="D606" s="3"/>
      <c r="E606" s="3"/>
      <c r="F606" s="3"/>
    </row>
    <row r="607" spans="1:6">
      <c r="A607" s="3"/>
      <c r="B607" s="3"/>
      <c r="C607" s="3"/>
      <c r="D607" s="3"/>
      <c r="E607" s="3"/>
      <c r="F607" s="3"/>
    </row>
    <row r="608" spans="1:6">
      <c r="A608" s="3"/>
      <c r="B608" s="3"/>
      <c r="C608" s="3"/>
      <c r="D608" s="3"/>
      <c r="E608" s="3"/>
      <c r="F608" s="3"/>
    </row>
    <row r="609" spans="1:6">
      <c r="A609" s="3"/>
      <c r="B609" s="3"/>
      <c r="C609" s="3"/>
      <c r="D609" s="3"/>
      <c r="E609" s="3"/>
      <c r="F609" s="3"/>
    </row>
    <row r="610" spans="1:6">
      <c r="A610" s="3"/>
      <c r="B610" s="3"/>
      <c r="C610" s="3"/>
      <c r="D610" s="3"/>
      <c r="E610" s="3"/>
      <c r="F610" s="3"/>
    </row>
    <row r="611" spans="1:6">
      <c r="A611" s="3"/>
      <c r="B611" s="3"/>
      <c r="C611" s="3"/>
      <c r="D611" s="3"/>
      <c r="E611" s="3"/>
      <c r="F611" s="3"/>
    </row>
    <row r="612" spans="1:6">
      <c r="A612" s="3"/>
      <c r="B612" s="3"/>
      <c r="C612" s="3"/>
      <c r="D612" s="3"/>
      <c r="E612" s="3"/>
      <c r="F612" s="3"/>
    </row>
    <row r="613" spans="1:6">
      <c r="A613" s="3"/>
      <c r="B613" s="3"/>
      <c r="C613" s="3"/>
      <c r="D613" s="3"/>
      <c r="E613" s="3"/>
      <c r="F613" s="3"/>
    </row>
    <row r="614" spans="1:6">
      <c r="A614" s="3"/>
      <c r="B614" s="3"/>
      <c r="C614" s="3"/>
      <c r="D614" s="3"/>
      <c r="E614" s="3"/>
      <c r="F614" s="3"/>
    </row>
    <row r="615" spans="1:6">
      <c r="A615" s="3"/>
      <c r="B615" s="3"/>
      <c r="C615" s="3"/>
      <c r="D615" s="3"/>
      <c r="E615" s="3"/>
      <c r="F615" s="3"/>
    </row>
    <row r="616" spans="1:6">
      <c r="A616" s="3"/>
      <c r="B616" s="3"/>
      <c r="C616" s="3"/>
      <c r="D616" s="3"/>
      <c r="E616" s="3"/>
      <c r="F616" s="3"/>
    </row>
    <row r="617" spans="1:6">
      <c r="A617" s="3"/>
      <c r="B617" s="3"/>
      <c r="C617" s="3"/>
      <c r="D617" s="3"/>
      <c r="E617" s="3"/>
      <c r="F617" s="3"/>
    </row>
    <row r="618" spans="1:6">
      <c r="A618" s="3"/>
      <c r="B618" s="3"/>
      <c r="C618" s="3"/>
      <c r="D618" s="3"/>
      <c r="E618" s="3"/>
      <c r="F618" s="3"/>
    </row>
    <row r="619" spans="1:6">
      <c r="A619" s="3"/>
      <c r="B619" s="3"/>
      <c r="C619" s="3"/>
      <c r="D619" s="3"/>
      <c r="E619" s="3"/>
      <c r="F619" s="3"/>
    </row>
    <row r="620" spans="1:6">
      <c r="A620" s="3"/>
      <c r="B620" s="3"/>
      <c r="C620" s="3"/>
      <c r="D620" s="3"/>
      <c r="E620" s="3"/>
      <c r="F620" s="3"/>
    </row>
    <row r="621" spans="1:6">
      <c r="A621" s="3"/>
      <c r="B621" s="3"/>
      <c r="C621" s="3"/>
      <c r="D621" s="3"/>
      <c r="E621" s="3"/>
      <c r="F621" s="3"/>
    </row>
    <row r="622" spans="1:6">
      <c r="A622" s="3"/>
      <c r="B622" s="3"/>
      <c r="C622" s="3"/>
      <c r="D622" s="3"/>
      <c r="E622" s="3"/>
      <c r="F622" s="3"/>
    </row>
    <row r="623" spans="1:6">
      <c r="A623" s="3"/>
      <c r="B623" s="3"/>
      <c r="C623" s="3"/>
      <c r="D623" s="3"/>
      <c r="E623" s="3"/>
      <c r="F623" s="3"/>
    </row>
    <row r="624" spans="1:6">
      <c r="A624" s="3"/>
      <c r="B624" s="3"/>
      <c r="C624" s="3"/>
      <c r="D624" s="3"/>
      <c r="E624" s="3"/>
      <c r="F624" s="3"/>
    </row>
    <row r="625" spans="1:6">
      <c r="A625" s="3"/>
      <c r="B625" s="3"/>
      <c r="C625" s="3"/>
      <c r="D625" s="3"/>
      <c r="E625" s="3"/>
      <c r="F625" s="3"/>
    </row>
    <row r="626" spans="1:6">
      <c r="A626" s="3"/>
      <c r="B626" s="3"/>
      <c r="C626" s="3"/>
      <c r="D626" s="3"/>
      <c r="E626" s="3"/>
      <c r="F626" s="3"/>
    </row>
    <row r="627" spans="1:6">
      <c r="A627" s="3"/>
      <c r="B627" s="3"/>
      <c r="C627" s="3"/>
      <c r="D627" s="3"/>
      <c r="E627" s="3"/>
      <c r="F627" s="3"/>
    </row>
    <row r="628" spans="1:6">
      <c r="A628" s="3"/>
      <c r="B628" s="3"/>
      <c r="C628" s="3"/>
      <c r="D628" s="3"/>
      <c r="E628" s="3"/>
      <c r="F628" s="3"/>
    </row>
    <row r="629" spans="1:6">
      <c r="A629" s="3"/>
      <c r="B629" s="3"/>
      <c r="C629" s="3"/>
      <c r="D629" s="3"/>
      <c r="E629" s="3"/>
      <c r="F629" s="3"/>
    </row>
    <row r="630" spans="1:6">
      <c r="A630" s="3"/>
      <c r="B630" s="3"/>
      <c r="C630" s="3"/>
      <c r="D630" s="3"/>
      <c r="E630" s="3"/>
      <c r="F630" s="3"/>
    </row>
    <row r="631" spans="1:6">
      <c r="A631" s="3"/>
      <c r="B631" s="3"/>
      <c r="C631" s="3"/>
      <c r="D631" s="3"/>
      <c r="E631" s="3"/>
      <c r="F631" s="3"/>
    </row>
    <row r="632" spans="1:6">
      <c r="A632" s="3"/>
      <c r="B632" s="3"/>
      <c r="C632" s="3"/>
      <c r="D632" s="3"/>
      <c r="E632" s="3"/>
      <c r="F632" s="3"/>
    </row>
    <row r="633" spans="1:6">
      <c r="A633" s="3"/>
      <c r="B633" s="3"/>
      <c r="C633" s="3"/>
      <c r="D633" s="3"/>
      <c r="E633" s="3"/>
      <c r="F633" s="3"/>
    </row>
    <row r="634" spans="1:6">
      <c r="A634" s="3"/>
      <c r="B634" s="3"/>
      <c r="C634" s="3"/>
      <c r="D634" s="3"/>
      <c r="E634" s="3"/>
      <c r="F634" s="3"/>
    </row>
    <row r="635" spans="1:6">
      <c r="A635" s="3"/>
      <c r="B635" s="3"/>
      <c r="C635" s="3"/>
      <c r="D635" s="3"/>
      <c r="E635" s="3"/>
      <c r="F635" s="3"/>
    </row>
    <row r="636" spans="1:6">
      <c r="A636" s="3"/>
      <c r="B636" s="3"/>
      <c r="C636" s="3"/>
      <c r="D636" s="3"/>
      <c r="E636" s="3"/>
      <c r="F636" s="3"/>
    </row>
    <row r="637" spans="1:6">
      <c r="A637" s="3"/>
      <c r="B637" s="3"/>
      <c r="C637" s="3"/>
      <c r="D637" s="3"/>
      <c r="E637" s="3"/>
      <c r="F637" s="3"/>
    </row>
    <row r="638" spans="1:6">
      <c r="A638" s="3"/>
      <c r="B638" s="3"/>
      <c r="C638" s="3"/>
      <c r="D638" s="3"/>
      <c r="E638" s="3"/>
      <c r="F638" s="3"/>
    </row>
    <row r="639" spans="1:6">
      <c r="A639" s="3"/>
      <c r="B639" s="3"/>
      <c r="C639" s="3"/>
      <c r="D639" s="3"/>
      <c r="E639" s="3"/>
      <c r="F639" s="3"/>
    </row>
    <row r="640" spans="1:6">
      <c r="A640" s="3"/>
      <c r="B640" s="3"/>
      <c r="C640" s="3"/>
      <c r="D640" s="3"/>
      <c r="E640" s="3"/>
      <c r="F640" s="3"/>
    </row>
    <row r="641" spans="1:6">
      <c r="A641" s="3"/>
      <c r="B641" s="3"/>
      <c r="C641" s="3"/>
      <c r="D641" s="3"/>
      <c r="E641" s="3"/>
      <c r="F641" s="3"/>
    </row>
    <row r="642" spans="1:6">
      <c r="A642" s="3"/>
      <c r="B642" s="3"/>
      <c r="C642" s="3"/>
      <c r="D642" s="3"/>
      <c r="E642" s="3"/>
      <c r="F642" s="3"/>
    </row>
    <row r="643" spans="1:6">
      <c r="A643" s="3"/>
      <c r="B643" s="3"/>
      <c r="C643" s="3"/>
      <c r="D643" s="3"/>
      <c r="E643" s="3"/>
      <c r="F643" s="3"/>
    </row>
    <row r="644" spans="1:6">
      <c r="A644" s="3"/>
      <c r="B644" s="3"/>
      <c r="C644" s="3"/>
      <c r="D644" s="3"/>
      <c r="E644" s="3"/>
      <c r="F644" s="3"/>
    </row>
    <row r="645" spans="1:6">
      <c r="A645" s="3"/>
      <c r="B645" s="3"/>
      <c r="C645" s="3"/>
      <c r="D645" s="3"/>
      <c r="E645" s="3"/>
      <c r="F645" s="3"/>
    </row>
    <row r="646" spans="1:6">
      <c r="A646" s="3"/>
      <c r="B646" s="3"/>
      <c r="C646" s="3"/>
      <c r="D646" s="3"/>
      <c r="E646" s="3"/>
      <c r="F646" s="3"/>
    </row>
    <row r="647" spans="1:6">
      <c r="A647" s="3"/>
      <c r="B647" s="3"/>
      <c r="C647" s="3"/>
      <c r="D647" s="3"/>
      <c r="E647" s="3"/>
      <c r="F647" s="3"/>
    </row>
    <row r="648" spans="1:6">
      <c r="A648" s="3"/>
      <c r="B648" s="3"/>
      <c r="C648" s="3"/>
      <c r="D648" s="3"/>
      <c r="E648" s="3"/>
      <c r="F648" s="3"/>
    </row>
    <row r="649" spans="1:6">
      <c r="A649" s="3"/>
      <c r="B649" s="3"/>
      <c r="C649" s="3"/>
      <c r="D649" s="3"/>
      <c r="E649" s="3"/>
      <c r="F649" s="3"/>
    </row>
    <row r="650" spans="1:6">
      <c r="A650" s="3"/>
      <c r="B650" s="3"/>
      <c r="C650" s="3"/>
      <c r="D650" s="3"/>
      <c r="E650" s="3"/>
      <c r="F650" s="3"/>
    </row>
    <row r="651" spans="1:6">
      <c r="A651" s="3"/>
      <c r="B651" s="3"/>
      <c r="C651" s="3"/>
      <c r="D651" s="3"/>
      <c r="E651" s="3"/>
      <c r="F651" s="3"/>
    </row>
    <row r="652" spans="1:6">
      <c r="A652" s="3"/>
      <c r="B652" s="3"/>
      <c r="C652" s="3"/>
      <c r="D652" s="3"/>
      <c r="E652" s="3"/>
      <c r="F652" s="3"/>
    </row>
    <row r="653" spans="1:6">
      <c r="A653" s="3"/>
      <c r="B653" s="3"/>
      <c r="C653" s="3"/>
      <c r="D653" s="3"/>
      <c r="E653" s="3"/>
      <c r="F653" s="3"/>
    </row>
    <row r="654" spans="1:6">
      <c r="A654" s="3"/>
      <c r="B654" s="3"/>
      <c r="C654" s="3"/>
      <c r="D654" s="3"/>
      <c r="E654" s="3"/>
      <c r="F654" s="3"/>
    </row>
    <row r="655" spans="1:6">
      <c r="A655" s="3"/>
      <c r="B655" s="3"/>
      <c r="C655" s="3"/>
      <c r="D655" s="3"/>
      <c r="E655" s="3"/>
      <c r="F655" s="3"/>
    </row>
    <row r="656" spans="1:6">
      <c r="A656" s="3"/>
      <c r="B656" s="3"/>
      <c r="C656" s="3"/>
      <c r="D656" s="3"/>
      <c r="E656" s="3"/>
      <c r="F656" s="3"/>
    </row>
    <row r="657" spans="1:6">
      <c r="A657" s="3"/>
      <c r="B657" s="3"/>
      <c r="C657" s="3"/>
      <c r="D657" s="3"/>
      <c r="E657" s="3"/>
      <c r="F657" s="3"/>
    </row>
    <row r="658" spans="1:6">
      <c r="A658" s="3"/>
      <c r="B658" s="3"/>
      <c r="C658" s="3"/>
      <c r="D658" s="3"/>
      <c r="E658" s="3"/>
      <c r="F658" s="3"/>
    </row>
    <row r="659" spans="1:6">
      <c r="A659" s="3"/>
      <c r="B659" s="3"/>
      <c r="C659" s="3"/>
      <c r="D659" s="3"/>
      <c r="E659" s="3"/>
      <c r="F659" s="3"/>
    </row>
    <row r="660" spans="1:6">
      <c r="A660" s="3"/>
      <c r="B660" s="3"/>
      <c r="C660" s="3"/>
      <c r="D660" s="3"/>
      <c r="E660" s="3"/>
      <c r="F660" s="3"/>
    </row>
    <row r="661" spans="1:6">
      <c r="A661" s="3"/>
      <c r="B661" s="3"/>
      <c r="C661" s="3"/>
      <c r="D661" s="3"/>
      <c r="E661" s="3"/>
      <c r="F661" s="3"/>
    </row>
    <row r="662" spans="1:6">
      <c r="A662" s="3"/>
      <c r="B662" s="3"/>
      <c r="C662" s="3"/>
      <c r="D662" s="3"/>
      <c r="E662" s="3"/>
      <c r="F662" s="3"/>
    </row>
    <row r="663" spans="1:6">
      <c r="A663" s="3"/>
      <c r="B663" s="3"/>
      <c r="C663" s="3"/>
      <c r="D663" s="3"/>
      <c r="E663" s="3"/>
      <c r="F663" s="3"/>
    </row>
    <row r="664" spans="1:6">
      <c r="A664" s="3"/>
      <c r="B664" s="3"/>
      <c r="C664" s="3"/>
      <c r="D664" s="3"/>
      <c r="E664" s="3"/>
      <c r="F664" s="3"/>
    </row>
    <row r="665" spans="1:6">
      <c r="A665" s="3"/>
      <c r="B665" s="3"/>
      <c r="C665" s="3"/>
      <c r="D665" s="3"/>
      <c r="E665" s="3"/>
      <c r="F665" s="3"/>
    </row>
    <row r="666" spans="1:6">
      <c r="A666" s="3"/>
      <c r="B666" s="3"/>
      <c r="C666" s="3"/>
      <c r="D666" s="3"/>
      <c r="E666" s="3"/>
      <c r="F666" s="3"/>
    </row>
    <row r="667" spans="1:6">
      <c r="A667" s="3"/>
      <c r="B667" s="3"/>
      <c r="C667" s="3"/>
      <c r="D667" s="3"/>
      <c r="E667" s="3"/>
      <c r="F667" s="3"/>
    </row>
    <row r="668" spans="1:6">
      <c r="A668" s="3"/>
      <c r="B668" s="3"/>
      <c r="C668" s="3"/>
      <c r="D668" s="3"/>
      <c r="E668" s="3"/>
      <c r="F668" s="3"/>
    </row>
    <row r="669" spans="1:6">
      <c r="A669" s="3"/>
      <c r="B669" s="3"/>
      <c r="C669" s="3"/>
      <c r="D669" s="3"/>
      <c r="E669" s="3"/>
      <c r="F669" s="3"/>
    </row>
    <row r="670" spans="1:6">
      <c r="A670" s="3"/>
      <c r="B670" s="3"/>
      <c r="C670" s="3"/>
      <c r="D670" s="3"/>
      <c r="E670" s="3"/>
      <c r="F670" s="3"/>
    </row>
    <row r="671" spans="1:6">
      <c r="A671" s="3"/>
      <c r="B671" s="3"/>
      <c r="C671" s="3"/>
      <c r="D671" s="3"/>
      <c r="E671" s="3"/>
      <c r="F671" s="3"/>
    </row>
    <row r="672" spans="1:6">
      <c r="A672" s="3"/>
      <c r="B672" s="3"/>
      <c r="C672" s="3"/>
      <c r="D672" s="3"/>
      <c r="E672" s="3"/>
      <c r="F672" s="3"/>
    </row>
    <row r="673" spans="1:6">
      <c r="A673" s="3"/>
      <c r="B673" s="3"/>
      <c r="C673" s="3"/>
      <c r="D673" s="3"/>
      <c r="E673" s="3"/>
      <c r="F673" s="3"/>
    </row>
    <row r="674" spans="1:6">
      <c r="A674" s="3"/>
      <c r="B674" s="3"/>
      <c r="C674" s="3"/>
      <c r="D674" s="3"/>
      <c r="E674" s="3"/>
      <c r="F674" s="3"/>
    </row>
    <row r="675" spans="1:6">
      <c r="A675" s="3"/>
      <c r="B675" s="3"/>
      <c r="C675" s="3"/>
      <c r="D675" s="3"/>
      <c r="E675" s="3"/>
      <c r="F675" s="3"/>
    </row>
    <row r="676" spans="1:6">
      <c r="A676" s="3"/>
      <c r="B676" s="3"/>
      <c r="C676" s="3"/>
      <c r="D676" s="3"/>
      <c r="E676" s="3"/>
      <c r="F676" s="3"/>
    </row>
    <row r="677" spans="1:6">
      <c r="A677" s="3"/>
      <c r="B677" s="3"/>
      <c r="C677" s="3"/>
      <c r="D677" s="3"/>
      <c r="E677" s="3"/>
      <c r="F677" s="3"/>
    </row>
    <row r="678" spans="1:6">
      <c r="A678" s="3"/>
      <c r="B678" s="3"/>
      <c r="C678" s="3"/>
      <c r="D678" s="3"/>
      <c r="E678" s="3"/>
      <c r="F678" s="3"/>
    </row>
    <row r="679" spans="1:6">
      <c r="A679" s="3"/>
      <c r="B679" s="3"/>
      <c r="C679" s="3"/>
      <c r="D679" s="3"/>
      <c r="E679" s="3"/>
      <c r="F679" s="3"/>
    </row>
    <row r="680" spans="1:6">
      <c r="A680" s="3"/>
      <c r="B680" s="3"/>
      <c r="C680" s="3"/>
      <c r="D680" s="3"/>
      <c r="E680" s="3"/>
      <c r="F680" s="3"/>
    </row>
    <row r="681" spans="1:6">
      <c r="A681" s="3"/>
      <c r="B681" s="3"/>
      <c r="C681" s="3"/>
      <c r="D681" s="3"/>
      <c r="E681" s="3"/>
      <c r="F681" s="3"/>
    </row>
    <row r="682" spans="1:6">
      <c r="A682" s="3"/>
      <c r="B682" s="3"/>
      <c r="C682" s="3"/>
      <c r="D682" s="3"/>
      <c r="E682" s="3"/>
      <c r="F682" s="3"/>
    </row>
    <row r="683" spans="1:6">
      <c r="A683" s="3"/>
      <c r="B683" s="3"/>
      <c r="C683" s="3"/>
      <c r="D683" s="3"/>
      <c r="E683" s="3"/>
      <c r="F683" s="3"/>
    </row>
    <row r="684" spans="1:6">
      <c r="A684" s="3"/>
      <c r="B684" s="3"/>
      <c r="C684" s="3"/>
      <c r="D684" s="3"/>
      <c r="E684" s="3"/>
      <c r="F684" s="3"/>
    </row>
    <row r="685" spans="1:6">
      <c r="A685" s="3"/>
      <c r="B685" s="3"/>
      <c r="C685" s="3"/>
      <c r="D685" s="3"/>
      <c r="E685" s="3"/>
      <c r="F685" s="3"/>
    </row>
    <row r="686" spans="1:6">
      <c r="A686" s="3"/>
      <c r="B686" s="3"/>
      <c r="C686" s="3"/>
      <c r="D686" s="3"/>
      <c r="E686" s="3"/>
      <c r="F686" s="3"/>
    </row>
    <row r="687" spans="1:6">
      <c r="A687" s="3"/>
      <c r="B687" s="3"/>
      <c r="C687" s="3"/>
      <c r="D687" s="3"/>
      <c r="E687" s="3"/>
      <c r="F687" s="3"/>
    </row>
    <row r="688" spans="1:6">
      <c r="A688" s="3"/>
      <c r="B688" s="3"/>
      <c r="C688" s="3"/>
      <c r="D688" s="3"/>
      <c r="E688" s="3"/>
      <c r="F688" s="3"/>
    </row>
    <row r="689" spans="1:6">
      <c r="A689" s="3"/>
      <c r="B689" s="3"/>
      <c r="C689" s="3"/>
      <c r="D689" s="3"/>
      <c r="E689" s="3"/>
      <c r="F689" s="3"/>
    </row>
    <row r="690" spans="1:6">
      <c r="A690" s="3"/>
      <c r="B690" s="3"/>
      <c r="C690" s="3"/>
      <c r="D690" s="3"/>
      <c r="E690" s="3"/>
      <c r="F690" s="3"/>
    </row>
    <row r="691" spans="1:6">
      <c r="A691" s="3"/>
      <c r="B691" s="3"/>
      <c r="C691" s="3"/>
      <c r="D691" s="3"/>
      <c r="E691" s="3"/>
      <c r="F691" s="3"/>
    </row>
    <row r="692" spans="1:6">
      <c r="A692" s="3"/>
      <c r="B692" s="3"/>
      <c r="C692" s="3"/>
      <c r="D692" s="3"/>
      <c r="E692" s="3"/>
      <c r="F692" s="3"/>
    </row>
    <row r="693" spans="1:6">
      <c r="A693" s="3"/>
      <c r="B693" s="3"/>
      <c r="C693" s="3"/>
      <c r="D693" s="3"/>
      <c r="E693" s="3"/>
      <c r="F693" s="3"/>
    </row>
    <row r="694" spans="1:6">
      <c r="A694" s="3"/>
      <c r="B694" s="3"/>
      <c r="C694" s="3"/>
      <c r="D694" s="3"/>
      <c r="E694" s="3"/>
      <c r="F694" s="3"/>
    </row>
    <row r="695" spans="1:6">
      <c r="A695" s="3"/>
      <c r="B695" s="3"/>
      <c r="C695" s="3"/>
      <c r="D695" s="3"/>
      <c r="E695" s="3"/>
      <c r="F695" s="3"/>
    </row>
    <row r="696" spans="1:6">
      <c r="A696" s="3"/>
      <c r="B696" s="3"/>
      <c r="C696" s="3"/>
      <c r="D696" s="3"/>
      <c r="E696" s="3"/>
      <c r="F696" s="3"/>
    </row>
    <row r="697" spans="1:6">
      <c r="A697" s="3"/>
      <c r="B697" s="3"/>
      <c r="C697" s="3"/>
      <c r="D697" s="3"/>
      <c r="E697" s="3"/>
      <c r="F697" s="3"/>
    </row>
    <row r="698" spans="1:6">
      <c r="A698" s="3"/>
      <c r="B698" s="3"/>
      <c r="C698" s="3"/>
      <c r="D698" s="3"/>
      <c r="E698" s="3"/>
      <c r="F698" s="3"/>
    </row>
    <row r="699" spans="1:6">
      <c r="A699" s="3"/>
      <c r="B699" s="3"/>
      <c r="C699" s="3"/>
      <c r="D699" s="3"/>
      <c r="E699" s="3"/>
      <c r="F699" s="3"/>
    </row>
    <row r="700" spans="1:6">
      <c r="A700" s="3"/>
      <c r="B700" s="3"/>
      <c r="C700" s="3"/>
      <c r="D700" s="3"/>
      <c r="E700" s="3"/>
      <c r="F700" s="3"/>
    </row>
    <row r="701" spans="1:6">
      <c r="A701" s="3"/>
      <c r="B701" s="3"/>
      <c r="C701" s="3"/>
      <c r="D701" s="3"/>
      <c r="E701" s="3"/>
      <c r="F701" s="3"/>
    </row>
    <row r="702" spans="1:6">
      <c r="A702" s="3"/>
      <c r="B702" s="3"/>
      <c r="C702" s="3"/>
      <c r="D702" s="3"/>
      <c r="E702" s="3"/>
      <c r="F702" s="3"/>
    </row>
    <row r="703" spans="1:6">
      <c r="A703" s="3"/>
      <c r="B703" s="3"/>
      <c r="C703" s="3"/>
      <c r="D703" s="3"/>
      <c r="E703" s="3"/>
      <c r="F703" s="3"/>
    </row>
    <row r="704" spans="1:6">
      <c r="A704" s="3"/>
      <c r="B704" s="3"/>
      <c r="C704" s="3"/>
      <c r="D704" s="3"/>
      <c r="E704" s="3"/>
      <c r="F704" s="3"/>
    </row>
    <row r="705" spans="1:6">
      <c r="A705" s="3"/>
      <c r="B705" s="3"/>
      <c r="C705" s="3"/>
      <c r="D705" s="3"/>
      <c r="E705" s="3"/>
      <c r="F705" s="3"/>
    </row>
    <row r="706" spans="1:6">
      <c r="A706" s="3"/>
      <c r="B706" s="3"/>
      <c r="C706" s="3"/>
      <c r="D706" s="3"/>
      <c r="E706" s="3"/>
      <c r="F706" s="3"/>
    </row>
    <row r="707" spans="1:6">
      <c r="A707" s="3"/>
      <c r="B707" s="3"/>
      <c r="C707" s="3"/>
      <c r="D707" s="3"/>
      <c r="E707" s="3"/>
      <c r="F707" s="3"/>
    </row>
    <row r="708" spans="1:6">
      <c r="A708" s="3"/>
      <c r="B708" s="3"/>
      <c r="C708" s="3"/>
      <c r="D708" s="3"/>
      <c r="E708" s="3"/>
      <c r="F708" s="3"/>
    </row>
    <row r="709" spans="1:6">
      <c r="A709" s="3"/>
      <c r="B709" s="3"/>
      <c r="C709" s="3"/>
      <c r="D709" s="3"/>
      <c r="E709" s="3"/>
      <c r="F709" s="3"/>
    </row>
    <row r="710" spans="1:6">
      <c r="A710" s="3"/>
      <c r="B710" s="3"/>
      <c r="C710" s="3"/>
      <c r="D710" s="3"/>
      <c r="E710" s="3"/>
      <c r="F710" s="3"/>
    </row>
    <row r="711" spans="1:6">
      <c r="A711" s="3"/>
      <c r="B711" s="3"/>
      <c r="C711" s="3"/>
      <c r="D711" s="3"/>
      <c r="E711" s="3"/>
      <c r="F711" s="3"/>
    </row>
    <row r="712" spans="1:6">
      <c r="A712" s="3"/>
      <c r="B712" s="3"/>
      <c r="C712" s="3"/>
      <c r="D712" s="3"/>
      <c r="E712" s="3"/>
      <c r="F712" s="3"/>
    </row>
    <row r="713" spans="1:6">
      <c r="A713" s="3"/>
      <c r="B713" s="3"/>
      <c r="C713" s="3"/>
      <c r="D713" s="3"/>
      <c r="E713" s="3"/>
      <c r="F713" s="3"/>
    </row>
    <row r="714" spans="1:6">
      <c r="A714" s="3"/>
      <c r="B714" s="3"/>
      <c r="C714" s="3"/>
      <c r="D714" s="3"/>
      <c r="E714" s="3"/>
      <c r="F714" s="3"/>
    </row>
    <row r="715" spans="1:6">
      <c r="A715" s="3"/>
      <c r="B715" s="3"/>
      <c r="C715" s="3"/>
      <c r="D715" s="3"/>
      <c r="E715" s="3"/>
      <c r="F715" s="3"/>
    </row>
    <row r="716" spans="1:6">
      <c r="A716" s="3"/>
      <c r="B716" s="3"/>
      <c r="C716" s="3"/>
      <c r="D716" s="3"/>
      <c r="E716" s="3"/>
      <c r="F716" s="3"/>
    </row>
    <row r="717" spans="1:6">
      <c r="A717" s="3"/>
      <c r="B717" s="3"/>
      <c r="C717" s="3"/>
      <c r="D717" s="3"/>
      <c r="E717" s="3"/>
      <c r="F717" s="3"/>
    </row>
    <row r="718" spans="1:6">
      <c r="A718" s="3"/>
      <c r="B718" s="3"/>
      <c r="C718" s="3"/>
      <c r="D718" s="3"/>
      <c r="E718" s="3"/>
      <c r="F718" s="3"/>
    </row>
    <row r="719" spans="1:6">
      <c r="A719" s="3"/>
      <c r="B719" s="3"/>
      <c r="C719" s="3"/>
      <c r="D719" s="3"/>
      <c r="E719" s="3"/>
      <c r="F719" s="3"/>
    </row>
    <row r="720" spans="1:6">
      <c r="A720" s="3"/>
      <c r="B720" s="3"/>
      <c r="C720" s="3"/>
      <c r="D720" s="3"/>
      <c r="E720" s="3"/>
      <c r="F720" s="3"/>
    </row>
    <row r="721" spans="1:6">
      <c r="A721" s="3"/>
      <c r="B721" s="3"/>
      <c r="C721" s="3"/>
      <c r="D721" s="3"/>
      <c r="E721" s="3"/>
      <c r="F721" s="3"/>
    </row>
    <row r="722" spans="1:6">
      <c r="A722" s="3"/>
      <c r="B722" s="3"/>
      <c r="C722" s="3"/>
      <c r="D722" s="3"/>
      <c r="E722" s="3"/>
      <c r="F722" s="3"/>
    </row>
    <row r="723" spans="1:6">
      <c r="A723" s="3"/>
      <c r="B723" s="3"/>
      <c r="C723" s="3"/>
      <c r="D723" s="3"/>
      <c r="E723" s="3"/>
      <c r="F723" s="3"/>
    </row>
    <row r="724" spans="1:6">
      <c r="A724" s="3"/>
      <c r="B724" s="3"/>
      <c r="C724" s="3"/>
      <c r="D724" s="3"/>
      <c r="E724" s="3"/>
      <c r="F724" s="3"/>
    </row>
    <row r="725" spans="1:6">
      <c r="A725" s="3"/>
      <c r="B725" s="3"/>
      <c r="C725" s="3"/>
      <c r="D725" s="3"/>
      <c r="E725" s="3"/>
      <c r="F725" s="3"/>
    </row>
    <row r="726" spans="1:6">
      <c r="A726" s="3"/>
      <c r="B726" s="3"/>
      <c r="C726" s="3"/>
      <c r="D726" s="3"/>
      <c r="E726" s="3"/>
      <c r="F726" s="3"/>
    </row>
    <row r="727" spans="1:6">
      <c r="A727" s="3"/>
      <c r="B727" s="3"/>
      <c r="C727" s="3"/>
      <c r="D727" s="3"/>
      <c r="E727" s="3"/>
      <c r="F727" s="3"/>
    </row>
    <row r="728" spans="1:6">
      <c r="A728" s="3"/>
      <c r="B728" s="3"/>
      <c r="C728" s="3"/>
      <c r="D728" s="3"/>
      <c r="E728" s="3"/>
      <c r="F728" s="3"/>
    </row>
    <row r="729" spans="1:6">
      <c r="A729" s="3"/>
      <c r="B729" s="3"/>
      <c r="C729" s="3"/>
      <c r="D729" s="3"/>
      <c r="E729" s="3"/>
      <c r="F729" s="3"/>
    </row>
    <row r="730" spans="1:6">
      <c r="A730" s="3"/>
      <c r="B730" s="3"/>
      <c r="C730" s="3"/>
      <c r="D730" s="3"/>
      <c r="E730" s="3"/>
      <c r="F730" s="3"/>
    </row>
    <row r="731" spans="1:6">
      <c r="A731" s="3"/>
      <c r="B731" s="3"/>
      <c r="C731" s="3"/>
      <c r="D731" s="3"/>
      <c r="E731" s="3"/>
      <c r="F731" s="3"/>
    </row>
    <row r="732" spans="1:6">
      <c r="A732" s="3"/>
      <c r="B732" s="3"/>
      <c r="C732" s="3"/>
      <c r="D732" s="3"/>
      <c r="E732" s="3"/>
      <c r="F732" s="3"/>
    </row>
    <row r="733" spans="1:6">
      <c r="A733" s="3"/>
      <c r="B733" s="3"/>
      <c r="C733" s="3"/>
      <c r="D733" s="3"/>
      <c r="E733" s="3"/>
      <c r="F733" s="3"/>
    </row>
    <row r="734" spans="1:6">
      <c r="A734" s="3"/>
      <c r="B734" s="3"/>
      <c r="C734" s="3"/>
      <c r="D734" s="3"/>
      <c r="E734" s="3"/>
      <c r="F734" s="3"/>
    </row>
    <row r="735" spans="1:6">
      <c r="A735" s="3"/>
      <c r="B735" s="3"/>
      <c r="C735" s="3"/>
      <c r="D735" s="3"/>
      <c r="E735" s="3"/>
      <c r="F735" s="3"/>
    </row>
    <row r="736" spans="1:6">
      <c r="A736" s="3"/>
      <c r="B736" s="3"/>
      <c r="C736" s="3"/>
      <c r="D736" s="3"/>
      <c r="E736" s="3"/>
      <c r="F736" s="3"/>
    </row>
    <row r="737" spans="1:6">
      <c r="A737" s="3"/>
      <c r="B737" s="3"/>
      <c r="C737" s="3"/>
      <c r="D737" s="3"/>
      <c r="E737" s="3"/>
      <c r="F737" s="3"/>
    </row>
    <row r="738" spans="1:6">
      <c r="A738" s="3"/>
      <c r="B738" s="3"/>
      <c r="C738" s="3"/>
      <c r="D738" s="3"/>
      <c r="E738" s="3"/>
      <c r="F738" s="3"/>
    </row>
    <row r="739" spans="1:6">
      <c r="A739" s="3"/>
      <c r="B739" s="3"/>
      <c r="C739" s="3"/>
      <c r="D739" s="3"/>
      <c r="E739" s="3"/>
      <c r="F739" s="3"/>
    </row>
    <row r="740" spans="1:6">
      <c r="A740" s="3"/>
      <c r="B740" s="3"/>
      <c r="C740" s="3"/>
      <c r="D740" s="3"/>
      <c r="E740" s="3"/>
      <c r="F740" s="3"/>
    </row>
    <row r="741" spans="1:6">
      <c r="A741" s="3"/>
      <c r="B741" s="3"/>
      <c r="C741" s="3"/>
      <c r="D741" s="3"/>
      <c r="E741" s="3"/>
      <c r="F741" s="3"/>
    </row>
    <row r="742" spans="1:6">
      <c r="A742" s="3"/>
      <c r="B742" s="3"/>
      <c r="C742" s="3"/>
      <c r="D742" s="3"/>
      <c r="E742" s="3"/>
      <c r="F742" s="3"/>
    </row>
    <row r="743" spans="1:6">
      <c r="A743" s="3"/>
      <c r="B743" s="3"/>
      <c r="C743" s="3"/>
      <c r="D743" s="3"/>
      <c r="E743" s="3"/>
      <c r="F743" s="3"/>
    </row>
    <row r="744" spans="1:6">
      <c r="A744" s="3"/>
      <c r="B744" s="3"/>
      <c r="C744" s="3"/>
      <c r="D744" s="3"/>
      <c r="E744" s="3"/>
      <c r="F744" s="3"/>
    </row>
    <row r="745" spans="1:6">
      <c r="A745" s="3"/>
      <c r="B745" s="3"/>
      <c r="C745" s="3"/>
      <c r="D745" s="3"/>
      <c r="E745" s="3"/>
      <c r="F745" s="3"/>
    </row>
    <row r="746" spans="1:6">
      <c r="A746" s="3"/>
      <c r="B746" s="3"/>
      <c r="C746" s="3"/>
      <c r="D746" s="3"/>
      <c r="E746" s="3"/>
      <c r="F746" s="3"/>
    </row>
    <row r="747" spans="1:6">
      <c r="A747" s="3"/>
      <c r="B747" s="3"/>
      <c r="C747" s="3"/>
      <c r="D747" s="3"/>
      <c r="E747" s="3"/>
      <c r="F747" s="3"/>
    </row>
    <row r="748" spans="1:6">
      <c r="A748" s="3"/>
      <c r="B748" s="3"/>
      <c r="C748" s="3"/>
      <c r="D748" s="3"/>
      <c r="E748" s="3"/>
      <c r="F748" s="3"/>
    </row>
    <row r="749" spans="1:6">
      <c r="A749" s="3"/>
      <c r="B749" s="3"/>
      <c r="C749" s="3"/>
      <c r="D749" s="3"/>
      <c r="E749" s="3"/>
      <c r="F749" s="3"/>
    </row>
    <row r="750" spans="1:6">
      <c r="A750" s="3"/>
      <c r="B750" s="3"/>
      <c r="C750" s="3"/>
      <c r="D750" s="3"/>
      <c r="E750" s="3"/>
      <c r="F750" s="3"/>
    </row>
    <row r="751" spans="1:6">
      <c r="A751" s="3"/>
      <c r="B751" s="3"/>
      <c r="C751" s="3"/>
      <c r="D751" s="3"/>
      <c r="E751" s="3"/>
      <c r="F751" s="3"/>
    </row>
    <row r="752" spans="1:6">
      <c r="A752" s="3"/>
      <c r="B752" s="3"/>
      <c r="C752" s="3"/>
      <c r="D752" s="3"/>
      <c r="E752" s="3"/>
      <c r="F752" s="3"/>
    </row>
    <row r="753" spans="1:6">
      <c r="A753" s="3"/>
      <c r="B753" s="3"/>
      <c r="C753" s="3"/>
      <c r="D753" s="3"/>
      <c r="E753" s="3"/>
      <c r="F753" s="3"/>
    </row>
    <row r="754" spans="1:6">
      <c r="A754" s="3"/>
      <c r="B754" s="3"/>
      <c r="C754" s="3"/>
      <c r="D754" s="3"/>
      <c r="E754" s="3"/>
      <c r="F754" s="3"/>
    </row>
    <row r="755" spans="1:6">
      <c r="A755" s="3"/>
      <c r="B755" s="3"/>
      <c r="C755" s="3"/>
      <c r="D755" s="3"/>
      <c r="E755" s="3"/>
      <c r="F755" s="3"/>
    </row>
    <row r="756" spans="1:6">
      <c r="A756" s="3"/>
      <c r="B756" s="3"/>
      <c r="C756" s="3"/>
      <c r="D756" s="3"/>
      <c r="E756" s="3"/>
      <c r="F756" s="3"/>
    </row>
    <row r="757" spans="1:6">
      <c r="A757" s="3"/>
      <c r="B757" s="3"/>
      <c r="C757" s="3"/>
      <c r="D757" s="3"/>
      <c r="E757" s="3"/>
      <c r="F757" s="3"/>
    </row>
    <row r="758" spans="1:6">
      <c r="A758" s="3"/>
      <c r="B758" s="3"/>
      <c r="C758" s="3"/>
      <c r="D758" s="3"/>
      <c r="E758" s="3"/>
      <c r="F758" s="3"/>
    </row>
    <row r="759" spans="1:6">
      <c r="A759" s="3"/>
      <c r="B759" s="3"/>
      <c r="C759" s="3"/>
      <c r="D759" s="3"/>
      <c r="E759" s="3"/>
      <c r="F759" s="3"/>
    </row>
    <row r="760" spans="1:6">
      <c r="A760" s="3"/>
      <c r="B760" s="3"/>
      <c r="C760" s="3"/>
      <c r="D760" s="3"/>
      <c r="E760" s="3"/>
      <c r="F760" s="3"/>
    </row>
    <row r="761" spans="1:6">
      <c r="A761" s="3"/>
      <c r="B761" s="3"/>
      <c r="C761" s="3"/>
      <c r="D761" s="3"/>
      <c r="E761" s="3"/>
      <c r="F761" s="3"/>
    </row>
    <row r="762" spans="1:6">
      <c r="A762" s="3"/>
      <c r="B762" s="3"/>
      <c r="C762" s="3"/>
      <c r="D762" s="3"/>
      <c r="E762" s="3"/>
      <c r="F762" s="3"/>
    </row>
    <row r="763" spans="1:6">
      <c r="A763" s="3"/>
      <c r="B763" s="3"/>
      <c r="C763" s="3"/>
      <c r="D763" s="3"/>
      <c r="E763" s="3"/>
      <c r="F763" s="3"/>
    </row>
    <row r="764" spans="1:6">
      <c r="A764" s="3"/>
      <c r="B764" s="3"/>
      <c r="C764" s="3"/>
      <c r="D764" s="3"/>
      <c r="E764" s="3"/>
      <c r="F764" s="3"/>
    </row>
    <row r="765" spans="1:6">
      <c r="A765" s="3"/>
      <c r="B765" s="3"/>
      <c r="C765" s="3"/>
      <c r="D765" s="3"/>
      <c r="E765" s="3"/>
      <c r="F765" s="3"/>
    </row>
    <row r="766" spans="1:6">
      <c r="A766" s="3"/>
      <c r="B766" s="3"/>
      <c r="C766" s="3"/>
      <c r="D766" s="3"/>
      <c r="E766" s="3"/>
      <c r="F766" s="3"/>
    </row>
    <row r="767" spans="1:6">
      <c r="A767" s="3"/>
      <c r="B767" s="3"/>
      <c r="C767" s="3"/>
      <c r="D767" s="3"/>
      <c r="E767" s="3"/>
      <c r="F767" s="3"/>
    </row>
    <row r="768" spans="1:6">
      <c r="A768" s="3"/>
      <c r="B768" s="3"/>
      <c r="C768" s="3"/>
      <c r="D768" s="3"/>
      <c r="E768" s="3"/>
      <c r="F768" s="3"/>
    </row>
    <row r="769" spans="1:6">
      <c r="A769" s="3"/>
      <c r="B769" s="3"/>
      <c r="C769" s="3"/>
      <c r="D769" s="3"/>
      <c r="E769" s="3"/>
      <c r="F769" s="3"/>
    </row>
    <row r="770" spans="1:6">
      <c r="A770" s="3"/>
      <c r="B770" s="3"/>
      <c r="C770" s="3"/>
      <c r="D770" s="3"/>
      <c r="E770" s="3"/>
      <c r="F770" s="3"/>
    </row>
    <row r="771" spans="1:6">
      <c r="A771" s="3"/>
      <c r="B771" s="3"/>
      <c r="C771" s="3"/>
      <c r="D771" s="3"/>
      <c r="E771" s="3"/>
      <c r="F771" s="3"/>
    </row>
    <row r="772" spans="1:6">
      <c r="A772" s="3"/>
      <c r="B772" s="3"/>
      <c r="C772" s="3"/>
      <c r="D772" s="3"/>
      <c r="E772" s="3"/>
      <c r="F772" s="3"/>
    </row>
    <row r="773" spans="1:6">
      <c r="A773" s="3"/>
      <c r="B773" s="3"/>
      <c r="C773" s="3"/>
      <c r="D773" s="3"/>
      <c r="E773" s="3"/>
      <c r="F773" s="3"/>
    </row>
    <row r="774" spans="1:6">
      <c r="A774" s="3"/>
      <c r="B774" s="3"/>
      <c r="C774" s="3"/>
      <c r="D774" s="3"/>
      <c r="E774" s="3"/>
      <c r="F774" s="3"/>
    </row>
    <row r="775" spans="1:6">
      <c r="A775" s="3"/>
      <c r="B775" s="3"/>
      <c r="C775" s="3"/>
      <c r="D775" s="3"/>
      <c r="E775" s="3"/>
      <c r="F775" s="3"/>
    </row>
    <row r="776" spans="1:6">
      <c r="A776" s="3"/>
      <c r="B776" s="3"/>
      <c r="C776" s="3"/>
      <c r="D776" s="3"/>
      <c r="E776" s="3"/>
      <c r="F776" s="3"/>
    </row>
    <row r="777" spans="1:6">
      <c r="A777" s="3"/>
      <c r="B777" s="3"/>
      <c r="C777" s="3"/>
      <c r="D777" s="3"/>
      <c r="E777" s="3"/>
      <c r="F777" s="3"/>
    </row>
    <row r="778" spans="1:6">
      <c r="A778" s="3"/>
      <c r="B778" s="3"/>
      <c r="C778" s="3"/>
      <c r="D778" s="3"/>
      <c r="E778" s="3"/>
      <c r="F778" s="3"/>
    </row>
    <row r="779" spans="1:6">
      <c r="A779" s="3"/>
      <c r="B779" s="3"/>
      <c r="C779" s="3"/>
      <c r="D779" s="3"/>
      <c r="E779" s="3"/>
      <c r="F779" s="3"/>
    </row>
    <row r="780" spans="1:6">
      <c r="A780" s="3"/>
      <c r="B780" s="3"/>
      <c r="C780" s="3"/>
      <c r="D780" s="3"/>
      <c r="E780" s="3"/>
      <c r="F780" s="3"/>
    </row>
    <row r="781" spans="1:6">
      <c r="A781" s="3"/>
      <c r="B781" s="3"/>
      <c r="C781" s="3"/>
      <c r="D781" s="3"/>
      <c r="E781" s="3"/>
      <c r="F781" s="3"/>
    </row>
    <row r="782" spans="1:6">
      <c r="A782" s="3"/>
      <c r="B782" s="3"/>
      <c r="C782" s="3"/>
      <c r="D782" s="3"/>
      <c r="E782" s="3"/>
      <c r="F782" s="3"/>
    </row>
    <row r="783" spans="1:6">
      <c r="A783" s="3"/>
      <c r="B783" s="3"/>
      <c r="C783" s="3"/>
      <c r="D783" s="3"/>
      <c r="E783" s="3"/>
      <c r="F783" s="3"/>
    </row>
    <row r="784" spans="1:6">
      <c r="A784" s="3"/>
      <c r="B784" s="3"/>
      <c r="C784" s="3"/>
      <c r="D784" s="3"/>
      <c r="E784" s="3"/>
      <c r="F784" s="3"/>
    </row>
    <row r="785" spans="1:6">
      <c r="A785" s="3"/>
      <c r="B785" s="3"/>
      <c r="C785" s="3"/>
      <c r="D785" s="3"/>
      <c r="E785" s="3"/>
      <c r="F785" s="3"/>
    </row>
    <row r="786" spans="1:6">
      <c r="A786" s="3"/>
      <c r="B786" s="3"/>
      <c r="C786" s="3"/>
      <c r="D786" s="3"/>
      <c r="E786" s="3"/>
      <c r="F786" s="3"/>
    </row>
    <row r="787" spans="1:6">
      <c r="A787" s="3"/>
      <c r="B787" s="3"/>
      <c r="C787" s="3"/>
      <c r="D787" s="3"/>
      <c r="E787" s="3"/>
      <c r="F787" s="3"/>
    </row>
    <row r="788" spans="1:6">
      <c r="A788" s="3"/>
      <c r="B788" s="3"/>
      <c r="C788" s="3"/>
      <c r="D788" s="3"/>
      <c r="E788" s="3"/>
      <c r="F788" s="3"/>
    </row>
    <row r="789" spans="1:6">
      <c r="A789" s="3"/>
      <c r="B789" s="3"/>
      <c r="C789" s="3"/>
      <c r="D789" s="3"/>
      <c r="E789" s="3"/>
      <c r="F789" s="3"/>
    </row>
    <row r="790" spans="1:6">
      <c r="A790" s="3"/>
      <c r="B790" s="3"/>
      <c r="C790" s="3"/>
      <c r="D790" s="3"/>
      <c r="E790" s="3"/>
      <c r="F790" s="3"/>
    </row>
    <row r="791" spans="1:6">
      <c r="A791" s="3"/>
      <c r="B791" s="3"/>
      <c r="C791" s="3"/>
      <c r="D791" s="3"/>
      <c r="E791" s="3"/>
      <c r="F791" s="3"/>
    </row>
    <row r="792" spans="1:6">
      <c r="A792" s="3"/>
      <c r="B792" s="3"/>
      <c r="C792" s="3"/>
      <c r="D792" s="3"/>
      <c r="E792" s="3"/>
      <c r="F792" s="3"/>
    </row>
    <row r="793" spans="1:6">
      <c r="A793" s="3"/>
      <c r="B793" s="3"/>
      <c r="C793" s="3"/>
      <c r="D793" s="3"/>
      <c r="E793" s="3"/>
      <c r="F793" s="3"/>
    </row>
    <row r="794" spans="1:6">
      <c r="A794" s="3"/>
      <c r="B794" s="3"/>
      <c r="C794" s="3"/>
      <c r="D794" s="3"/>
      <c r="E794" s="3"/>
      <c r="F794" s="3"/>
    </row>
    <row r="795" spans="1:6">
      <c r="A795" s="3"/>
      <c r="B795" s="3"/>
      <c r="C795" s="3"/>
      <c r="D795" s="3"/>
      <c r="E795" s="3"/>
      <c r="F795" s="3"/>
    </row>
    <row r="796" spans="1:6">
      <c r="A796" s="3"/>
      <c r="B796" s="3"/>
      <c r="C796" s="3"/>
      <c r="D796" s="3"/>
      <c r="E796" s="3"/>
      <c r="F796" s="3"/>
    </row>
    <row r="797" spans="1:6">
      <c r="A797" s="3"/>
      <c r="B797" s="3"/>
      <c r="C797" s="3"/>
      <c r="D797" s="3"/>
      <c r="E797" s="3"/>
      <c r="F797" s="3"/>
    </row>
    <row r="798" spans="1:6">
      <c r="A798" s="3"/>
      <c r="B798" s="3"/>
      <c r="C798" s="3"/>
      <c r="D798" s="3"/>
      <c r="E798" s="3"/>
      <c r="F798" s="3"/>
    </row>
    <row r="799" spans="1:6">
      <c r="A799" s="3"/>
      <c r="B799" s="3"/>
      <c r="C799" s="3"/>
      <c r="D799" s="3"/>
      <c r="E799" s="3"/>
      <c r="F799" s="3"/>
    </row>
    <row r="800" spans="1:6">
      <c r="A800" s="3"/>
      <c r="B800" s="3"/>
      <c r="C800" s="3"/>
      <c r="D800" s="3"/>
      <c r="E800" s="3"/>
      <c r="F800" s="3"/>
    </row>
    <row r="801" spans="1:6">
      <c r="A801" s="3"/>
      <c r="B801" s="3"/>
      <c r="C801" s="3"/>
      <c r="D801" s="3"/>
      <c r="E801" s="3"/>
      <c r="F801" s="3"/>
    </row>
    <row r="802" spans="1:6">
      <c r="A802" s="3"/>
      <c r="B802" s="3"/>
      <c r="C802" s="3"/>
      <c r="D802" s="3"/>
      <c r="E802" s="3"/>
      <c r="F802" s="3"/>
    </row>
    <row r="803" spans="1:6">
      <c r="A803" s="3"/>
      <c r="B803" s="3"/>
      <c r="C803" s="3"/>
      <c r="D803" s="3"/>
      <c r="E803" s="3"/>
      <c r="F803" s="3"/>
    </row>
    <row r="804" spans="1:6">
      <c r="A804" s="3"/>
      <c r="B804" s="3"/>
      <c r="C804" s="3"/>
      <c r="D804" s="3"/>
      <c r="E804" s="3"/>
      <c r="F804" s="3"/>
    </row>
    <row r="805" spans="1:6">
      <c r="A805" s="3"/>
      <c r="B805" s="3"/>
      <c r="C805" s="3"/>
      <c r="D805" s="3"/>
      <c r="E805" s="3"/>
      <c r="F805" s="3"/>
    </row>
    <row r="806" spans="1:6">
      <c r="A806" s="3"/>
      <c r="B806" s="3"/>
      <c r="C806" s="3"/>
      <c r="D806" s="3"/>
      <c r="E806" s="3"/>
      <c r="F806" s="3"/>
    </row>
    <row r="807" spans="1:6">
      <c r="A807" s="3"/>
      <c r="B807" s="3"/>
      <c r="C807" s="3"/>
      <c r="D807" s="3"/>
      <c r="E807" s="3"/>
      <c r="F807" s="3"/>
    </row>
    <row r="808" spans="1:6">
      <c r="A808" s="3"/>
      <c r="B808" s="3"/>
      <c r="C808" s="3"/>
      <c r="D808" s="3"/>
      <c r="E808" s="3"/>
      <c r="F808" s="3"/>
    </row>
    <row r="809" spans="1:6">
      <c r="A809" s="3"/>
      <c r="B809" s="3"/>
      <c r="C809" s="3"/>
      <c r="D809" s="3"/>
      <c r="E809" s="3"/>
      <c r="F809" s="3"/>
    </row>
    <row r="810" spans="1:6">
      <c r="A810" s="3"/>
      <c r="B810" s="3"/>
      <c r="C810" s="3"/>
      <c r="D810" s="3"/>
      <c r="E810" s="3"/>
      <c r="F810" s="3"/>
    </row>
    <row r="811" spans="1:6">
      <c r="A811" s="3"/>
      <c r="B811" s="3"/>
      <c r="C811" s="3"/>
      <c r="D811" s="3"/>
      <c r="E811" s="3"/>
      <c r="F811" s="3"/>
    </row>
    <row r="812" spans="1:6">
      <c r="A812" s="3"/>
      <c r="B812" s="3"/>
      <c r="C812" s="3"/>
      <c r="D812" s="3"/>
      <c r="E812" s="3"/>
      <c r="F812" s="3"/>
    </row>
    <row r="813" spans="1:6">
      <c r="A813" s="3"/>
      <c r="B813" s="3"/>
      <c r="C813" s="3"/>
      <c r="D813" s="3"/>
      <c r="E813" s="3"/>
      <c r="F813" s="3"/>
    </row>
    <row r="814" spans="1:6">
      <c r="A814" s="3"/>
      <c r="B814" s="3"/>
      <c r="C814" s="3"/>
      <c r="D814" s="3"/>
      <c r="E814" s="3"/>
      <c r="F814" s="3"/>
    </row>
    <row r="815" spans="1:6">
      <c r="A815" s="3"/>
      <c r="B815" s="3"/>
      <c r="C815" s="3"/>
      <c r="D815" s="3"/>
      <c r="E815" s="3"/>
      <c r="F815" s="3"/>
    </row>
    <row r="816" spans="1:6">
      <c r="A816" s="3"/>
      <c r="B816" s="3"/>
      <c r="C816" s="3"/>
      <c r="D816" s="3"/>
      <c r="E816" s="3"/>
      <c r="F816" s="3"/>
    </row>
    <row r="817" spans="1:6">
      <c r="A817" s="3"/>
      <c r="B817" s="3"/>
      <c r="C817" s="3"/>
      <c r="D817" s="3"/>
      <c r="E817" s="3"/>
      <c r="F817" s="3"/>
    </row>
    <row r="818" spans="1:6">
      <c r="A818" s="3"/>
      <c r="B818" s="3"/>
      <c r="C818" s="3"/>
      <c r="D818" s="3"/>
      <c r="E818" s="3"/>
      <c r="F818" s="3"/>
    </row>
    <row r="819" spans="1:6">
      <c r="A819" s="3"/>
      <c r="B819" s="3"/>
      <c r="C819" s="3"/>
      <c r="D819" s="3"/>
      <c r="E819" s="3"/>
      <c r="F819" s="3"/>
    </row>
    <row r="820" spans="1:6">
      <c r="A820" s="3"/>
      <c r="B820" s="3"/>
      <c r="C820" s="3"/>
      <c r="D820" s="3"/>
      <c r="E820" s="3"/>
      <c r="F820" s="3"/>
    </row>
    <row r="821" spans="1:6">
      <c r="A821" s="3"/>
      <c r="B821" s="3"/>
      <c r="C821" s="3"/>
      <c r="D821" s="3"/>
      <c r="E821" s="3"/>
      <c r="F821" s="3"/>
    </row>
    <row r="822" spans="1:6">
      <c r="A822" s="3"/>
      <c r="B822" s="3"/>
      <c r="C822" s="3"/>
      <c r="D822" s="3"/>
      <c r="E822" s="3"/>
      <c r="F822" s="3"/>
    </row>
    <row r="823" spans="1:6">
      <c r="A823" s="3"/>
      <c r="B823" s="3"/>
      <c r="C823" s="3"/>
      <c r="D823" s="3"/>
      <c r="E823" s="3"/>
      <c r="F823" s="3"/>
    </row>
    <row r="824" spans="1:6">
      <c r="A824" s="3"/>
      <c r="B824" s="3"/>
      <c r="C824" s="3"/>
      <c r="D824" s="3"/>
      <c r="E824" s="3"/>
      <c r="F824" s="3"/>
    </row>
    <row r="825" spans="1:6">
      <c r="A825" s="3"/>
      <c r="B825" s="3"/>
      <c r="C825" s="3"/>
      <c r="D825" s="3"/>
      <c r="E825" s="3"/>
      <c r="F825" s="3"/>
    </row>
    <row r="826" spans="1:6">
      <c r="A826" s="3"/>
      <c r="B826" s="3"/>
      <c r="C826" s="3"/>
      <c r="D826" s="3"/>
      <c r="E826" s="3"/>
      <c r="F826" s="3"/>
    </row>
    <row r="827" spans="1:6">
      <c r="A827" s="3"/>
      <c r="B827" s="3"/>
      <c r="C827" s="3"/>
      <c r="D827" s="3"/>
      <c r="E827" s="3"/>
      <c r="F827" s="3"/>
    </row>
    <row r="828" spans="1:6">
      <c r="A828" s="3"/>
      <c r="B828" s="3"/>
      <c r="C828" s="3"/>
      <c r="D828" s="3"/>
      <c r="E828" s="3"/>
      <c r="F828" s="3"/>
    </row>
    <row r="829" spans="1:6">
      <c r="A829" s="3"/>
      <c r="B829" s="3"/>
      <c r="C829" s="3"/>
      <c r="D829" s="3"/>
      <c r="E829" s="3"/>
      <c r="F829" s="3"/>
    </row>
    <row r="830" spans="1:6">
      <c r="A830" s="3"/>
      <c r="B830" s="3"/>
      <c r="C830" s="3"/>
      <c r="D830" s="3"/>
      <c r="E830" s="3"/>
      <c r="F830" s="3"/>
    </row>
    <row r="831" spans="1:6">
      <c r="A831" s="3"/>
      <c r="B831" s="3"/>
      <c r="C831" s="3"/>
      <c r="D831" s="3"/>
      <c r="E831" s="3"/>
      <c r="F831" s="3"/>
    </row>
    <row r="832" spans="1:6">
      <c r="A832" s="3"/>
      <c r="B832" s="3"/>
      <c r="C832" s="3"/>
      <c r="D832" s="3"/>
      <c r="E832" s="3"/>
      <c r="F832" s="3"/>
    </row>
    <row r="833" spans="1:6">
      <c r="A833" s="3"/>
      <c r="B833" s="3"/>
      <c r="C833" s="3"/>
      <c r="D833" s="3"/>
      <c r="E833" s="3"/>
      <c r="F833" s="3"/>
    </row>
    <row r="834" spans="1:6">
      <c r="A834" s="3"/>
      <c r="B834" s="3"/>
      <c r="C834" s="3"/>
      <c r="D834" s="3"/>
      <c r="E834" s="3"/>
      <c r="F834" s="3"/>
    </row>
    <row r="835" spans="1:6">
      <c r="A835" s="3"/>
      <c r="B835" s="3"/>
      <c r="C835" s="3"/>
      <c r="D835" s="3"/>
      <c r="E835" s="3"/>
      <c r="F835" s="3"/>
    </row>
    <row r="836" spans="1:6">
      <c r="A836" s="3"/>
      <c r="B836" s="3"/>
      <c r="C836" s="3"/>
      <c r="D836" s="3"/>
      <c r="E836" s="3"/>
      <c r="F836" s="3"/>
    </row>
    <row r="837" spans="1:6">
      <c r="A837" s="3"/>
      <c r="B837" s="3"/>
      <c r="C837" s="3"/>
      <c r="D837" s="3"/>
      <c r="E837" s="3"/>
      <c r="F837" s="3"/>
    </row>
    <row r="838" spans="1:6">
      <c r="A838" s="3"/>
      <c r="B838" s="3"/>
      <c r="C838" s="3"/>
      <c r="D838" s="3"/>
      <c r="E838" s="3"/>
      <c r="F838" s="3"/>
    </row>
    <row r="839" spans="1:6">
      <c r="A839" s="3"/>
      <c r="B839" s="3"/>
      <c r="C839" s="3"/>
      <c r="D839" s="3"/>
      <c r="E839" s="3"/>
      <c r="F839" s="3"/>
    </row>
    <row r="840" spans="1:6">
      <c r="A840" s="3"/>
      <c r="B840" s="3"/>
      <c r="C840" s="3"/>
      <c r="D840" s="3"/>
      <c r="E840" s="3"/>
      <c r="F840" s="3"/>
    </row>
    <row r="841" spans="1:6">
      <c r="A841" s="3"/>
      <c r="B841" s="3"/>
      <c r="C841" s="3"/>
      <c r="D841" s="3"/>
      <c r="E841" s="3"/>
      <c r="F841" s="3"/>
    </row>
    <row r="842" spans="1:6">
      <c r="A842" s="3"/>
      <c r="B842" s="3"/>
      <c r="C842" s="3"/>
      <c r="D842" s="3"/>
      <c r="E842" s="3"/>
      <c r="F842" s="3"/>
    </row>
    <row r="843" spans="1:6">
      <c r="A843" s="3"/>
      <c r="B843" s="3"/>
      <c r="C843" s="3"/>
      <c r="D843" s="3"/>
      <c r="E843" s="3"/>
      <c r="F843" s="3"/>
    </row>
    <row r="844" spans="1:6">
      <c r="A844" s="3"/>
      <c r="B844" s="3"/>
      <c r="C844" s="3"/>
      <c r="D844" s="3"/>
      <c r="E844" s="3"/>
      <c r="F844" s="3"/>
    </row>
    <row r="845" spans="1:6">
      <c r="A845" s="3"/>
      <c r="B845" s="3"/>
      <c r="C845" s="3"/>
      <c r="D845" s="3"/>
      <c r="E845" s="3"/>
      <c r="F845" s="3"/>
    </row>
    <row r="846" spans="1:6">
      <c r="A846" s="3"/>
      <c r="B846" s="3"/>
      <c r="C846" s="3"/>
      <c r="D846" s="3"/>
      <c r="E846" s="3"/>
      <c r="F846" s="3"/>
    </row>
    <row r="847" spans="1:6">
      <c r="A847" s="3"/>
      <c r="B847" s="3"/>
      <c r="C847" s="3"/>
      <c r="D847" s="3"/>
      <c r="E847" s="3"/>
      <c r="F847" s="3"/>
    </row>
    <row r="848" spans="1:6">
      <c r="A848" s="3"/>
      <c r="B848" s="3"/>
      <c r="C848" s="3"/>
      <c r="D848" s="3"/>
      <c r="E848" s="3"/>
      <c r="F848" s="3"/>
    </row>
    <row r="849" spans="1:6">
      <c r="A849" s="3"/>
      <c r="B849" s="3"/>
      <c r="C849" s="3"/>
      <c r="D849" s="3"/>
      <c r="E849" s="3"/>
      <c r="F849" s="3"/>
    </row>
    <row r="850" spans="1:6">
      <c r="A850" s="3"/>
      <c r="B850" s="3"/>
      <c r="C850" s="3"/>
      <c r="D850" s="3"/>
      <c r="E850" s="3"/>
      <c r="F850" s="3"/>
    </row>
    <row r="851" spans="1:6">
      <c r="A851" s="3"/>
      <c r="B851" s="3"/>
      <c r="C851" s="3"/>
      <c r="D851" s="3"/>
      <c r="E851" s="3"/>
      <c r="F851" s="3"/>
    </row>
    <row r="852" spans="1:6">
      <c r="A852" s="3"/>
      <c r="B852" s="3"/>
      <c r="C852" s="3"/>
      <c r="D852" s="3"/>
      <c r="E852" s="3"/>
      <c r="F852" s="3"/>
    </row>
    <row r="853" spans="1:6">
      <c r="A853" s="3"/>
      <c r="B853" s="3"/>
      <c r="C853" s="3"/>
      <c r="D853" s="3"/>
      <c r="E853" s="3"/>
      <c r="F853" s="3"/>
    </row>
    <row r="854" spans="1:6">
      <c r="A854" s="3"/>
      <c r="B854" s="3"/>
      <c r="C854" s="3"/>
      <c r="D854" s="3"/>
      <c r="E854" s="3"/>
      <c r="F854" s="3"/>
    </row>
    <row r="855" spans="1:6">
      <c r="A855" s="3"/>
      <c r="B855" s="3"/>
      <c r="C855" s="3"/>
      <c r="D855" s="3"/>
      <c r="E855" s="3"/>
      <c r="F855" s="3"/>
    </row>
    <row r="856" spans="1:6">
      <c r="A856" s="3"/>
      <c r="B856" s="3"/>
      <c r="C856" s="3"/>
      <c r="D856" s="3"/>
      <c r="E856" s="3"/>
      <c r="F856" s="3"/>
    </row>
    <row r="857" spans="1:6">
      <c r="A857" s="3"/>
      <c r="B857" s="3"/>
      <c r="C857" s="3"/>
      <c r="D857" s="3"/>
      <c r="E857" s="3"/>
      <c r="F857" s="3"/>
    </row>
    <row r="858" spans="1:6">
      <c r="A858" s="3"/>
      <c r="B858" s="3"/>
      <c r="C858" s="3"/>
      <c r="D858" s="3"/>
      <c r="E858" s="3"/>
      <c r="F858" s="3"/>
    </row>
    <row r="859" spans="1:6">
      <c r="A859" s="3"/>
      <c r="B859" s="3"/>
      <c r="C859" s="3"/>
      <c r="D859" s="3"/>
      <c r="E859" s="3"/>
      <c r="F859" s="3"/>
    </row>
    <row r="860" spans="1:6">
      <c r="A860" s="3"/>
      <c r="B860" s="3"/>
      <c r="C860" s="3"/>
      <c r="D860" s="3"/>
      <c r="E860" s="3"/>
      <c r="F860" s="3"/>
    </row>
    <row r="861" spans="1:6">
      <c r="A861" s="3"/>
      <c r="B861" s="3"/>
      <c r="C861" s="3"/>
      <c r="D861" s="3"/>
      <c r="E861" s="3"/>
      <c r="F861" s="3"/>
    </row>
    <row r="862" spans="1:6">
      <c r="A862" s="3"/>
      <c r="B862" s="3"/>
      <c r="C862" s="3"/>
      <c r="D862" s="3"/>
      <c r="E862" s="3"/>
      <c r="F862" s="3"/>
    </row>
    <row r="863" spans="1:6">
      <c r="A863" s="3"/>
      <c r="B863" s="3"/>
      <c r="C863" s="3"/>
      <c r="D863" s="3"/>
      <c r="E863" s="3"/>
      <c r="F863" s="3"/>
    </row>
    <row r="864" spans="1:6">
      <c r="A864" s="3"/>
      <c r="B864" s="3"/>
      <c r="C864" s="3"/>
      <c r="D864" s="3"/>
      <c r="E864" s="3"/>
      <c r="F864" s="3"/>
    </row>
    <row r="865" spans="1:6">
      <c r="A865" s="3"/>
      <c r="B865" s="3"/>
      <c r="C865" s="3"/>
      <c r="D865" s="3"/>
      <c r="E865" s="3"/>
      <c r="F865" s="3"/>
    </row>
    <row r="866" spans="1:6">
      <c r="A866" s="3"/>
      <c r="B866" s="3"/>
      <c r="C866" s="3"/>
      <c r="D866" s="3"/>
      <c r="E866" s="3"/>
      <c r="F866" s="3"/>
    </row>
    <row r="867" spans="1:6">
      <c r="A867" s="3"/>
      <c r="B867" s="3"/>
      <c r="C867" s="3"/>
      <c r="D867" s="3"/>
      <c r="E867" s="3"/>
      <c r="F867" s="3"/>
    </row>
    <row r="868" spans="1:6">
      <c r="A868" s="3"/>
      <c r="B868" s="3"/>
      <c r="C868" s="3"/>
      <c r="D868" s="3"/>
      <c r="E868" s="3"/>
      <c r="F868" s="3"/>
    </row>
    <row r="869" spans="1:6">
      <c r="A869" s="3"/>
      <c r="B869" s="3"/>
      <c r="C869" s="3"/>
      <c r="D869" s="3"/>
      <c r="E869" s="3"/>
      <c r="F869" s="3"/>
    </row>
    <row r="870" spans="1:6">
      <c r="A870" s="3"/>
      <c r="B870" s="3"/>
      <c r="C870" s="3"/>
      <c r="D870" s="3"/>
      <c r="E870" s="3"/>
      <c r="F870" s="3"/>
    </row>
    <row r="871" spans="1:6">
      <c r="A871" s="3"/>
      <c r="B871" s="3"/>
      <c r="C871" s="3"/>
      <c r="D871" s="3"/>
      <c r="E871" s="3"/>
      <c r="F871" s="3"/>
    </row>
    <row r="872" spans="1:6">
      <c r="A872" s="3"/>
      <c r="B872" s="3"/>
      <c r="C872" s="3"/>
      <c r="D872" s="3"/>
      <c r="E872" s="3"/>
      <c r="F872" s="3"/>
    </row>
    <row r="873" spans="1:6">
      <c r="A873" s="3"/>
      <c r="B873" s="3"/>
      <c r="C873" s="3"/>
      <c r="D873" s="3"/>
      <c r="E873" s="3"/>
      <c r="F873" s="3"/>
    </row>
    <row r="874" spans="1:6">
      <c r="A874" s="3"/>
      <c r="B874" s="3"/>
      <c r="C874" s="3"/>
      <c r="D874" s="3"/>
      <c r="E874" s="3"/>
      <c r="F874" s="3"/>
    </row>
    <row r="875" spans="1:6">
      <c r="A875" s="3"/>
      <c r="B875" s="3"/>
      <c r="C875" s="3"/>
      <c r="D875" s="3"/>
      <c r="E875" s="3"/>
      <c r="F875" s="3"/>
    </row>
    <row r="876" spans="1:6">
      <c r="A876" s="3"/>
      <c r="B876" s="3"/>
      <c r="C876" s="3"/>
      <c r="D876" s="3"/>
      <c r="E876" s="3"/>
      <c r="F876" s="3"/>
    </row>
    <row r="877" spans="1:6">
      <c r="A877" s="3"/>
      <c r="B877" s="3"/>
      <c r="C877" s="3"/>
      <c r="D877" s="3"/>
      <c r="E877" s="3"/>
      <c r="F877" s="3"/>
    </row>
    <row r="878" spans="1:6">
      <c r="A878" s="3"/>
      <c r="B878" s="3"/>
      <c r="C878" s="3"/>
      <c r="D878" s="3"/>
      <c r="E878" s="3"/>
      <c r="F878" s="3"/>
    </row>
    <row r="879" spans="1:6">
      <c r="A879" s="3"/>
      <c r="B879" s="3"/>
      <c r="C879" s="3"/>
      <c r="D879" s="3"/>
      <c r="E879" s="3"/>
      <c r="F879" s="3"/>
    </row>
    <row r="880" spans="1:6">
      <c r="A880" s="3"/>
      <c r="B880" s="3"/>
      <c r="C880" s="3"/>
      <c r="D880" s="3"/>
      <c r="E880" s="3"/>
      <c r="F880" s="3"/>
    </row>
    <row r="881" spans="1:6">
      <c r="A881" s="3"/>
      <c r="B881" s="3"/>
      <c r="C881" s="3"/>
      <c r="D881" s="3"/>
      <c r="E881" s="3"/>
      <c r="F881" s="3"/>
    </row>
    <row r="882" spans="1:6">
      <c r="A882" s="3"/>
      <c r="B882" s="3"/>
      <c r="C882" s="3"/>
      <c r="D882" s="3"/>
      <c r="E882" s="3"/>
      <c r="F882" s="3"/>
    </row>
    <row r="883" spans="1:6">
      <c r="A883" s="3"/>
      <c r="B883" s="3"/>
      <c r="C883" s="3"/>
      <c r="D883" s="3"/>
      <c r="E883" s="3"/>
      <c r="F883" s="3"/>
    </row>
    <row r="884" spans="1:6">
      <c r="A884" s="3"/>
      <c r="B884" s="3"/>
      <c r="C884" s="3"/>
      <c r="D884" s="3"/>
      <c r="E884" s="3"/>
      <c r="F884" s="3"/>
    </row>
    <row r="885" spans="1:6">
      <c r="A885" s="3"/>
      <c r="B885" s="3"/>
      <c r="C885" s="3"/>
      <c r="D885" s="3"/>
      <c r="E885" s="3"/>
      <c r="F885" s="3"/>
    </row>
    <row r="886" spans="1:6">
      <c r="A886" s="3"/>
      <c r="B886" s="3"/>
      <c r="C886" s="3"/>
      <c r="D886" s="3"/>
      <c r="E886" s="3"/>
      <c r="F886" s="3"/>
    </row>
    <row r="887" spans="1:6">
      <c r="A887" s="3"/>
      <c r="B887" s="3"/>
      <c r="C887" s="3"/>
      <c r="D887" s="3"/>
      <c r="E887" s="3"/>
      <c r="F887" s="3"/>
    </row>
    <row r="888" spans="1:6">
      <c r="A888" s="3"/>
      <c r="B888" s="3"/>
      <c r="C888" s="3"/>
      <c r="D888" s="3"/>
      <c r="E888" s="3"/>
      <c r="F888" s="3"/>
    </row>
    <row r="889" spans="1:6">
      <c r="A889" s="3"/>
      <c r="B889" s="3"/>
      <c r="C889" s="3"/>
      <c r="D889" s="3"/>
      <c r="E889" s="3"/>
      <c r="F889" s="3"/>
    </row>
    <row r="890" spans="1:6">
      <c r="A890" s="3"/>
      <c r="B890" s="3"/>
      <c r="C890" s="3"/>
      <c r="D890" s="3"/>
      <c r="E890" s="3"/>
      <c r="F890" s="3"/>
    </row>
    <row r="891" spans="1:6">
      <c r="A891" s="3"/>
      <c r="B891" s="3"/>
      <c r="C891" s="3"/>
      <c r="D891" s="3"/>
      <c r="E891" s="3"/>
      <c r="F891" s="3"/>
    </row>
    <row r="892" spans="1:6">
      <c r="A892" s="3"/>
      <c r="B892" s="3"/>
      <c r="C892" s="3"/>
      <c r="D892" s="3"/>
      <c r="E892" s="3"/>
      <c r="F892" s="3"/>
    </row>
    <row r="893" spans="1:6">
      <c r="A893" s="3"/>
      <c r="B893" s="3"/>
      <c r="C893" s="3"/>
      <c r="D893" s="3"/>
      <c r="E893" s="3"/>
      <c r="F893" s="3"/>
    </row>
    <row r="894" spans="1:6">
      <c r="A894" s="3"/>
      <c r="B894" s="3"/>
      <c r="C894" s="3"/>
      <c r="D894" s="3"/>
      <c r="E894" s="3"/>
      <c r="F894" s="3"/>
    </row>
    <row r="895" spans="1:6">
      <c r="A895" s="3"/>
      <c r="B895" s="3"/>
      <c r="C895" s="3"/>
      <c r="D895" s="3"/>
      <c r="E895" s="3"/>
      <c r="F895" s="3"/>
    </row>
    <row r="896" spans="1:6">
      <c r="A896" s="3"/>
      <c r="B896" s="3"/>
      <c r="C896" s="3"/>
      <c r="D896" s="3"/>
      <c r="E896" s="3"/>
      <c r="F896" s="3"/>
    </row>
    <row r="897" spans="1:6">
      <c r="A897" s="3"/>
      <c r="B897" s="3"/>
      <c r="C897" s="3"/>
      <c r="D897" s="3"/>
      <c r="E897" s="3"/>
      <c r="F897" s="3"/>
    </row>
    <row r="898" spans="1:6">
      <c r="A898" s="3"/>
      <c r="B898" s="3"/>
      <c r="C898" s="3"/>
      <c r="D898" s="3"/>
      <c r="E898" s="3"/>
      <c r="F898" s="3"/>
    </row>
    <row r="899" spans="1:6">
      <c r="A899" s="3"/>
      <c r="B899" s="3"/>
      <c r="C899" s="3"/>
      <c r="D899" s="3"/>
      <c r="E899" s="3"/>
      <c r="F899" s="3"/>
    </row>
    <row r="900" spans="1:6">
      <c r="A900" s="3"/>
      <c r="B900" s="3"/>
      <c r="C900" s="3"/>
      <c r="D900" s="3"/>
      <c r="E900" s="3"/>
      <c r="F900" s="3"/>
    </row>
    <row r="901" spans="1:6">
      <c r="A901" s="3"/>
      <c r="B901" s="3"/>
      <c r="C901" s="3"/>
      <c r="D901" s="3"/>
      <c r="E901" s="3"/>
      <c r="F901" s="3"/>
    </row>
    <row r="902" spans="1:6">
      <c r="A902" s="3"/>
      <c r="B902" s="3"/>
      <c r="C902" s="3"/>
      <c r="D902" s="3"/>
      <c r="E902" s="3"/>
      <c r="F902" s="3"/>
    </row>
    <row r="903" spans="1:6">
      <c r="A903" s="3"/>
      <c r="B903" s="3"/>
      <c r="C903" s="3"/>
      <c r="D903" s="3"/>
      <c r="E903" s="3"/>
      <c r="F903" s="3"/>
    </row>
    <row r="904" spans="1:6">
      <c r="A904" s="3"/>
      <c r="B904" s="3"/>
      <c r="C904" s="3"/>
      <c r="D904" s="3"/>
      <c r="E904" s="3"/>
      <c r="F904" s="3"/>
    </row>
    <row r="905" spans="1:6">
      <c r="A905" s="3"/>
      <c r="B905" s="3"/>
      <c r="C905" s="3"/>
      <c r="D905" s="3"/>
      <c r="E905" s="3"/>
      <c r="F905" s="3"/>
    </row>
    <row r="906" spans="1:6">
      <c r="A906" s="3"/>
      <c r="B906" s="3"/>
      <c r="C906" s="3"/>
      <c r="D906" s="3"/>
      <c r="E906" s="3"/>
      <c r="F906" s="3"/>
    </row>
    <row r="907" spans="1:6">
      <c r="A907" s="3"/>
      <c r="B907" s="3"/>
      <c r="C907" s="3"/>
      <c r="D907" s="3"/>
      <c r="E907" s="3"/>
      <c r="F907" s="3"/>
    </row>
    <row r="908" spans="1:6">
      <c r="A908" s="3"/>
      <c r="B908" s="3"/>
      <c r="C908" s="3"/>
      <c r="D908" s="3"/>
      <c r="E908" s="3"/>
      <c r="F908" s="3"/>
    </row>
    <row r="909" spans="1:6">
      <c r="A909" s="3"/>
      <c r="B909" s="3"/>
      <c r="C909" s="3"/>
      <c r="D909" s="3"/>
      <c r="E909" s="3"/>
      <c r="F909" s="3"/>
    </row>
    <row r="910" spans="1:6">
      <c r="A910" s="3"/>
      <c r="B910" s="3"/>
      <c r="C910" s="3"/>
      <c r="D910" s="3"/>
      <c r="E910" s="3"/>
      <c r="F910" s="3"/>
    </row>
    <row r="911" spans="1:6">
      <c r="A911" s="3"/>
      <c r="B911" s="3"/>
      <c r="C911" s="3"/>
      <c r="D911" s="3"/>
      <c r="E911" s="3"/>
      <c r="F911" s="3"/>
    </row>
    <row r="912" spans="1:6">
      <c r="A912" s="3"/>
      <c r="B912" s="3"/>
      <c r="C912" s="3"/>
      <c r="D912" s="3"/>
      <c r="E912" s="3"/>
      <c r="F912" s="3"/>
    </row>
    <row r="913" spans="1:6">
      <c r="A913" s="3"/>
      <c r="B913" s="3"/>
      <c r="C913" s="3"/>
      <c r="D913" s="3"/>
      <c r="E913" s="3"/>
      <c r="F913" s="3"/>
    </row>
    <row r="914" spans="1:6">
      <c r="A914" s="3"/>
      <c r="B914" s="3"/>
      <c r="C914" s="3"/>
      <c r="D914" s="3"/>
      <c r="E914" s="3"/>
      <c r="F914" s="3"/>
    </row>
    <row r="915" spans="1:6">
      <c r="A915" s="3"/>
      <c r="B915" s="3"/>
      <c r="C915" s="3"/>
      <c r="D915" s="3"/>
      <c r="E915" s="3"/>
      <c r="F915" s="3"/>
    </row>
    <row r="916" spans="1:6">
      <c r="A916" s="3"/>
      <c r="B916" s="3"/>
      <c r="C916" s="3"/>
      <c r="D916" s="3"/>
      <c r="E916" s="3"/>
      <c r="F916" s="3"/>
    </row>
    <row r="917" spans="1:6">
      <c r="A917" s="3"/>
      <c r="B917" s="3"/>
      <c r="C917" s="3"/>
      <c r="D917" s="3"/>
      <c r="E917" s="3"/>
      <c r="F917" s="3"/>
    </row>
    <row r="918" spans="1:6">
      <c r="A918" s="3"/>
      <c r="B918" s="3"/>
      <c r="C918" s="3"/>
      <c r="D918" s="3"/>
      <c r="E918" s="3"/>
      <c r="F918" s="3"/>
    </row>
    <row r="919" spans="1:6">
      <c r="A919" s="3"/>
      <c r="B919" s="3"/>
      <c r="C919" s="3"/>
      <c r="D919" s="3"/>
      <c r="E919" s="3"/>
      <c r="F919" s="3"/>
    </row>
    <row r="920" spans="1:6">
      <c r="A920" s="3"/>
      <c r="B920" s="3"/>
      <c r="C920" s="3"/>
      <c r="D920" s="3"/>
      <c r="E920" s="3"/>
      <c r="F920" s="3"/>
    </row>
    <row r="921" spans="1:6">
      <c r="A921" s="3"/>
      <c r="B921" s="3"/>
      <c r="C921" s="3"/>
      <c r="D921" s="3"/>
      <c r="E921" s="3"/>
      <c r="F921" s="3"/>
    </row>
    <row r="922" spans="1:6">
      <c r="A922" s="3"/>
      <c r="B922" s="3"/>
      <c r="C922" s="3"/>
      <c r="D922" s="3"/>
      <c r="E922" s="3"/>
      <c r="F922" s="3"/>
    </row>
    <row r="923" spans="1:6">
      <c r="A923" s="3"/>
      <c r="B923" s="3"/>
      <c r="C923" s="3"/>
      <c r="D923" s="3"/>
      <c r="E923" s="3"/>
      <c r="F923" s="3"/>
    </row>
    <row r="924" spans="1:6">
      <c r="A924" s="3"/>
      <c r="B924" s="3"/>
      <c r="C924" s="3"/>
      <c r="D924" s="3"/>
      <c r="E924" s="3"/>
      <c r="F924" s="3"/>
    </row>
    <row r="925" spans="1:6">
      <c r="A925" s="3"/>
      <c r="B925" s="3"/>
      <c r="C925" s="3"/>
      <c r="D925" s="3"/>
      <c r="E925" s="3"/>
      <c r="F925" s="3"/>
    </row>
    <row r="926" spans="1:6">
      <c r="A926" s="3"/>
      <c r="B926" s="3"/>
      <c r="C926" s="3"/>
      <c r="D926" s="3"/>
      <c r="E926" s="3"/>
      <c r="F926" s="3"/>
    </row>
    <row r="927" spans="1:6">
      <c r="A927" s="3"/>
      <c r="B927" s="3"/>
      <c r="C927" s="3"/>
      <c r="D927" s="3"/>
      <c r="E927" s="3"/>
      <c r="F927" s="3"/>
    </row>
    <row r="928" spans="1:6">
      <c r="A928" s="3"/>
      <c r="B928" s="3"/>
      <c r="C928" s="3"/>
      <c r="D928" s="3"/>
      <c r="E928" s="3"/>
      <c r="F928" s="3"/>
    </row>
    <row r="929" spans="1:6">
      <c r="A929" s="3"/>
      <c r="B929" s="3"/>
      <c r="C929" s="3"/>
      <c r="D929" s="3"/>
      <c r="E929" s="3"/>
      <c r="F929" s="3"/>
    </row>
    <row r="930" spans="1:6">
      <c r="A930" s="3"/>
      <c r="B930" s="3"/>
      <c r="C930" s="3"/>
      <c r="D930" s="3"/>
      <c r="E930" s="3"/>
      <c r="F930" s="3"/>
    </row>
    <row r="931" spans="1:6">
      <c r="A931" s="3"/>
      <c r="B931" s="3"/>
      <c r="C931" s="3"/>
      <c r="D931" s="3"/>
      <c r="E931" s="3"/>
      <c r="F931" s="3"/>
    </row>
    <row r="932" spans="1:6">
      <c r="A932" s="3"/>
      <c r="B932" s="3"/>
      <c r="C932" s="3"/>
      <c r="D932" s="3"/>
      <c r="E932" s="3"/>
      <c r="F932" s="3"/>
    </row>
    <row r="933" spans="1:6">
      <c r="A933" s="3"/>
      <c r="B933" s="3"/>
      <c r="C933" s="3"/>
      <c r="D933" s="3"/>
      <c r="E933" s="3"/>
      <c r="F933" s="3"/>
    </row>
    <row r="934" spans="1:6">
      <c r="A934" s="3"/>
      <c r="B934" s="3"/>
      <c r="C934" s="3"/>
      <c r="D934" s="3"/>
      <c r="E934" s="3"/>
      <c r="F934" s="3"/>
    </row>
    <row r="935" spans="1:6">
      <c r="A935" s="3"/>
      <c r="B935" s="3"/>
      <c r="C935" s="3"/>
      <c r="D935" s="3"/>
      <c r="E935" s="3"/>
      <c r="F935" s="3"/>
    </row>
    <row r="936" spans="1:6">
      <c r="A936" s="3"/>
      <c r="B936" s="3"/>
      <c r="C936" s="3"/>
      <c r="D936" s="3"/>
      <c r="E936" s="3"/>
      <c r="F936" s="3"/>
    </row>
    <row r="937" spans="1:6">
      <c r="A937" s="3"/>
      <c r="B937" s="3"/>
      <c r="C937" s="3"/>
      <c r="D937" s="3"/>
      <c r="E937" s="3"/>
      <c r="F937" s="3"/>
    </row>
    <row r="938" spans="1:6">
      <c r="A938" s="3"/>
      <c r="B938" s="3"/>
      <c r="C938" s="3"/>
      <c r="D938" s="3"/>
      <c r="E938" s="3"/>
      <c r="F938" s="3"/>
    </row>
    <row r="939" spans="1:6">
      <c r="A939" s="3"/>
      <c r="B939" s="3"/>
      <c r="C939" s="3"/>
      <c r="D939" s="3"/>
      <c r="E939" s="3"/>
      <c r="F939" s="3"/>
    </row>
    <row r="940" spans="1:6">
      <c r="A940" s="3"/>
      <c r="B940" s="3"/>
      <c r="C940" s="3"/>
      <c r="D940" s="3"/>
      <c r="E940" s="3"/>
      <c r="F940" s="3"/>
    </row>
    <row r="941" spans="1:6">
      <c r="A941" s="3"/>
      <c r="B941" s="3"/>
      <c r="C941" s="3"/>
      <c r="D941" s="3"/>
      <c r="E941" s="3"/>
      <c r="F941" s="3"/>
    </row>
    <row r="942" spans="1:6">
      <c r="A942" s="3"/>
      <c r="B942" s="3"/>
      <c r="C942" s="3"/>
      <c r="D942" s="3"/>
      <c r="E942" s="3"/>
      <c r="F942" s="3"/>
    </row>
    <row r="943" spans="1:6">
      <c r="A943" s="3"/>
      <c r="B943" s="3"/>
      <c r="C943" s="3"/>
      <c r="D943" s="3"/>
      <c r="E943" s="3"/>
      <c r="F943" s="3"/>
    </row>
    <row r="944" spans="1:6">
      <c r="A944" s="3"/>
      <c r="B944" s="3"/>
      <c r="C944" s="3"/>
      <c r="D944" s="3"/>
      <c r="E944" s="3"/>
      <c r="F944" s="3"/>
    </row>
    <row r="945" spans="1:6">
      <c r="A945" s="3"/>
      <c r="B945" s="3"/>
      <c r="C945" s="3"/>
      <c r="D945" s="3"/>
      <c r="E945" s="3"/>
      <c r="F945" s="3"/>
    </row>
    <row r="946" spans="1:6">
      <c r="A946" s="3"/>
      <c r="B946" s="3"/>
      <c r="C946" s="3"/>
      <c r="D946" s="3"/>
      <c r="E946" s="3"/>
      <c r="F946" s="3"/>
    </row>
    <row r="947" spans="1:6">
      <c r="A947" s="3"/>
      <c r="B947" s="3"/>
      <c r="C947" s="3"/>
      <c r="D947" s="3"/>
      <c r="E947" s="3"/>
      <c r="F947" s="3"/>
    </row>
    <row r="948" spans="1:6">
      <c r="A948" s="3"/>
      <c r="B948" s="3"/>
      <c r="C948" s="3"/>
      <c r="D948" s="3"/>
      <c r="E948" s="3"/>
      <c r="F948" s="3"/>
    </row>
    <row r="949" spans="1:6">
      <c r="A949" s="3"/>
      <c r="B949" s="3"/>
      <c r="C949" s="3"/>
      <c r="D949" s="3"/>
      <c r="E949" s="3"/>
      <c r="F949" s="3"/>
    </row>
    <row r="950" spans="1:6">
      <c r="A950" s="3"/>
      <c r="B950" s="3"/>
      <c r="C950" s="3"/>
      <c r="D950" s="3"/>
      <c r="E950" s="3"/>
      <c r="F950" s="3"/>
    </row>
    <row r="951" spans="1:6">
      <c r="A951" s="3"/>
      <c r="B951" s="3"/>
      <c r="C951" s="3"/>
      <c r="D951" s="3"/>
      <c r="E951" s="3"/>
      <c r="F951" s="3"/>
    </row>
    <row r="952" spans="1:6">
      <c r="A952" s="3"/>
      <c r="B952" s="3"/>
      <c r="C952" s="3"/>
      <c r="D952" s="3"/>
      <c r="E952" s="3"/>
      <c r="F952" s="3"/>
    </row>
    <row r="953" spans="1:6">
      <c r="A953" s="3"/>
      <c r="B953" s="3"/>
      <c r="C953" s="3"/>
      <c r="D953" s="3"/>
      <c r="E953" s="3"/>
      <c r="F953" s="3"/>
    </row>
    <row r="954" spans="1:6">
      <c r="A954" s="3"/>
      <c r="B954" s="3"/>
      <c r="C954" s="3"/>
      <c r="D954" s="3"/>
      <c r="E954" s="3"/>
      <c r="F954" s="3"/>
    </row>
    <row r="955" spans="1:6">
      <c r="A955" s="3"/>
      <c r="B955" s="3"/>
      <c r="C955" s="3"/>
      <c r="D955" s="3"/>
      <c r="E955" s="3"/>
      <c r="F955" s="3"/>
    </row>
    <row r="956" spans="1:6">
      <c r="A956" s="3"/>
      <c r="B956" s="3"/>
      <c r="C956" s="3"/>
      <c r="D956" s="3"/>
      <c r="E956" s="3"/>
      <c r="F956" s="3"/>
    </row>
    <row r="957" spans="1:6">
      <c r="A957" s="3"/>
      <c r="B957" s="3"/>
      <c r="C957" s="3"/>
      <c r="D957" s="3"/>
      <c r="E957" s="3"/>
      <c r="F957" s="3"/>
    </row>
    <row r="958" spans="1:6">
      <c r="A958" s="3"/>
      <c r="B958" s="3"/>
      <c r="C958" s="3"/>
      <c r="D958" s="3"/>
      <c r="E958" s="3"/>
      <c r="F958" s="3"/>
    </row>
    <row r="959" spans="1:6">
      <c r="A959" s="3"/>
      <c r="B959" s="3"/>
      <c r="C959" s="3"/>
      <c r="D959" s="3"/>
      <c r="E959" s="3"/>
      <c r="F959" s="3"/>
    </row>
    <row r="960" spans="1:6">
      <c r="A960" s="3"/>
      <c r="B960" s="3"/>
      <c r="C960" s="3"/>
      <c r="D960" s="3"/>
      <c r="E960" s="3"/>
      <c r="F960" s="3"/>
    </row>
    <row r="961" spans="1:6">
      <c r="A961" s="3"/>
      <c r="B961" s="3"/>
      <c r="C961" s="3"/>
      <c r="D961" s="3"/>
      <c r="E961" s="3"/>
      <c r="F961" s="3"/>
    </row>
    <row r="962" spans="1:6">
      <c r="A962" s="3"/>
      <c r="B962" s="3"/>
      <c r="C962" s="3"/>
      <c r="D962" s="3"/>
      <c r="E962" s="3"/>
      <c r="F962" s="3"/>
    </row>
    <row r="963" spans="1:6">
      <c r="A963" s="3"/>
      <c r="B963" s="3"/>
      <c r="C963" s="3"/>
      <c r="D963" s="3"/>
      <c r="E963" s="3"/>
      <c r="F963" s="3"/>
    </row>
    <row r="964" spans="1:6">
      <c r="A964" s="3"/>
      <c r="B964" s="3"/>
      <c r="C964" s="3"/>
      <c r="D964" s="3"/>
      <c r="E964" s="3"/>
      <c r="F964" s="3"/>
    </row>
    <row r="965" spans="1:6">
      <c r="A965" s="3"/>
      <c r="B965" s="3"/>
      <c r="C965" s="3"/>
      <c r="D965" s="3"/>
      <c r="E965" s="3"/>
      <c r="F965" s="3"/>
    </row>
    <row r="966" spans="1:6">
      <c r="A966" s="3"/>
      <c r="B966" s="3"/>
      <c r="C966" s="3"/>
      <c r="D966" s="3"/>
      <c r="E966" s="3"/>
      <c r="F966" s="3"/>
    </row>
    <row r="967" spans="1:6">
      <c r="A967" s="3"/>
      <c r="B967" s="3"/>
      <c r="C967" s="3"/>
      <c r="D967" s="3"/>
      <c r="E967" s="3"/>
      <c r="F967" s="3"/>
    </row>
    <row r="968" spans="1:6">
      <c r="A968" s="3"/>
      <c r="B968" s="3"/>
      <c r="C968" s="3"/>
      <c r="D968" s="3"/>
      <c r="E968" s="3"/>
      <c r="F968" s="3"/>
    </row>
    <row r="969" spans="1:6">
      <c r="A969" s="3"/>
      <c r="B969" s="3"/>
      <c r="C969" s="3"/>
      <c r="D969" s="3"/>
      <c r="E969" s="3"/>
      <c r="F969" s="3"/>
    </row>
    <row r="970" spans="1:6">
      <c r="A970" s="3"/>
      <c r="B970" s="3"/>
      <c r="C970" s="3"/>
      <c r="D970" s="3"/>
      <c r="E970" s="3"/>
      <c r="F970" s="3"/>
    </row>
    <row r="971" spans="1:6">
      <c r="A971" s="3"/>
      <c r="B971" s="3"/>
      <c r="C971" s="3"/>
      <c r="D971" s="3"/>
      <c r="E971" s="3"/>
      <c r="F971" s="3"/>
    </row>
    <row r="972" spans="1:6">
      <c r="A972" s="3"/>
      <c r="B972" s="3"/>
      <c r="C972" s="3"/>
      <c r="D972" s="3"/>
      <c r="E972" s="3"/>
      <c r="F972" s="3"/>
    </row>
    <row r="973" spans="1:6">
      <c r="A973" s="3"/>
      <c r="B973" s="3"/>
      <c r="C973" s="3"/>
      <c r="D973" s="3"/>
      <c r="E973" s="3"/>
      <c r="F973" s="3"/>
    </row>
    <row r="974" spans="1:6">
      <c r="A974" s="3"/>
      <c r="B974" s="3"/>
      <c r="C974" s="3"/>
      <c r="D974" s="3"/>
      <c r="E974" s="3"/>
      <c r="F974" s="3"/>
    </row>
    <row r="975" spans="1:6">
      <c r="A975" s="3"/>
      <c r="B975" s="3"/>
      <c r="C975" s="3"/>
      <c r="D975" s="3"/>
      <c r="E975" s="3"/>
      <c r="F975" s="3"/>
    </row>
    <row r="976" spans="1:6">
      <c r="A976" s="3"/>
      <c r="B976" s="3"/>
      <c r="C976" s="3"/>
      <c r="D976" s="3"/>
      <c r="E976" s="3"/>
      <c r="F976" s="3"/>
    </row>
    <row r="977" spans="1:6">
      <c r="A977" s="3"/>
      <c r="B977" s="3"/>
      <c r="C977" s="3"/>
      <c r="D977" s="3"/>
      <c r="E977" s="3"/>
      <c r="F977" s="3"/>
    </row>
    <row r="978" spans="1:6">
      <c r="A978" s="3"/>
      <c r="B978" s="3"/>
      <c r="C978" s="3"/>
      <c r="D978" s="3"/>
      <c r="E978" s="3"/>
      <c r="F978" s="3"/>
    </row>
    <row r="979" spans="1:6">
      <c r="A979" s="3"/>
      <c r="B979" s="3"/>
      <c r="C979" s="3"/>
      <c r="D979" s="3"/>
      <c r="E979" s="3"/>
      <c r="F979" s="3"/>
    </row>
    <row r="980" spans="1:6">
      <c r="A980" s="3"/>
      <c r="B980" s="3"/>
      <c r="C980" s="3"/>
      <c r="D980" s="3"/>
      <c r="E980" s="3"/>
      <c r="F980" s="3"/>
    </row>
    <row r="981" spans="1:6">
      <c r="A981" s="3"/>
      <c r="B981" s="3"/>
      <c r="C981" s="3"/>
      <c r="D981" s="3"/>
      <c r="E981" s="3"/>
      <c r="F981" s="3"/>
    </row>
    <row r="982" spans="1:6">
      <c r="A982" s="3"/>
      <c r="B982" s="3"/>
      <c r="C982" s="3"/>
      <c r="D982" s="3"/>
      <c r="E982" s="3"/>
      <c r="F982" s="3"/>
    </row>
    <row r="983" spans="1:6">
      <c r="A983" s="3"/>
      <c r="B983" s="3"/>
      <c r="C983" s="3"/>
      <c r="D983" s="3"/>
      <c r="E983" s="3"/>
      <c r="F983" s="3"/>
    </row>
    <row r="984" spans="1:6">
      <c r="A984" s="3"/>
      <c r="B984" s="3"/>
      <c r="C984" s="3"/>
      <c r="D984" s="3"/>
      <c r="E984" s="3"/>
      <c r="F984" s="3"/>
    </row>
    <row r="985" spans="1:6">
      <c r="A985" s="3"/>
      <c r="B985" s="3"/>
      <c r="C985" s="3"/>
      <c r="D985" s="3"/>
      <c r="E985" s="3"/>
      <c r="F985" s="3"/>
    </row>
    <row r="986" spans="1:6">
      <c r="A986" s="3"/>
      <c r="B986" s="3"/>
      <c r="C986" s="3"/>
      <c r="D986" s="3"/>
      <c r="E986" s="3"/>
      <c r="F986" s="3"/>
    </row>
    <row r="987" spans="1:6">
      <c r="F987" s="3"/>
    </row>
    <row r="988" spans="1:6">
      <c r="F988" s="3"/>
    </row>
    <row r="989" spans="1:6">
      <c r="F989" s="3"/>
    </row>
    <row r="990" spans="1:6">
      <c r="F990" s="3"/>
    </row>
    <row r="991" spans="1:6">
      <c r="F991" s="3"/>
    </row>
    <row r="992" spans="1:6">
      <c r="F992" s="3"/>
    </row>
    <row r="993" spans="6:6">
      <c r="F993" s="3"/>
    </row>
    <row r="994" spans="6:6">
      <c r="F994" s="3"/>
    </row>
    <row r="995" spans="6:6">
      <c r="F995" s="3"/>
    </row>
    <row r="996" spans="6:6">
      <c r="F996" s="3"/>
    </row>
    <row r="997" spans="6:6">
      <c r="F997" s="3"/>
    </row>
    <row r="998" spans="6:6">
      <c r="F998" s="3"/>
    </row>
    <row r="999" spans="6:6">
      <c r="F999" s="3"/>
    </row>
    <row r="1000" spans="6:6">
      <c r="F1000" s="3"/>
    </row>
    <row r="1001" spans="6:6">
      <c r="F1001" s="3"/>
    </row>
    <row r="1002" spans="6:6">
      <c r="F1002" s="3"/>
    </row>
    <row r="1003" spans="6:6">
      <c r="F1003" s="3"/>
    </row>
    <row r="1004" spans="6:6">
      <c r="F1004" s="3"/>
    </row>
    <row r="1005" spans="6:6">
      <c r="F1005" s="3"/>
    </row>
  </sheetData>
  <sortState xmlns:xlrd2="http://schemas.microsoft.com/office/spreadsheetml/2017/richdata2" ref="A2:E986">
    <sortCondition ref="A1:A98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Study</vt:lpstr>
      <vt:lpstr>Dataset</vt:lpstr>
      <vt:lpstr>Subject</vt:lpstr>
      <vt:lpstr>Clinpath</vt:lpstr>
      <vt:lpstr>Sample</vt:lpstr>
      <vt:lpstr>Data</vt:lpstr>
      <vt:lpstr>Protocol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Ruifeng</dc:creator>
  <cp:lastModifiedBy>Hu, Ruifeng</cp:lastModifiedBy>
  <dcterms:created xsi:type="dcterms:W3CDTF">2025-02-08T00:28:57Z</dcterms:created>
  <dcterms:modified xsi:type="dcterms:W3CDTF">2025-02-18T04:45:45Z</dcterms:modified>
</cp:coreProperties>
</file>